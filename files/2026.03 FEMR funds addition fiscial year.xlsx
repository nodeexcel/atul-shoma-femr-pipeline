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MR Funds" sheetId="1" state="visible" r:id="rId3"/>
    <sheet name="Output" sheetId="2" state="visible" r:id="rId4"/>
    <sheet name="SF270 CA2 Source Data" sheetId="3" state="hidden" r:id="rId5"/>
  </sheets>
  <externalReferences>
    <externalReference r:id="rId6"/>
  </externalReferences>
  <definedNames>
    <definedName function="false" hidden="true" localSheetId="1" name="_xlnm._FilterDatabase" vbProcedure="false">Output!$A$1:$D$13937</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5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9/10 call to DFAS - MOD not logged in their system. Kevin submitted a request. Advised to call back on 9/13.
Reply:
    9/12 call to DFAS, Brian - MOD is now updated and funds available for SF270</t>
        </r>
      </text>
    </comment>
    <comment ref="C1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Executed version not on file. Requested from Contracts 11/19/24</t>
        </r>
      </text>
    </comment>
    <comment ref="D17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6/16/25 Final correction on MOD P00152
6/12/25 DFAS sent corrective action request for a revised MOD to Contracts on 6/9/25.
Page 2 says ACRN FX
Page 6 &amp; 13 states ACRN FY
All ACRNs must agree in the MOD.
6/4/25 DFAS - not loaded in MOCAS
Request submitted to Contracts Input.
Will take 5-7 days to load.</t>
        </r>
      </text>
    </comment>
    <comment ref="D20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1/16/25 spoke to Ryan, DFAS - confirmed logged in MOCAS
1/13/25  spoke to Carmen, DFAS - will request for Contracts Input to load the MOD in MOCAS. Takes 3-5 business days to refresh.</t>
        </r>
      </text>
    </comment>
    <comment ref="E19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12/01/25 P00161 - $0 fund - ITAR clause updated</t>
        </r>
      </text>
    </comment>
    <comment ref="E19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12/01/25 P00161 - $0 fund - ITAR clause updated</t>
        </r>
      </text>
    </comment>
    <comment ref="E20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Correction MOD P00168 - ACRN GW De-Obligated
MOD P00167 Error! See Lifer schedule on pg5 ACRN GW</t>
        </r>
      </text>
    </comment>
    <comment ref="F1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For Gov't reporting - this award amt is to be categorized as fully Core.
For Financial Reporting
Core = $775,073.28
PC9 = $515,300</t>
        </r>
      </text>
    </comment>
    <comment ref="I2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04/30/27</t>
        </r>
      </text>
    </comment>
    <comment ref="I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 Initial end date - 06/30/24
- NCE to 01/205
- 2024.12.02 NCE granted
</t>
        </r>
      </text>
    </comment>
    <comment ref="I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12/31/24 to 06/30/25
</t>
        </r>
      </text>
    </comment>
    <comment ref="I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Original end date - 09/2024
2024.08.24 NCE granted
Reply:
    NCE from 9/2025 to 6/2026</t>
        </r>
      </text>
    </comment>
    <comment ref="I3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03/31/25 to 09/30/25
</t>
        </r>
      </text>
    </comment>
    <comment ref="I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9/2021.  The Oct 9, 2024 NEC extended end date from 03/31/24 to 03/31/25
</t>
        </r>
      </text>
    </comment>
    <comment ref="I4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08/31/24 to 04/30/25
</t>
        </r>
      </text>
    </comment>
    <comment ref="I4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03/2022.  The Oct 9, 2024 NEC extended end date from 03/31/24 to 03/31/25
</t>
        </r>
      </text>
    </comment>
    <comment ref="I5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 Initial end date - 11/2024
- 2024.12.02 NCE granted</t>
        </r>
      </text>
    </comment>
    <comment ref="I5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 Initial end date - 11/2024
- 2024.12.02 NCE granted
Reply:
    NCE from 5/2025 to 9/2026</t>
        </r>
      </text>
    </comment>
    <comment ref="I5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12/31/25 to 04/30/27</t>
        </r>
      </text>
    </comment>
    <comment ref="I5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4/30/25 to 9/30/25
Reply:
    NCE from 9/2025 to 12/2025</t>
        </r>
      </text>
    </comment>
    <comment ref="I5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 Initial end date - 12/2024
- 2024.12.02 NCE granted</t>
        </r>
      </text>
    </comment>
    <comment ref="I7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10/31/25
Reply:
    NCE 10/2025 to 3/2026</t>
        </r>
      </text>
    </comment>
    <comment ref="I8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r>
      </text>
    </comment>
    <comment ref="I8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r>
      </text>
    </comment>
    <comment ref="I8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12/31/25 to 04/30/27</t>
        </r>
      </text>
    </comment>
    <comment ref="I8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r>
      </text>
    </comment>
    <comment ref="I8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r>
      </text>
    </comment>
    <comment ref="I8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r>
      </text>
    </comment>
    <comment ref="I8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r>
      </text>
    </comment>
    <comment ref="I8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r>
      </text>
    </comment>
    <comment ref="I8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Initial end date - 09/2024
2024.08.24 NCE granted</t>
        </r>
      </text>
    </comment>
    <comment ref="I9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r>
      </text>
    </comment>
    <comment ref="I9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r>
      </text>
    </comment>
    <comment ref="I9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r>
      </text>
    </comment>
    <comment ref="I9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06/30/26 to 12/31/26</t>
        </r>
      </text>
    </comment>
    <comment ref="I9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Initial end date - 09/2024
2024.08.24 NCE granted</t>
        </r>
      </text>
    </comment>
    <comment ref="I9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12/31/24 to 05/31/25
</t>
        </r>
      </text>
    </comment>
    <comment ref="I9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 Initial end date - 01/2025
- 2024.12.02 NCE granted</t>
        </r>
      </text>
    </comment>
    <comment ref="I10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r>
      </text>
    </comment>
    <comment ref="I10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r>
      </text>
    </comment>
    <comment ref="I1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r>
      </text>
    </comment>
    <comment ref="I1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r>
      </text>
    </comment>
    <comment ref="I12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r>
      </text>
    </comment>
    <comment ref="I12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Initial end date - 11/2024
2024.08.24 NCE granted
Reply:
    NCE from 01/2026 to 12/2026</t>
        </r>
      </text>
    </comment>
    <comment ref="I1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Initial end date 02/2025
2024.08.24 NCE granted</t>
        </r>
      </text>
    </comment>
    <comment ref="I1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Initial end date 02/2025
2024.08.24 NCE granted</t>
        </r>
      </text>
    </comment>
    <comment ref="I1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1/31/25 to 04/30/26
</t>
        </r>
      </text>
    </comment>
    <comment ref="I1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1/31/25 to 04/30/26
</t>
        </r>
      </text>
    </comment>
    <comment ref="I12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Initial end date - 12/2024
2024.08.24 NCE granted</t>
        </r>
      </text>
    </comment>
    <comment ref="I1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Initial end date - 12/2024
2024.08.24 NCE granted</t>
        </r>
      </text>
    </comment>
    <comment ref="I13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Extended from 11/30/24 to 3/31/25
</t>
        </r>
      </text>
    </comment>
    <comment ref="I13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03/31/26 to 04/30/27</t>
        </r>
      </text>
    </comment>
    <comment ref="I13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04/30/26 to 04/30/27</t>
        </r>
      </text>
    </comment>
    <comment ref="I13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03/2025 to 02/2026</t>
        </r>
      </text>
    </comment>
    <comment ref="I13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4/2025 to 5/2026</t>
        </r>
      </text>
    </comment>
    <comment ref="I13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04/30/25 to 08/31/25</t>
        </r>
      </text>
    </comment>
    <comment ref="I14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07/31/25 to 03/31/26</t>
        </r>
      </text>
    </comment>
    <comment ref="I14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07/31/25 to 03/31/26</t>
        </r>
      </text>
    </comment>
    <comment ref="I14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07/31/25 to 03/31/26</t>
        </r>
      </text>
    </comment>
    <comment ref="I15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07/31/25 to 03/31/26</t>
        </r>
      </text>
    </comment>
    <comment ref="I15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12/31/26 to 01/31/27</t>
        </r>
      </text>
    </comment>
    <comment ref="I15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12/31/26 to 01/31/27</t>
        </r>
      </text>
    </comment>
    <comment ref="I15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09/28/25 to 01/31/26
Reply:
    NCE from 01/2026 to 10/3026</t>
        </r>
      </text>
    </comment>
    <comment ref="I16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NCE from 09/30/26 to 04/30/27</t>
        </r>
      </text>
    </comment>
    <comment ref="J5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Original ACRN was BJ, per the award. See award for CA2 ADP34. ACRN revised to BL</t>
        </r>
      </text>
    </comment>
    <comment ref="J9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Cumulative schedule on pg 4 assigned ACRN CX</t>
        </r>
      </text>
    </comment>
    <comment ref="J17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ACRN FX in MOD - typo. 
Should be FY. 
Final correction done in MOD P00152 dated 6/16/25</t>
        </r>
      </text>
    </comment>
    <comment ref="L9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Detailed ACRN schedule on pg 7 states $13,800.000 for CZ</t>
        </r>
      </text>
    </comment>
    <comment ref="N1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$157K not obligated by DFAS in error. Raelanka submitted form 1797 to DFAS on 7/31/24 for correction.</t>
        </r>
      </text>
    </comment>
    <comment ref="W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PAYMENT RECVD 12/6/2021
____________________________________
Per DFAS 8/9/21 - AQ will be short paid by $11,522 due to problems appropriating funds. They will process the balance once resolved. Nothing to be done from our end.
Contact DFAS if the balance is not received within 10days after the receipt of BVN0007.
9/29/21 Bobbie Medina (DFAS team Lead)
Input error in WAWF not resolved.
AZ entered with wrong fuding year. Correction escalated to Branch Chief. Bobbie will revert back to me in a week. System down due to maintenance.
10/6/21 Adjustment is still in process. Code #55 - DFAS created a dummy ACRN to pay amount due.
10/13/21 Brian - he will speak to Bobbie on status. Will aim to get the refund entered in the system by Friday 10/15. Advise to call back then.
10/19/21 Alf - Being handled by Bobbie Medina (Team Lead). Call on 10/20 to get status.
10/20 Jay - will get Bobbie to call me back.</t>
        </r>
      </text>
    </comment>
    <comment ref="AB4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Calls To DFAS
8/9/22 @ 12:23pm Ryan - underpaid by $85K due to over-billing on ACRN
8/10/22 @ 9:47am Annette - MLR explained the the error in the MOD that ACRN BG &amp; BH for ADP30 is fully funded with a total of $3,515,000 but the amount listed in the ACRN detail page is short by $500K. However, the total of all ACRNs includes the $500K.
Annette will work with the Contracts Dept to locate what happened to the missing $500K as it appears ti be an inout error in their system. MLR advised to follow up with DFAS in 4-5 biz days.
Reply:
    8/25 @ 9:11am Kevin - enquiry still with contracts. MLR idetified where the error is in the MOD. Advised to contact ACO, David O'Brien to submit a Recon Form 1797. NextFlex to resubmit a voucher for the $85K under ACRN BH</t>
        </r>
      </text>
    </comment>
    <comment ref="AD3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For some reason this was not funded. 
Reply:
    Re-submit on BVN0013</t>
        </r>
      </text>
    </comment>
    <comment ref="AD4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Resubmit request of $85K under ACRN BH</t>
        </r>
      </text>
    </comment>
    <comment ref="AL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a resubmission due to ACRN variance with DCMA &amp; rejected BVN0018 on 2/2/24.
See file 2024.01Lifer 270 recon to DCMA for details</t>
        </r>
      </text>
    </comment>
    <comment ref="AN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BVN0021 submitted on 7/25/24 recalled 8/1/24 due to DFAS error in obligated funds on ACRN DW </t>
        </r>
      </text>
    </comment>
    <comment ref="AQ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2024.10.17 submission recalled. Total amount revised due to DFAS unobligated funds on ADP83, ACRN DV</t>
        </r>
      </text>
    </comment>
    <comment ref="AQ13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DCMA email 10/24/24 - amount revised to zero due to unobligated funds by DFAS.</t>
        </r>
      </text>
    </comment>
    <comment ref="AQ13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Per DCMA email 10/24/24 - 
Revised original amount submitted from $500,000 for $664,226.72 due to unobligated funds on ADP83. 
See tab ACRN DV Recon</t>
        </r>
      </text>
    </comment>
  </commentList>
</comments>
</file>

<file path=xl/sharedStrings.xml><?xml version="1.0" encoding="utf-8"?>
<sst xmlns="http://schemas.openxmlformats.org/spreadsheetml/2006/main" count="30838" uniqueCount="1109">
  <si>
    <t xml:space="preserve">NF C6</t>
  </si>
  <si>
    <t xml:space="preserve">CA2 Lifer Funding</t>
  </si>
  <si>
    <t xml:space="preserve">as of 03/31/2026</t>
  </si>
  <si>
    <t xml:space="preserve">FY20 Q3</t>
  </si>
  <si>
    <t xml:space="preserve">FY20 Q4</t>
  </si>
  <si>
    <t xml:space="preserve">FY21 Q1</t>
  </si>
  <si>
    <t xml:space="preserve">FY21 Q2</t>
  </si>
  <si>
    <t xml:space="preserve">FY21 Q3</t>
  </si>
  <si>
    <t xml:space="preserve">FY21 Q4</t>
  </si>
  <si>
    <t xml:space="preserve">FY22 Q1</t>
  </si>
  <si>
    <t xml:space="preserve">FY22 Q2</t>
  </si>
  <si>
    <t xml:space="preserve">FY22 Q3</t>
  </si>
  <si>
    <t xml:space="preserve">FY22 Q4</t>
  </si>
  <si>
    <t xml:space="preserve">FY23 Q1</t>
  </si>
  <si>
    <t xml:space="preserve">FY23 Q2</t>
  </si>
  <si>
    <t xml:space="preserve">FY23 Q3</t>
  </si>
  <si>
    <t xml:space="preserve">FY23 Q4</t>
  </si>
  <si>
    <t xml:space="preserve">FY24 Q1</t>
  </si>
  <si>
    <t xml:space="preserve">FY24 Q2</t>
  </si>
  <si>
    <t xml:space="preserve">FY24 Q3</t>
  </si>
  <si>
    <t xml:space="preserve">FY24 Q4</t>
  </si>
  <si>
    <t xml:space="preserve">FY25 Q1</t>
  </si>
  <si>
    <t xml:space="preserve">FY25 Q2</t>
  </si>
  <si>
    <t xml:space="preserve">FY25 Q3</t>
  </si>
  <si>
    <t xml:space="preserve">FY25 Q4</t>
  </si>
  <si>
    <t xml:space="preserve">FY26 Q1</t>
  </si>
  <si>
    <t xml:space="preserve">FY26 Q2</t>
  </si>
  <si>
    <t xml:space="preserve">FY26 Q3</t>
  </si>
  <si>
    <t xml:space="preserve">FY26 Q4</t>
  </si>
  <si>
    <t xml:space="preserve">FY27 Q1</t>
  </si>
  <si>
    <t xml:space="preserve">FY27 Q2</t>
  </si>
  <si>
    <t xml:space="preserve">FY27 Q3</t>
  </si>
  <si>
    <t xml:space="preserve">FY27 Q4</t>
  </si>
  <si>
    <t xml:space="preserve">QE 6/30/20</t>
  </si>
  <si>
    <t xml:space="preserve">QE 9/30/20</t>
  </si>
  <si>
    <t xml:space="preserve">FY20 Total</t>
  </si>
  <si>
    <t xml:space="preserve">QE 12/31/20</t>
  </si>
  <si>
    <t xml:space="preserve">QE 3/30/21</t>
  </si>
  <si>
    <t xml:space="preserve">QE 6/30/21</t>
  </si>
  <si>
    <t xml:space="preserve">QE 9/30/21</t>
  </si>
  <si>
    <t xml:space="preserve">FY21 Total</t>
  </si>
  <si>
    <t xml:space="preserve">QE 12/31/21</t>
  </si>
  <si>
    <t xml:space="preserve">QE 3/30/22</t>
  </si>
  <si>
    <t xml:space="preserve">QE 6/30/22</t>
  </si>
  <si>
    <t xml:space="preserve">QE 9/30/22</t>
  </si>
  <si>
    <t xml:space="preserve">FY22 Total</t>
  </si>
  <si>
    <t xml:space="preserve">QE 12/31/22</t>
  </si>
  <si>
    <t xml:space="preserve">QE 3/30/23</t>
  </si>
  <si>
    <t xml:space="preserve">QE 6/30/23</t>
  </si>
  <si>
    <t xml:space="preserve">QE 9/30/23</t>
  </si>
  <si>
    <t xml:space="preserve">FY23 Total</t>
  </si>
  <si>
    <t xml:space="preserve">QE 12/31/23</t>
  </si>
  <si>
    <t xml:space="preserve">QE 3/30/24</t>
  </si>
  <si>
    <t xml:space="preserve">QE 6/30/24</t>
  </si>
  <si>
    <t xml:space="preserve">QE 9/30/24</t>
  </si>
  <si>
    <t xml:space="preserve">FY24 Total</t>
  </si>
  <si>
    <t xml:space="preserve">QE 12/31/24</t>
  </si>
  <si>
    <t xml:space="preserve">QE 3/30/25</t>
  </si>
  <si>
    <t xml:space="preserve">QE 6/30/25</t>
  </si>
  <si>
    <t xml:space="preserve">QE 9/30/25</t>
  </si>
  <si>
    <t xml:space="preserve">FY25 Total</t>
  </si>
  <si>
    <t xml:space="preserve">QE 12/31/25</t>
  </si>
  <si>
    <t xml:space="preserve">QE 3/30/26</t>
  </si>
  <si>
    <t xml:space="preserve">QE 6/30/26</t>
  </si>
  <si>
    <t xml:space="preserve">QE 9/30/26</t>
  </si>
  <si>
    <t xml:space="preserve">FY26 Total</t>
  </si>
  <si>
    <t xml:space="preserve">QE 12/31/26</t>
  </si>
  <si>
    <t xml:space="preserve">QE 3/30/27</t>
  </si>
  <si>
    <t xml:space="preserve">QE 6/30/27</t>
  </si>
  <si>
    <t xml:space="preserve">QE 9/30/27</t>
  </si>
  <si>
    <t xml:space="preserve">Total</t>
  </si>
  <si>
    <t xml:space="preserve">COMMITTED</t>
  </si>
  <si>
    <t xml:space="preserve">OBLIGATED</t>
  </si>
  <si>
    <t xml:space="preserve">Expended</t>
  </si>
  <si>
    <t xml:space="preserve">Effective Date</t>
  </si>
  <si>
    <t xml:space="preserve">Govt P# (Mod)</t>
  </si>
  <si>
    <t xml:space="preserve">Project #</t>
  </si>
  <si>
    <t xml:space="preserve">Sequence</t>
  </si>
  <si>
    <t xml:space="preserve">Legal Name</t>
  </si>
  <si>
    <t xml:space="preserve">POP</t>
  </si>
  <si>
    <t xml:space="preserve">Fiscal Year</t>
  </si>
  <si>
    <t xml:space="preserve">Award Amount</t>
  </si>
  <si>
    <t xml:space="preserve">Obligated</t>
  </si>
  <si>
    <t xml:space="preserve">Cash Collected</t>
  </si>
  <si>
    <t xml:space="preserve">Remaining Funds</t>
  </si>
  <si>
    <t xml:space="preserve">P00001</t>
  </si>
  <si>
    <t xml:space="preserve">CA2 ADP1 </t>
  </si>
  <si>
    <t xml:space="preserve">2ADP001 </t>
  </si>
  <si>
    <t xml:space="preserve">Project 1 - Strategic Innovation Project PH2 - BMNT</t>
  </si>
  <si>
    <t xml:space="preserve">08/2020 - 07/2021</t>
  </si>
  <si>
    <t xml:space="preserve">P00002</t>
  </si>
  <si>
    <t xml:space="preserve">CA2 ADP2 </t>
  </si>
  <si>
    <t xml:space="preserve">2ADP002 </t>
  </si>
  <si>
    <t xml:space="preserve">Project 2 - Civil Military Collaboration Initiative PH2  - BMNT</t>
  </si>
  <si>
    <t xml:space="preserve">P00003</t>
  </si>
  <si>
    <t xml:space="preserve">CA2 ADP3</t>
  </si>
  <si>
    <t xml:space="preserve">2ADP003</t>
  </si>
  <si>
    <t xml:space="preserve">Project 3 - Development &amp; Assessment of Novel Advanced Hybrid Electronics for Weapons &amp; Armaments</t>
  </si>
  <si>
    <t xml:space="preserve">08/2020 - 12/2024</t>
  </si>
  <si>
    <t xml:space="preserve">P00004</t>
  </si>
  <si>
    <t xml:space="preserve">CA2 ADP4</t>
  </si>
  <si>
    <t xml:space="preserve">2ADP004</t>
  </si>
  <si>
    <t xml:space="preserve">Project 4 - OUSD(RE) Mantech Flexible X-Ray Imager Digital Detector Arrays (DDA) Phase II</t>
  </si>
  <si>
    <t xml:space="preserve">12/2020 - 12/2023</t>
  </si>
  <si>
    <t xml:space="preserve">P00005</t>
  </si>
  <si>
    <t xml:space="preserve">CA2 ADP5</t>
  </si>
  <si>
    <t xml:space="preserve">2ADP005</t>
  </si>
  <si>
    <t xml:space="preserve">Project 5 - Viral Deactivation Surface Treatments to Reduce Covid-19 Spread in Healthcare Settings</t>
  </si>
  <si>
    <t xml:space="preserve">P00006</t>
  </si>
  <si>
    <t xml:space="preserve">CA2 ADP6</t>
  </si>
  <si>
    <t xml:space="preserve">2ADP006</t>
  </si>
  <si>
    <t xml:space="preserve">Project 6 - Follow-on Development &amp; Assessment of Novel Advanced HyBrid Elecetroncs for Weapons &amp; Armaments</t>
  </si>
  <si>
    <t xml:space="preserve">09/2020 - 03/2022</t>
  </si>
  <si>
    <t xml:space="preserve">P00007</t>
  </si>
  <si>
    <t xml:space="preserve">CA2 ADP7</t>
  </si>
  <si>
    <t xml:space="preserve">2ADP007</t>
  </si>
  <si>
    <t xml:space="preserve">Project 7 - FIPS Certification of WCS for Confined Space Monitoring developed under CA1 ADP35</t>
  </si>
  <si>
    <t xml:space="preserve">09/2020 - 08/2021</t>
  </si>
  <si>
    <t xml:space="preserve">P00008</t>
  </si>
  <si>
    <t xml:space="preserve">CA2 ADP8</t>
  </si>
  <si>
    <t xml:space="preserve">2ADP008</t>
  </si>
  <si>
    <t xml:space="preserve">Project 8 (Follow-on ADP 2) - Civil Military Collaboration Initiative PH2 Continuation - BMNT</t>
  </si>
  <si>
    <t xml:space="preserve">P00009</t>
  </si>
  <si>
    <t xml:space="preserve">CA2 ADP9</t>
  </si>
  <si>
    <t xml:space="preserve">2ADP009</t>
  </si>
  <si>
    <t xml:space="preserve">Project 9 - NextFlex CII FHE Ecosystem Enhancement</t>
  </si>
  <si>
    <t xml:space="preserve">08/2020 - 04/2025</t>
  </si>
  <si>
    <t xml:space="preserve">P00010</t>
  </si>
  <si>
    <t xml:space="preserve">CA2 ADP10</t>
  </si>
  <si>
    <t xml:space="preserve">2ADP010</t>
  </si>
  <si>
    <t xml:space="preserve">Project 10 - Digital Manufacturing Process Development</t>
  </si>
  <si>
    <t xml:space="preserve">09/2020 - 05/2025</t>
  </si>
  <si>
    <t xml:space="preserve">P00029</t>
  </si>
  <si>
    <t xml:space="preserve">CA2 ADP11</t>
  </si>
  <si>
    <t xml:space="preserve">2ADP011</t>
  </si>
  <si>
    <t xml:space="preserve">Project 11 - DESCOPE</t>
  </si>
  <si>
    <t xml:space="preserve">P00011</t>
  </si>
  <si>
    <t xml:space="preserve">Project 11 - OUSD (RE) Education Workforce Development - Regionalism: Real Time Labor Mkt Data &amp; Institute Jumpstart Projects</t>
  </si>
  <si>
    <t xml:space="preserve">08/2020 - 06/2025</t>
  </si>
  <si>
    <t xml:space="preserve">P00012</t>
  </si>
  <si>
    <t xml:space="preserve">CA2 ADP12</t>
  </si>
  <si>
    <t xml:space="preserve">2ADP012</t>
  </si>
  <si>
    <t xml:space="preserve">Project 12 - AJ-GPS ADP Follow On</t>
  </si>
  <si>
    <t xml:space="preserve">10/2020 - 03/2021</t>
  </si>
  <si>
    <t xml:space="preserve">P00013</t>
  </si>
  <si>
    <t xml:space="preserve">CA2 ADP13</t>
  </si>
  <si>
    <t xml:space="preserve">2ADP013</t>
  </si>
  <si>
    <t xml:space="preserve">Project 13 - Advanced Manufacturing Assessent &amp; Devlopment of 40MM Pilot Line</t>
  </si>
  <si>
    <t xml:space="preserve">09/2020 - 09/2021</t>
  </si>
  <si>
    <t xml:space="preserve">P00014</t>
  </si>
  <si>
    <t xml:space="preserve">CA2 ADP14</t>
  </si>
  <si>
    <t xml:space="preserve">2ADP014</t>
  </si>
  <si>
    <t xml:space="preserve">Project 14 - Development &amp; Assessment of Affordably Mass Production if Flexible RF Countermeasure Materials</t>
  </si>
  <si>
    <t xml:space="preserve">10/2020 - 12/2024</t>
  </si>
  <si>
    <t xml:space="preserve">P00015</t>
  </si>
  <si>
    <t xml:space="preserve">CA2 ADP15</t>
  </si>
  <si>
    <t xml:space="preserve">2ADP015</t>
  </si>
  <si>
    <t xml:space="preserve">Project 15 - NASIC Civilian Program in FME Technology - BMNT</t>
  </si>
  <si>
    <t xml:space="preserve">10/2020 - 09/2021</t>
  </si>
  <si>
    <t xml:space="preserve">P00016</t>
  </si>
  <si>
    <t xml:space="preserve">CA2 ADP16</t>
  </si>
  <si>
    <t xml:space="preserve">2ADP016</t>
  </si>
  <si>
    <t xml:space="preserve">Project 16 - OUSD(RE) Education Workforce Development - Regionalism: Real Time</t>
  </si>
  <si>
    <t xml:space="preserve">01/2021- 03/2024</t>
  </si>
  <si>
    <t xml:space="preserve">P00017</t>
  </si>
  <si>
    <t xml:space="preserve">CA2 ADP17</t>
  </si>
  <si>
    <t xml:space="preserve">2ADP017</t>
  </si>
  <si>
    <t xml:space="preserve">Project 17 - Advanced Hybrid Electronics, Packaging &amp; Thermal MGT: follow on (MINSEC)</t>
  </si>
  <si>
    <t xml:space="preserve">10/2020 - 06/2026</t>
  </si>
  <si>
    <t xml:space="preserve">P00018</t>
  </si>
  <si>
    <t xml:space="preserve">CA2 ADP18</t>
  </si>
  <si>
    <t xml:space="preserve">2ADP018</t>
  </si>
  <si>
    <t xml:space="preserve">Project 18 - NSIN Civil-Military Collaboration Initiative Phase III - BMNT</t>
  </si>
  <si>
    <t xml:space="preserve">11/2020 - 01/2021</t>
  </si>
  <si>
    <t xml:space="preserve">P00019</t>
  </si>
  <si>
    <t xml:space="preserve">CA2 ADP19</t>
  </si>
  <si>
    <t xml:space="preserve">2ADP019</t>
  </si>
  <si>
    <t xml:space="preserve">Project 19 - NASIC Global Exploitation Squadron (GXF) T-2 Program 12/11/2020 - BMNT</t>
  </si>
  <si>
    <t xml:space="preserve">12/2020 - 06/2021</t>
  </si>
  <si>
    <t xml:space="preserve">P00020</t>
  </si>
  <si>
    <t xml:space="preserve">CA2 ADP20</t>
  </si>
  <si>
    <t xml:space="preserve">2ADP020</t>
  </si>
  <si>
    <t xml:space="preserve">Project 20 - NextFlex CII FHE Low Cost Sensors</t>
  </si>
  <si>
    <t xml:space="preserve">01/2021- 09/2025</t>
  </si>
  <si>
    <t xml:space="preserve">P00021</t>
  </si>
  <si>
    <t xml:space="preserve">CA2 ADP21</t>
  </si>
  <si>
    <t xml:space="preserve">2ADP021</t>
  </si>
  <si>
    <t xml:space="preserve">Project 21 -FY21 Soldier Authentication Project Prototype D </t>
  </si>
  <si>
    <t xml:space="preserve">02/2021 - 09/2022</t>
  </si>
  <si>
    <t xml:space="preserve">P00022</t>
  </si>
  <si>
    <t xml:space="preserve">CA2 ADP22</t>
  </si>
  <si>
    <t xml:space="preserve">2ADP022</t>
  </si>
  <si>
    <t xml:space="preserve">Project 22 - TRADOC AI Derived Organizational Insights - BMNT</t>
  </si>
  <si>
    <t xml:space="preserve">02/2021 - 08/2021</t>
  </si>
  <si>
    <t xml:space="preserve">P00023</t>
  </si>
  <si>
    <t xml:space="preserve">CA2 ADP23</t>
  </si>
  <si>
    <t xml:space="preserve">2ADP023</t>
  </si>
  <si>
    <t xml:space="preserve">Project 23 - Civil-Military Collaboration Initiative Phase III - BMNT</t>
  </si>
  <si>
    <t xml:space="preserve">04/2021 - 03/2025</t>
  </si>
  <si>
    <t xml:space="preserve">P00024</t>
  </si>
  <si>
    <t xml:space="preserve">CA2 ADP24</t>
  </si>
  <si>
    <t xml:space="preserve">2ADP024</t>
  </si>
  <si>
    <t xml:space="preserve">Project 24 - DTRA Follow-on to Drive Manufacturing Development for Fully Flexible High Performance Electronics</t>
  </si>
  <si>
    <t xml:space="preserve">04/2021 - 04/2025</t>
  </si>
  <si>
    <t xml:space="preserve">P00025</t>
  </si>
  <si>
    <t xml:space="preserve">CA2 ADP25</t>
  </si>
  <si>
    <t xml:space="preserve">2ADP025</t>
  </si>
  <si>
    <t xml:space="preserve">Project 25 - NASIC Global Exploitation Squadron (GXF) T-2 Program PHII</t>
  </si>
  <si>
    <t xml:space="preserve">P00026</t>
  </si>
  <si>
    <t xml:space="preserve">CA2 ADP26</t>
  </si>
  <si>
    <t xml:space="preserve">2ADP026</t>
  </si>
  <si>
    <t xml:space="preserve">Project 26 - ARFL Aircrew Flight Equipment-Compatible EOG Monitoring Capability</t>
  </si>
  <si>
    <t xml:space="preserve">04/2021 - 12/2021</t>
  </si>
  <si>
    <t xml:space="preserve">P00027</t>
  </si>
  <si>
    <t xml:space="preserve">CA2 ADP27</t>
  </si>
  <si>
    <t xml:space="preserve">2ADP027</t>
  </si>
  <si>
    <t xml:space="preserve">Project 27 - OUSD(RE) Mantech Flexible X-ray Imager Digital Detector Arrasys (DDA) Phase III</t>
  </si>
  <si>
    <t xml:space="preserve">05/2021 - 04/2022</t>
  </si>
  <si>
    <t xml:space="preserve">P00028</t>
  </si>
  <si>
    <t xml:space="preserve">CA2 ADP28 </t>
  </si>
  <si>
    <t xml:space="preserve">2ADP028 </t>
  </si>
  <si>
    <t xml:space="preserve">Project 28 - FY21 Soldier Authentication Project Prototype D-Supplement </t>
  </si>
  <si>
    <t xml:space="preserve">11/2020 - 06/2022</t>
  </si>
  <si>
    <t xml:space="preserve">P00030</t>
  </si>
  <si>
    <t xml:space="preserve">CA2 ADP29</t>
  </si>
  <si>
    <t xml:space="preserve">2ADP029</t>
  </si>
  <si>
    <t xml:space="preserve">Project 29 - OSI Civilian Training - BMNT</t>
  </si>
  <si>
    <t xml:space="preserve">08/2021 - 08/2024</t>
  </si>
  <si>
    <t xml:space="preserve">P00031</t>
  </si>
  <si>
    <t xml:space="preserve">CA2 ADP30</t>
  </si>
  <si>
    <t xml:space="preserve">2ADP030</t>
  </si>
  <si>
    <t xml:space="preserve">Project 30 - 2D Inks for Advanced Manufacturing of Hybrid Integrated Silicon Photonics</t>
  </si>
  <si>
    <t xml:space="preserve">08/2021 - 03/2024</t>
  </si>
  <si>
    <t xml:space="preserve">P00032</t>
  </si>
  <si>
    <t xml:space="preserve">CA2 ADP31</t>
  </si>
  <si>
    <t xml:space="preserve">2ADP031</t>
  </si>
  <si>
    <t xml:space="preserve">Project 31 - Civil-Military Collaboration Initiative Phase IV - BMNT</t>
  </si>
  <si>
    <t xml:space="preserve">08/2021 - 07/2022</t>
  </si>
  <si>
    <t xml:space="preserve">P00033</t>
  </si>
  <si>
    <t xml:space="preserve">CA2 ADP32</t>
  </si>
  <si>
    <t xml:space="preserve">2ADP032</t>
  </si>
  <si>
    <t xml:space="preserve">Project 32 - Flight Suit Based Physiological Monitoring Garment: Generation II Low-Rate Initial Production</t>
  </si>
  <si>
    <t xml:space="preserve">08/2021 - 05/2025</t>
  </si>
  <si>
    <t xml:space="preserve">08/2021 - 09/2026</t>
  </si>
  <si>
    <t xml:space="preserve">P00034</t>
  </si>
  <si>
    <t xml:space="preserve">CA2 ADP33</t>
  </si>
  <si>
    <t xml:space="preserve">2ADP033</t>
  </si>
  <si>
    <t xml:space="preserve">Project 33 - OSD CII FHE ECOSYSTEM PHII</t>
  </si>
  <si>
    <t xml:space="preserve">10/2021 - 12/2025</t>
  </si>
  <si>
    <t xml:space="preserve">10/2021 - 04/2027</t>
  </si>
  <si>
    <t xml:space="preserve">P00035</t>
  </si>
  <si>
    <t xml:space="preserve">CA2 ADP34</t>
  </si>
  <si>
    <t xml:space="preserve">2ADP034</t>
  </si>
  <si>
    <t xml:space="preserve">Project 34 - Novel Advanced Hybrid Electronics for FHE-Dual Manufacturing Convergence</t>
  </si>
  <si>
    <t xml:space="preserve">09/2021 - 12/2025</t>
  </si>
  <si>
    <t xml:space="preserve">P00037</t>
  </si>
  <si>
    <t xml:space="preserve">CA2 ADP35</t>
  </si>
  <si>
    <t xml:space="preserve">2ADP035</t>
  </si>
  <si>
    <t xml:space="preserve">Digital Framework for Collaboration Between Interdisciplinary Mfg Teams</t>
  </si>
  <si>
    <t xml:space="preserve">04/2021 - 06/2025</t>
  </si>
  <si>
    <t xml:space="preserve">P00038</t>
  </si>
  <si>
    <t xml:space="preserve">CA2 ADP36</t>
  </si>
  <si>
    <t xml:space="preserve">2ADP036</t>
  </si>
  <si>
    <t xml:space="preserve">Project 36 - Innovation Capacity Building for TSA</t>
  </si>
  <si>
    <t xml:space="preserve">10/2021 - 03/2022</t>
  </si>
  <si>
    <t xml:space="preserve">P00039</t>
  </si>
  <si>
    <t xml:space="preserve">CA2 ADP37</t>
  </si>
  <si>
    <t xml:space="preserve">2ADP037</t>
  </si>
  <si>
    <t xml:space="preserve">Project 37 - Civil-Military Collaboration Initiative Phase V - BMNT</t>
  </si>
  <si>
    <t xml:space="preserve">12/2021 - 11/2022</t>
  </si>
  <si>
    <t xml:space="preserve">P00040</t>
  </si>
  <si>
    <t xml:space="preserve">CA2 ADP38</t>
  </si>
  <si>
    <t xml:space="preserve">2ADP038</t>
  </si>
  <si>
    <t xml:space="preserve">Project 38 - Continuous Non-Invasive Blood Pressure Monitor for En Route Care </t>
  </si>
  <si>
    <t xml:space="preserve">01/2022 - 06/2024</t>
  </si>
  <si>
    <t xml:space="preserve">P00041</t>
  </si>
  <si>
    <t xml:space="preserve">CA2 ADP39</t>
  </si>
  <si>
    <t xml:space="preserve">2ADP039</t>
  </si>
  <si>
    <t xml:space="preserve">Project 39 - NASIC T-2 Program PhII</t>
  </si>
  <si>
    <t xml:space="preserve">02/2022 - 02/2023</t>
  </si>
  <si>
    <t xml:space="preserve">P00042</t>
  </si>
  <si>
    <t xml:space="preserve">CA2 ADP40</t>
  </si>
  <si>
    <t xml:space="preserve">2ADP040</t>
  </si>
  <si>
    <t xml:space="preserve">Project 40 - Large Area Additive Mfg for Conformal Apertures (LAAMCA)</t>
  </si>
  <si>
    <t xml:space="preserve">04/2022 - 12/2023</t>
  </si>
  <si>
    <t xml:space="preserve">P00044</t>
  </si>
  <si>
    <t xml:space="preserve">CA2 ADP41</t>
  </si>
  <si>
    <t xml:space="preserve">2ADP041</t>
  </si>
  <si>
    <t xml:space="preserve">Project 41 - Capacity Building for Advanced Mfg Hybrid Integrated Silicon Photonics</t>
  </si>
  <si>
    <t xml:space="preserve">05/2022 - 09/2024</t>
  </si>
  <si>
    <t xml:space="preserve">P00045</t>
  </si>
  <si>
    <t xml:space="preserve">CA2 ADP42</t>
  </si>
  <si>
    <t xml:space="preserve">2ADP042</t>
  </si>
  <si>
    <t xml:space="preserve">Project 42 - DTRA Funded Optimized Electronics for Fully Flex High Performance Electronics</t>
  </si>
  <si>
    <t xml:space="preserve">05/2022 - 04/2024</t>
  </si>
  <si>
    <t xml:space="preserve">P00046</t>
  </si>
  <si>
    <t xml:space="preserve">CA2 ADP43</t>
  </si>
  <si>
    <t xml:space="preserve">2ADP043</t>
  </si>
  <si>
    <t xml:space="preserve">Project 43 - Innovation Capacity Building for TSA</t>
  </si>
  <si>
    <t xml:space="preserve">05/2022 - 11/2023</t>
  </si>
  <si>
    <t xml:space="preserve">P00047</t>
  </si>
  <si>
    <t xml:space="preserve">CA2 ADP44</t>
  </si>
  <si>
    <t xml:space="preserve">2ADP044</t>
  </si>
  <si>
    <t xml:space="preserve">Project 44 -FHE Conversion of a Demonstrated Wearable Deep Tissue Oxygenation Patch for Casualty Tracking &amp; Monitoring</t>
  </si>
  <si>
    <t xml:space="preserve">06/2022 - 03/2024</t>
  </si>
  <si>
    <t xml:space="preserve">P00048</t>
  </si>
  <si>
    <t xml:space="preserve">CA2 ADP45</t>
  </si>
  <si>
    <t xml:space="preserve">2ADP045</t>
  </si>
  <si>
    <t xml:space="preserve">Project 45 - NSIN hacking for Defense FY2022 Q3 PT3</t>
  </si>
  <si>
    <t xml:space="preserve">P00049</t>
  </si>
  <si>
    <t xml:space="preserve">CA2 ADP46</t>
  </si>
  <si>
    <t xml:space="preserve">2ADP046</t>
  </si>
  <si>
    <t xml:space="preserve">Project 46 - NASIC Global Exploitation Squadron (GXF) T-2 Program PhIII</t>
  </si>
  <si>
    <t xml:space="preserve">05/2022 - 05/2023</t>
  </si>
  <si>
    <t xml:space="preserve">05/2022 - 05/2024</t>
  </si>
  <si>
    <t xml:space="preserve">P00050</t>
  </si>
  <si>
    <t xml:space="preserve">CA2 ADP47</t>
  </si>
  <si>
    <t xml:space="preserve">2ADP047</t>
  </si>
  <si>
    <t xml:space="preserve">Project 47 - Novel Adv Hybrid Electronics for Weapons &amp; Armaments Mfg Convergence</t>
  </si>
  <si>
    <t xml:space="preserve">06/2022 - 03/2026</t>
  </si>
  <si>
    <t xml:space="preserve">P00051</t>
  </si>
  <si>
    <t xml:space="preserve">CA2 ADP48</t>
  </si>
  <si>
    <t xml:space="preserve">2ADP048</t>
  </si>
  <si>
    <t xml:space="preserve">Project 48 - NSIN Hacking for Defense FY2022 Q3 PT4</t>
  </si>
  <si>
    <t xml:space="preserve">08/2022 - 03/2023</t>
  </si>
  <si>
    <t xml:space="preserve">P00052</t>
  </si>
  <si>
    <t xml:space="preserve">CA2 ADP49</t>
  </si>
  <si>
    <t xml:space="preserve">2ADP049</t>
  </si>
  <si>
    <t xml:space="preserve">Project 49 - OUSD (R&amp;E) M-EWD-MII Diversity, Equity, Inclusion and Accessibility (DEIA)</t>
  </si>
  <si>
    <t xml:space="preserve">09/2022 - 12/2025</t>
  </si>
  <si>
    <t xml:space="preserve">P00061</t>
  </si>
  <si>
    <t xml:space="preserve">CA2 ADP50</t>
  </si>
  <si>
    <t xml:space="preserve">2ADP050</t>
  </si>
  <si>
    <t xml:space="preserve">Project 50 - Large Area Additive Manufacturing for Conformal Apertures (LAAMCA)</t>
  </si>
  <si>
    <t xml:space="preserve">09/2022 - 09/2024</t>
  </si>
  <si>
    <t xml:space="preserve">P00053</t>
  </si>
  <si>
    <t xml:space="preserve">04/2023 - 09/2024</t>
  </si>
  <si>
    <t xml:space="preserve">P00054</t>
  </si>
  <si>
    <t xml:space="preserve">CA2 ADP51</t>
  </si>
  <si>
    <t xml:space="preserve">2ADP051</t>
  </si>
  <si>
    <t xml:space="preserve">Project 51 - Materials Enablers for Advanced Manufacturing of Attritable Fuel Cells</t>
  </si>
  <si>
    <t xml:space="preserve">09/2022 - 06/2024</t>
  </si>
  <si>
    <t xml:space="preserve">P00055</t>
  </si>
  <si>
    <t xml:space="preserve">CA2 ADP52</t>
  </si>
  <si>
    <t xml:space="preserve">2ADP052</t>
  </si>
  <si>
    <t xml:space="preserve">Project 52 - Innovation Capacity Building for TSA PH4</t>
  </si>
  <si>
    <t xml:space="preserve">09/2022 - 12/2023</t>
  </si>
  <si>
    <t xml:space="preserve">P00057</t>
  </si>
  <si>
    <t xml:space="preserve">CA2 ADP53</t>
  </si>
  <si>
    <t xml:space="preserve">2ADP053</t>
  </si>
  <si>
    <t xml:space="preserve">Project 53 - FY22 Soldier Authentication Project Prototype D Serial Update</t>
  </si>
  <si>
    <t xml:space="preserve">10/2022 - 04/2024</t>
  </si>
  <si>
    <t xml:space="preserve">P00058</t>
  </si>
  <si>
    <t xml:space="preserve">CA2 ADP54</t>
  </si>
  <si>
    <t xml:space="preserve">2ADP054</t>
  </si>
  <si>
    <t xml:space="preserve">Project 54 - Printed Electronics, Energetics, Materials and Sensors (PEEMS)</t>
  </si>
  <si>
    <t xml:space="preserve">10/2022 - 08/2024</t>
  </si>
  <si>
    <t xml:space="preserve">P00059</t>
  </si>
  <si>
    <t xml:space="preserve">CA2 ADP55</t>
  </si>
  <si>
    <t xml:space="preserve">2ADP055</t>
  </si>
  <si>
    <t xml:space="preserve">Project 55 - NASIC T-2 Program Part IV</t>
  </si>
  <si>
    <t xml:space="preserve">11/2022 - 12/2025</t>
  </si>
  <si>
    <t xml:space="preserve">P00060|P00063</t>
  </si>
  <si>
    <t xml:space="preserve">CA2 ADP56</t>
  </si>
  <si>
    <t xml:space="preserve">2ADP056</t>
  </si>
  <si>
    <t xml:space="preserve">Project 56 - Integrated Head Protection System (IHPS) Railink Infrastructure</t>
  </si>
  <si>
    <t xml:space="preserve">11/2022 - 04/2024</t>
  </si>
  <si>
    <t xml:space="preserve">P00062</t>
  </si>
  <si>
    <t xml:space="preserve">CA2 ADP57</t>
  </si>
  <si>
    <t xml:space="preserve">2ADP057</t>
  </si>
  <si>
    <t xml:space="preserve">Project 57 - FHE To Mitigate Climate Change</t>
  </si>
  <si>
    <t xml:space="preserve">06/2023 - 04/2025</t>
  </si>
  <si>
    <t xml:space="preserve">P00064</t>
  </si>
  <si>
    <t xml:space="preserve">CA2 ADP58</t>
  </si>
  <si>
    <t xml:space="preserve">2ADP058</t>
  </si>
  <si>
    <t xml:space="preserve">Project 58 - Education &amp; Workforce Development MII Network-OUSD(R&amp;E) Manufacturing Tech Program Office|MFG-Education Workforce Develop|Defense Manufacturing Innovation Institute Workforce &amp; Network Evaluation Program</t>
  </si>
  <si>
    <t xml:space="preserve">01/2023 - 12/2025</t>
  </si>
  <si>
    <t xml:space="preserve">P00065</t>
  </si>
  <si>
    <t xml:space="preserve">CA2 ADP59</t>
  </si>
  <si>
    <t xml:space="preserve">2ADP059</t>
  </si>
  <si>
    <t xml:space="preserve">Project 59 - Building the Defense Innovation - Base's Advance Manufacturing Workforce Program (OSD EWD Phase II)</t>
  </si>
  <si>
    <t xml:space="preserve">04/2023 - 06/2025</t>
  </si>
  <si>
    <t xml:space="preserve">P00066</t>
  </si>
  <si>
    <t xml:space="preserve">CA2 ADP60</t>
  </si>
  <si>
    <t xml:space="preserve">2ADP060</t>
  </si>
  <si>
    <t xml:space="preserve">Project 60 - High Temperature CMOS Signal Electronics</t>
  </si>
  <si>
    <t xml:space="preserve">03/2023 - 01/2025</t>
  </si>
  <si>
    <t xml:space="preserve">P00067</t>
  </si>
  <si>
    <t xml:space="preserve">CA2 ADP61</t>
  </si>
  <si>
    <t xml:space="preserve">2ADP061</t>
  </si>
  <si>
    <t xml:space="preserve">Project 61 - Prototype Enablement [SEMI]</t>
  </si>
  <si>
    <t xml:space="preserve">04/2023 - 07/2026</t>
  </si>
  <si>
    <t xml:space="preserve">P00070</t>
  </si>
  <si>
    <t xml:space="preserve">CA2 ADP62</t>
  </si>
  <si>
    <t xml:space="preserve">2ADP062</t>
  </si>
  <si>
    <t xml:space="preserve">Project 62 - Building The Defense Innovation - Base's Advanced Mfg Workforce program (OSD EWD Phase III)</t>
  </si>
  <si>
    <t xml:space="preserve">06/2023 - 03/2026</t>
  </si>
  <si>
    <t xml:space="preserve">P00072</t>
  </si>
  <si>
    <t xml:space="preserve">CA2 ADP63</t>
  </si>
  <si>
    <t xml:space="preserve">2ADP063</t>
  </si>
  <si>
    <t xml:space="preserve">Project 63 - Austere NField Repair</t>
  </si>
  <si>
    <t xml:space="preserve">06/2023 - 05/2024</t>
  </si>
  <si>
    <t xml:space="preserve">P00074</t>
  </si>
  <si>
    <t xml:space="preserve">CA2 ADP64</t>
  </si>
  <si>
    <t xml:space="preserve">2ADP064</t>
  </si>
  <si>
    <t xml:space="preserve">Project 64 - OSD Hybrid Electronic CII FY23</t>
  </si>
  <si>
    <t xml:space="preserve">07/2023 - 06/2026</t>
  </si>
  <si>
    <t xml:space="preserve">P00075</t>
  </si>
  <si>
    <t xml:space="preserve">CA2 ADP65</t>
  </si>
  <si>
    <t xml:space="preserve">2ADP065</t>
  </si>
  <si>
    <t xml:space="preserve">Project 65 - NSIN Hacking for Defense FY2023</t>
  </si>
  <si>
    <t xml:space="preserve">06/2023 - 03/2025</t>
  </si>
  <si>
    <t xml:space="preserve">P00076</t>
  </si>
  <si>
    <t xml:space="preserve">CA2 ADP66</t>
  </si>
  <si>
    <t xml:space="preserve">2ADP066</t>
  </si>
  <si>
    <t xml:space="preserve">Project 66 - DTRA Funded Flexible XRay Imager</t>
  </si>
  <si>
    <t xml:space="preserve">07/2023 - 05/2025</t>
  </si>
  <si>
    <t xml:space="preserve">P00071</t>
  </si>
  <si>
    <t xml:space="preserve">CA2 ADP67</t>
  </si>
  <si>
    <t xml:space="preserve">2ADP067</t>
  </si>
  <si>
    <t xml:space="preserve">Project 67 - Domestic Advancement of Smart Textiles Manufacturing</t>
  </si>
  <si>
    <t xml:space="preserve">06/2023 - 05/2025</t>
  </si>
  <si>
    <t xml:space="preserve">P00078|P00082</t>
  </si>
  <si>
    <t xml:space="preserve">CA2 ADP68</t>
  </si>
  <si>
    <t xml:space="preserve">2ADP068</t>
  </si>
  <si>
    <t xml:space="preserve">Project 68 - NASIC T-2 Program FY23</t>
  </si>
  <si>
    <t xml:space="preserve">07/2023 - 03/2025</t>
  </si>
  <si>
    <t xml:space="preserve">P00077</t>
  </si>
  <si>
    <t xml:space="preserve">CA2 ADP69</t>
  </si>
  <si>
    <t xml:space="preserve">2ADP069</t>
  </si>
  <si>
    <t xml:space="preserve">Project 69 - Flexible/Conformable Data Acquisition Integration for On Board Recorder (OBR)</t>
  </si>
  <si>
    <t xml:space="preserve">08/2023 - 07/2025</t>
  </si>
  <si>
    <t xml:space="preserve">P00079</t>
  </si>
  <si>
    <t xml:space="preserve">CA2 ADP70</t>
  </si>
  <si>
    <t xml:space="preserve">2ADP070</t>
  </si>
  <si>
    <t xml:space="preserve">Project 70 - Army-SC MDO Project PT2 FY23</t>
  </si>
  <si>
    <t xml:space="preserve">P00080</t>
  </si>
  <si>
    <t xml:space="preserve">CA2 ADP71</t>
  </si>
  <si>
    <t xml:space="preserve">2ADP071</t>
  </si>
  <si>
    <t xml:space="preserve">Project 71 - 2D/3D Heterogeneous &amp; Monolithic Integration via MOCVD of 2D Transition Metal Dichalcogenides on 3D Semiconductors</t>
  </si>
  <si>
    <t xml:space="preserve">08/2023 - 08/2025</t>
  </si>
  <si>
    <t xml:space="preserve">P00081</t>
  </si>
  <si>
    <t xml:space="preserve">CA2 ADP72</t>
  </si>
  <si>
    <t xml:space="preserve">2ADP072</t>
  </si>
  <si>
    <t xml:space="preserve">Project 72 - Innovation Capacity Building</t>
  </si>
  <si>
    <t xml:space="preserve">08/2023 - 12/2024</t>
  </si>
  <si>
    <t xml:space="preserve">P00083</t>
  </si>
  <si>
    <t xml:space="preserve">CA2 ADP73</t>
  </si>
  <si>
    <t xml:space="preserve">2ADP073</t>
  </si>
  <si>
    <t xml:space="preserve">Project 73 - Study of Direct Planar Attachment of Mid-Band Radiators</t>
  </si>
  <si>
    <t xml:space="preserve">08/2023 - 03/2025</t>
  </si>
  <si>
    <t xml:space="preserve">P00088</t>
  </si>
  <si>
    <t xml:space="preserve">CA2 ADP74</t>
  </si>
  <si>
    <t xml:space="preserve">2ADP074</t>
  </si>
  <si>
    <t xml:space="preserve">Project 74 - Army Hybrid Electronics Project Collaboration with SEMI</t>
  </si>
  <si>
    <t xml:space="preserve">11/2023 - 12/2026</t>
  </si>
  <si>
    <t xml:space="preserve">P00085</t>
  </si>
  <si>
    <t xml:space="preserve">CA2 ADP75</t>
  </si>
  <si>
    <t xml:space="preserve">2ADP075</t>
  </si>
  <si>
    <t xml:space="preserve">Project 75 - Attritable Midwave Infrared Cameras for UAVs</t>
  </si>
  <si>
    <t xml:space="preserve">11/2023 - 11/2026</t>
  </si>
  <si>
    <t xml:space="preserve">P00089</t>
  </si>
  <si>
    <t xml:space="preserve">P00099</t>
  </si>
  <si>
    <r>
      <rPr>
        <sz val="10"/>
        <rFont val="Calibri"/>
        <family val="2"/>
        <charset val="1"/>
      </rPr>
      <t xml:space="preserve">P00111/</t>
    </r>
    <r>
      <rPr>
        <i val="true"/>
        <sz val="10"/>
        <rFont val="Calibri"/>
        <family val="2"/>
        <charset val="1"/>
      </rPr>
      <t xml:space="preserve">P00112 DoDAAC</t>
    </r>
  </si>
  <si>
    <t xml:space="preserve">P00121</t>
  </si>
  <si>
    <t xml:space="preserve">P00123</t>
  </si>
  <si>
    <t xml:space="preserve">P00124</t>
  </si>
  <si>
    <t xml:space="preserve">P00133</t>
  </si>
  <si>
    <t xml:space="preserve">P00151</t>
  </si>
  <si>
    <t xml:space="preserve">P00165</t>
  </si>
  <si>
    <t xml:space="preserve">P00178</t>
  </si>
  <si>
    <t xml:space="preserve">P00086</t>
  </si>
  <si>
    <t xml:space="preserve">CA2 ADP76</t>
  </si>
  <si>
    <t xml:space="preserve">2ADP076</t>
  </si>
  <si>
    <t xml:space="preserve">Project 76 - Intellectual Property Education Partnership</t>
  </si>
  <si>
    <t xml:space="preserve">10/2023 - 05/2025</t>
  </si>
  <si>
    <t xml:space="preserve">P00092</t>
  </si>
  <si>
    <t xml:space="preserve">P00087</t>
  </si>
  <si>
    <t xml:space="preserve">CA2 ADP77</t>
  </si>
  <si>
    <t xml:space="preserve">2ADP077</t>
  </si>
  <si>
    <t xml:space="preserve">Project 77 - Next Generation Small Satellite</t>
  </si>
  <si>
    <t xml:space="preserve">12/2023 - 12/2026</t>
  </si>
  <si>
    <t xml:space="preserve">P00090</t>
  </si>
  <si>
    <t xml:space="preserve">CA2 ADP78</t>
  </si>
  <si>
    <t xml:space="preserve">2ADP078</t>
  </si>
  <si>
    <t xml:space="preserve">Project 78 - Force Improvements from Resiienr Electronics Systems Phse 1 (FIRES1)</t>
  </si>
  <si>
    <t xml:space="preserve">12/2023 - 10/2025</t>
  </si>
  <si>
    <t xml:space="preserve">P00094</t>
  </si>
  <si>
    <t xml:space="preserve">CA2 ADP79</t>
  </si>
  <si>
    <t xml:space="preserve">2ADP079</t>
  </si>
  <si>
    <t xml:space="preserve">Project 79 - Resilient Electronics for Demanding Environments (RED-E) Phase 1</t>
  </si>
  <si>
    <t xml:space="preserve">02/2024 - 06/2025</t>
  </si>
  <si>
    <t xml:space="preserve">P00095</t>
  </si>
  <si>
    <t xml:space="preserve">CA2 ADP80</t>
  </si>
  <si>
    <t xml:space="preserve">2ADP080</t>
  </si>
  <si>
    <t xml:space="preserve">Project 80 - NASIC T2 Program FY23 #2</t>
  </si>
  <si>
    <t xml:space="preserve">02/2024 - 04/2026</t>
  </si>
  <si>
    <t xml:space="preserve">P00102</t>
  </si>
  <si>
    <t xml:space="preserve">CA2 ADP81</t>
  </si>
  <si>
    <t xml:space="preserve">2ADP081</t>
  </si>
  <si>
    <t xml:space="preserve">Project 81 - Compact Wide-band Frequency Agile Microwave Filters for WARCHAMP Phase 1</t>
  </si>
  <si>
    <t xml:space="preserve">03/2024 - 06/2025</t>
  </si>
  <si>
    <t xml:space="preserve">P00098</t>
  </si>
  <si>
    <t xml:space="preserve">CA2 ADP82</t>
  </si>
  <si>
    <t xml:space="preserve">2ADP082</t>
  </si>
  <si>
    <t xml:space="preserve">Project 82 - Adding Rheoencephalography to Wearable Multimodal Cerebrophysiological Monitor for Continuous Aircrew State Assessment</t>
  </si>
  <si>
    <t xml:space="preserve">02/2024 - 03/2025</t>
  </si>
  <si>
    <t xml:space="preserve">P00097</t>
  </si>
  <si>
    <t xml:space="preserve">CA2 ADP83</t>
  </si>
  <si>
    <t xml:space="preserve">2ADP083</t>
  </si>
  <si>
    <t xml:space="preserve">Project 83 - OSD Strategic Investment for Heterogeneous Integration (OSD)</t>
  </si>
  <si>
    <t xml:space="preserve">02/2024 - 04/2027</t>
  </si>
  <si>
    <t xml:space="preserve">02/2024 - 03/2026</t>
  </si>
  <si>
    <t xml:space="preserve">P00100</t>
  </si>
  <si>
    <t xml:space="preserve">CA2 ADP84</t>
  </si>
  <si>
    <t xml:space="preserve">2ADP084</t>
  </si>
  <si>
    <t xml:space="preserve">Project 84 - FHE to Mitigate Climate Change</t>
  </si>
  <si>
    <t xml:space="preserve">03/2024 - 04/2027</t>
  </si>
  <si>
    <t xml:space="preserve">P00101</t>
  </si>
  <si>
    <t xml:space="preserve">CA2 ADP85</t>
  </si>
  <si>
    <t xml:space="preserve">2ADP085</t>
  </si>
  <si>
    <t xml:space="preserve">Project 85 - OSD High Temperature CMOS Signal Electronics</t>
  </si>
  <si>
    <t xml:space="preserve">03/2024 - 02/2026</t>
  </si>
  <si>
    <t xml:space="preserve">P00107</t>
  </si>
  <si>
    <t xml:space="preserve">CA2 ADP86</t>
  </si>
  <si>
    <t xml:space="preserve">2ADP086</t>
  </si>
  <si>
    <t xml:space="preserve">Project 86 - MECAMIC (Metal Embedded Chiplet Assembly) Heterogeneous Integration Advancement</t>
  </si>
  <si>
    <t xml:space="preserve">05/2024 - 07/2026</t>
  </si>
  <si>
    <t xml:space="preserve">waiting for MOD</t>
  </si>
  <si>
    <t xml:space="preserve">P00103</t>
  </si>
  <si>
    <t xml:space="preserve">CA2 ADP87</t>
  </si>
  <si>
    <t xml:space="preserve">2ADP087</t>
  </si>
  <si>
    <t xml:space="preserve">Project 87 - Large Area Additive Manufacturing For Confirmal Apertures (LAAMCA)</t>
  </si>
  <si>
    <t xml:space="preserve">04/2024 - 05/2026</t>
  </si>
  <si>
    <t xml:space="preserve">P00104</t>
  </si>
  <si>
    <t xml:space="preserve">CA2 ADP88</t>
  </si>
  <si>
    <t xml:space="preserve">2ADP088</t>
  </si>
  <si>
    <t xml:space="preserve">Project 88 - Analog Neuromorphic Front-End Preprocessor for WARCHAMP Phase 1</t>
  </si>
  <si>
    <t xml:space="preserve">04/2024 - 08/2025</t>
  </si>
  <si>
    <t xml:space="preserve">P00106</t>
  </si>
  <si>
    <t xml:space="preserve">CA2 ADP89</t>
  </si>
  <si>
    <t xml:space="preserve">2ADP089</t>
  </si>
  <si>
    <t xml:space="preserve">Project 89 - Equipping The Advanced Mfg Ecosystem to Deepen Diversity, Equity, Inclucion and Accessibility (DEIA) Workforce Integration</t>
  </si>
  <si>
    <t xml:space="preserve">04/2024 - 10/2026</t>
  </si>
  <si>
    <t xml:space="preserve">P00135</t>
  </si>
  <si>
    <t xml:space="preserve">P00136</t>
  </si>
  <si>
    <t xml:space="preserve">P00137</t>
  </si>
  <si>
    <t xml:space="preserve">P00108</t>
  </si>
  <si>
    <t xml:space="preserve">CA2 ADP90</t>
  </si>
  <si>
    <t xml:space="preserve">2ADP090</t>
  </si>
  <si>
    <t xml:space="preserve">Project 90 - T-2 Program FY24</t>
  </si>
  <si>
    <t xml:space="preserve">06/2024 - 03/2026</t>
  </si>
  <si>
    <r>
      <rPr>
        <sz val="10"/>
        <rFont val="Calibri"/>
        <family val="2"/>
        <charset val="1"/>
      </rPr>
      <t xml:space="preserve">P00109/</t>
    </r>
    <r>
      <rPr>
        <i val="true"/>
        <sz val="10"/>
        <rFont val="Calibri"/>
        <family val="2"/>
        <charset val="1"/>
      </rPr>
      <t xml:space="preserve">P00112 DoDAAC</t>
    </r>
  </si>
  <si>
    <t xml:space="preserve">CA2 ADP91</t>
  </si>
  <si>
    <t xml:space="preserve">2ADP091</t>
  </si>
  <si>
    <t xml:space="preserve">Project 91 - FY23 Domestic Advancement of Smart Textiles Manufacturing Bridge to AFFOA-2 CA - Part 1</t>
  </si>
  <si>
    <t xml:space="preserve">06/2024 - 12/2025</t>
  </si>
  <si>
    <t xml:space="preserve">P00113</t>
  </si>
  <si>
    <t xml:space="preserve">CA2 ADP92</t>
  </si>
  <si>
    <t xml:space="preserve">2ADP092</t>
  </si>
  <si>
    <t xml:space="preserve">Project 92 - OIB Modernization Challenge: Cybersecure Data Compliance for Integrated Sensors &amp; Shop Floor Digitization</t>
  </si>
  <si>
    <t xml:space="preserve">08/2024 - 03/2025</t>
  </si>
  <si>
    <t xml:space="preserve">P00120</t>
  </si>
  <si>
    <t xml:space="preserve">CA2 ADP93</t>
  </si>
  <si>
    <t xml:space="preserve">2ADP093</t>
  </si>
  <si>
    <t xml:space="preserve">Project 93 - Acceleration Factors &amp; Life Models for Sustainable non-PFAS Packaging Materials &amp; Processes</t>
  </si>
  <si>
    <t xml:space="preserve">09/2024 - 01/2027</t>
  </si>
  <si>
    <t xml:space="preserve">P00146</t>
  </si>
  <si>
    <t xml:space="preserve">CA2 ADP94</t>
  </si>
  <si>
    <t xml:space="preserve">2ADP094</t>
  </si>
  <si>
    <t xml:space="preserve">Project 94 - ONR Attritable Fuel Cells for Navy</t>
  </si>
  <si>
    <t xml:space="preserve">05/2025 - 05/2026</t>
  </si>
  <si>
    <t xml:space="preserve">P00118</t>
  </si>
  <si>
    <t xml:space="preserve">CA2 ADP95</t>
  </si>
  <si>
    <t xml:space="preserve">2ADP095</t>
  </si>
  <si>
    <t xml:space="preserve">Project 95 - NSIN Hacking for Defense FY2024</t>
  </si>
  <si>
    <t xml:space="preserve">09/2024 - 09/2025</t>
  </si>
  <si>
    <t xml:space="preserve">P00122</t>
  </si>
  <si>
    <t xml:space="preserve">CA2 ADP96</t>
  </si>
  <si>
    <t xml:space="preserve">2ADP096</t>
  </si>
  <si>
    <t xml:space="preserve">Project 96 - Innovation Services</t>
  </si>
  <si>
    <t xml:space="preserve">10/2024 - 10/2026</t>
  </si>
  <si>
    <t xml:space="preserve">P00116</t>
  </si>
  <si>
    <t xml:space="preserve">CA2 ADP97</t>
  </si>
  <si>
    <t xml:space="preserve">2ADP097</t>
  </si>
  <si>
    <t xml:space="preserve">Project 97 - FY24 Hacking for Manufacturing (H4M)</t>
  </si>
  <si>
    <t xml:space="preserve">08/2024 - 01/2026</t>
  </si>
  <si>
    <t xml:space="preserve">P00117</t>
  </si>
  <si>
    <t xml:space="preserve">CA2 ADP98</t>
  </si>
  <si>
    <t xml:space="preserve">2ADP098</t>
  </si>
  <si>
    <t xml:space="preserve">Project 98 - OSD Hybrid Electronic CII FY24</t>
  </si>
  <si>
    <t xml:space="preserve">09/2024 - 09/2027</t>
  </si>
  <si>
    <t xml:space="preserve">P00125</t>
  </si>
  <si>
    <t xml:space="preserve">CA2 ADP100</t>
  </si>
  <si>
    <t xml:space="preserve">2ADP100</t>
  </si>
  <si>
    <t xml:space="preserve">Project 100 - DFO2 Array development</t>
  </si>
  <si>
    <t xml:space="preserve">11/2024 - 11/2025</t>
  </si>
  <si>
    <t xml:space="preserve">P00134</t>
  </si>
  <si>
    <t xml:space="preserve">CA2 ADP102</t>
  </si>
  <si>
    <t xml:space="preserve">2ADP102</t>
  </si>
  <si>
    <t xml:space="preserve">Project 102 - Maturation of Graphene Optoelectronic Coatings</t>
  </si>
  <si>
    <t xml:space="preserve">03/2025 - 04/2027</t>
  </si>
  <si>
    <t xml:space="preserve">P00127</t>
  </si>
  <si>
    <t xml:space="preserve">CA2 ADP103</t>
  </si>
  <si>
    <t xml:space="preserve">2ADP103</t>
  </si>
  <si>
    <t xml:space="preserve">Project 103 - Printed Electronics For Waepons &amp; Armament Components</t>
  </si>
  <si>
    <t xml:space="preserve">12/2024 - 12/2026</t>
  </si>
  <si>
    <t xml:space="preserve">P00132</t>
  </si>
  <si>
    <t xml:space="preserve">CA2 ADP104</t>
  </si>
  <si>
    <t xml:space="preserve">2ADP104</t>
  </si>
  <si>
    <t xml:space="preserve">Project 104 - Combat Regeneration for Operational Sustainment &amp; Support of Forces in Intense Training (Crossfit)</t>
  </si>
  <si>
    <t xml:space="preserve">02/2025 - 12/2025</t>
  </si>
  <si>
    <t xml:space="preserve">P00129</t>
  </si>
  <si>
    <t xml:space="preserve">CA2 ADP106</t>
  </si>
  <si>
    <t xml:space="preserve">2ADP106</t>
  </si>
  <si>
    <t xml:space="preserve">Project 106 - Mixed Dimensional Quantum Materials for Vertical &amp; Lateral Heterostructures Based Devices</t>
  </si>
  <si>
    <t xml:space="preserve">01/2025 - 05/2027</t>
  </si>
  <si>
    <t xml:space="preserve">P00130</t>
  </si>
  <si>
    <t xml:space="preserve">CA2 ADP107</t>
  </si>
  <si>
    <t xml:space="preserve">2ADP107</t>
  </si>
  <si>
    <t xml:space="preserve">Project 107 - Innovation Services FY25</t>
  </si>
  <si>
    <t xml:space="preserve">01/2025 - 05/2025</t>
  </si>
  <si>
    <t xml:space="preserve">P00131</t>
  </si>
  <si>
    <t xml:space="preserve">CA2 ADP109</t>
  </si>
  <si>
    <t xml:space="preserve">2ADP109</t>
  </si>
  <si>
    <t xml:space="preserve">Project 109 - Resilient Electronics for Demanding Environments Red-E Phase 2</t>
  </si>
  <si>
    <t xml:space="preserve">01/2025 - 01/2026</t>
  </si>
  <si>
    <t xml:space="preserve">P00128</t>
  </si>
  <si>
    <t xml:space="preserve">CA2 ADP110</t>
  </si>
  <si>
    <t xml:space="preserve">2ADP110</t>
  </si>
  <si>
    <t xml:space="preserve">Project 110 - Intellectual Property Education Partnership</t>
  </si>
  <si>
    <t xml:space="preserve">P00139</t>
  </si>
  <si>
    <t xml:space="preserve">CA2 ADP112</t>
  </si>
  <si>
    <t xml:space="preserve">2ADP112</t>
  </si>
  <si>
    <t xml:space="preserve">Project 112 - Compact Wide-Band Frequency Agile Microwave Filters for Warchamp Phase 2</t>
  </si>
  <si>
    <t xml:space="preserve">04/2025 - 04/2026</t>
  </si>
  <si>
    <t xml:space="preserve">P00141</t>
  </si>
  <si>
    <t xml:space="preserve">CA2 ADP113</t>
  </si>
  <si>
    <t xml:space="preserve">2ADP113</t>
  </si>
  <si>
    <t xml:space="preserve">Project 113 - Analog Neuromorphic Front-End Preprocessor for Warchamp Phase 2</t>
  </si>
  <si>
    <t xml:space="preserve">P00144</t>
  </si>
  <si>
    <t xml:space="preserve">CA2 ADP114</t>
  </si>
  <si>
    <t xml:space="preserve">2ADP114</t>
  </si>
  <si>
    <t xml:space="preserve">Project 114 - Navy Launch - Commercial Acceleration of Deprtment of the Navy (DON) SBIR Awardees</t>
  </si>
  <si>
    <t xml:space="preserve">P00138</t>
  </si>
  <si>
    <t xml:space="preserve">CA2 ADP115</t>
  </si>
  <si>
    <t xml:space="preserve">2ADP115</t>
  </si>
  <si>
    <t xml:space="preserve">Project 115 - Resilient Extreme Environment Materials: Flexible Variable Emissivity Films</t>
  </si>
  <si>
    <t xml:space="preserve">03/2025 - 02/2026</t>
  </si>
  <si>
    <t xml:space="preserve">P00149</t>
  </si>
  <si>
    <t xml:space="preserve">CA2 ADP116</t>
  </si>
  <si>
    <t xml:space="preserve">2ADP116</t>
  </si>
  <si>
    <t xml:space="preserve">Project 116 - Heated Hardware for Combat Aircrew Environmental Protection</t>
  </si>
  <si>
    <t xml:space="preserve">06/2025 - 12/2025</t>
  </si>
  <si>
    <t xml:space="preserve">P00145</t>
  </si>
  <si>
    <t xml:space="preserve">CA2 ADP117</t>
  </si>
  <si>
    <t xml:space="preserve">2ADP117</t>
  </si>
  <si>
    <t xml:space="preserve">Project 117 - Innovation Services PHASE II</t>
  </si>
  <si>
    <t xml:space="preserve">05/2025 - 09/2025</t>
  </si>
  <si>
    <t xml:space="preserve">P00147/P00152 Correct'n</t>
  </si>
  <si>
    <t xml:space="preserve">CA2 ADP118</t>
  </si>
  <si>
    <t xml:space="preserve">2ADP118</t>
  </si>
  <si>
    <t xml:space="preserve">Project 118 - T2 Program FY25</t>
  </si>
  <si>
    <t xml:space="preserve">P00147</t>
  </si>
  <si>
    <t xml:space="preserve">P00159</t>
  </si>
  <si>
    <t xml:space="preserve">CA2 ADP119</t>
  </si>
  <si>
    <t xml:space="preserve">2ADP119</t>
  </si>
  <si>
    <t xml:space="preserve">Project 119 - US Army Hybird Electronics Collaboration Project</t>
  </si>
  <si>
    <t xml:space="preserve">09/2025 - 10/2027</t>
  </si>
  <si>
    <t xml:space="preserve">P00148</t>
  </si>
  <si>
    <t xml:space="preserve">CA2 ADP120</t>
  </si>
  <si>
    <t xml:space="preserve">2ADP120</t>
  </si>
  <si>
    <t xml:space="preserve">Project 120 - DIU Hacking for Defense Spring 2025 Phase 2</t>
  </si>
  <si>
    <t xml:space="preserve">05/2025 - 10/2025</t>
  </si>
  <si>
    <t xml:space="preserve">P00150</t>
  </si>
  <si>
    <t xml:space="preserve">CA2 ADP121</t>
  </si>
  <si>
    <t xml:space="preserve">2ADP121</t>
  </si>
  <si>
    <t xml:space="preserve">Project 121 - Large Area Additive Manufacturing For Conformal Apertures (LAAMCA)</t>
  </si>
  <si>
    <t xml:space="preserve">06/2025 - 07/2026</t>
  </si>
  <si>
    <t xml:space="preserve">P00153</t>
  </si>
  <si>
    <t xml:space="preserve">CA2 ADP122</t>
  </si>
  <si>
    <t xml:space="preserve">2ADP122</t>
  </si>
  <si>
    <t xml:space="preserve">Project 122 - High Temperature CMOS Signal Electronics</t>
  </si>
  <si>
    <t xml:space="preserve">06/2025 - 08/2026</t>
  </si>
  <si>
    <t xml:space="preserve">P00154</t>
  </si>
  <si>
    <t xml:space="preserve">CA2 ADP123</t>
  </si>
  <si>
    <t xml:space="preserve">2ADP123</t>
  </si>
  <si>
    <t xml:space="preserve">Project 123 - Innovation Services</t>
  </si>
  <si>
    <t xml:space="preserve">07/2025 - 09/2025</t>
  </si>
  <si>
    <t xml:space="preserve">P00155</t>
  </si>
  <si>
    <t xml:space="preserve">CA2 ADP124</t>
  </si>
  <si>
    <t xml:space="preserve">2ADP124</t>
  </si>
  <si>
    <t xml:space="preserve">Project 124 - Hacking for Manufacturing (H4M) Pilot Program</t>
  </si>
  <si>
    <t xml:space="preserve">08/2025 - 08/2026</t>
  </si>
  <si>
    <t xml:space="preserve">P00156</t>
  </si>
  <si>
    <t xml:space="preserve">CA2 ADP125</t>
  </si>
  <si>
    <t xml:space="preserve">2ADP125</t>
  </si>
  <si>
    <t xml:space="preserve">Project 125 - Using FHE for Installation Resiliency and Efficiency</t>
  </si>
  <si>
    <t xml:space="preserve">08/2025 - 08/2027</t>
  </si>
  <si>
    <t xml:space="preserve">P00157</t>
  </si>
  <si>
    <t xml:space="preserve">CA2 ADP126</t>
  </si>
  <si>
    <t xml:space="preserve">2ADP126</t>
  </si>
  <si>
    <t xml:space="preserve">Project 126 - Skywalker ROIC Yield Improvement</t>
  </si>
  <si>
    <t xml:space="preserve">08/2025 - 09/2026</t>
  </si>
  <si>
    <t xml:space="preserve">P00163</t>
  </si>
  <si>
    <t xml:space="preserve">P00158</t>
  </si>
  <si>
    <t xml:space="preserve">CA2 ADP127</t>
  </si>
  <si>
    <t xml:space="preserve">2ADP127</t>
  </si>
  <si>
    <t xml:space="preserve">Project 127 - DIU Innovation &amp; Entrepreneurship Program FY2026 H4D</t>
  </si>
  <si>
    <t xml:space="preserve">09/2025 - 09/2026</t>
  </si>
  <si>
    <t xml:space="preserve">P00166</t>
  </si>
  <si>
    <t xml:space="preserve">CA2 ADP128</t>
  </si>
  <si>
    <t xml:space="preserve">2ADP128</t>
  </si>
  <si>
    <t xml:space="preserve">Project 128 - Navy Launch Commercial Acceleration of Dept of the Navy (SON) SBIR Awardees</t>
  </si>
  <si>
    <t xml:space="preserve">12/2025 - 01/2027</t>
  </si>
  <si>
    <t xml:space="preserve">P00160 | P00161</t>
  </si>
  <si>
    <t xml:space="preserve">CA2 ADP129</t>
  </si>
  <si>
    <t xml:space="preserve">2ADP129</t>
  </si>
  <si>
    <t xml:space="preserve">Project 129 - T-2 Program FY24 Phase 2</t>
  </si>
  <si>
    <t xml:space="preserve">10/2025 - 09/2026</t>
  </si>
  <si>
    <t xml:space="preserve">P00169</t>
  </si>
  <si>
    <t xml:space="preserve">CA2 ADP131</t>
  </si>
  <si>
    <t xml:space="preserve">2ADP131</t>
  </si>
  <si>
    <t xml:space="preserve">Project 131 - Extreme Environment Devices for IoT to Address Casting &amp; Forging Supply</t>
  </si>
  <si>
    <t xml:space="preserve">01/2026 - 01/2027</t>
  </si>
  <si>
    <t xml:space="preserve">P00170</t>
  </si>
  <si>
    <t xml:space="preserve">CA2 ADP132</t>
  </si>
  <si>
    <t xml:space="preserve">2ADP132</t>
  </si>
  <si>
    <t xml:space="preserve">Project 132 - Using FHE for Installation Resiliency &amp; Efficiency</t>
  </si>
  <si>
    <t xml:space="preserve">01/2026 - 02/2028</t>
  </si>
  <si>
    <t xml:space="preserve">P00172</t>
  </si>
  <si>
    <t xml:space="preserve">CA2 ADP133</t>
  </si>
  <si>
    <t xml:space="preserve">2ADP133</t>
  </si>
  <si>
    <t xml:space="preserve">Project 133 - TechFlex Careers Training Program Phase 1</t>
  </si>
  <si>
    <t xml:space="preserve">P00175</t>
  </si>
  <si>
    <t xml:space="preserve">CA2 ADP134</t>
  </si>
  <si>
    <t xml:space="preserve">2ADP134</t>
  </si>
  <si>
    <t xml:space="preserve">Project 134 - Large Area Additive Manufacturing For Confirmal Apertures (LAAMCA) Yr 5</t>
  </si>
  <si>
    <t xml:space="preserve">03/2026 - 12/2027</t>
  </si>
  <si>
    <t xml:space="preserve">P00174</t>
  </si>
  <si>
    <t xml:space="preserve">CA2 ADP137</t>
  </si>
  <si>
    <t xml:space="preserve">2ADP137</t>
  </si>
  <si>
    <t xml:space="preserve">Project 137 - Electronics for UxS</t>
  </si>
  <si>
    <t xml:space="preserve">02/2026 - 09/2027</t>
  </si>
  <si>
    <t xml:space="preserve">P00173</t>
  </si>
  <si>
    <t xml:space="preserve">CA2 ADP138</t>
  </si>
  <si>
    <t xml:space="preserve">2ADP138</t>
  </si>
  <si>
    <t xml:space="preserve">Project 138 - Integration of FHE with Advanced Robotics for Manufacturing</t>
  </si>
  <si>
    <t xml:space="preserve">01/2026 - 06/2027</t>
  </si>
  <si>
    <t xml:space="preserve">P00176</t>
  </si>
  <si>
    <t xml:space="preserve">CA2 ADP140</t>
  </si>
  <si>
    <t xml:space="preserve">2ADP140</t>
  </si>
  <si>
    <t xml:space="preserve">Project 140 - Compact Wide-band Frequency Agile Microwave Filters for WARCHAMP Phase III</t>
  </si>
  <si>
    <t xml:space="preserve">02/2026 - 02/2027</t>
  </si>
  <si>
    <t xml:space="preserve">P00119</t>
  </si>
  <si>
    <t xml:space="preserve">CA2 ADP99</t>
  </si>
  <si>
    <t xml:space="preserve">2ADP099</t>
  </si>
  <si>
    <t xml:space="preserve">Project 99 - OSD Strategic Investment CII FY24</t>
  </si>
  <si>
    <t xml:space="preserve">09/2024 - 11/2024</t>
  </si>
  <si>
    <t xml:space="preserve">P00126</t>
  </si>
  <si>
    <t xml:space="preserve">CA2 ADP101</t>
  </si>
  <si>
    <t xml:space="preserve">2ADP101</t>
  </si>
  <si>
    <t xml:space="preserve">Project 101 - OSD Hybrid Electronic CII FY25</t>
  </si>
  <si>
    <t xml:space="preserve">11/2024 - 11/2027</t>
  </si>
  <si>
    <t xml:space="preserve">P00164</t>
  </si>
  <si>
    <t xml:space="preserve">P00167 - P00168</t>
  </si>
  <si>
    <t xml:space="preserve">CA2 ADP130</t>
  </si>
  <si>
    <t xml:space="preserve">2ADP130</t>
  </si>
  <si>
    <t xml:space="preserve">Project 130 - OSD HE Strategic Investment </t>
  </si>
  <si>
    <t xml:space="preserve">01/2026 - 01/2028</t>
  </si>
  <si>
    <t xml:space="preserve">Totals</t>
  </si>
  <si>
    <t xml:space="preserve">Crossck to SF270</t>
  </si>
  <si>
    <t xml:space="preserve">diff is core funds</t>
  </si>
  <si>
    <t xml:space="preserve">Bible</t>
  </si>
  <si>
    <t xml:space="preserve">Diff</t>
  </si>
  <si>
    <t xml:space="preserve">Qtr Date</t>
  </si>
  <si>
    <t xml:space="preserve">Type</t>
  </si>
  <si>
    <t xml:space="preserve">Amount</t>
  </si>
  <si>
    <t xml:space="preserve">Remaining cash is a formula </t>
  </si>
  <si>
    <t xml:space="preserve">minus </t>
  </si>
  <si>
    <t xml:space="preserve">for each qtr</t>
  </si>
  <si>
    <t xml:space="preserve">2ADP001</t>
  </si>
  <si>
    <t xml:space="preserve">Committed</t>
  </si>
  <si>
    <t xml:space="preserve">2ADP002</t>
  </si>
  <si>
    <t xml:space="preserve">NSAW</t>
  </si>
  <si>
    <t xml:space="preserve">Shared drive </t>
  </si>
  <si>
    <t xml:space="preserve">new folder</t>
  </si>
  <si>
    <t xml:space="preserve">Input folder</t>
  </si>
  <si>
    <t xml:space="preserve">ui</t>
  </si>
  <si>
    <t xml:space="preserve">output folder</t>
  </si>
  <si>
    <t xml:space="preserve">2ADP028</t>
  </si>
  <si>
    <t xml:space="preserve">Remaining Cash</t>
  </si>
  <si>
    <t xml:space="preserve">NOT core</t>
  </si>
  <si>
    <t xml:space="preserve">ADP75</t>
  </si>
  <si>
    <t xml:space="preserve">Incremental Bal to Fund</t>
  </si>
  <si>
    <t xml:space="preserve">ADP126</t>
  </si>
  <si>
    <t xml:space="preserve">Core for PMR reports</t>
  </si>
  <si>
    <t xml:space="preserve">C- CORE FUNDS</t>
  </si>
  <si>
    <t xml:space="preserve">Core</t>
  </si>
  <si>
    <t xml:space="preserve">ADP Core</t>
  </si>
  <si>
    <t xml:space="preserve">ADP core</t>
  </si>
  <si>
    <t xml:space="preserve">Proj Setup Pending</t>
  </si>
  <si>
    <t xml:space="preserve">Total Core</t>
  </si>
  <si>
    <t xml:space="preserve">Pay Office - HQ0339</t>
  </si>
  <si>
    <t xml:space="preserve">D- Descope </t>
  </si>
  <si>
    <t xml:space="preserve">ADP</t>
  </si>
  <si>
    <t xml:space="preserve">DoDAAC - FA2394</t>
  </si>
  <si>
    <t xml:space="preserve">DFAS DoDAAC  Issue</t>
  </si>
  <si>
    <t xml:space="preserve">MOCAS - Payment System</t>
  </si>
  <si>
    <t xml:space="preserve">W- WFD</t>
  </si>
  <si>
    <t xml:space="preserve">EDA - Contracts System</t>
  </si>
  <si>
    <t xml:space="preserve">Date Filed</t>
  </si>
  <si>
    <t xml:space="preserve">CHARLOTTE AWARDS</t>
  </si>
  <si>
    <t xml:space="preserve">BVN Date</t>
  </si>
  <si>
    <t xml:space="preserve">??</t>
  </si>
  <si>
    <t xml:space="preserve">Cash Recv'd Date</t>
  </si>
  <si>
    <t xml:space="preserve">Sequence #</t>
  </si>
  <si>
    <t xml:space="preserve">ETA in MOCAS </t>
  </si>
  <si>
    <t xml:space="preserve">Project Description</t>
  </si>
  <si>
    <t xml:space="preserve">Follow-on </t>
  </si>
  <si>
    <t xml:space="preserve">ACRN</t>
  </si>
  <si>
    <t xml:space="preserve">Govt Agency</t>
  </si>
  <si>
    <t xml:space="preserve">Cost Share</t>
  </si>
  <si>
    <t xml:space="preserve">Value</t>
  </si>
  <si>
    <t xml:space="preserve">HQ/Core</t>
  </si>
  <si>
    <t xml:space="preserve">BVN0001</t>
  </si>
  <si>
    <t xml:space="preserve">BVN0004</t>
  </si>
  <si>
    <t xml:space="preserve">BVN0005</t>
  </si>
  <si>
    <t xml:space="preserve">BVN0006</t>
  </si>
  <si>
    <t xml:space="preserve">BVN0007</t>
  </si>
  <si>
    <t xml:space="preserve">Total 2021 Funding</t>
  </si>
  <si>
    <t xml:space="preserve">BVN0008</t>
  </si>
  <si>
    <t xml:space="preserve">BVN0009</t>
  </si>
  <si>
    <t xml:space="preserve">BVN0010</t>
  </si>
  <si>
    <t xml:space="preserve">BVN0011</t>
  </si>
  <si>
    <t xml:space="preserve">Total 2022 Funding</t>
  </si>
  <si>
    <t xml:space="preserve">BVN0012</t>
  </si>
  <si>
    <t xml:space="preserve">BVN0013</t>
  </si>
  <si>
    <t xml:space="preserve">BVN0014</t>
  </si>
  <si>
    <t xml:space="preserve">BVN0015</t>
  </si>
  <si>
    <t xml:space="preserve">BVN0016</t>
  </si>
  <si>
    <t xml:space="preserve">Total 2023 Funding</t>
  </si>
  <si>
    <t xml:space="preserve">BVN0017</t>
  </si>
  <si>
    <t xml:space="preserve">Adj Per DCMA</t>
  </si>
  <si>
    <t xml:space="preserve">BVN0019</t>
  </si>
  <si>
    <t xml:space="preserve">BVN0020</t>
  </si>
  <si>
    <t xml:space="preserve">BVN0021</t>
  </si>
  <si>
    <t xml:space="preserve">BVN0022</t>
  </si>
  <si>
    <t xml:space="preserve">Total 2024 Funding</t>
  </si>
  <si>
    <t xml:space="preserve">BVN0023</t>
  </si>
  <si>
    <t xml:space="preserve">BVN0024</t>
  </si>
  <si>
    <t xml:space="preserve">BVN0025</t>
  </si>
  <si>
    <t xml:space="preserve">BVN0026</t>
  </si>
  <si>
    <t xml:space="preserve">BVN0027</t>
  </si>
  <si>
    <t xml:space="preserve">BVN0028</t>
  </si>
  <si>
    <t xml:space="preserve">BVN0029</t>
  </si>
  <si>
    <t xml:space="preserve">Total 2025 Funding</t>
  </si>
  <si>
    <t xml:space="preserve">BVN0030</t>
  </si>
  <si>
    <t xml:space="preserve">Total 2026 Funding</t>
  </si>
  <si>
    <t xml:space="preserve">Total Invoiced</t>
  </si>
  <si>
    <t xml:space="preserve">Bal to Invoice</t>
  </si>
  <si>
    <t xml:space="preserve">AC</t>
  </si>
  <si>
    <t xml:space="preserve">Other DOD</t>
  </si>
  <si>
    <t xml:space="preserve">AE</t>
  </si>
  <si>
    <t xml:space="preserve">AF</t>
  </si>
  <si>
    <t xml:space="preserve">ARMY</t>
  </si>
  <si>
    <t xml:space="preserve">AR</t>
  </si>
  <si>
    <t xml:space="preserve">AD</t>
  </si>
  <si>
    <t xml:space="preserve">AJ</t>
  </si>
  <si>
    <t xml:space="preserve">9/2020 - 08/2021</t>
  </si>
  <si>
    <t xml:space="preserve">AK</t>
  </si>
  <si>
    <t xml:space="preserve">Air Force</t>
  </si>
  <si>
    <t xml:space="preserve">AB</t>
  </si>
  <si>
    <t xml:space="preserve">AG</t>
  </si>
  <si>
    <t xml:space="preserve">11 - W</t>
  </si>
  <si>
    <t xml:space="preserve">11 - D</t>
  </si>
  <si>
    <t xml:space="preserve">AQ</t>
  </si>
  <si>
    <t xml:space="preserve">AH</t>
  </si>
  <si>
    <t xml:space="preserve">AL</t>
  </si>
  <si>
    <t xml:space="preserve">AM</t>
  </si>
  <si>
    <t xml:space="preserve">16 - W</t>
  </si>
  <si>
    <t xml:space="preserve">AA</t>
  </si>
  <si>
    <t xml:space="preserve">AN</t>
  </si>
  <si>
    <t xml:space="preserve">AP</t>
  </si>
  <si>
    <t xml:space="preserve">AS</t>
  </si>
  <si>
    <t xml:space="preserve">AT</t>
  </si>
  <si>
    <t xml:space="preserve">AU</t>
  </si>
  <si>
    <t xml:space="preserve">AV</t>
  </si>
  <si>
    <t xml:space="preserve">AW</t>
  </si>
  <si>
    <t xml:space="preserve">AZ</t>
  </si>
  <si>
    <t xml:space="preserve">AY</t>
  </si>
  <si>
    <t xml:space="preserve">BA</t>
  </si>
  <si>
    <t xml:space="preserve">BB</t>
  </si>
  <si>
    <t xml:space="preserve">BC</t>
  </si>
  <si>
    <t xml:space="preserve">BG</t>
  </si>
  <si>
    <t xml:space="preserve">BH</t>
  </si>
  <si>
    <t xml:space="preserve">BD</t>
  </si>
  <si>
    <t xml:space="preserve">BE</t>
  </si>
  <si>
    <t xml:space="preserve">BF</t>
  </si>
  <si>
    <t xml:space="preserve">33 - W</t>
  </si>
  <si>
    <t xml:space="preserve">AX</t>
  </si>
  <si>
    <t xml:space="preserve">33 - C</t>
  </si>
  <si>
    <t xml:space="preserve">BK</t>
  </si>
  <si>
    <t xml:space="preserve">BL </t>
  </si>
  <si>
    <t xml:space="preserve">Other Gov</t>
  </si>
  <si>
    <t xml:space="preserve">BM</t>
  </si>
  <si>
    <t xml:space="preserve">BP</t>
  </si>
  <si>
    <t xml:space="preserve">BQ</t>
  </si>
  <si>
    <t xml:space="preserve">BR</t>
  </si>
  <si>
    <t xml:space="preserve">BS</t>
  </si>
  <si>
    <t xml:space="preserve">BT</t>
  </si>
  <si>
    <t xml:space="preserve">BU</t>
  </si>
  <si>
    <t xml:space="preserve">BV</t>
  </si>
  <si>
    <t xml:space="preserve">BW</t>
  </si>
  <si>
    <t xml:space="preserve">BZ</t>
  </si>
  <si>
    <t xml:space="preserve">BX</t>
  </si>
  <si>
    <t xml:space="preserve">BY</t>
  </si>
  <si>
    <t xml:space="preserve">CA</t>
  </si>
  <si>
    <t xml:space="preserve">49 - W</t>
  </si>
  <si>
    <t xml:space="preserve">CB</t>
  </si>
  <si>
    <t xml:space="preserve">CE</t>
  </si>
  <si>
    <t xml:space="preserve">CF</t>
  </si>
  <si>
    <t xml:space="preserve">CL</t>
  </si>
  <si>
    <t xml:space="preserve">Navy</t>
  </si>
  <si>
    <t xml:space="preserve">CC</t>
  </si>
  <si>
    <t xml:space="preserve">CD</t>
  </si>
  <si>
    <t xml:space="preserve">CG</t>
  </si>
  <si>
    <t xml:space="preserve">CH</t>
  </si>
  <si>
    <t xml:space="preserve">CJ</t>
  </si>
  <si>
    <t xml:space="preserve">CK</t>
  </si>
  <si>
    <t xml:space="preserve">CV</t>
  </si>
  <si>
    <t xml:space="preserve">58 - W</t>
  </si>
  <si>
    <t xml:space="preserve">CN</t>
  </si>
  <si>
    <t xml:space="preserve">CP</t>
  </si>
  <si>
    <t xml:space="preserve">59 - W</t>
  </si>
  <si>
    <t xml:space="preserve">CR</t>
  </si>
  <si>
    <t xml:space="preserve">CS</t>
  </si>
  <si>
    <t xml:space="preserve">CT</t>
  </si>
  <si>
    <t xml:space="preserve">CM</t>
  </si>
  <si>
    <t xml:space="preserve">CU</t>
  </si>
  <si>
    <t xml:space="preserve">62 - W</t>
  </si>
  <si>
    <t xml:space="preserve">CY</t>
  </si>
  <si>
    <t xml:space="preserve">CZ</t>
  </si>
  <si>
    <t xml:space="preserve">DA</t>
  </si>
  <si>
    <t xml:space="preserve">CX</t>
  </si>
  <si>
    <t xml:space="preserve">DB</t>
  </si>
  <si>
    <t xml:space="preserve">DC</t>
  </si>
  <si>
    <t xml:space="preserve">DD</t>
  </si>
  <si>
    <t xml:space="preserve">CW</t>
  </si>
  <si>
    <t xml:space="preserve">DF</t>
  </si>
  <si>
    <t xml:space="preserve">DG</t>
  </si>
  <si>
    <t xml:space="preserve">DE</t>
  </si>
  <si>
    <t xml:space="preserve">DH</t>
  </si>
  <si>
    <t xml:space="preserve">DJ</t>
  </si>
  <si>
    <t xml:space="preserve">DK</t>
  </si>
  <si>
    <t xml:space="preserve">DL</t>
  </si>
  <si>
    <t xml:space="preserve">DM</t>
  </si>
  <si>
    <t xml:space="preserve">DR</t>
  </si>
  <si>
    <t xml:space="preserve">DN</t>
  </si>
  <si>
    <t xml:space="preserve">DS</t>
  </si>
  <si>
    <r>
      <rPr>
        <sz val="10"/>
        <color theme="1"/>
        <rFont val="Calibri"/>
        <family val="2"/>
        <charset val="1"/>
      </rPr>
      <t xml:space="preserve">P00111/</t>
    </r>
    <r>
      <rPr>
        <i val="true"/>
        <sz val="10"/>
        <color theme="1"/>
        <rFont val="Calibri"/>
        <family val="2"/>
        <charset val="1"/>
      </rPr>
      <t xml:space="preserve">P00112 DoDAAC</t>
    </r>
  </si>
  <si>
    <t xml:space="preserve">EP</t>
  </si>
  <si>
    <t xml:space="preserve">EX</t>
  </si>
  <si>
    <t xml:space="preserve">EZ</t>
  </si>
  <si>
    <t xml:space="preserve">FA</t>
  </si>
  <si>
    <t xml:space="preserve">FB</t>
  </si>
  <si>
    <t xml:space="preserve">FP</t>
  </si>
  <si>
    <t xml:space="preserve">GD</t>
  </si>
  <si>
    <t xml:space="preserve">GU</t>
  </si>
  <si>
    <t xml:space="preserve">HE</t>
  </si>
  <si>
    <t xml:space="preserve">DP</t>
  </si>
  <si>
    <t xml:space="preserve">2ADP105</t>
  </si>
  <si>
    <t xml:space="preserve">DU</t>
  </si>
  <si>
    <t xml:space="preserve">DQ</t>
  </si>
  <si>
    <t xml:space="preserve">2ADP108</t>
  </si>
  <si>
    <t xml:space="preserve">DT</t>
  </si>
  <si>
    <t xml:space="preserve">DW</t>
  </si>
  <si>
    <t xml:space="preserve">2ADP111</t>
  </si>
  <si>
    <t xml:space="preserve">DX</t>
  </si>
  <si>
    <t xml:space="preserve">DY</t>
  </si>
  <si>
    <t xml:space="preserve">EA</t>
  </si>
  <si>
    <t xml:space="preserve">EB</t>
  </si>
  <si>
    <t xml:space="preserve">DV</t>
  </si>
  <si>
    <t xml:space="preserve">83 - C</t>
  </si>
  <si>
    <t xml:space="preserve">DZ</t>
  </si>
  <si>
    <t xml:space="preserve">EG</t>
  </si>
  <si>
    <t xml:space="preserve">86 - D</t>
  </si>
  <si>
    <t xml:space="preserve">-</t>
  </si>
  <si>
    <t xml:space="preserve">EC</t>
  </si>
  <si>
    <t xml:space="preserve">ED</t>
  </si>
  <si>
    <t xml:space="preserve">89 - W</t>
  </si>
  <si>
    <t xml:space="preserve">EE</t>
  </si>
  <si>
    <t xml:space="preserve">89 D Error</t>
  </si>
  <si>
    <t xml:space="preserve">89 D Rev</t>
  </si>
  <si>
    <t xml:space="preserve">EF</t>
  </si>
  <si>
    <t xml:space="preserve">EK</t>
  </si>
  <si>
    <t xml:space="preserve">EL</t>
  </si>
  <si>
    <t xml:space="preserve">EM</t>
  </si>
  <si>
    <t xml:space="preserve">EN</t>
  </si>
  <si>
    <r>
      <rPr>
        <sz val="10"/>
        <color theme="1"/>
        <rFont val="Calibri"/>
        <family val="2"/>
        <charset val="1"/>
      </rPr>
      <t xml:space="preserve">P00109/</t>
    </r>
    <r>
      <rPr>
        <i val="true"/>
        <sz val="10"/>
        <color theme="1"/>
        <rFont val="Calibri"/>
        <family val="2"/>
        <charset val="1"/>
      </rPr>
      <t xml:space="preserve">P00112 DoDAAC</t>
    </r>
  </si>
  <si>
    <t xml:space="preserve">EH</t>
  </si>
  <si>
    <t xml:space="preserve">EJ</t>
  </si>
  <si>
    <t xml:space="preserve">EQ</t>
  </si>
  <si>
    <t xml:space="preserve">EV</t>
  </si>
  <si>
    <t xml:space="preserve">EW</t>
  </si>
  <si>
    <t xml:space="preserve">FX</t>
  </si>
  <si>
    <t xml:space="preserve">ET</t>
  </si>
  <si>
    <t xml:space="preserve">EY</t>
  </si>
  <si>
    <t xml:space="preserve">ER</t>
  </si>
  <si>
    <t xml:space="preserve">ES</t>
  </si>
  <si>
    <t xml:space="preserve">FC</t>
  </si>
  <si>
    <t xml:space="preserve">FD</t>
  </si>
  <si>
    <t xml:space="preserve">FQ</t>
  </si>
  <si>
    <t xml:space="preserve">FG</t>
  </si>
  <si>
    <t xml:space="preserve">Army</t>
  </si>
  <si>
    <t xml:space="preserve">FN</t>
  </si>
  <si>
    <t xml:space="preserve">FK</t>
  </si>
  <si>
    <t xml:space="preserve">FL</t>
  </si>
  <si>
    <t xml:space="preserve">FM</t>
  </si>
  <si>
    <t xml:space="preserve">FH</t>
  </si>
  <si>
    <t xml:space="preserve">FJ</t>
  </si>
  <si>
    <t xml:space="preserve">FS</t>
  </si>
  <si>
    <t xml:space="preserve">FT</t>
  </si>
  <si>
    <t xml:space="preserve">FU</t>
  </si>
  <si>
    <t xml:space="preserve">FV</t>
  </si>
  <si>
    <t xml:space="preserve">FR</t>
  </si>
  <si>
    <t xml:space="preserve">GB</t>
  </si>
  <si>
    <t xml:space="preserve">FW</t>
  </si>
  <si>
    <t xml:space="preserve">FY</t>
  </si>
  <si>
    <t xml:space="preserve">FZ</t>
  </si>
  <si>
    <t xml:space="preserve">GN </t>
  </si>
  <si>
    <t xml:space="preserve">GA</t>
  </si>
  <si>
    <t xml:space="preserve">GC</t>
  </si>
  <si>
    <t xml:space="preserve">GE</t>
  </si>
  <si>
    <t xml:space="preserve">GF</t>
  </si>
  <si>
    <t xml:space="preserve">GG</t>
  </si>
  <si>
    <t xml:space="preserve">GH</t>
  </si>
  <si>
    <t xml:space="preserve">GJ</t>
  </si>
  <si>
    <t xml:space="preserve">GK</t>
  </si>
  <si>
    <t xml:space="preserve">GS</t>
  </si>
  <si>
    <t xml:space="preserve">GL</t>
  </si>
  <si>
    <t xml:space="preserve">GM</t>
  </si>
  <si>
    <t xml:space="preserve">GV</t>
  </si>
  <si>
    <t xml:space="preserve">GP</t>
  </si>
  <si>
    <t xml:space="preserve">GQ</t>
  </si>
  <si>
    <t xml:space="preserve">GX</t>
  </si>
  <si>
    <t xml:space="preserve">GY</t>
  </si>
  <si>
    <t xml:space="preserve">GZ</t>
  </si>
  <si>
    <t xml:space="preserve">HC</t>
  </si>
  <si>
    <t xml:space="preserve">HB</t>
  </si>
  <si>
    <t xml:space="preserve">HA</t>
  </si>
  <si>
    <t xml:space="preserve">HD</t>
  </si>
  <si>
    <t xml:space="preserve">99 - C</t>
  </si>
  <si>
    <t xml:space="preserve">EU</t>
  </si>
  <si>
    <t xml:space="preserve">101 - NOT Core</t>
  </si>
  <si>
    <t xml:space="preserve">FE</t>
  </si>
  <si>
    <t xml:space="preserve">101-C</t>
  </si>
  <si>
    <t xml:space="preserve">FF</t>
  </si>
  <si>
    <t xml:space="preserve">GT</t>
  </si>
  <si>
    <t xml:space="preserve">130-C</t>
  </si>
  <si>
    <t xml:space="preserve">GR</t>
  </si>
  <si>
    <t xml:space="preserve">C</t>
  </si>
  <si>
    <t xml:space="preserve">CA2 Core</t>
  </si>
  <si>
    <t xml:space="preserve">Core Funding (Basic Effort)</t>
  </si>
  <si>
    <t xml:space="preserve">7 years</t>
  </si>
  <si>
    <t xml:space="preserve">Core Funding</t>
  </si>
  <si>
    <t xml:space="preserve">BN</t>
  </si>
  <si>
    <t xml:space="preserve">P00036</t>
  </si>
  <si>
    <t xml:space="preserve">Cost Share Modification</t>
  </si>
  <si>
    <t xml:space="preserve">Core CS Only</t>
  </si>
  <si>
    <t xml:space="preserve">P00056</t>
  </si>
  <si>
    <t xml:space="preserve">P00068</t>
  </si>
  <si>
    <t xml:space="preserve">CQ</t>
  </si>
  <si>
    <t xml:space="preserve">P00093</t>
  </si>
  <si>
    <t xml:space="preserve">Total CA2 Funding</t>
  </si>
  <si>
    <t xml:space="preserve">Total on BVN</t>
  </si>
  <si>
    <t xml:space="preserve">check</t>
  </si>
  <si>
    <t xml:space="preserve">Recv'd from DFAS</t>
  </si>
  <si>
    <t xml:space="preserve">Less: Core Funds</t>
  </si>
  <si>
    <t xml:space="preserve">Shortpay BG</t>
  </si>
  <si>
    <t xml:space="preserve">Shortpay AT  762,800</t>
  </si>
  <si>
    <t xml:space="preserve">unobligated</t>
  </si>
  <si>
    <t xml:space="preserve">Paid 11/17/22</t>
  </si>
  <si>
    <t xml:space="preserve">re-submit BVN0013</t>
  </si>
  <si>
    <t xml:space="preserve">ADP Awards</t>
  </si>
  <si>
    <t xml:space="preserve">HQ+Core</t>
  </si>
  <si>
    <t xml:space="preserve">HQ</t>
  </si>
  <si>
    <t xml:space="preserve">Amount per bible</t>
  </si>
  <si>
    <t xml:space="preserve">Diff </t>
  </si>
  <si>
    <t xml:space="preserve">NF Funds</t>
  </si>
  <si>
    <t xml:space="preserve">CA2 original</t>
  </si>
  <si>
    <t xml:space="preserve">CA2 Increase</t>
  </si>
  <si>
    <t xml:space="preserve">P00114</t>
  </si>
  <si>
    <t xml:space="preserve">AR Gov adp</t>
  </si>
  <si>
    <t xml:space="preserve">remaining</t>
  </si>
  <si>
    <t xml:space="preserve">AR Gov core</t>
  </si>
  <si>
    <t xml:space="preserve">       Def Rev adp</t>
  </si>
  <si>
    <t xml:space="preserve">       Def Rev Core</t>
  </si>
  <si>
    <t xml:space="preserve">$ Com Data</t>
  </si>
  <si>
    <t xml:space="preserve">Other Govt</t>
  </si>
  <si>
    <t xml:space="preserve">Def Rev adp</t>
  </si>
  <si>
    <t xml:space="preserve">Other DoD</t>
  </si>
  <si>
    <t xml:space="preserve">      ADP cost rev</t>
  </si>
  <si>
    <t xml:space="preserve">Def Rev core </t>
  </si>
  <si>
    <t xml:space="preserve">      Core cost rev</t>
  </si>
  <si>
    <t xml:space="preserve">      Core rev</t>
  </si>
  <si>
    <t xml:space="preserve">HQ core</t>
  </si>
  <si>
    <t xml:space="preserve">UNBILLED Gov</t>
  </si>
  <si>
    <t xml:space="preserve">        Core cost rev</t>
  </si>
</sst>
</file>

<file path=xl/styles.xml><?xml version="1.0" encoding="utf-8"?>
<styleSheet xmlns="http://schemas.openxmlformats.org/spreadsheetml/2006/main">
  <numFmts count="8">
    <numFmt numFmtId="164" formatCode="General"/>
    <numFmt numFmtId="165" formatCode="mm/dd/yy;@"/>
    <numFmt numFmtId="166" formatCode="_(* #,##0.00_);_(* \(#,##0.00\);_(* \-??_);_(@_)"/>
    <numFmt numFmtId="167" formatCode="mm/dd/yyyy"/>
    <numFmt numFmtId="168" formatCode="_(\$* #,##0.00_);_(\$* \(#,##0.00\);_(\$* \-??_);_(@_)"/>
    <numFmt numFmtId="169" formatCode="m/d/yyyy"/>
    <numFmt numFmtId="170" formatCode="#,##0.00"/>
    <numFmt numFmtId="171" formatCode="_(* #,##0_);_(* \(#,##0\);_(* \-??_);_(@_)"/>
  </numFmts>
  <fonts count="31">
    <font>
      <sz val="11"/>
      <color theme="1"/>
      <name val="Calibri"/>
      <family val="2"/>
      <charset val="1"/>
    </font>
    <font>
      <sz val="10"/>
      <name val="Arial"/>
      <family val="0"/>
    </font>
    <font>
      <sz val="10"/>
      <name val="Arial"/>
      <family val="0"/>
    </font>
    <font>
      <sz val="10"/>
      <name val="Arial"/>
      <family val="0"/>
    </font>
    <font>
      <sz val="10"/>
      <color theme="1"/>
      <name val="Calibri"/>
      <family val="2"/>
      <charset val="1"/>
    </font>
    <font>
      <b val="true"/>
      <sz val="10"/>
      <color theme="1"/>
      <name val="Calibri"/>
      <family val="2"/>
      <charset val="1"/>
    </font>
    <font>
      <b val="true"/>
      <i val="true"/>
      <sz val="10"/>
      <color theme="1"/>
      <name val="Calibri"/>
      <family val="2"/>
      <charset val="1"/>
    </font>
    <font>
      <sz val="10"/>
      <name val="Calibri"/>
      <family val="2"/>
      <charset val="1"/>
    </font>
    <font>
      <i val="true"/>
      <sz val="10"/>
      <name val="Calibri"/>
      <family val="2"/>
      <charset val="1"/>
    </font>
    <font>
      <i val="true"/>
      <sz val="10"/>
      <color theme="1"/>
      <name val="Calibri"/>
      <family val="2"/>
      <charset val="1"/>
    </font>
    <font>
      <b val="true"/>
      <sz val="11"/>
      <color theme="1"/>
      <name val="Calibri"/>
      <family val="2"/>
      <charset val="1"/>
    </font>
    <font>
      <sz val="10"/>
      <color rgb="FF0000FF"/>
      <name val="Calibri"/>
      <family val="2"/>
      <charset val="1"/>
    </font>
    <font>
      <sz val="10"/>
      <color theme="1"/>
      <name val="Sverige"/>
      <family val="0"/>
      <charset val="1"/>
    </font>
    <font>
      <b val="true"/>
      <u val="single"/>
      <sz val="10"/>
      <color theme="1"/>
      <name val="Calibri"/>
      <family val="2"/>
      <charset val="1"/>
    </font>
    <font>
      <u val="single"/>
      <sz val="10"/>
      <color theme="1"/>
      <name val="Calibri"/>
      <family val="2"/>
      <charset val="1"/>
    </font>
    <font>
      <b val="true"/>
      <sz val="10"/>
      <color rgb="FFFF0000"/>
      <name val="Calibri"/>
      <family val="2"/>
      <charset val="1"/>
    </font>
    <font>
      <b val="true"/>
      <sz val="10"/>
      <name val="Calibri"/>
      <family val="2"/>
      <charset val="1"/>
    </font>
    <font>
      <sz val="9"/>
      <color theme="1"/>
      <name val="Calibri"/>
      <family val="2"/>
      <charset val="1"/>
    </font>
    <font>
      <b val="true"/>
      <sz val="9"/>
      <name val="Calibri"/>
      <family val="2"/>
      <charset val="1"/>
    </font>
    <font>
      <b val="true"/>
      <sz val="9"/>
      <color theme="1"/>
      <name val="Calibri"/>
      <family val="2"/>
      <charset val="1"/>
    </font>
    <font>
      <b val="true"/>
      <sz val="9"/>
      <color rgb="FF0000FF"/>
      <name val="Calibri"/>
      <family val="2"/>
      <charset val="1"/>
    </font>
    <font>
      <b val="true"/>
      <i val="true"/>
      <sz val="9"/>
      <color theme="1"/>
      <name val="Calibri"/>
      <family val="2"/>
      <charset val="1"/>
    </font>
    <font>
      <b val="true"/>
      <sz val="10"/>
      <color rgb="FFFFFF00"/>
      <name val="Calibri"/>
      <family val="2"/>
      <charset val="1"/>
    </font>
    <font>
      <b val="true"/>
      <u val="single"/>
      <sz val="10"/>
      <color rgb="FF0000FF"/>
      <name val="Calibri"/>
      <family val="2"/>
      <charset val="1"/>
    </font>
    <font>
      <sz val="10"/>
      <color rgb="FFFF0000"/>
      <name val="Calibri"/>
      <family val="2"/>
      <charset val="1"/>
    </font>
    <font>
      <i val="true"/>
      <sz val="9"/>
      <color theme="1"/>
      <name val="Calibri"/>
      <family val="2"/>
      <charset val="1"/>
    </font>
    <font>
      <b val="true"/>
      <i val="true"/>
      <sz val="10"/>
      <color rgb="FF0000FF"/>
      <name val="Calibri"/>
      <family val="2"/>
      <charset val="1"/>
    </font>
    <font>
      <i val="true"/>
      <sz val="10"/>
      <color rgb="FFFF0000"/>
      <name val="Calibri"/>
      <family val="2"/>
      <charset val="1"/>
    </font>
    <font>
      <b val="true"/>
      <sz val="10"/>
      <color rgb="FF0000FF"/>
      <name val="Calibri"/>
      <family val="2"/>
      <charset val="1"/>
    </font>
    <font>
      <i val="true"/>
      <u val="single"/>
      <sz val="10"/>
      <color theme="1"/>
      <name val="Calibri"/>
      <family val="2"/>
      <charset val="1"/>
    </font>
    <font>
      <sz val="10"/>
      <name val="Arial"/>
      <family val="2"/>
    </font>
  </fonts>
  <fills count="19">
    <fill>
      <patternFill patternType="none"/>
    </fill>
    <fill>
      <patternFill patternType="gray125"/>
    </fill>
    <fill>
      <patternFill patternType="solid">
        <fgColor theme="5" tint="0.5999"/>
        <bgColor rgb="FFFFE699"/>
      </patternFill>
    </fill>
    <fill>
      <patternFill patternType="solid">
        <fgColor theme="5" tint="0.7999"/>
        <bgColor rgb="FFFFF2CC"/>
      </patternFill>
    </fill>
    <fill>
      <patternFill patternType="solid">
        <fgColor rgb="FFC0C0C0"/>
        <bgColor rgb="FFAFABAB"/>
      </patternFill>
    </fill>
    <fill>
      <patternFill patternType="solid">
        <fgColor theme="9" tint="0.7999"/>
        <bgColor rgb="FFE7E6E6"/>
      </patternFill>
    </fill>
    <fill>
      <patternFill patternType="solid">
        <fgColor theme="2"/>
        <bgColor rgb="FFDEEBF7"/>
      </patternFill>
    </fill>
    <fill>
      <patternFill patternType="solid">
        <fgColor theme="5"/>
        <bgColor rgb="FFFF8080"/>
      </patternFill>
    </fill>
    <fill>
      <patternFill patternType="solid">
        <fgColor rgb="FFFFC000"/>
        <bgColor rgb="FFFF9900"/>
      </patternFill>
    </fill>
    <fill>
      <patternFill patternType="solid">
        <fgColor rgb="FFFFFF00"/>
        <bgColor rgb="FFFFFF00"/>
      </patternFill>
    </fill>
    <fill>
      <patternFill patternType="solid">
        <fgColor rgb="FFF2F2F2"/>
        <bgColor rgb="FFE7E6E6"/>
      </patternFill>
    </fill>
    <fill>
      <patternFill patternType="solid">
        <fgColor theme="8" tint="0.7999"/>
        <bgColor rgb="FFE7E6E6"/>
      </patternFill>
    </fill>
    <fill>
      <patternFill patternType="solid">
        <fgColor theme="0" tint="-0.35"/>
        <bgColor rgb="FFAFABAB"/>
      </patternFill>
    </fill>
    <fill>
      <patternFill patternType="solid">
        <fgColor theme="7" tint="0.7999"/>
        <bgColor rgb="FFFBE5D6"/>
      </patternFill>
    </fill>
    <fill>
      <patternFill patternType="solid">
        <fgColor theme="1" tint="0.4999"/>
        <bgColor rgb="FF666699"/>
      </patternFill>
    </fill>
    <fill>
      <patternFill patternType="solid">
        <fgColor theme="9" tint="0.5999"/>
        <bgColor rgb="FFE2F0D9"/>
      </patternFill>
    </fill>
    <fill>
      <patternFill patternType="solid">
        <fgColor theme="2" tint="-0.25"/>
        <bgColor rgb="FFA6A6A6"/>
      </patternFill>
    </fill>
    <fill>
      <patternFill patternType="solid">
        <fgColor theme="7" tint="0.5999"/>
        <bgColor rgb="FFFFF2CC"/>
      </patternFill>
    </fill>
    <fill>
      <patternFill patternType="solid">
        <fgColor rgb="FF73B04A"/>
        <bgColor rgb="FF339966"/>
      </patternFill>
    </fill>
  </fills>
  <borders count="18">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style="thin"/>
      <top/>
      <bottom style="medium"/>
      <diagonal/>
    </border>
    <border diagonalUp="false" diagonalDown="false">
      <left style="thin"/>
      <right style="thin"/>
      <top/>
      <bottom/>
      <diagonal/>
    </border>
    <border diagonalUp="false" diagonalDown="false">
      <left style="medium"/>
      <right style="medium"/>
      <top/>
      <bottom/>
      <diagonal/>
    </border>
    <border diagonalUp="false" diagonalDown="false">
      <left style="thin"/>
      <right/>
      <top/>
      <bottom/>
      <diagonal/>
    </border>
    <border diagonalUp="false" diagonalDown="false">
      <left/>
      <right style="thin"/>
      <top/>
      <bottom/>
      <diagonal/>
    </border>
    <border diagonalUp="false" diagonalDown="false">
      <left/>
      <right/>
      <top style="thin"/>
      <bottom style="double"/>
      <diagonal/>
    </border>
    <border diagonalUp="false" diagonalDown="false">
      <left style="thin"/>
      <right style="thin"/>
      <top/>
      <bottom style="double"/>
      <diagonal/>
    </border>
    <border diagonalUp="false" diagonalDown="false">
      <left style="thin"/>
      <right/>
      <top style="thin"/>
      <bottom style="double"/>
      <diagonal/>
    </border>
    <border diagonalUp="false" diagonalDown="false">
      <left/>
      <right style="thin"/>
      <top style="thin"/>
      <bottom style="double"/>
      <diagonal/>
    </border>
    <border diagonalUp="false" diagonalDown="false">
      <left style="medium"/>
      <right style="medium"/>
      <top style="thin"/>
      <bottom style="medium"/>
      <diagonal/>
    </border>
    <border diagonalUp="false" diagonalDown="false">
      <left style="thin"/>
      <right style="thin"/>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cellStyleXfs>
  <cellXfs count="261">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15" applyFont="true" applyBorder="true" applyAlignment="true" applyProtection="true">
      <alignment horizontal="right" vertical="bottom" textRotation="0" wrapText="false" indent="0" shrinkToFit="false"/>
      <protection locked="true" hidden="false"/>
    </xf>
    <xf numFmtId="166" fontId="4" fillId="0" borderId="0" xfId="15"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6" fontId="6" fillId="0" borderId="0" xfId="15" applyFont="true" applyBorder="true" applyAlignment="true" applyProtection="true">
      <alignment horizontal="right" vertical="bottom" textRotation="0" wrapText="false" indent="0" shrinkToFit="false"/>
      <protection locked="true" hidden="false"/>
    </xf>
    <xf numFmtId="166" fontId="6" fillId="0" borderId="0" xfId="15" applyFont="true" applyBorder="true" applyAlignment="true" applyProtection="true">
      <alignment horizontal="left" vertical="bottom" textRotation="0" wrapText="false" indent="0" shrinkToFit="false"/>
      <protection locked="true" hidden="false"/>
    </xf>
    <xf numFmtId="166" fontId="4" fillId="0" borderId="1" xfId="15" applyFont="true" applyBorder="true" applyAlignment="true" applyProtection="true">
      <alignment horizontal="center" vertical="bottom" textRotation="0" wrapText="false" indent="0" shrinkToFit="false"/>
      <protection locked="true" hidden="false"/>
    </xf>
    <xf numFmtId="166" fontId="4" fillId="3" borderId="2" xfId="15" applyFont="true" applyBorder="true" applyAlignment="true" applyProtection="true">
      <alignment horizontal="center" vertical="bottom" textRotation="0" wrapText="false" indent="0" shrinkToFit="false"/>
      <protection locked="true" hidden="false"/>
    </xf>
    <xf numFmtId="166" fontId="4" fillId="4" borderId="2" xfId="15" applyFont="true" applyBorder="true" applyAlignment="true" applyProtection="true">
      <alignment horizontal="center" vertical="bottom" textRotation="0" wrapText="false" indent="0" shrinkToFit="false"/>
      <protection locked="true" hidden="false"/>
    </xf>
    <xf numFmtId="166" fontId="4" fillId="5" borderId="2" xfId="15" applyFont="true" applyBorder="true" applyAlignment="true" applyProtection="true">
      <alignment horizontal="center" vertical="bottom" textRotation="0" wrapText="false" indent="0" shrinkToFit="false"/>
      <protection locked="true" hidden="false"/>
    </xf>
    <xf numFmtId="166" fontId="4" fillId="2" borderId="2" xfId="15" applyFont="true" applyBorder="true" applyAlignment="true" applyProtection="true">
      <alignment horizontal="center" vertical="bottom" textRotation="0" wrapText="false" indent="0" shrinkToFit="false"/>
      <protection locked="true" hidden="false"/>
    </xf>
    <xf numFmtId="166" fontId="4" fillId="6" borderId="2" xfId="15" applyFont="true" applyBorder="true" applyAlignment="true" applyProtection="tru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6" fontId="5" fillId="0" borderId="0" xfId="15" applyFont="true" applyBorder="true" applyAlignment="true" applyProtection="true">
      <alignment horizontal="center" vertical="bottom" textRotation="0" wrapText="false" indent="0" shrinkToFit="false"/>
      <protection locked="true" hidden="false"/>
    </xf>
    <xf numFmtId="165" fontId="5" fillId="0" borderId="3" xfId="0" applyFont="true" applyBorder="true" applyAlignment="true" applyProtection="false">
      <alignment horizontal="center" vertical="center" textRotation="0" wrapText="tru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5" fillId="0" borderId="3" xfId="0" applyFont="true" applyBorder="true" applyAlignment="true" applyProtection="false">
      <alignment horizontal="general" vertical="center" textRotation="0" wrapText="true" indent="0" shrinkToFit="false"/>
      <protection locked="true" hidden="false"/>
    </xf>
    <xf numFmtId="164" fontId="5" fillId="2" borderId="3" xfId="0" applyFont="true" applyBorder="true" applyAlignment="true" applyProtection="false">
      <alignment horizontal="general" vertical="center" textRotation="0" wrapText="true" indent="0" shrinkToFit="false"/>
      <protection locked="true" hidden="false"/>
    </xf>
    <xf numFmtId="165" fontId="5" fillId="0" borderId="3" xfId="0" applyFont="true" applyBorder="true" applyAlignment="true" applyProtection="false">
      <alignment horizontal="center" vertical="center" textRotation="0" wrapText="false" indent="0" shrinkToFit="false"/>
      <protection locked="true" hidden="false"/>
    </xf>
    <xf numFmtId="166" fontId="5" fillId="0" borderId="3" xfId="15" applyFont="true" applyBorder="true" applyAlignment="true" applyProtection="true">
      <alignment horizontal="center" vertical="center" textRotation="0" wrapText="false" indent="0" shrinkToFit="false"/>
      <protection locked="true" hidden="false"/>
    </xf>
    <xf numFmtId="166" fontId="5" fillId="0" borderId="3" xfId="15"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6" fontId="7" fillId="0" borderId="0" xfId="15" applyFont="true" applyBorder="true" applyAlignment="true" applyProtection="true">
      <alignment horizontal="right"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5" fontId="7" fillId="0" borderId="0" xfId="0" applyFont="true" applyBorder="false" applyAlignment="true" applyProtection="false">
      <alignment horizontal="center" vertical="center" textRotation="0" wrapText="false" indent="0" shrinkToFit="false"/>
      <protection locked="true" hidden="false"/>
    </xf>
    <xf numFmtId="166" fontId="8" fillId="0" borderId="0" xfId="15" applyFont="true" applyBorder="true" applyAlignment="true" applyProtection="true">
      <alignment horizontal="right" vertical="bottom" textRotation="0" wrapText="false" indent="0" shrinkToFit="false"/>
      <protection locked="true" hidden="false"/>
    </xf>
    <xf numFmtId="167" fontId="7" fillId="0" borderId="0" xfId="0" applyFont="true" applyBorder="false" applyAlignment="true" applyProtection="false">
      <alignment horizontal="left"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15" applyFont="true" applyBorder="tru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6" fontId="9" fillId="0" borderId="0" xfId="15" applyFont="true" applyBorder="true" applyAlignment="true" applyProtection="true">
      <alignment horizontal="right" vertical="bottom" textRotation="0" wrapText="false" indent="0" shrinkToFit="false"/>
      <protection locked="true" hidden="false"/>
    </xf>
    <xf numFmtId="166" fontId="9" fillId="0" borderId="0" xfId="15" applyFont="true" applyBorder="true" applyAlignment="true" applyProtection="tru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8" fontId="9" fillId="4" borderId="0" xfId="17"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10" fillId="0" borderId="2" xfId="0" applyFont="true" applyBorder="true" applyAlignment="true" applyProtection="false">
      <alignment horizontal="center" vertical="top" textRotation="0" wrapText="false" indent="0" shrinkToFit="false"/>
      <protection locked="true" hidden="false"/>
    </xf>
    <xf numFmtId="164" fontId="10" fillId="0" borderId="0"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center" vertical="top"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0" borderId="0" xfId="15" applyFont="true" applyBorder="tru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6" fontId="4" fillId="8" borderId="0" xfId="15" applyFont="true" applyBorder="true" applyAlignment="true" applyProtection="true">
      <alignment horizontal="right" vertical="bottom" textRotation="0" wrapText="false" indent="0" shrinkToFit="false"/>
      <protection locked="true" hidden="false"/>
    </xf>
    <xf numFmtId="166" fontId="12" fillId="0" borderId="0" xfId="15" applyFont="true" applyBorder="true" applyAlignment="true" applyProtection="true">
      <alignment horizontal="general" vertical="bottom" textRotation="0" wrapText="false" indent="0" shrinkToFit="false"/>
      <protection locked="true" hidden="false"/>
    </xf>
    <xf numFmtId="166" fontId="6" fillId="9" borderId="0" xfId="15" applyFont="true" applyBorder="true" applyAlignment="true" applyProtection="true">
      <alignment horizontal="right" vertical="bottom" textRotation="0" wrapText="false" indent="0" shrinkToFit="false"/>
      <protection locked="true" hidden="false"/>
    </xf>
    <xf numFmtId="168" fontId="6" fillId="9" borderId="0" xfId="17" applyFont="true" applyBorder="true" applyAlignment="true" applyProtection="true">
      <alignment horizontal="right" vertical="bottom" textRotation="0" wrapText="false" indent="0" shrinkToFit="false"/>
      <protection locked="true" hidden="false"/>
    </xf>
    <xf numFmtId="166" fontId="6" fillId="9" borderId="0" xfId="15" applyFont="true" applyBorder="true" applyAlignment="true" applyProtection="true">
      <alignment horizontal="left" vertical="bottom" textRotation="0" wrapText="false" indent="0" shrinkToFit="false"/>
      <protection locked="true" hidden="false"/>
    </xf>
    <xf numFmtId="166" fontId="4" fillId="0" borderId="0" xfId="15" applyFont="true" applyBorder="true" applyAlignment="true" applyProtection="true">
      <alignment horizontal="left" vertical="bottom" textRotation="0" wrapText="false" indent="0" shrinkToFit="false"/>
      <protection locked="true" hidden="false"/>
    </xf>
    <xf numFmtId="164" fontId="5" fillId="10" borderId="4" xfId="0" applyFont="true" applyBorder="true" applyAlignment="true" applyProtection="false">
      <alignment horizontal="center"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6" fontId="5" fillId="5" borderId="0" xfId="0" applyFont="true" applyBorder="false" applyAlignment="true" applyProtection="false">
      <alignment horizontal="center" vertical="bottom" textRotation="0" wrapText="false" indent="0" shrinkToFit="false"/>
      <protection locked="true" hidden="false"/>
    </xf>
    <xf numFmtId="166" fontId="5" fillId="5" borderId="0" xfId="15" applyFont="true" applyBorder="true" applyAlignment="true" applyProtection="true">
      <alignment horizontal="general" vertical="bottom" textRotation="0" wrapText="fals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xf numFmtId="166" fontId="13" fillId="11" borderId="0" xfId="0" applyFont="true" applyBorder="false" applyAlignment="true" applyProtection="false">
      <alignment horizontal="center" vertical="bottom" textRotation="0" wrapText="false" indent="0" shrinkToFit="false"/>
      <protection locked="true" hidden="false"/>
    </xf>
    <xf numFmtId="166" fontId="5" fillId="11" borderId="0" xfId="15" applyFont="true" applyBorder="true" applyAlignment="true" applyProtection="tru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6" fontId="14" fillId="0" borderId="0" xfId="15" applyFont="true" applyBorder="true" applyAlignment="true" applyProtection="true">
      <alignment horizontal="right" vertical="bottom" textRotation="0" wrapText="false" indent="0" shrinkToFit="false"/>
      <protection locked="true" hidden="false"/>
    </xf>
    <xf numFmtId="166" fontId="4" fillId="5" borderId="0" xfId="15" applyFont="true" applyBorder="true" applyAlignment="true" applyProtection="true">
      <alignment horizontal="center" vertical="bottom" textRotation="0" wrapText="false" indent="0" shrinkToFit="false"/>
      <protection locked="true" hidden="false"/>
    </xf>
    <xf numFmtId="166" fontId="4" fillId="5" borderId="0" xfId="15" applyFont="true" applyBorder="true" applyAlignment="true" applyProtection="true">
      <alignment horizontal="general" vertical="bottom" textRotation="0" wrapText="false" indent="0" shrinkToFit="false"/>
      <protection locked="true" hidden="false"/>
    </xf>
    <xf numFmtId="166" fontId="4" fillId="5"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16" fillId="10" borderId="0" xfId="0" applyFont="true" applyBorder="false" applyAlignment="false" applyProtection="false">
      <alignment horizontal="general" vertical="bottom" textRotation="0" wrapText="false" indent="0" shrinkToFit="false"/>
      <protection locked="true" hidden="false"/>
    </xf>
    <xf numFmtId="165" fontId="14" fillId="0" borderId="0" xfId="15" applyFont="true" applyBorder="true" applyAlignment="true" applyProtection="true">
      <alignment horizontal="center" vertical="bottom" textRotation="0" wrapText="false" indent="0" shrinkToFit="false"/>
      <protection locked="true" hidden="false"/>
    </xf>
    <xf numFmtId="166" fontId="4" fillId="0" borderId="0" xfId="15" applyFont="true" applyBorder="tru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15" applyFont="true" applyBorder="true" applyAlignment="true" applyProtection="tru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6" fontId="17" fillId="0" borderId="0" xfId="15" applyFont="true" applyBorder="true" applyAlignment="true" applyProtection="true">
      <alignment horizontal="right" vertical="bottom" textRotation="0" wrapText="false" indent="0" shrinkToFit="false"/>
      <protection locked="true" hidden="false"/>
    </xf>
    <xf numFmtId="164" fontId="18" fillId="0" borderId="2" xfId="0" applyFont="true" applyBorder="true" applyAlignment="true" applyProtection="false">
      <alignment horizontal="right" vertical="bottom" textRotation="0" wrapText="false" indent="0" shrinkToFit="false"/>
      <protection locked="true" hidden="false"/>
    </xf>
    <xf numFmtId="167" fontId="19" fillId="0" borderId="2"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7" fontId="20" fillId="0" borderId="2" xfId="0" applyFont="true" applyBorder="true" applyAlignment="true" applyProtection="false">
      <alignment horizontal="center" vertical="bottom" textRotation="0" wrapText="false" indent="0" shrinkToFit="false"/>
      <protection locked="true" hidden="false"/>
    </xf>
    <xf numFmtId="164" fontId="17" fillId="12" borderId="0" xfId="0" applyFont="true" applyBorder="false" applyAlignment="false" applyProtection="false">
      <alignment horizontal="general" vertical="bottom" textRotation="0" wrapText="false" indent="0" shrinkToFit="false"/>
      <protection locked="true" hidden="false"/>
    </xf>
    <xf numFmtId="166" fontId="19" fillId="0" borderId="0" xfId="15"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6" fontId="19" fillId="13" borderId="0" xfId="15" applyFont="true" applyBorder="true" applyAlignment="true" applyProtection="true">
      <alignment horizontal="center" vertical="bottom" textRotation="0" wrapText="false" indent="0" shrinkToFit="false"/>
      <protection locked="true" hidden="false"/>
    </xf>
    <xf numFmtId="166" fontId="19" fillId="0" borderId="0" xfId="15" applyFont="true" applyBorder="true" applyAlignment="true" applyProtection="true">
      <alignment horizontal="right" vertical="bottom" textRotation="0" wrapText="false" indent="0" shrinkToFit="false"/>
      <protection locked="true" hidden="false"/>
    </xf>
    <xf numFmtId="167" fontId="19" fillId="0" borderId="5" xfId="0" applyFont="true" applyBorder="true" applyAlignment="true" applyProtection="false">
      <alignment horizontal="center" vertical="bottom" textRotation="0" wrapText="false" indent="0" shrinkToFit="false"/>
      <protection locked="true" hidden="false"/>
    </xf>
    <xf numFmtId="164" fontId="19" fillId="12"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5" fontId="18" fillId="0" borderId="0" xfId="0" applyFont="true" applyBorder="false" applyAlignment="true" applyProtection="false">
      <alignment horizontal="right" vertical="bottom" textRotation="0" wrapText="false" indent="0" shrinkToFit="false"/>
      <protection locked="true" hidden="false"/>
    </xf>
    <xf numFmtId="166" fontId="18" fillId="0" borderId="0" xfId="15" applyFont="true" applyBorder="true" applyAlignment="true" applyProtection="true">
      <alignment horizontal="right" vertical="bottom" textRotation="0" wrapText="false" indent="0" shrinkToFit="false"/>
      <protection locked="true" hidden="false"/>
    </xf>
    <xf numFmtId="164" fontId="18" fillId="0" borderId="6" xfId="0" applyFont="true" applyBorder="true" applyAlignment="true" applyProtection="false">
      <alignment horizontal="right" vertical="bottom" textRotation="0" wrapText="false" indent="0" shrinkToFit="false"/>
      <protection locked="true" hidden="false"/>
    </xf>
    <xf numFmtId="167" fontId="18" fillId="0" borderId="2" xfId="0" applyFont="true" applyBorder="true" applyAlignment="true" applyProtection="false">
      <alignment horizontal="center" vertical="bottom" textRotation="0" wrapText="false" indent="0" shrinkToFit="false"/>
      <protection locked="true" hidden="false"/>
    </xf>
    <xf numFmtId="164" fontId="18" fillId="12"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22" fillId="14" borderId="0" xfId="0" applyFont="true" applyBorder="false" applyAlignment="true" applyProtection="false">
      <alignment horizontal="left" vertical="center" textRotation="0" wrapText="true" indent="0" shrinkToFit="false"/>
      <protection locked="true" hidden="false"/>
    </xf>
    <xf numFmtId="165" fontId="13" fillId="0" borderId="3" xfId="0" applyFont="true" applyBorder="true" applyAlignment="true" applyProtection="false">
      <alignment horizontal="center" vertical="center" textRotation="0" wrapText="true" indent="0" shrinkToFit="false"/>
      <protection locked="true" hidden="false"/>
    </xf>
    <xf numFmtId="165" fontId="13" fillId="10" borderId="3" xfId="0" applyFont="true" applyBorder="true" applyAlignment="true" applyProtection="false">
      <alignment horizontal="center" vertical="center" textRotation="0" wrapText="true" indent="0" shrinkToFit="false"/>
      <protection locked="true" hidden="false"/>
    </xf>
    <xf numFmtId="164" fontId="13" fillId="0" borderId="3" xfId="0" applyFont="true" applyBorder="true" applyAlignment="true" applyProtection="false">
      <alignment horizontal="center" vertical="center" textRotation="0" wrapText="true" indent="0" shrinkToFit="false"/>
      <protection locked="true" hidden="false"/>
    </xf>
    <xf numFmtId="164" fontId="13" fillId="0" borderId="3" xfId="0" applyFont="true" applyBorder="true" applyAlignment="true" applyProtection="false">
      <alignment horizontal="general" vertical="center" textRotation="0" wrapText="true" indent="0" shrinkToFit="false"/>
      <protection locked="true" hidden="false"/>
    </xf>
    <xf numFmtId="166" fontId="13" fillId="0" borderId="3" xfId="15" applyFont="true" applyBorder="true" applyAlignment="true" applyProtection="true">
      <alignment horizontal="center" vertical="center" textRotation="0" wrapText="true" indent="0" shrinkToFit="false"/>
      <protection locked="true" hidden="false"/>
    </xf>
    <xf numFmtId="166" fontId="5" fillId="15" borderId="7" xfId="15" applyFont="true" applyBorder="true" applyAlignment="true" applyProtection="true">
      <alignment horizontal="center" vertical="center" textRotation="0" wrapText="true" indent="0" shrinkToFit="false"/>
      <protection locked="true" hidden="false"/>
    </xf>
    <xf numFmtId="164" fontId="23" fillId="0" borderId="3" xfId="0" applyFont="true" applyBorder="true" applyAlignment="true" applyProtection="false">
      <alignment horizontal="center" vertical="center" textRotation="0" wrapText="true" indent="0" shrinkToFit="false"/>
      <protection locked="true" hidden="false"/>
    </xf>
    <xf numFmtId="164" fontId="5" fillId="12" borderId="3" xfId="0" applyFont="true" applyBorder="true" applyAlignment="true" applyProtection="false">
      <alignment horizontal="general" vertical="center" textRotation="0" wrapText="true" indent="0" shrinkToFit="false"/>
      <protection locked="true" hidden="false"/>
    </xf>
    <xf numFmtId="166" fontId="13" fillId="13" borderId="4" xfId="15" applyFont="true" applyBorder="true" applyAlignment="true" applyProtection="true">
      <alignment horizontal="center" vertical="center" textRotation="0" wrapText="true" indent="0" shrinkToFit="false"/>
      <protection locked="true" hidden="false"/>
    </xf>
    <xf numFmtId="166" fontId="5" fillId="0" borderId="0" xfId="15" applyFont="true" applyBorder="tru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4" fillId="15" borderId="8" xfId="15" applyFont="true" applyBorder="true" applyAlignment="true" applyProtection="true">
      <alignment horizontal="general" vertical="bottom" textRotation="0" wrapText="false" indent="0" shrinkToFit="false"/>
      <protection locked="true" hidden="false"/>
    </xf>
    <xf numFmtId="166" fontId="11" fillId="0" borderId="0" xfId="15" applyFont="true" applyBorder="true" applyAlignment="true" applyProtection="true">
      <alignment horizontal="general" vertical="bottom" textRotation="0" wrapText="false" indent="0" shrinkToFit="false"/>
      <protection locked="true" hidden="false"/>
    </xf>
    <xf numFmtId="166" fontId="4" fillId="12" borderId="0" xfId="15" applyFont="true" applyBorder="true" applyAlignment="true" applyProtection="true">
      <alignment horizontal="general" vertical="bottom" textRotation="0" wrapText="false" indent="0" shrinkToFit="false"/>
      <protection locked="true" hidden="false"/>
    </xf>
    <xf numFmtId="166" fontId="5" fillId="13" borderId="9" xfId="15" applyFont="true" applyBorder="tru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true" indent="0" shrinkToFit="false"/>
      <protection locked="true" hidden="false"/>
    </xf>
    <xf numFmtId="166" fontId="4" fillId="0" borderId="0" xfId="15"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6" fontId="5" fillId="0" borderId="0" xfId="15" applyFont="true" applyBorder="true" applyAlignment="true" applyProtection="true">
      <alignment horizontal="right" vertical="bottom" textRotation="0" wrapText="true" indent="0" shrinkToFit="false"/>
      <protection locked="true" hidden="false"/>
    </xf>
    <xf numFmtId="166" fontId="4" fillId="0" borderId="0" xfId="15" applyFont="true" applyBorder="true" applyAlignment="true" applyProtection="true">
      <alignment horizontal="right" vertical="bottom" textRotation="0" wrapText="true" indent="0" shrinkToFit="false"/>
      <protection locked="true" hidden="false"/>
    </xf>
    <xf numFmtId="166" fontId="11" fillId="0" borderId="0" xfId="15" applyFont="true" applyBorder="true" applyAlignment="true" applyProtection="true">
      <alignment horizontal="general" vertical="bottom" textRotation="0" wrapText="true" indent="0" shrinkToFit="false"/>
      <protection locked="true" hidden="false"/>
    </xf>
    <xf numFmtId="166" fontId="4" fillId="12" borderId="0" xfId="15" applyFont="true" applyBorder="tru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false">
      <alignment horizontal="left" vertical="bottom" textRotation="0" wrapText="true" indent="0" shrinkToFit="false"/>
      <protection locked="true" hidden="false"/>
    </xf>
    <xf numFmtId="165" fontId="24" fillId="0" borderId="0" xfId="0" applyFont="true" applyBorder="false" applyAlignment="true" applyProtection="false">
      <alignment horizontal="center" vertical="bottom" textRotation="0" wrapText="tru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true" indent="0" shrinkToFit="false"/>
      <protection locked="true" hidden="false"/>
    </xf>
    <xf numFmtId="166" fontId="15" fillId="0" borderId="0" xfId="15" applyFont="true" applyBorder="true" applyAlignment="true" applyProtection="true">
      <alignment horizontal="right" vertical="bottom" textRotation="0" wrapText="true" indent="0" shrinkToFit="false"/>
      <protection locked="true" hidden="false"/>
    </xf>
    <xf numFmtId="166" fontId="24" fillId="0" borderId="0" xfId="15" applyFont="true" applyBorder="true" applyAlignment="true" applyProtection="true">
      <alignment horizontal="right" vertical="bottom" textRotation="0" wrapText="true" indent="0" shrinkToFit="false"/>
      <protection locked="true" hidden="false"/>
    </xf>
    <xf numFmtId="166" fontId="24" fillId="0" borderId="0" xfId="15" applyFont="true" applyBorder="true" applyAlignment="true" applyProtection="true">
      <alignment horizontal="general" vertical="bottom" textRotation="0" wrapText="true" indent="0" shrinkToFit="false"/>
      <protection locked="true" hidden="false"/>
    </xf>
    <xf numFmtId="166" fontId="24" fillId="0" borderId="0" xfId="15" applyFont="true" applyBorder="true" applyAlignment="true" applyProtection="true">
      <alignment horizontal="general" vertical="bottom" textRotation="0" wrapText="false" indent="0" shrinkToFit="false"/>
      <protection locked="true" hidden="false"/>
    </xf>
    <xf numFmtId="166" fontId="24" fillId="15" borderId="8" xfId="15" applyFont="true" applyBorder="true" applyAlignment="true" applyProtection="true">
      <alignment horizontal="general" vertical="bottom" textRotation="0" wrapText="false" indent="0" shrinkToFit="false"/>
      <protection locked="true" hidden="false"/>
    </xf>
    <xf numFmtId="166" fontId="24" fillId="12" borderId="0" xfId="15" applyFont="true" applyBorder="true" applyAlignment="true" applyProtection="true">
      <alignment horizontal="general" vertical="bottom" textRotation="0" wrapText="true" indent="0" shrinkToFit="false"/>
      <protection locked="true" hidden="false"/>
    </xf>
    <xf numFmtId="166" fontId="15" fillId="9" borderId="0" xfId="15" applyFont="true" applyBorder="true" applyAlignment="true" applyProtection="true">
      <alignment horizontal="general" vertical="bottom" textRotation="0" wrapText="false" indent="0" shrinkToFit="false"/>
      <protection locked="true" hidden="false"/>
    </xf>
    <xf numFmtId="166" fontId="6" fillId="0" borderId="0" xfId="15"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6" fontId="16" fillId="0" borderId="0" xfId="15" applyFont="true" applyBorder="true" applyAlignment="true" applyProtection="true">
      <alignment horizontal="right" vertical="bottom" textRotation="0" wrapText="false" indent="0" shrinkToFit="false"/>
      <protection locked="true" hidden="false"/>
    </xf>
    <xf numFmtId="166" fontId="7" fillId="0" borderId="0" xfId="15" applyFont="true" applyBorder="true" applyAlignment="true" applyProtection="true">
      <alignment horizontal="general" vertical="bottom" textRotation="0" wrapText="false" indent="0" shrinkToFit="false"/>
      <protection locked="true" hidden="false"/>
    </xf>
    <xf numFmtId="166" fontId="7" fillId="15" borderId="8" xfId="15" applyFont="true" applyBorder="true" applyAlignment="true" applyProtection="true">
      <alignment horizontal="general" vertical="bottom" textRotation="0" wrapText="false" indent="0" shrinkToFit="false"/>
      <protection locked="true" hidden="false"/>
    </xf>
    <xf numFmtId="166" fontId="7" fillId="12" borderId="0" xfId="15" applyFont="true" applyBorder="true" applyAlignment="true" applyProtection="true">
      <alignment horizontal="general" vertical="bottom" textRotation="0" wrapText="false" indent="0" shrinkToFit="false"/>
      <protection locked="true" hidden="false"/>
    </xf>
    <xf numFmtId="166" fontId="4" fillId="13" borderId="0" xfId="15" applyFont="true" applyBorder="true" applyAlignment="true" applyProtection="true">
      <alignment horizontal="general" vertical="bottom" textRotation="0" wrapText="false" indent="0" shrinkToFit="false"/>
      <protection locked="true" hidden="false"/>
    </xf>
    <xf numFmtId="164" fontId="4" fillId="11" borderId="0" xfId="0" applyFont="true" applyBorder="false" applyAlignment="true" applyProtection="false">
      <alignment horizontal="left" vertical="bottom" textRotation="0" wrapText="false" indent="0" shrinkToFit="false"/>
      <protection locked="true" hidden="false"/>
    </xf>
    <xf numFmtId="165" fontId="4" fillId="11" borderId="0" xfId="0" applyFont="true" applyBorder="false" applyAlignment="true" applyProtection="false">
      <alignment horizontal="center" vertical="bottom" textRotation="0" wrapText="false" indent="0" shrinkToFit="false"/>
      <protection locked="true" hidden="false"/>
    </xf>
    <xf numFmtId="164" fontId="4" fillId="11" borderId="0" xfId="0" applyFont="true" applyBorder="false" applyAlignment="false" applyProtection="false">
      <alignment horizontal="general" vertical="bottom" textRotation="0" wrapText="false" indent="0" shrinkToFit="false"/>
      <protection locked="true" hidden="false"/>
    </xf>
    <xf numFmtId="164" fontId="4" fillId="11" borderId="0" xfId="0" applyFont="true" applyBorder="false" applyAlignment="true" applyProtection="false">
      <alignment horizontal="center" vertical="bottom" textRotation="0" wrapText="false" indent="0" shrinkToFit="false"/>
      <protection locked="true" hidden="false"/>
    </xf>
    <xf numFmtId="165" fontId="4" fillId="11" borderId="0" xfId="0" applyFont="true" applyBorder="false" applyAlignment="true" applyProtection="false">
      <alignment horizontal="center" vertical="bottom" textRotation="0" wrapText="true" indent="0" shrinkToFit="false"/>
      <protection locked="true" hidden="false"/>
    </xf>
    <xf numFmtId="166" fontId="5" fillId="11" borderId="0" xfId="15" applyFont="true" applyBorder="true" applyAlignment="true" applyProtection="true">
      <alignment horizontal="right" vertical="bottom" textRotation="0" wrapText="false" indent="0" shrinkToFit="false"/>
      <protection locked="true" hidden="false"/>
    </xf>
    <xf numFmtId="166" fontId="4" fillId="11" borderId="0" xfId="15" applyFont="true" applyBorder="true" applyAlignment="true" applyProtection="true">
      <alignment horizontal="right" vertical="bottom" textRotation="0" wrapText="false" indent="0" shrinkToFit="false"/>
      <protection locked="true" hidden="false"/>
    </xf>
    <xf numFmtId="166" fontId="4" fillId="11" borderId="0" xfId="15"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6" fontId="4" fillId="16" borderId="0" xfId="15"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5"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6" fontId="7" fillId="5" borderId="0" xfId="15" applyFont="true" applyBorder="tru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5" fontId="24" fillId="0" borderId="0" xfId="0" applyFont="true" applyBorder="false" applyAlignment="true" applyProtection="false">
      <alignment horizontal="center" vertical="bottom" textRotation="0" wrapText="fals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7" fontId="24" fillId="0" borderId="0" xfId="0" applyFont="true" applyBorder="false" applyAlignment="true" applyProtection="false">
      <alignment horizontal="left" vertical="bottom" textRotation="0" wrapText="false" indent="0" shrinkToFit="false"/>
      <protection locked="true" hidden="false"/>
    </xf>
    <xf numFmtId="166" fontId="15" fillId="0" borderId="0" xfId="15" applyFont="true" applyBorder="true" applyAlignment="true" applyProtection="true">
      <alignment horizontal="right" vertical="bottom" textRotation="0" wrapText="false" indent="0" shrinkToFit="false"/>
      <protection locked="true" hidden="false"/>
    </xf>
    <xf numFmtId="166" fontId="24" fillId="0" borderId="0" xfId="15" applyFont="true" applyBorder="true" applyAlignment="true" applyProtection="true">
      <alignment horizontal="right" vertical="bottom" textRotation="0" wrapText="false" indent="0" shrinkToFit="false"/>
      <protection locked="true" hidden="false"/>
    </xf>
    <xf numFmtId="166" fontId="24" fillId="12" borderId="0" xfId="15" applyFont="true" applyBorder="true" applyAlignment="true" applyProtection="true">
      <alignment horizontal="general" vertical="bottom" textRotation="0" wrapText="false" indent="0" shrinkToFit="false"/>
      <protection locked="true" hidden="false"/>
    </xf>
    <xf numFmtId="164" fontId="4" fillId="17" borderId="0" xfId="0" applyFont="true" applyBorder="false" applyAlignment="true" applyProtection="false">
      <alignment horizontal="left" vertical="bottom" textRotation="0" wrapText="false" indent="0" shrinkToFit="false"/>
      <protection locked="true" hidden="false"/>
    </xf>
    <xf numFmtId="166" fontId="5" fillId="17" borderId="0" xfId="15" applyFont="true" applyBorder="true" applyAlignment="true" applyProtection="true">
      <alignment horizontal="right" vertical="bottom" textRotation="0" wrapText="false" indent="0" shrinkToFit="false"/>
      <protection locked="true" hidden="false"/>
    </xf>
    <xf numFmtId="164" fontId="24" fillId="17" borderId="0" xfId="0" applyFont="true" applyBorder="false" applyAlignment="true" applyProtection="false">
      <alignment horizontal="left" vertical="bottom" textRotation="0" wrapText="false" indent="0" shrinkToFit="false"/>
      <protection locked="true" hidden="false"/>
    </xf>
    <xf numFmtId="166" fontId="15" fillId="17" borderId="0" xfId="15" applyFont="true" applyBorder="true" applyAlignment="true" applyProtection="true">
      <alignment horizontal="right" vertical="bottom" textRotation="0" wrapText="false" indent="0" shrinkToFit="false"/>
      <protection locked="true" hidden="false"/>
    </xf>
    <xf numFmtId="164" fontId="7" fillId="17" borderId="0" xfId="0" applyFont="true" applyBorder="false" applyAlignment="true" applyProtection="false">
      <alignment horizontal="left" vertical="bottom" textRotation="0" wrapText="false" indent="0" shrinkToFit="false"/>
      <protection locked="true" hidden="false"/>
    </xf>
    <xf numFmtId="166" fontId="16" fillId="17" borderId="0" xfId="15" applyFont="true" applyBorder="true" applyAlignment="true" applyProtection="true">
      <alignment horizontal="right" vertical="bottom" textRotation="0" wrapText="false" indent="0" shrinkToFit="false"/>
      <protection locked="true" hidden="false"/>
    </xf>
    <xf numFmtId="166" fontId="4" fillId="9" borderId="0" xfId="15" applyFont="true" applyBorder="true" applyAlignment="true" applyProtection="true">
      <alignment horizontal="right" vertical="bottom" textRotation="0" wrapText="false" indent="0" shrinkToFit="false"/>
      <protection locked="true" hidden="false"/>
    </xf>
    <xf numFmtId="166" fontId="11" fillId="5" borderId="0" xfId="15" applyFont="true" applyBorder="true" applyAlignment="true" applyProtection="true">
      <alignment horizontal="general" vertical="bottom" textRotation="0" wrapText="false" indent="0" shrinkToFit="false"/>
      <protection locked="true" hidden="false"/>
    </xf>
    <xf numFmtId="164" fontId="4" fillId="8" borderId="0" xfId="0" applyFont="true" applyBorder="false" applyAlignment="true" applyProtection="false">
      <alignment horizontal="left" vertical="bottom" textRotation="0" wrapText="false" indent="0" shrinkToFit="false"/>
      <protection locked="true" hidden="false"/>
    </xf>
    <xf numFmtId="165" fontId="4" fillId="8"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5" fontId="4" fillId="8" borderId="0" xfId="0" applyFont="true" applyBorder="false" applyAlignment="true" applyProtection="false">
      <alignment horizontal="center" vertical="bottom" textRotation="0" wrapText="true" indent="0" shrinkToFit="false"/>
      <protection locked="true" hidden="false"/>
    </xf>
    <xf numFmtId="166" fontId="4" fillId="8" borderId="0" xfId="15" applyFont="true" applyBorder="true" applyAlignment="true" applyProtection="true">
      <alignment horizontal="general" vertical="bottom" textRotation="0" wrapText="false" indent="0" shrinkToFit="false"/>
      <protection locked="true" hidden="false"/>
    </xf>
    <xf numFmtId="166" fontId="4" fillId="8" borderId="8" xfId="15" applyFont="true" applyBorder="true" applyAlignment="true" applyProtection="true">
      <alignment horizontal="general" vertical="bottom" textRotation="0" wrapText="false" indent="0" shrinkToFit="false"/>
      <protection locked="true" hidden="false"/>
    </xf>
    <xf numFmtId="166" fontId="4" fillId="8" borderId="10" xfId="15" applyFont="true" applyBorder="true" applyAlignment="true" applyProtection="true">
      <alignment horizontal="general" vertical="bottom" textRotation="0" wrapText="false" indent="0" shrinkToFit="false"/>
      <protection locked="true" hidden="false"/>
    </xf>
    <xf numFmtId="166" fontId="4" fillId="8" borderId="11" xfId="15" applyFont="true" applyBorder="true" applyAlignment="true" applyProtection="true">
      <alignment horizontal="general" vertical="bottom" textRotation="0" wrapText="false" indent="0" shrinkToFit="false"/>
      <protection locked="true" hidden="false"/>
    </xf>
    <xf numFmtId="166" fontId="6" fillId="11" borderId="0" xfId="15" applyFont="true" applyBorder="true" applyAlignment="true" applyProtection="true">
      <alignment horizontal="right" vertical="bottom" textRotation="0" wrapText="false" indent="0" shrinkToFit="false"/>
      <protection locked="true" hidden="false"/>
    </xf>
    <xf numFmtId="164" fontId="4" fillId="5" borderId="0" xfId="0" applyFont="true" applyBorder="false" applyAlignment="true" applyProtection="false">
      <alignment horizontal="left" vertical="bottom" textRotation="0" wrapText="false" indent="0" shrinkToFit="false"/>
      <protection locked="true" hidden="false"/>
    </xf>
    <xf numFmtId="165" fontId="4" fillId="5"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6" fontId="4" fillId="5" borderId="0" xfId="15" applyFont="true" applyBorder="true" applyAlignment="true" applyProtection="true">
      <alignment horizontal="right" vertical="bottom" textRotation="0" wrapText="false" indent="0" shrinkToFit="false"/>
      <protection locked="true" hidden="false"/>
    </xf>
    <xf numFmtId="165" fontId="4" fillId="5" borderId="0" xfId="0" applyFont="true" applyBorder="false" applyAlignment="true" applyProtection="false">
      <alignment horizontal="center" vertical="bottom" textRotation="0" wrapText="true" indent="0" shrinkToFit="false"/>
      <protection locked="true" hidden="false"/>
    </xf>
    <xf numFmtId="166" fontId="5" fillId="0" borderId="12" xfId="15" applyFont="true" applyBorder="true" applyAlignment="true" applyProtection="true">
      <alignment horizontal="right" vertical="bottom" textRotation="0" wrapText="false" indent="0" shrinkToFit="false"/>
      <protection locked="true" hidden="false"/>
    </xf>
    <xf numFmtId="166" fontId="4" fillId="0" borderId="12" xfId="15" applyFont="true" applyBorder="true" applyAlignment="true" applyProtection="true">
      <alignment horizontal="right" vertical="bottom" textRotation="0" wrapText="false" indent="0" shrinkToFit="false"/>
      <protection locked="true" hidden="false"/>
    </xf>
    <xf numFmtId="166" fontId="4" fillId="0" borderId="12" xfId="15" applyFont="true" applyBorder="true" applyAlignment="true" applyProtection="true">
      <alignment horizontal="general" vertical="bottom" textRotation="0" wrapText="false" indent="0" shrinkToFit="false"/>
      <protection locked="true" hidden="false"/>
    </xf>
    <xf numFmtId="166" fontId="4" fillId="15" borderId="13" xfId="15" applyFont="true" applyBorder="true" applyAlignment="true" applyProtection="true">
      <alignment horizontal="general" vertical="bottom" textRotation="0" wrapText="false" indent="0" shrinkToFit="false"/>
      <protection locked="true" hidden="false"/>
    </xf>
    <xf numFmtId="166" fontId="4" fillId="0" borderId="14" xfId="15" applyFont="true" applyBorder="true" applyAlignment="true" applyProtection="true">
      <alignment horizontal="general" vertical="bottom" textRotation="0" wrapText="false" indent="0" shrinkToFit="false"/>
      <protection locked="true" hidden="false"/>
    </xf>
    <xf numFmtId="166" fontId="4" fillId="0" borderId="15" xfId="15" applyFont="true" applyBorder="true" applyAlignment="true" applyProtection="true">
      <alignment horizontal="general" vertical="bottom" textRotation="0" wrapText="false" indent="0" shrinkToFit="false"/>
      <protection locked="true" hidden="false"/>
    </xf>
    <xf numFmtId="166" fontId="11" fillId="0" borderId="12" xfId="15" applyFont="true" applyBorder="true" applyAlignment="true" applyProtection="true">
      <alignment horizontal="general" vertical="bottom" textRotation="0" wrapText="false" indent="0" shrinkToFit="false"/>
      <protection locked="true" hidden="false"/>
    </xf>
    <xf numFmtId="166" fontId="5" fillId="13" borderId="16" xfId="15" applyFont="true" applyBorder="true" applyAlignment="true" applyProtection="true">
      <alignment horizontal="general" vertical="bottom" textRotation="0" wrapText="false" indent="0" shrinkToFit="false"/>
      <protection locked="true" hidden="false"/>
    </xf>
    <xf numFmtId="166" fontId="4" fillId="0" borderId="0" xfId="15" applyFont="true" applyBorder="true" applyAlignment="true" applyProtection="true">
      <alignment horizontal="center" vertical="bottom" textRotation="0" wrapText="false" indent="0" shrinkToFit="false"/>
      <protection locked="true" hidden="false"/>
    </xf>
    <xf numFmtId="166" fontId="4" fillId="15" borderId="8" xfId="15" applyFont="true" applyBorder="true" applyAlignment="true" applyProtection="true">
      <alignment horizontal="center" vertical="bottom" textRotation="0" wrapText="false" indent="0" shrinkToFit="false"/>
      <protection locked="true" hidden="false"/>
    </xf>
    <xf numFmtId="166" fontId="25" fillId="0" borderId="0" xfId="15" applyFont="true" applyBorder="true" applyAlignment="true" applyProtection="true">
      <alignment horizontal="left" vertical="bottom" textRotation="0" wrapText="false" indent="0" shrinkToFit="false"/>
      <protection locked="true" hidden="false"/>
    </xf>
    <xf numFmtId="166" fontId="11" fillId="0" borderId="0" xfId="15" applyFont="true" applyBorder="true" applyAlignment="true" applyProtection="true">
      <alignment horizontal="right" vertical="bottom" textRotation="0" wrapText="false" indent="0" shrinkToFit="false"/>
      <protection locked="true" hidden="false"/>
    </xf>
    <xf numFmtId="169" fontId="26"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6" fontId="21" fillId="9" borderId="0" xfId="15" applyFont="true" applyBorder="true" applyAlignment="true" applyProtection="true">
      <alignment horizontal="right" vertical="bottom" textRotation="0" wrapText="false" indent="0" shrinkToFit="false"/>
      <protection locked="true" hidden="false"/>
    </xf>
    <xf numFmtId="166" fontId="21" fillId="13"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left" vertical="bottom" textRotation="0" wrapText="false" indent="0" shrinkToFit="false"/>
      <protection locked="true" hidden="false"/>
    </xf>
    <xf numFmtId="166" fontId="27" fillId="0" borderId="0" xfId="15" applyFont="true" applyBorder="tru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6" fontId="25" fillId="0" borderId="0" xfId="15" applyFont="true" applyBorder="true" applyAlignment="true" applyProtection="true">
      <alignment horizontal="center" vertical="bottom" textRotation="0" wrapText="false" indent="0" shrinkToFit="false"/>
      <protection locked="true" hidden="false"/>
    </xf>
    <xf numFmtId="166" fontId="25" fillId="9" borderId="0" xfId="15" applyFont="true" applyBorder="true" applyAlignment="true" applyProtection="true">
      <alignment horizontal="right"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right" vertical="bottom" textRotation="0" wrapText="false" indent="0" shrinkToFit="false"/>
      <protection locked="true" hidden="false"/>
    </xf>
    <xf numFmtId="166" fontId="4" fillId="15" borderId="17" xfId="15" applyFont="true" applyBorder="true" applyAlignment="true" applyProtection="true">
      <alignment horizontal="general" vertical="bottom" textRotation="0" wrapText="false" indent="0" shrinkToFit="false"/>
      <protection locked="true" hidden="false"/>
    </xf>
    <xf numFmtId="168" fontId="4" fillId="18" borderId="0" xfId="17" applyFont="true" applyBorder="true" applyAlignment="true" applyProtection="tru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6" fontId="9" fillId="0" borderId="0" xfId="15" applyFont="true" applyBorder="tru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5" fontId="9" fillId="0" borderId="0" xfId="15" applyFont="true" applyBorder="true" applyAlignment="true" applyProtection="true">
      <alignment horizontal="general" vertical="bottom" textRotation="0" wrapText="false" indent="0" shrinkToFit="false"/>
      <protection locked="true" hidden="false"/>
    </xf>
    <xf numFmtId="171" fontId="9" fillId="0" borderId="0" xfId="15" applyFont="true" applyBorder="true" applyAlignment="true" applyProtection="true">
      <alignment horizontal="general" vertical="bottom" textRotation="0" wrapText="false" indent="0" shrinkToFit="false"/>
      <protection locked="true" hidden="false"/>
    </xf>
    <xf numFmtId="166" fontId="9" fillId="0" borderId="0" xfId="15" applyFont="true" applyBorder="true" applyAlignment="true" applyProtection="true">
      <alignment horizontal="left" vertical="bottom" textRotation="0" wrapText="false" indent="0" shrinkToFit="false"/>
      <protection locked="true" hidden="false"/>
    </xf>
    <xf numFmtId="166" fontId="11" fillId="0" borderId="0" xfId="15" applyFont="true" applyBorder="true" applyAlignment="true" applyProtection="true">
      <alignment horizontal="left" vertical="bottom" textRotation="0" wrapText="false" indent="0" shrinkToFit="false"/>
      <protection locked="true" hidden="false"/>
    </xf>
    <xf numFmtId="166" fontId="28" fillId="0" borderId="0" xfId="15" applyFont="true" applyBorder="true" applyAlignment="true" applyProtection="true">
      <alignment horizontal="right" vertical="bottom" textRotation="0" wrapText="false" indent="0" shrinkToFit="false"/>
      <protection locked="true" hidden="false"/>
    </xf>
    <xf numFmtId="166" fontId="29" fillId="0" borderId="0" xfId="15" applyFont="true" applyBorder="true" applyAlignment="true" applyProtection="true">
      <alignment horizontal="general" vertical="bottom" textRotation="0" wrapText="false" indent="0" shrinkToFit="false"/>
      <protection locked="true" hidden="false"/>
    </xf>
    <xf numFmtId="165" fontId="29" fillId="0" borderId="0" xfId="15" applyFont="true" applyBorder="true" applyAlignment="true" applyProtection="true">
      <alignment horizontal="general" vertical="bottom" textRotation="0" wrapText="false" indent="0" shrinkToFit="false"/>
      <protection locked="true" hidden="false"/>
    </xf>
    <xf numFmtId="171" fontId="29" fillId="0" borderId="0" xfId="15" applyFont="true" applyBorder="true" applyAlignment="true" applyProtection="tru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15" applyFont="true" applyBorder="true" applyAlignment="true" applyProtection="tru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26" fillId="0" borderId="0" xfId="0" applyFont="true" applyBorder="false" applyAlignment="false" applyProtection="false">
      <alignment horizontal="general" vertical="bottom" textRotation="0" wrapText="false" indent="0" shrinkToFit="false"/>
      <protection locked="true" hidden="false"/>
    </xf>
    <xf numFmtId="165" fontId="4" fillId="0" borderId="0" xfId="15" applyFont="true" applyBorder="true" applyAlignment="true" applyProtection="true">
      <alignment horizontal="center" vertical="bottom" textRotation="0" wrapText="false" indent="0" shrinkToFit="false"/>
      <protection locked="true" hidden="false"/>
    </xf>
    <xf numFmtId="165" fontId="13" fillId="0" borderId="0" xfId="0" applyFont="true" applyBorder="false" applyAlignment="true" applyProtection="false">
      <alignment horizontal="center" vertical="bottom" textRotation="0" wrapText="false" indent="0" shrinkToFit="false"/>
      <protection locked="true" hidden="false"/>
    </xf>
    <xf numFmtId="166" fontId="14" fillId="0" borderId="0" xfId="15" applyFont="true" applyBorder="true" applyAlignment="true" applyProtection="true">
      <alignment horizontal="general" vertical="bottom" textRotation="0" wrapText="false" indent="0" shrinkToFit="false"/>
      <protection locked="true" hidden="false"/>
    </xf>
    <xf numFmtId="166" fontId="13" fillId="0" borderId="0" xfId="15" applyFont="true" applyBorder="tru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bgColor rgb="FF000000"/>
        </patternFill>
      </fill>
    </dxf>
    <dxf>
      <fill>
        <patternFill patternType="solid">
          <fgColor rgb="FF000000"/>
          <bgColor rgb="FF000000"/>
        </patternFill>
      </fill>
    </dxf>
    <dxf>
      <fill>
        <patternFill patternType="solid">
          <fgColor rgb="FFF8CBAD"/>
          <bgColor rgb="FF000000"/>
        </patternFill>
      </fill>
    </dxf>
    <dxf>
      <fill>
        <patternFill patternType="solid">
          <fgColor rgb="FFDEEBF7"/>
          <bgColor rgb="FF000000"/>
        </patternFill>
      </fill>
    </dxf>
    <dxf>
      <fill>
        <patternFill patternType="solid">
          <fgColor rgb="FFFFE699"/>
          <bgColor rgb="FF000000"/>
        </patternFill>
      </fill>
    </dxf>
    <dxf>
      <fill>
        <patternFill patternType="solid">
          <fgColor rgb="FFFF0000"/>
          <bgColor rgb="FF000000"/>
        </patternFill>
      </fill>
    </dxf>
    <dxf>
      <fill>
        <patternFill patternType="solid">
          <fgColor rgb="FF7F7F7F"/>
          <bgColor rgb="FF000000"/>
        </patternFill>
      </fill>
    </dxf>
    <dxf>
      <fill>
        <patternFill patternType="solid">
          <fgColor rgb="FFFFFF00"/>
          <bgColor rgb="FF000000"/>
        </patternFill>
      </fill>
    </dxf>
    <dxf>
      <fill>
        <patternFill patternType="solid">
          <fgColor rgb="FFF2F2F2"/>
          <bgColor rgb="FF000000"/>
        </patternFill>
      </fill>
    </dxf>
    <dxf>
      <fill>
        <patternFill patternType="solid">
          <fgColor rgb="FFC5E0B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E2F0D9"/>
          <bgColor rgb="FF000000"/>
        </patternFill>
      </fill>
    </dxf>
    <dxf>
      <fill>
        <patternFill patternType="solid">
          <fgColor rgb="FFA6A6A6"/>
          <bgColor rgb="FF000000"/>
        </patternFill>
      </fill>
    </dxf>
    <dxf>
      <fill>
        <patternFill patternType="solid">
          <fgColor rgb="FFAFABAB"/>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AFABAB"/>
      <rgbColor rgb="FF993366"/>
      <rgbColor rgb="FFFFF2CC"/>
      <rgbColor rgb="FFDEEBF7"/>
      <rgbColor rgb="FF660066"/>
      <rgbColor rgb="FFFF8080"/>
      <rgbColor rgb="FF0066CC"/>
      <rgbColor rgb="FFC5E0B4"/>
      <rgbColor rgb="FF000080"/>
      <rgbColor rgb="FFFF00FF"/>
      <rgbColor rgb="FFFFFF00"/>
      <rgbColor rgb="FF00FFFF"/>
      <rgbColor rgb="FF800080"/>
      <rgbColor rgb="FF800000"/>
      <rgbColor rgb="FF008080"/>
      <rgbColor rgb="FF0000FF"/>
      <rgbColor rgb="FF00CCFF"/>
      <rgbColor rgb="FFE7E6E6"/>
      <rgbColor rgb="FFE2F0D9"/>
      <rgbColor rgb="FFFFE699"/>
      <rgbColor rgb="FF99CCFF"/>
      <rgbColor rgb="FFFBE5D6"/>
      <rgbColor rgb="FFCC99FF"/>
      <rgbColor rgb="FFF8CBAD"/>
      <rgbColor rgb="FF3366FF"/>
      <rgbColor rgb="FF33CCCC"/>
      <rgbColor rgb="FF73B04A"/>
      <rgbColor rgb="FFFFC000"/>
      <rgbColor rgb="FFFF9900"/>
      <rgbColor rgb="FFED7D31"/>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externalLink" Target="externalLinks/externalLink1.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Z:/Shared/Finance%20Control/Finance/83%20Lifer%20Govt%20Funds/FY2026/2026.03/2026.03%20Lifer%20Govt%20Funds%20270.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F270 CA1 Source Data"/>
      <sheetName val="CA1 ADP"/>
      <sheetName val="CA1 PC"/>
      <sheetName val="CA1 HQ"/>
      <sheetName val="FEMR Funds"/>
      <sheetName val="SF270 CA2 Source Data"/>
      <sheetName val="CA2 ADP"/>
      <sheetName val="CA2 HQ "/>
    </sheetNames>
    <sheetDataSet>
      <sheetData sheetId="0"/>
      <sheetData sheetId="1"/>
      <sheetData sheetId="2"/>
      <sheetData sheetId="3"/>
      <sheetData sheetId="4"/>
      <sheetData sheetId="5"/>
      <sheetData sheetId="6">
        <row r="145">
          <cell r="E145">
            <v>281025228.51</v>
          </cell>
        </row>
        <row r="147">
          <cell r="L147">
            <v>52438356</v>
          </cell>
        </row>
        <row r="147">
          <cell r="Q147">
            <v>33995199.59</v>
          </cell>
        </row>
        <row r="147">
          <cell r="V147">
            <v>41494539.2797067</v>
          </cell>
        </row>
        <row r="147">
          <cell r="AC147">
            <v>50844907.08</v>
          </cell>
        </row>
        <row r="147">
          <cell r="AK147">
            <v>55211826.58</v>
          </cell>
        </row>
        <row r="147">
          <cell r="AQ147">
            <v>8724031.45</v>
          </cell>
        </row>
      </sheetData>
      <sheetData sheetId="7">
        <row r="19">
          <cell r="C19">
            <v>27000000</v>
          </cell>
        </row>
        <row r="21">
          <cell r="J21">
            <v>8000000</v>
          </cell>
        </row>
        <row r="21">
          <cell r="O21">
            <v>7361412.12</v>
          </cell>
        </row>
        <row r="21">
          <cell r="R21">
            <v>7117587.88</v>
          </cell>
        </row>
        <row r="21">
          <cell r="T21">
            <v>4521000</v>
          </cell>
        </row>
        <row r="21">
          <cell r="Z21">
            <v>0</v>
          </cell>
        </row>
      </sheetData>
    </sheetDataSet>
  </externalBook>
</externalLink>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Z3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9" ySplit="6" topLeftCell="DH8" activePane="bottomRight" state="frozen"/>
      <selection pane="topLeft" activeCell="A1" activeCellId="0" sqref="A1"/>
      <selection pane="topRight" activeCell="DH1" activeCellId="0" sqref="DH1"/>
      <selection pane="bottomLeft" activeCell="A8" activeCellId="0" sqref="A8"/>
      <selection pane="bottomRight" activeCell="DN4" activeCellId="0" sqref="DN4"/>
    </sheetView>
  </sheetViews>
  <sheetFormatPr defaultColWidth="9.1484375" defaultRowHeight="13.8" zeroHeight="false" outlineLevelRow="0" outlineLevelCol="1"/>
  <cols>
    <col collapsed="false" customWidth="true" hidden="false" outlineLevel="0" max="1" min="1" style="1" width="12"/>
    <col collapsed="false" customWidth="true" hidden="false" outlineLevel="0" max="2" min="2" style="2" width="12.71"/>
    <col collapsed="false" customWidth="true" hidden="false" outlineLevel="0" max="3" min="3" style="2" width="10.57"/>
    <col collapsed="false" customWidth="true" hidden="false" outlineLevel="0" max="4" min="4" style="3" width="8.57"/>
    <col collapsed="false" customWidth="true" hidden="true" outlineLevel="1" max="5" min="5" style="2" width="113.71"/>
    <col collapsed="false" customWidth="true" hidden="false" outlineLevel="0" max="6" min="6" style="4" width="16"/>
    <col collapsed="false" customWidth="true" hidden="false" outlineLevel="0" max="7" min="7" style="4" width="9"/>
    <col collapsed="false" customWidth="true" hidden="false" outlineLevel="0" max="8" min="8" style="5" width="15.29"/>
    <col collapsed="false" customWidth="true" hidden="false" outlineLevel="0" max="9" min="9" style="5" width="14.57"/>
    <col collapsed="false" customWidth="true" hidden="false" outlineLevel="1" max="10" min="10" style="6" width="13.86"/>
    <col collapsed="false" customWidth="true" hidden="false" outlineLevel="1" max="11" min="11" style="6" width="12.57"/>
    <col collapsed="false" customWidth="true" hidden="false" outlineLevel="1" max="15" min="12" style="6" width="13.57"/>
    <col collapsed="false" customWidth="true" hidden="false" outlineLevel="0" max="17" min="16" style="6" width="14.42"/>
    <col collapsed="false" customWidth="true" hidden="false" outlineLevel="0" max="18" min="18" style="6" width="15.71"/>
    <col collapsed="false" customWidth="true" hidden="false" outlineLevel="1" max="19" min="19" style="6" width="13.86"/>
    <col collapsed="false" customWidth="true" hidden="false" outlineLevel="1" max="20" min="20" style="6" width="13.29"/>
    <col collapsed="false" customWidth="true" hidden="false" outlineLevel="1" max="21" min="21" style="6" width="15.71"/>
    <col collapsed="false" customWidth="true" hidden="false" outlineLevel="1" max="22" min="22" style="6" width="13.86"/>
    <col collapsed="false" customWidth="true" hidden="false" outlineLevel="1" max="23" min="23" style="6" width="13.29"/>
    <col collapsed="false" customWidth="true" hidden="false" outlineLevel="1" max="24" min="24" style="6" width="15.71"/>
    <col collapsed="false" customWidth="true" hidden="false" outlineLevel="1" max="26" min="25" style="6" width="14.29"/>
    <col collapsed="false" customWidth="true" hidden="false" outlineLevel="1" max="27" min="27" style="6" width="15.71"/>
    <col collapsed="false" customWidth="true" hidden="false" outlineLevel="1" max="28" min="28" style="6" width="13.86"/>
    <col collapsed="false" customWidth="true" hidden="false" outlineLevel="1" max="29" min="29" style="6" width="13.29"/>
    <col collapsed="false" customWidth="true" hidden="false" outlineLevel="1" max="30" min="30" style="6" width="15.71"/>
    <col collapsed="false" customWidth="true" hidden="false" outlineLevel="0" max="32" min="31" style="6" width="14.29"/>
    <col collapsed="false" customWidth="true" hidden="false" outlineLevel="0" max="33" min="33" style="6" width="15.71"/>
    <col collapsed="false" customWidth="true" hidden="false" outlineLevel="1" max="34" min="34" style="6" width="14.29"/>
    <col collapsed="false" customWidth="true" hidden="false" outlineLevel="1" max="35" min="35" style="6" width="13.57"/>
    <col collapsed="false" customWidth="true" hidden="false" outlineLevel="1" max="36" min="36" style="6" width="15.71"/>
    <col collapsed="false" customWidth="true" hidden="false" outlineLevel="1" max="37" min="37" style="6" width="13.86"/>
    <col collapsed="false" customWidth="true" hidden="false" outlineLevel="1" max="38" min="38" style="6" width="12.57"/>
    <col collapsed="false" customWidth="true" hidden="false" outlineLevel="1" max="39" min="39" style="6" width="15.71"/>
    <col collapsed="false" customWidth="true" hidden="false" outlineLevel="1" max="40" min="40" style="6" width="14.29"/>
    <col collapsed="false" customWidth="true" hidden="false" outlineLevel="1" max="41" min="41" style="6" width="13.57"/>
    <col collapsed="false" customWidth="true" hidden="false" outlineLevel="1" max="42" min="42" style="6" width="15.71"/>
    <col collapsed="false" customWidth="true" hidden="false" outlineLevel="1" max="43" min="43" style="6" width="13.86"/>
    <col collapsed="false" customWidth="true" hidden="false" outlineLevel="1" max="44" min="44" style="6" width="13.29"/>
    <col collapsed="false" customWidth="true" hidden="false" outlineLevel="1" max="45" min="45" style="6" width="15.71"/>
    <col collapsed="false" customWidth="true" hidden="false" outlineLevel="0" max="47" min="46" style="6" width="14.29"/>
    <col collapsed="false" customWidth="true" hidden="false" outlineLevel="0" max="48" min="48" style="6" width="15.71"/>
    <col collapsed="false" customWidth="true" hidden="false" outlineLevel="1" max="49" min="49" style="6" width="13.86"/>
    <col collapsed="false" customWidth="true" hidden="false" outlineLevel="1" max="50" min="50" style="6" width="13.29"/>
    <col collapsed="false" customWidth="true" hidden="false" outlineLevel="1" max="51" min="51" style="6" width="15.71"/>
    <col collapsed="false" customWidth="true" hidden="false" outlineLevel="1" max="52" min="52" style="6" width="13.86"/>
    <col collapsed="false" customWidth="true" hidden="false" outlineLevel="1" max="53" min="53" style="6" width="13.29"/>
    <col collapsed="false" customWidth="true" hidden="false" outlineLevel="1" max="54" min="54" style="6" width="15.71"/>
    <col collapsed="false" customWidth="true" hidden="false" outlineLevel="1" max="56" min="55" style="6" width="14.29"/>
    <col collapsed="false" customWidth="true" hidden="false" outlineLevel="1" max="57" min="57" style="6" width="15.71"/>
    <col collapsed="false" customWidth="true" hidden="false" outlineLevel="1" max="59" min="58" style="6" width="14.29"/>
    <col collapsed="false" customWidth="true" hidden="false" outlineLevel="1" max="60" min="60" style="6" width="15.71"/>
    <col collapsed="false" customWidth="true" hidden="false" outlineLevel="0" max="62" min="61" style="6" width="14.29"/>
    <col collapsed="false" customWidth="true" hidden="false" outlineLevel="0" max="63" min="63" style="6" width="15.71"/>
    <col collapsed="false" customWidth="true" hidden="false" outlineLevel="1" max="65" min="64" style="6" width="14.29"/>
    <col collapsed="false" customWidth="true" hidden="false" outlineLevel="1" max="66" min="66" style="6" width="15.71"/>
    <col collapsed="false" customWidth="true" hidden="false" outlineLevel="1" max="67" min="67" style="6" width="13.86"/>
    <col collapsed="false" customWidth="true" hidden="false" outlineLevel="1" max="68" min="68" style="6" width="13.29"/>
    <col collapsed="false" customWidth="true" hidden="false" outlineLevel="1" max="69" min="69" style="6" width="15.71"/>
    <col collapsed="false" customWidth="true" hidden="false" outlineLevel="1" max="71" min="70" style="6" width="14"/>
    <col collapsed="false" customWidth="true" hidden="false" outlineLevel="1" max="72" min="72" style="6" width="15.71"/>
    <col collapsed="false" customWidth="true" hidden="false" outlineLevel="1" max="74" min="73" style="6" width="14.29"/>
    <col collapsed="false" customWidth="true" hidden="false" outlineLevel="1" max="75" min="75" style="6" width="15.71"/>
    <col collapsed="false" customWidth="true" hidden="false" outlineLevel="0" max="77" min="76" style="6" width="14.42"/>
    <col collapsed="false" customWidth="true" hidden="false" outlineLevel="0" max="78" min="78" style="6" width="15.71"/>
    <col collapsed="false" customWidth="true" hidden="false" outlineLevel="1" max="79" min="79" style="6" width="13.86"/>
    <col collapsed="false" customWidth="true" hidden="false" outlineLevel="1" max="80" min="80" style="6" width="13.29"/>
    <col collapsed="false" customWidth="true" hidden="false" outlineLevel="1" max="81" min="81" style="6" width="15.71"/>
    <col collapsed="false" customWidth="true" hidden="false" outlineLevel="1" max="82" min="82" style="6" width="13.86"/>
    <col collapsed="false" customWidth="true" hidden="false" outlineLevel="1" max="83" min="83" style="6" width="13.29"/>
    <col collapsed="false" customWidth="true" hidden="false" outlineLevel="1" max="84" min="84" style="6" width="15.71"/>
    <col collapsed="false" customWidth="true" hidden="false" outlineLevel="1" max="86" min="85" style="6" width="14.29"/>
    <col collapsed="false" customWidth="true" hidden="false" outlineLevel="1" max="87" min="87" style="6" width="15.71"/>
    <col collapsed="false" customWidth="true" hidden="false" outlineLevel="1" max="89" min="88" style="6" width="14.29"/>
    <col collapsed="false" customWidth="true" hidden="false" outlineLevel="1" max="90" min="90" style="6" width="15.71"/>
    <col collapsed="false" customWidth="true" hidden="false" outlineLevel="0" max="92" min="91" style="6" width="14.29"/>
    <col collapsed="false" customWidth="true" hidden="false" outlineLevel="0" max="93" min="93" style="6" width="15.71"/>
    <col collapsed="false" customWidth="true" hidden="false" outlineLevel="1" max="94" min="94" style="6" width="13.86"/>
    <col collapsed="false" customWidth="true" hidden="false" outlineLevel="1" max="95" min="95" style="6" width="13.29"/>
    <col collapsed="false" customWidth="true" hidden="false" outlineLevel="1" max="96" min="96" style="6" width="15.71"/>
    <col collapsed="false" customWidth="true" hidden="false" outlineLevel="1" max="97" min="97" style="6" width="13.86"/>
    <col collapsed="false" customWidth="true" hidden="false" outlineLevel="1" max="98" min="98" style="6" width="13.29"/>
    <col collapsed="false" customWidth="true" hidden="false" outlineLevel="1" max="99" min="99" style="6" width="15.71"/>
    <col collapsed="false" customWidth="true" hidden="false" outlineLevel="1" max="100" min="100" style="6" width="13.86"/>
    <col collapsed="false" customWidth="true" hidden="false" outlineLevel="1" max="101" min="101" style="6" width="12.57"/>
    <col collapsed="false" customWidth="true" hidden="false" outlineLevel="1" max="102" min="102" style="6" width="15.71"/>
    <col collapsed="false" customWidth="true" hidden="false" outlineLevel="1" max="103" min="103" style="6" width="13.86"/>
    <col collapsed="false" customWidth="true" hidden="false" outlineLevel="1" max="104" min="104" style="6" width="12.57"/>
    <col collapsed="false" customWidth="true" hidden="false" outlineLevel="1" max="105" min="105" style="6" width="15.71"/>
    <col collapsed="false" customWidth="true" hidden="false" outlineLevel="0" max="106" min="106" style="6" width="13.86"/>
    <col collapsed="false" customWidth="true" hidden="false" outlineLevel="0" max="107" min="107" style="6" width="13.42"/>
    <col collapsed="false" customWidth="true" hidden="false" outlineLevel="0" max="108" min="108" style="6" width="15.71"/>
    <col collapsed="false" customWidth="true" hidden="false" outlineLevel="0" max="109" min="109" style="6" width="13.86"/>
    <col collapsed="false" customWidth="true" hidden="false" outlineLevel="0" max="110" min="110" style="6" width="13.29"/>
    <col collapsed="false" customWidth="true" hidden="false" outlineLevel="0" max="111" min="111" style="6" width="15.71"/>
    <col collapsed="false" customWidth="true" hidden="false" outlineLevel="0" max="112" min="112" style="6" width="13.86"/>
    <col collapsed="false" customWidth="true" hidden="false" outlineLevel="0" max="113" min="113" style="6" width="13.29"/>
    <col collapsed="false" customWidth="true" hidden="false" outlineLevel="0" max="114" min="114" style="6" width="15.71"/>
    <col collapsed="false" customWidth="true" hidden="false" outlineLevel="0" max="115" min="115" style="6" width="13.86"/>
    <col collapsed="false" customWidth="true" hidden="false" outlineLevel="0" max="116" min="116" style="6" width="12.57"/>
    <col collapsed="false" customWidth="true" hidden="false" outlineLevel="0" max="117" min="117" style="6" width="15.71"/>
    <col collapsed="false" customWidth="true" hidden="false" outlineLevel="0" max="118" min="118" style="6" width="13.86"/>
    <col collapsed="false" customWidth="true" hidden="false" outlineLevel="0" max="119" min="119" style="6" width="12.57"/>
    <col collapsed="false" customWidth="true" hidden="false" outlineLevel="0" max="120" min="120" style="6" width="15.71"/>
    <col collapsed="false" customWidth="true" hidden="false" outlineLevel="0" max="121" min="121" style="6" width="13.86"/>
    <col collapsed="false" customWidth="true" hidden="false" outlineLevel="0" max="122" min="122" style="6" width="13.42"/>
    <col collapsed="false" customWidth="true" hidden="false" outlineLevel="0" max="123" min="123" style="6" width="15.71"/>
    <col collapsed="false" customWidth="true" hidden="false" outlineLevel="0" max="124" min="124" style="2" width="15.29"/>
    <col collapsed="false" customWidth="true" hidden="false" outlineLevel="0" max="125" min="125" style="2" width="14.71"/>
    <col collapsed="false" customWidth="true" hidden="false" outlineLevel="0" max="126" min="126" style="2" width="15.71"/>
    <col collapsed="false" customWidth="true" hidden="false" outlineLevel="0" max="127" min="127" style="2" width="15.29"/>
    <col collapsed="false" customWidth="false" hidden="false" outlineLevel="0" max="16384" min="131" style="2" width="9.14"/>
  </cols>
  <sheetData>
    <row r="1" customFormat="false" ht="13.8" hidden="false" customHeight="false" outlineLevel="0" collapsed="false">
      <c r="A1" s="7" t="s">
        <v>0</v>
      </c>
      <c r="D1" s="8"/>
    </row>
    <row r="2" customFormat="false" ht="13.8" hidden="false" customHeight="false" outlineLevel="0" collapsed="false">
      <c r="A2" s="7" t="s">
        <v>1</v>
      </c>
      <c r="D2" s="8"/>
      <c r="H2" s="9"/>
      <c r="I2" s="10"/>
    </row>
    <row r="3" customFormat="false" ht="13.8" hidden="false" customHeight="false" outlineLevel="0" collapsed="false">
      <c r="A3" s="7" t="s">
        <v>2</v>
      </c>
      <c r="D3" s="8"/>
      <c r="H3" s="9"/>
      <c r="I3" s="10"/>
      <c r="J3" s="11" t="s">
        <v>3</v>
      </c>
      <c r="K3" s="11"/>
      <c r="L3" s="11"/>
      <c r="M3" s="11" t="s">
        <v>4</v>
      </c>
      <c r="N3" s="11"/>
      <c r="O3" s="11"/>
      <c r="P3" s="11"/>
      <c r="Q3" s="11"/>
      <c r="R3" s="11"/>
      <c r="S3" s="11" t="s">
        <v>5</v>
      </c>
      <c r="T3" s="11"/>
      <c r="U3" s="11"/>
      <c r="V3" s="11" t="s">
        <v>6</v>
      </c>
      <c r="W3" s="11"/>
      <c r="X3" s="11"/>
      <c r="Y3" s="11" t="s">
        <v>7</v>
      </c>
      <c r="Z3" s="11"/>
      <c r="AA3" s="11"/>
      <c r="AB3" s="11" t="s">
        <v>8</v>
      </c>
      <c r="AC3" s="11"/>
      <c r="AD3" s="11"/>
      <c r="AE3" s="11"/>
      <c r="AF3" s="11"/>
      <c r="AG3" s="11"/>
      <c r="AH3" s="11" t="s">
        <v>9</v>
      </c>
      <c r="AI3" s="11"/>
      <c r="AJ3" s="11"/>
      <c r="AK3" s="11" t="s">
        <v>10</v>
      </c>
      <c r="AL3" s="11"/>
      <c r="AM3" s="11"/>
      <c r="AN3" s="11" t="s">
        <v>11</v>
      </c>
      <c r="AO3" s="11"/>
      <c r="AP3" s="11"/>
      <c r="AQ3" s="11" t="s">
        <v>12</v>
      </c>
      <c r="AR3" s="11"/>
      <c r="AS3" s="11"/>
      <c r="AT3" s="11"/>
      <c r="AU3" s="11"/>
      <c r="AV3" s="11"/>
      <c r="AW3" s="11" t="s">
        <v>13</v>
      </c>
      <c r="AX3" s="11"/>
      <c r="AY3" s="11"/>
      <c r="AZ3" s="11" t="s">
        <v>14</v>
      </c>
      <c r="BA3" s="11"/>
      <c r="BB3" s="11"/>
      <c r="BC3" s="11" t="s">
        <v>15</v>
      </c>
      <c r="BD3" s="11"/>
      <c r="BE3" s="11"/>
      <c r="BF3" s="11" t="s">
        <v>16</v>
      </c>
      <c r="BG3" s="11"/>
      <c r="BH3" s="11"/>
      <c r="BI3" s="11"/>
      <c r="BJ3" s="11"/>
      <c r="BK3" s="11"/>
      <c r="BL3" s="11" t="s">
        <v>17</v>
      </c>
      <c r="BM3" s="11"/>
      <c r="BN3" s="11"/>
      <c r="BO3" s="11" t="s">
        <v>18</v>
      </c>
      <c r="BP3" s="11"/>
      <c r="BQ3" s="11"/>
      <c r="BR3" s="11" t="s">
        <v>19</v>
      </c>
      <c r="BS3" s="11"/>
      <c r="BT3" s="11"/>
      <c r="BU3" s="11" t="s">
        <v>20</v>
      </c>
      <c r="BV3" s="11"/>
      <c r="BW3" s="11"/>
      <c r="BX3" s="11"/>
      <c r="BY3" s="11"/>
      <c r="BZ3" s="11"/>
      <c r="CA3" s="11" t="s">
        <v>21</v>
      </c>
      <c r="CB3" s="11"/>
      <c r="CC3" s="11"/>
      <c r="CD3" s="11" t="s">
        <v>22</v>
      </c>
      <c r="CE3" s="11"/>
      <c r="CF3" s="11"/>
      <c r="CG3" s="11" t="s">
        <v>23</v>
      </c>
      <c r="CH3" s="11"/>
      <c r="CI3" s="11"/>
      <c r="CJ3" s="11" t="s">
        <v>24</v>
      </c>
      <c r="CK3" s="11"/>
      <c r="CL3" s="11"/>
      <c r="CM3" s="11"/>
      <c r="CN3" s="11"/>
      <c r="CO3" s="11"/>
      <c r="CP3" s="11" t="s">
        <v>25</v>
      </c>
      <c r="CQ3" s="11"/>
      <c r="CR3" s="11"/>
      <c r="CS3" s="11" t="s">
        <v>26</v>
      </c>
      <c r="CT3" s="11"/>
      <c r="CU3" s="11"/>
      <c r="CV3" s="11" t="s">
        <v>27</v>
      </c>
      <c r="CW3" s="11"/>
      <c r="CX3" s="11"/>
      <c r="CY3" s="11" t="s">
        <v>28</v>
      </c>
      <c r="CZ3" s="11"/>
      <c r="DA3" s="11"/>
      <c r="DB3" s="11"/>
      <c r="DC3" s="11"/>
      <c r="DD3" s="11"/>
      <c r="DE3" s="11" t="s">
        <v>29</v>
      </c>
      <c r="DF3" s="11"/>
      <c r="DG3" s="11"/>
      <c r="DH3" s="11" t="s">
        <v>30</v>
      </c>
      <c r="DI3" s="11"/>
      <c r="DJ3" s="11"/>
      <c r="DK3" s="11" t="s">
        <v>31</v>
      </c>
      <c r="DL3" s="11"/>
      <c r="DM3" s="11"/>
      <c r="DN3" s="11" t="s">
        <v>32</v>
      </c>
      <c r="DO3" s="11"/>
      <c r="DP3" s="11"/>
      <c r="DQ3" s="11"/>
      <c r="DR3" s="11"/>
      <c r="DS3" s="11"/>
    </row>
    <row r="4" customFormat="false" ht="13.8" hidden="false" customHeight="false" outlineLevel="0" collapsed="false">
      <c r="D4" s="8"/>
      <c r="H4" s="9"/>
      <c r="I4" s="10"/>
      <c r="J4" s="12" t="s">
        <v>33</v>
      </c>
      <c r="K4" s="12"/>
      <c r="L4" s="12"/>
      <c r="M4" s="12" t="s">
        <v>34</v>
      </c>
      <c r="N4" s="12"/>
      <c r="O4" s="12"/>
      <c r="P4" s="13" t="s">
        <v>35</v>
      </c>
      <c r="Q4" s="13"/>
      <c r="R4" s="13"/>
      <c r="S4" s="14" t="s">
        <v>36</v>
      </c>
      <c r="T4" s="14"/>
      <c r="U4" s="14"/>
      <c r="V4" s="14" t="s">
        <v>37</v>
      </c>
      <c r="W4" s="14"/>
      <c r="X4" s="14"/>
      <c r="Y4" s="14" t="s">
        <v>38</v>
      </c>
      <c r="Z4" s="14"/>
      <c r="AA4" s="14"/>
      <c r="AB4" s="14" t="s">
        <v>39</v>
      </c>
      <c r="AC4" s="14"/>
      <c r="AD4" s="14"/>
      <c r="AE4" s="13" t="s">
        <v>40</v>
      </c>
      <c r="AF4" s="13"/>
      <c r="AG4" s="13"/>
      <c r="AH4" s="12" t="s">
        <v>41</v>
      </c>
      <c r="AI4" s="12"/>
      <c r="AJ4" s="12"/>
      <c r="AK4" s="12" t="s">
        <v>42</v>
      </c>
      <c r="AL4" s="12"/>
      <c r="AM4" s="12"/>
      <c r="AN4" s="12" t="s">
        <v>43</v>
      </c>
      <c r="AO4" s="12"/>
      <c r="AP4" s="12"/>
      <c r="AQ4" s="12" t="s">
        <v>44</v>
      </c>
      <c r="AR4" s="12"/>
      <c r="AS4" s="12"/>
      <c r="AT4" s="13" t="s">
        <v>45</v>
      </c>
      <c r="AU4" s="13"/>
      <c r="AV4" s="13"/>
      <c r="AW4" s="14" t="s">
        <v>46</v>
      </c>
      <c r="AX4" s="14"/>
      <c r="AY4" s="14"/>
      <c r="AZ4" s="14" t="s">
        <v>47</v>
      </c>
      <c r="BA4" s="14"/>
      <c r="BB4" s="14"/>
      <c r="BC4" s="14" t="s">
        <v>48</v>
      </c>
      <c r="BD4" s="14"/>
      <c r="BE4" s="14"/>
      <c r="BF4" s="14" t="s">
        <v>49</v>
      </c>
      <c r="BG4" s="14"/>
      <c r="BH4" s="14"/>
      <c r="BI4" s="13" t="s">
        <v>50</v>
      </c>
      <c r="BJ4" s="13"/>
      <c r="BK4" s="13"/>
      <c r="BL4" s="12" t="s">
        <v>51</v>
      </c>
      <c r="BM4" s="12"/>
      <c r="BN4" s="12"/>
      <c r="BO4" s="12" t="s">
        <v>52</v>
      </c>
      <c r="BP4" s="12"/>
      <c r="BQ4" s="12"/>
      <c r="BR4" s="12" t="s">
        <v>53</v>
      </c>
      <c r="BS4" s="12"/>
      <c r="BT4" s="12"/>
      <c r="BU4" s="12" t="s">
        <v>54</v>
      </c>
      <c r="BV4" s="12"/>
      <c r="BW4" s="12"/>
      <c r="BX4" s="13" t="s">
        <v>55</v>
      </c>
      <c r="BY4" s="13"/>
      <c r="BZ4" s="13"/>
      <c r="CA4" s="15" t="s">
        <v>56</v>
      </c>
      <c r="CB4" s="15"/>
      <c r="CC4" s="15"/>
      <c r="CD4" s="14" t="s">
        <v>57</v>
      </c>
      <c r="CE4" s="14"/>
      <c r="CF4" s="14"/>
      <c r="CG4" s="14" t="s">
        <v>58</v>
      </c>
      <c r="CH4" s="14"/>
      <c r="CI4" s="14"/>
      <c r="CJ4" s="14" t="s">
        <v>59</v>
      </c>
      <c r="CK4" s="14"/>
      <c r="CL4" s="14"/>
      <c r="CM4" s="13" t="s">
        <v>60</v>
      </c>
      <c r="CN4" s="13"/>
      <c r="CO4" s="13"/>
      <c r="CP4" s="12" t="s">
        <v>61</v>
      </c>
      <c r="CQ4" s="12"/>
      <c r="CR4" s="12"/>
      <c r="CS4" s="12" t="s">
        <v>62</v>
      </c>
      <c r="CT4" s="12"/>
      <c r="CU4" s="12"/>
      <c r="CV4" s="12" t="s">
        <v>63</v>
      </c>
      <c r="CW4" s="12"/>
      <c r="CX4" s="12"/>
      <c r="CY4" s="12" t="s">
        <v>64</v>
      </c>
      <c r="CZ4" s="12"/>
      <c r="DA4" s="12"/>
      <c r="DB4" s="13" t="s">
        <v>65</v>
      </c>
      <c r="DC4" s="13"/>
      <c r="DD4" s="13"/>
      <c r="DE4" s="12" t="s">
        <v>66</v>
      </c>
      <c r="DF4" s="12"/>
      <c r="DG4" s="12"/>
      <c r="DH4" s="12" t="s">
        <v>67</v>
      </c>
      <c r="DI4" s="12"/>
      <c r="DJ4" s="12"/>
      <c r="DK4" s="12" t="s">
        <v>68</v>
      </c>
      <c r="DL4" s="12"/>
      <c r="DM4" s="12"/>
      <c r="DN4" s="12" t="s">
        <v>69</v>
      </c>
      <c r="DO4" s="12"/>
      <c r="DP4" s="12"/>
      <c r="DQ4" s="13" t="s">
        <v>65</v>
      </c>
      <c r="DR4" s="13"/>
      <c r="DS4" s="13"/>
      <c r="DT4" s="16" t="s">
        <v>70</v>
      </c>
      <c r="DU4" s="16"/>
      <c r="DV4" s="16"/>
    </row>
    <row r="5" customFormat="false" ht="13.8" hidden="false" customHeight="false" outlineLevel="0" collapsed="false">
      <c r="A5" s="2"/>
      <c r="D5" s="17"/>
      <c r="F5" s="2"/>
      <c r="G5" s="2"/>
      <c r="H5" s="18" t="s">
        <v>71</v>
      </c>
      <c r="I5" s="18" t="s">
        <v>72</v>
      </c>
      <c r="J5" s="18" t="s">
        <v>71</v>
      </c>
      <c r="K5" s="18" t="s">
        <v>72</v>
      </c>
      <c r="L5" s="18" t="s">
        <v>73</v>
      </c>
      <c r="M5" s="18" t="s">
        <v>71</v>
      </c>
      <c r="N5" s="18" t="s">
        <v>72</v>
      </c>
      <c r="O5" s="18" t="s">
        <v>73</v>
      </c>
      <c r="P5" s="18" t="s">
        <v>71</v>
      </c>
      <c r="Q5" s="18" t="s">
        <v>72</v>
      </c>
      <c r="R5" s="18" t="s">
        <v>73</v>
      </c>
      <c r="S5" s="18" t="s">
        <v>71</v>
      </c>
      <c r="T5" s="18" t="s">
        <v>72</v>
      </c>
      <c r="U5" s="18" t="s">
        <v>73</v>
      </c>
      <c r="V5" s="18" t="s">
        <v>71</v>
      </c>
      <c r="W5" s="18" t="s">
        <v>72</v>
      </c>
      <c r="X5" s="18" t="s">
        <v>73</v>
      </c>
      <c r="Y5" s="18" t="s">
        <v>71</v>
      </c>
      <c r="Z5" s="18" t="s">
        <v>72</v>
      </c>
      <c r="AA5" s="18" t="s">
        <v>73</v>
      </c>
      <c r="AB5" s="18" t="s">
        <v>71</v>
      </c>
      <c r="AC5" s="18" t="s">
        <v>72</v>
      </c>
      <c r="AD5" s="18" t="s">
        <v>73</v>
      </c>
      <c r="AE5" s="18" t="s">
        <v>71</v>
      </c>
      <c r="AF5" s="18" t="s">
        <v>72</v>
      </c>
      <c r="AG5" s="18" t="s">
        <v>73</v>
      </c>
      <c r="AH5" s="18" t="s">
        <v>71</v>
      </c>
      <c r="AI5" s="18" t="s">
        <v>72</v>
      </c>
      <c r="AJ5" s="18" t="s">
        <v>73</v>
      </c>
      <c r="AK5" s="18" t="s">
        <v>71</v>
      </c>
      <c r="AL5" s="18" t="s">
        <v>72</v>
      </c>
      <c r="AM5" s="18" t="s">
        <v>73</v>
      </c>
      <c r="AN5" s="18" t="s">
        <v>71</v>
      </c>
      <c r="AO5" s="18" t="s">
        <v>72</v>
      </c>
      <c r="AP5" s="18" t="s">
        <v>73</v>
      </c>
      <c r="AQ5" s="18" t="s">
        <v>71</v>
      </c>
      <c r="AR5" s="18" t="s">
        <v>72</v>
      </c>
      <c r="AS5" s="18" t="s">
        <v>73</v>
      </c>
      <c r="AT5" s="18" t="s">
        <v>71</v>
      </c>
      <c r="AU5" s="18" t="s">
        <v>72</v>
      </c>
      <c r="AV5" s="18" t="s">
        <v>73</v>
      </c>
      <c r="AW5" s="18" t="s">
        <v>71</v>
      </c>
      <c r="AX5" s="18" t="s">
        <v>72</v>
      </c>
      <c r="AY5" s="18" t="s">
        <v>73</v>
      </c>
      <c r="AZ5" s="18" t="s">
        <v>71</v>
      </c>
      <c r="BA5" s="18" t="s">
        <v>72</v>
      </c>
      <c r="BB5" s="18" t="s">
        <v>73</v>
      </c>
      <c r="BC5" s="18" t="s">
        <v>71</v>
      </c>
      <c r="BD5" s="18" t="s">
        <v>72</v>
      </c>
      <c r="BE5" s="18" t="s">
        <v>73</v>
      </c>
      <c r="BF5" s="18" t="s">
        <v>71</v>
      </c>
      <c r="BG5" s="18" t="s">
        <v>72</v>
      </c>
      <c r="BH5" s="18" t="s">
        <v>73</v>
      </c>
      <c r="BI5" s="18" t="s">
        <v>71</v>
      </c>
      <c r="BJ5" s="18" t="s">
        <v>72</v>
      </c>
      <c r="BK5" s="18" t="s">
        <v>73</v>
      </c>
      <c r="BL5" s="18" t="s">
        <v>71</v>
      </c>
      <c r="BM5" s="18" t="s">
        <v>72</v>
      </c>
      <c r="BN5" s="18" t="s">
        <v>73</v>
      </c>
      <c r="BO5" s="18" t="s">
        <v>71</v>
      </c>
      <c r="BP5" s="18" t="s">
        <v>72</v>
      </c>
      <c r="BQ5" s="18" t="s">
        <v>73</v>
      </c>
      <c r="BR5" s="18" t="s">
        <v>71</v>
      </c>
      <c r="BS5" s="18" t="s">
        <v>72</v>
      </c>
      <c r="BT5" s="18" t="s">
        <v>73</v>
      </c>
      <c r="BU5" s="18" t="s">
        <v>71</v>
      </c>
      <c r="BV5" s="18" t="s">
        <v>72</v>
      </c>
      <c r="BW5" s="18" t="s">
        <v>73</v>
      </c>
      <c r="BX5" s="18" t="s">
        <v>71</v>
      </c>
      <c r="BY5" s="18" t="s">
        <v>72</v>
      </c>
      <c r="BZ5" s="18" t="s">
        <v>73</v>
      </c>
      <c r="CA5" s="18" t="s">
        <v>71</v>
      </c>
      <c r="CB5" s="18" t="s">
        <v>72</v>
      </c>
      <c r="CC5" s="18" t="s">
        <v>73</v>
      </c>
      <c r="CD5" s="18" t="s">
        <v>71</v>
      </c>
      <c r="CE5" s="18" t="s">
        <v>72</v>
      </c>
      <c r="CF5" s="18" t="s">
        <v>73</v>
      </c>
      <c r="CG5" s="18" t="s">
        <v>71</v>
      </c>
      <c r="CH5" s="18" t="s">
        <v>72</v>
      </c>
      <c r="CI5" s="18" t="s">
        <v>73</v>
      </c>
      <c r="CJ5" s="18" t="s">
        <v>71</v>
      </c>
      <c r="CK5" s="18" t="s">
        <v>72</v>
      </c>
      <c r="CL5" s="18" t="s">
        <v>73</v>
      </c>
      <c r="CM5" s="18" t="s">
        <v>71</v>
      </c>
      <c r="CN5" s="18" t="s">
        <v>72</v>
      </c>
      <c r="CO5" s="18" t="s">
        <v>73</v>
      </c>
      <c r="CP5" s="18" t="s">
        <v>71</v>
      </c>
      <c r="CQ5" s="18" t="s">
        <v>72</v>
      </c>
      <c r="CR5" s="18" t="s">
        <v>73</v>
      </c>
      <c r="CS5" s="18" t="s">
        <v>71</v>
      </c>
      <c r="CT5" s="18" t="s">
        <v>72</v>
      </c>
      <c r="CU5" s="18" t="s">
        <v>73</v>
      </c>
      <c r="CV5" s="18" t="s">
        <v>71</v>
      </c>
      <c r="CW5" s="18" t="s">
        <v>72</v>
      </c>
      <c r="CX5" s="18" t="s">
        <v>73</v>
      </c>
      <c r="CY5" s="18" t="s">
        <v>71</v>
      </c>
      <c r="CZ5" s="18" t="s">
        <v>72</v>
      </c>
      <c r="DA5" s="18" t="s">
        <v>73</v>
      </c>
      <c r="DB5" s="18" t="s">
        <v>71</v>
      </c>
      <c r="DC5" s="18" t="s">
        <v>72</v>
      </c>
      <c r="DD5" s="18" t="s">
        <v>73</v>
      </c>
      <c r="DE5" s="18" t="s">
        <v>71</v>
      </c>
      <c r="DF5" s="18" t="s">
        <v>72</v>
      </c>
      <c r="DG5" s="18" t="s">
        <v>73</v>
      </c>
      <c r="DH5" s="18" t="s">
        <v>71</v>
      </c>
      <c r="DI5" s="18" t="s">
        <v>72</v>
      </c>
      <c r="DJ5" s="18" t="s">
        <v>73</v>
      </c>
      <c r="DK5" s="18" t="s">
        <v>71</v>
      </c>
      <c r="DL5" s="18" t="s">
        <v>72</v>
      </c>
      <c r="DM5" s="18" t="s">
        <v>73</v>
      </c>
      <c r="DN5" s="18" t="s">
        <v>71</v>
      </c>
      <c r="DO5" s="18" t="s">
        <v>72</v>
      </c>
      <c r="DP5" s="18" t="s">
        <v>73</v>
      </c>
      <c r="DQ5" s="18" t="s">
        <v>71</v>
      </c>
      <c r="DR5" s="18" t="s">
        <v>72</v>
      </c>
      <c r="DS5" s="18" t="s">
        <v>73</v>
      </c>
      <c r="DT5" s="18" t="s">
        <v>71</v>
      </c>
      <c r="DU5" s="18" t="s">
        <v>72</v>
      </c>
      <c r="DV5" s="18" t="s">
        <v>73</v>
      </c>
    </row>
    <row r="6" customFormat="false" ht="13.8" hidden="false" customHeight="false" outlineLevel="0" collapsed="false">
      <c r="A6" s="19" t="s">
        <v>74</v>
      </c>
      <c r="B6" s="20" t="s">
        <v>75</v>
      </c>
      <c r="C6" s="21" t="s">
        <v>76</v>
      </c>
      <c r="D6" s="22" t="s">
        <v>77</v>
      </c>
      <c r="E6" s="21" t="s">
        <v>78</v>
      </c>
      <c r="F6" s="23" t="s">
        <v>79</v>
      </c>
      <c r="G6" s="23" t="s">
        <v>80</v>
      </c>
      <c r="H6" s="24" t="s">
        <v>81</v>
      </c>
      <c r="I6" s="24" t="s">
        <v>82</v>
      </c>
      <c r="J6" s="25" t="s">
        <v>81</v>
      </c>
      <c r="K6" s="25" t="s">
        <v>82</v>
      </c>
      <c r="L6" s="24" t="s">
        <v>83</v>
      </c>
      <c r="M6" s="25" t="s">
        <v>81</v>
      </c>
      <c r="N6" s="25" t="s">
        <v>82</v>
      </c>
      <c r="O6" s="24" t="s">
        <v>83</v>
      </c>
      <c r="P6" s="25" t="s">
        <v>81</v>
      </c>
      <c r="Q6" s="25" t="s">
        <v>82</v>
      </c>
      <c r="R6" s="24" t="s">
        <v>83</v>
      </c>
      <c r="S6" s="25" t="s">
        <v>81</v>
      </c>
      <c r="T6" s="25" t="s">
        <v>82</v>
      </c>
      <c r="U6" s="24" t="s">
        <v>83</v>
      </c>
      <c r="V6" s="25" t="s">
        <v>81</v>
      </c>
      <c r="W6" s="25" t="s">
        <v>82</v>
      </c>
      <c r="X6" s="24" t="s">
        <v>83</v>
      </c>
      <c r="Y6" s="25" t="s">
        <v>81</v>
      </c>
      <c r="Z6" s="25" t="s">
        <v>82</v>
      </c>
      <c r="AA6" s="24" t="s">
        <v>83</v>
      </c>
      <c r="AB6" s="25" t="s">
        <v>81</v>
      </c>
      <c r="AC6" s="25" t="s">
        <v>82</v>
      </c>
      <c r="AD6" s="24" t="s">
        <v>83</v>
      </c>
      <c r="AE6" s="25" t="s">
        <v>81</v>
      </c>
      <c r="AF6" s="25" t="s">
        <v>82</v>
      </c>
      <c r="AG6" s="24" t="s">
        <v>83</v>
      </c>
      <c r="AH6" s="25" t="s">
        <v>81</v>
      </c>
      <c r="AI6" s="25" t="s">
        <v>82</v>
      </c>
      <c r="AJ6" s="24" t="s">
        <v>83</v>
      </c>
      <c r="AK6" s="25" t="s">
        <v>81</v>
      </c>
      <c r="AL6" s="25" t="s">
        <v>82</v>
      </c>
      <c r="AM6" s="24" t="s">
        <v>83</v>
      </c>
      <c r="AN6" s="25" t="s">
        <v>81</v>
      </c>
      <c r="AO6" s="25" t="s">
        <v>82</v>
      </c>
      <c r="AP6" s="24" t="s">
        <v>83</v>
      </c>
      <c r="AQ6" s="25" t="s">
        <v>81</v>
      </c>
      <c r="AR6" s="25" t="s">
        <v>82</v>
      </c>
      <c r="AS6" s="24" t="s">
        <v>83</v>
      </c>
      <c r="AT6" s="25" t="s">
        <v>81</v>
      </c>
      <c r="AU6" s="25" t="s">
        <v>82</v>
      </c>
      <c r="AV6" s="24" t="s">
        <v>83</v>
      </c>
      <c r="AW6" s="25" t="s">
        <v>81</v>
      </c>
      <c r="AX6" s="25" t="s">
        <v>82</v>
      </c>
      <c r="AY6" s="24" t="s">
        <v>83</v>
      </c>
      <c r="AZ6" s="25" t="s">
        <v>81</v>
      </c>
      <c r="BA6" s="25" t="s">
        <v>82</v>
      </c>
      <c r="BB6" s="24" t="s">
        <v>83</v>
      </c>
      <c r="BC6" s="25" t="s">
        <v>81</v>
      </c>
      <c r="BD6" s="25" t="s">
        <v>82</v>
      </c>
      <c r="BE6" s="24" t="s">
        <v>83</v>
      </c>
      <c r="BF6" s="25" t="s">
        <v>81</v>
      </c>
      <c r="BG6" s="25" t="s">
        <v>82</v>
      </c>
      <c r="BH6" s="24" t="s">
        <v>83</v>
      </c>
      <c r="BI6" s="25" t="s">
        <v>81</v>
      </c>
      <c r="BJ6" s="25" t="s">
        <v>82</v>
      </c>
      <c r="BK6" s="24" t="s">
        <v>83</v>
      </c>
      <c r="BL6" s="25" t="s">
        <v>81</v>
      </c>
      <c r="BM6" s="25" t="s">
        <v>82</v>
      </c>
      <c r="BN6" s="24" t="s">
        <v>83</v>
      </c>
      <c r="BO6" s="25" t="s">
        <v>81</v>
      </c>
      <c r="BP6" s="25" t="s">
        <v>82</v>
      </c>
      <c r="BQ6" s="24" t="s">
        <v>83</v>
      </c>
      <c r="BR6" s="25" t="s">
        <v>81</v>
      </c>
      <c r="BS6" s="25" t="s">
        <v>82</v>
      </c>
      <c r="BT6" s="24" t="s">
        <v>83</v>
      </c>
      <c r="BU6" s="25" t="s">
        <v>81</v>
      </c>
      <c r="BV6" s="25" t="s">
        <v>82</v>
      </c>
      <c r="BW6" s="24" t="s">
        <v>83</v>
      </c>
      <c r="BX6" s="25" t="s">
        <v>81</v>
      </c>
      <c r="BY6" s="25" t="s">
        <v>82</v>
      </c>
      <c r="BZ6" s="24" t="s">
        <v>83</v>
      </c>
      <c r="CA6" s="25" t="s">
        <v>81</v>
      </c>
      <c r="CB6" s="25" t="s">
        <v>82</v>
      </c>
      <c r="CC6" s="24" t="s">
        <v>83</v>
      </c>
      <c r="CD6" s="25" t="s">
        <v>81</v>
      </c>
      <c r="CE6" s="25" t="s">
        <v>82</v>
      </c>
      <c r="CF6" s="24" t="s">
        <v>83</v>
      </c>
      <c r="CG6" s="25" t="s">
        <v>81</v>
      </c>
      <c r="CH6" s="25" t="s">
        <v>82</v>
      </c>
      <c r="CI6" s="24" t="s">
        <v>83</v>
      </c>
      <c r="CJ6" s="25" t="s">
        <v>81</v>
      </c>
      <c r="CK6" s="25" t="s">
        <v>82</v>
      </c>
      <c r="CL6" s="24" t="s">
        <v>83</v>
      </c>
      <c r="CM6" s="25" t="s">
        <v>81</v>
      </c>
      <c r="CN6" s="25" t="s">
        <v>82</v>
      </c>
      <c r="CO6" s="24" t="s">
        <v>83</v>
      </c>
      <c r="CP6" s="25" t="s">
        <v>81</v>
      </c>
      <c r="CQ6" s="25" t="s">
        <v>82</v>
      </c>
      <c r="CR6" s="24" t="s">
        <v>83</v>
      </c>
      <c r="CS6" s="25" t="s">
        <v>81</v>
      </c>
      <c r="CT6" s="25" t="s">
        <v>82</v>
      </c>
      <c r="CU6" s="24" t="s">
        <v>83</v>
      </c>
      <c r="CV6" s="25" t="s">
        <v>81</v>
      </c>
      <c r="CW6" s="25" t="s">
        <v>82</v>
      </c>
      <c r="CX6" s="24" t="s">
        <v>83</v>
      </c>
      <c r="CY6" s="25" t="s">
        <v>81</v>
      </c>
      <c r="CZ6" s="25" t="s">
        <v>82</v>
      </c>
      <c r="DA6" s="24" t="s">
        <v>83</v>
      </c>
      <c r="DB6" s="25" t="s">
        <v>81</v>
      </c>
      <c r="DC6" s="25" t="s">
        <v>82</v>
      </c>
      <c r="DD6" s="24" t="s">
        <v>83</v>
      </c>
      <c r="DE6" s="25" t="s">
        <v>81</v>
      </c>
      <c r="DF6" s="25" t="s">
        <v>82</v>
      </c>
      <c r="DG6" s="24" t="s">
        <v>83</v>
      </c>
      <c r="DH6" s="25" t="s">
        <v>81</v>
      </c>
      <c r="DI6" s="25" t="s">
        <v>82</v>
      </c>
      <c r="DJ6" s="24" t="s">
        <v>83</v>
      </c>
      <c r="DK6" s="25" t="s">
        <v>81</v>
      </c>
      <c r="DL6" s="25" t="s">
        <v>82</v>
      </c>
      <c r="DM6" s="24" t="s">
        <v>83</v>
      </c>
      <c r="DN6" s="25" t="s">
        <v>81</v>
      </c>
      <c r="DO6" s="25" t="s">
        <v>82</v>
      </c>
      <c r="DP6" s="24" t="s">
        <v>83</v>
      </c>
      <c r="DQ6" s="25" t="s">
        <v>81</v>
      </c>
      <c r="DR6" s="25" t="s">
        <v>82</v>
      </c>
      <c r="DS6" s="24" t="s">
        <v>83</v>
      </c>
      <c r="DT6" s="25" t="s">
        <v>81</v>
      </c>
      <c r="DU6" s="25" t="s">
        <v>82</v>
      </c>
      <c r="DV6" s="24" t="s">
        <v>83</v>
      </c>
      <c r="DW6" s="26" t="s">
        <v>84</v>
      </c>
    </row>
    <row r="7" customFormat="false" ht="13.8" hidden="false" customHeight="false" outlineLevel="0" collapsed="false">
      <c r="A7" s="27" t="n">
        <v>44022</v>
      </c>
      <c r="B7" s="28" t="s">
        <v>85</v>
      </c>
      <c r="C7" s="28" t="s">
        <v>86</v>
      </c>
      <c r="D7" s="29" t="s">
        <v>87</v>
      </c>
      <c r="E7" s="28" t="s">
        <v>88</v>
      </c>
      <c r="F7" s="27" t="s">
        <v>89</v>
      </c>
      <c r="G7" s="27" t="s">
        <v>4</v>
      </c>
      <c r="H7" s="30" t="n">
        <v>27100000</v>
      </c>
      <c r="I7" s="30" t="n">
        <v>27100000</v>
      </c>
      <c r="J7" s="6" t="n">
        <v>0</v>
      </c>
      <c r="K7" s="6" t="n">
        <v>0</v>
      </c>
      <c r="L7" s="6" t="n">
        <v>0</v>
      </c>
      <c r="M7" s="30" t="n">
        <v>27100000</v>
      </c>
      <c r="N7" s="30" t="n">
        <v>27100000</v>
      </c>
      <c r="O7" s="6" t="n">
        <v>0</v>
      </c>
      <c r="P7" s="6" t="n">
        <f aca="false">+J7+M7</f>
        <v>27100000</v>
      </c>
      <c r="Q7" s="6" t="n">
        <f aca="false">+K7+N7</f>
        <v>27100000</v>
      </c>
      <c r="R7" s="6" t="n">
        <f aca="false">+L7+O7</f>
        <v>0</v>
      </c>
      <c r="S7" s="6" t="n">
        <v>0</v>
      </c>
      <c r="T7" s="6" t="n">
        <v>0</v>
      </c>
      <c r="U7" s="6" t="n">
        <v>5500000</v>
      </c>
      <c r="V7" s="6" t="n">
        <v>0</v>
      </c>
      <c r="W7" s="6" t="n">
        <v>0</v>
      </c>
      <c r="X7" s="6" t="n">
        <v>21600000</v>
      </c>
      <c r="Y7" s="6" t="n">
        <v>0</v>
      </c>
      <c r="Z7" s="6" t="n">
        <v>0</v>
      </c>
      <c r="AA7" s="6" t="n">
        <v>0</v>
      </c>
      <c r="AB7" s="6" t="n">
        <v>0</v>
      </c>
      <c r="AC7" s="6" t="n">
        <v>0</v>
      </c>
      <c r="AD7" s="6" t="n">
        <v>0</v>
      </c>
      <c r="AE7" s="6" t="n">
        <f aca="false">+Y7+AB7+S7+V7</f>
        <v>0</v>
      </c>
      <c r="AF7" s="6" t="n">
        <f aca="false">+Z7+AC7+T7+W7</f>
        <v>0</v>
      </c>
      <c r="AG7" s="6" t="n">
        <f aca="false">+AA7+AD7+U7+X7</f>
        <v>27100000</v>
      </c>
      <c r="AH7" s="6" t="n">
        <v>0</v>
      </c>
      <c r="AI7" s="6" t="n">
        <v>0</v>
      </c>
      <c r="AJ7" s="6" t="n">
        <v>0</v>
      </c>
      <c r="AK7" s="6" t="n">
        <v>0</v>
      </c>
      <c r="AL7" s="6" t="n">
        <v>0</v>
      </c>
      <c r="AM7" s="6" t="n">
        <v>0</v>
      </c>
      <c r="AN7" s="6" t="n">
        <v>0</v>
      </c>
      <c r="AO7" s="6" t="n">
        <v>0</v>
      </c>
      <c r="AP7" s="6" t="n">
        <v>0</v>
      </c>
      <c r="AQ7" s="6" t="n">
        <v>0</v>
      </c>
      <c r="AR7" s="6" t="n">
        <v>0</v>
      </c>
      <c r="AS7" s="6" t="n">
        <v>0</v>
      </c>
      <c r="AT7" s="6" t="n">
        <f aca="false">+AN7+AQ7+AH7+AK7</f>
        <v>0</v>
      </c>
      <c r="AU7" s="6" t="n">
        <f aca="false">+AO7+AR7+AI7+AL7</f>
        <v>0</v>
      </c>
      <c r="AV7" s="6" t="n">
        <f aca="false">+AP7+AS7+AJ7+AM7</f>
        <v>0</v>
      </c>
      <c r="AW7" s="6" t="n">
        <v>0</v>
      </c>
      <c r="AX7" s="6" t="n">
        <v>0</v>
      </c>
      <c r="AY7" s="6" t="n">
        <v>0</v>
      </c>
      <c r="AZ7" s="6" t="n">
        <v>0</v>
      </c>
      <c r="BA7" s="6" t="n">
        <v>0</v>
      </c>
      <c r="BB7" s="6" t="n">
        <v>0</v>
      </c>
      <c r="BC7" s="6" t="n">
        <v>0</v>
      </c>
      <c r="BD7" s="6" t="n">
        <v>0</v>
      </c>
      <c r="BE7" s="6" t="n">
        <v>0</v>
      </c>
      <c r="BF7" s="6" t="n">
        <v>0</v>
      </c>
      <c r="BG7" s="6" t="n">
        <v>0</v>
      </c>
      <c r="BH7" s="6" t="n">
        <v>0</v>
      </c>
      <c r="BI7" s="6" t="n">
        <f aca="false">+BC7+BF7+AW7+AZ7</f>
        <v>0</v>
      </c>
      <c r="BJ7" s="6" t="n">
        <f aca="false">+BD7+BG7+AX7+BA7</f>
        <v>0</v>
      </c>
      <c r="BK7" s="6" t="n">
        <f aca="false">+BE7+BH7+AY7+BB7</f>
        <v>0</v>
      </c>
      <c r="BL7" s="6" t="n">
        <v>0</v>
      </c>
      <c r="BM7" s="6" t="n">
        <v>0</v>
      </c>
      <c r="BN7" s="6" t="n">
        <v>0</v>
      </c>
      <c r="BO7" s="6" t="n">
        <v>0</v>
      </c>
      <c r="BP7" s="6" t="n">
        <v>0</v>
      </c>
      <c r="BQ7" s="6" t="n">
        <v>0</v>
      </c>
      <c r="BR7" s="6" t="n">
        <v>0</v>
      </c>
      <c r="BS7" s="6" t="n">
        <v>0</v>
      </c>
      <c r="BT7" s="6" t="n">
        <v>0</v>
      </c>
      <c r="BU7" s="6" t="n">
        <v>0</v>
      </c>
      <c r="BV7" s="6" t="n">
        <v>0</v>
      </c>
      <c r="BW7" s="6" t="n">
        <v>0</v>
      </c>
      <c r="BX7" s="6" t="n">
        <f aca="false">+BR7+BU7+BL7+BO7</f>
        <v>0</v>
      </c>
      <c r="BY7" s="6" t="n">
        <f aca="false">+BS7+BV7+BM7+BP7</f>
        <v>0</v>
      </c>
      <c r="BZ7" s="6" t="n">
        <f aca="false">+BT7+BW7+BN7+BQ7</f>
        <v>0</v>
      </c>
      <c r="CA7" s="6" t="n">
        <v>0</v>
      </c>
      <c r="CB7" s="6" t="n">
        <v>0</v>
      </c>
      <c r="CC7" s="6" t="n">
        <v>0</v>
      </c>
      <c r="CD7" s="6" t="n">
        <v>0</v>
      </c>
      <c r="CE7" s="6" t="n">
        <v>0</v>
      </c>
      <c r="CF7" s="6" t="n">
        <v>0</v>
      </c>
      <c r="CG7" s="6" t="n">
        <v>0</v>
      </c>
      <c r="CH7" s="6" t="n">
        <v>0</v>
      </c>
      <c r="CI7" s="6" t="n">
        <v>0</v>
      </c>
      <c r="CJ7" s="6" t="n">
        <v>0</v>
      </c>
      <c r="CK7" s="6" t="n">
        <v>0</v>
      </c>
      <c r="CL7" s="6" t="n">
        <v>0</v>
      </c>
      <c r="CM7" s="6" t="n">
        <f aca="false">+CG7+CJ7+CA7+CD7</f>
        <v>0</v>
      </c>
      <c r="CN7" s="6" t="n">
        <f aca="false">+CH7+CK7+CB7+CE7</f>
        <v>0</v>
      </c>
      <c r="CO7" s="6" t="n">
        <f aca="false">+CI7+CL7+CC7+CF7</f>
        <v>0</v>
      </c>
      <c r="CP7" s="6" t="n">
        <v>0</v>
      </c>
      <c r="CQ7" s="6" t="n">
        <v>0</v>
      </c>
      <c r="CR7" s="6" t="n">
        <v>0</v>
      </c>
      <c r="CS7" s="6" t="n">
        <v>0</v>
      </c>
      <c r="CT7" s="6" t="n">
        <v>0</v>
      </c>
      <c r="CU7" s="6" t="n">
        <v>0</v>
      </c>
      <c r="CV7" s="6" t="n">
        <v>0</v>
      </c>
      <c r="CW7" s="6" t="n">
        <v>0</v>
      </c>
      <c r="CX7" s="6" t="n">
        <v>0</v>
      </c>
      <c r="CY7" s="6" t="n">
        <v>0</v>
      </c>
      <c r="CZ7" s="6" t="n">
        <v>0</v>
      </c>
      <c r="DA7" s="6" t="n">
        <v>0</v>
      </c>
      <c r="DB7" s="6" t="n">
        <f aca="false">+CV7+CY7+CP7+CS7</f>
        <v>0</v>
      </c>
      <c r="DC7" s="6" t="n">
        <f aca="false">+CW7+CZ7+CQ7+CT7</f>
        <v>0</v>
      </c>
      <c r="DD7" s="6" t="n">
        <f aca="false">+CX7+DA7+CR7+CU7</f>
        <v>0</v>
      </c>
      <c r="DE7" s="6" t="n">
        <v>0</v>
      </c>
      <c r="DF7" s="6" t="n">
        <v>0</v>
      </c>
      <c r="DG7" s="6" t="n">
        <v>0</v>
      </c>
      <c r="DH7" s="6" t="n">
        <v>0</v>
      </c>
      <c r="DI7" s="6" t="n">
        <v>0</v>
      </c>
      <c r="DJ7" s="6" t="n">
        <v>0</v>
      </c>
      <c r="DK7" s="6" t="n">
        <v>0</v>
      </c>
      <c r="DL7" s="6" t="n">
        <v>0</v>
      </c>
      <c r="DM7" s="6" t="n">
        <v>0</v>
      </c>
      <c r="DN7" s="6" t="n">
        <v>0</v>
      </c>
      <c r="DO7" s="6" t="n">
        <v>0</v>
      </c>
      <c r="DP7" s="6" t="n">
        <v>0</v>
      </c>
      <c r="DQ7" s="6" t="n">
        <f aca="false">+DK7+DN7+DE7+DH7</f>
        <v>0</v>
      </c>
      <c r="DR7" s="6" t="n">
        <f aca="false">+DL7+DO7+DF7+DI7</f>
        <v>0</v>
      </c>
      <c r="DS7" s="6" t="n">
        <f aca="false">+DM7+DP7+DG7+DJ7</f>
        <v>0</v>
      </c>
      <c r="DT7" s="31" t="n">
        <f aca="false">+P7+AE7+AT7+BI7+BX7+CM7+DB7</f>
        <v>27100000</v>
      </c>
      <c r="DU7" s="31" t="n">
        <f aca="false">+Q7+AF7+AU7+BJ7+BY7+CN7+DC7</f>
        <v>27100000</v>
      </c>
      <c r="DV7" s="31" t="n">
        <f aca="false">+R7+AG7+AV7+BK7+BZ7+CO7+DD7</f>
        <v>27100000</v>
      </c>
      <c r="DW7" s="31" t="n">
        <f aca="false">+DU7-DV7</f>
        <v>0</v>
      </c>
    </row>
    <row r="8" customFormat="false" ht="13.8" hidden="false" customHeight="false" outlineLevel="0" collapsed="false">
      <c r="A8" s="27" t="n">
        <v>44028</v>
      </c>
      <c r="B8" s="28" t="s">
        <v>90</v>
      </c>
      <c r="C8" s="28" t="s">
        <v>91</v>
      </c>
      <c r="D8" s="29" t="s">
        <v>92</v>
      </c>
      <c r="E8" s="28" t="s">
        <v>93</v>
      </c>
      <c r="F8" s="27" t="s">
        <v>89</v>
      </c>
      <c r="G8" s="27" t="s">
        <v>4</v>
      </c>
      <c r="H8" s="30" t="n">
        <v>900000</v>
      </c>
      <c r="I8" s="30" t="n">
        <v>900000</v>
      </c>
      <c r="J8" s="6" t="n">
        <v>0</v>
      </c>
      <c r="K8" s="6" t="n">
        <v>0</v>
      </c>
      <c r="L8" s="6" t="n">
        <v>0</v>
      </c>
      <c r="M8" s="30" t="n">
        <v>900000</v>
      </c>
      <c r="N8" s="30" t="n">
        <v>900000</v>
      </c>
      <c r="O8" s="6" t="n">
        <v>0</v>
      </c>
      <c r="P8" s="6" t="n">
        <f aca="false">+J8+M8</f>
        <v>900000</v>
      </c>
      <c r="Q8" s="6" t="n">
        <f aca="false">+K8+N8</f>
        <v>900000</v>
      </c>
      <c r="R8" s="6" t="n">
        <f aca="false">+L8+O8</f>
        <v>0</v>
      </c>
      <c r="S8" s="6" t="n">
        <v>0</v>
      </c>
      <c r="T8" s="6" t="n">
        <v>0</v>
      </c>
      <c r="U8" s="6" t="n">
        <v>200000</v>
      </c>
      <c r="V8" s="6" t="n">
        <v>0</v>
      </c>
      <c r="W8" s="6" t="n">
        <v>0</v>
      </c>
      <c r="X8" s="6" t="n">
        <v>700000</v>
      </c>
      <c r="Y8" s="6" t="n">
        <v>0</v>
      </c>
      <c r="Z8" s="6" t="n">
        <v>0</v>
      </c>
      <c r="AA8" s="6" t="n">
        <v>0</v>
      </c>
      <c r="AB8" s="6" t="n">
        <v>0</v>
      </c>
      <c r="AC8" s="6" t="n">
        <v>0</v>
      </c>
      <c r="AD8" s="6" t="n">
        <v>0</v>
      </c>
      <c r="AE8" s="6" t="n">
        <f aca="false">+Y8+AB8+S8+V8</f>
        <v>0</v>
      </c>
      <c r="AF8" s="6" t="n">
        <f aca="false">+Z8+AC8+T8+W8</f>
        <v>0</v>
      </c>
      <c r="AG8" s="6" t="n">
        <f aca="false">+AA8+AD8+U8+X8</f>
        <v>900000</v>
      </c>
      <c r="AH8" s="6" t="n">
        <v>0</v>
      </c>
      <c r="AI8" s="6" t="n">
        <v>0</v>
      </c>
      <c r="AJ8" s="6" t="n">
        <v>0</v>
      </c>
      <c r="AK8" s="6" t="n">
        <v>0</v>
      </c>
      <c r="AL8" s="6" t="n">
        <v>0</v>
      </c>
      <c r="AM8" s="6" t="n">
        <v>0</v>
      </c>
      <c r="AN8" s="6" t="n">
        <v>0</v>
      </c>
      <c r="AO8" s="6" t="n">
        <v>0</v>
      </c>
      <c r="AP8" s="6" t="n">
        <v>0</v>
      </c>
      <c r="AQ8" s="6" t="n">
        <v>0</v>
      </c>
      <c r="AR8" s="6" t="n">
        <v>0</v>
      </c>
      <c r="AS8" s="6" t="n">
        <v>0</v>
      </c>
      <c r="AT8" s="6" t="n">
        <f aca="false">+AN8+AQ8+AH8+AK8</f>
        <v>0</v>
      </c>
      <c r="AU8" s="6" t="n">
        <f aca="false">+AO8+AR8+AI8+AL8</f>
        <v>0</v>
      </c>
      <c r="AV8" s="6" t="n">
        <f aca="false">+AP8+AS8+AJ8+AM8</f>
        <v>0</v>
      </c>
      <c r="AW8" s="6" t="n">
        <v>0</v>
      </c>
      <c r="AX8" s="6" t="n">
        <v>0</v>
      </c>
      <c r="AY8" s="6" t="n">
        <v>0</v>
      </c>
      <c r="AZ8" s="6" t="n">
        <v>0</v>
      </c>
      <c r="BA8" s="6" t="n">
        <v>0</v>
      </c>
      <c r="BB8" s="6" t="n">
        <v>0</v>
      </c>
      <c r="BC8" s="6" t="n">
        <v>0</v>
      </c>
      <c r="BD8" s="6" t="n">
        <v>0</v>
      </c>
      <c r="BE8" s="6" t="n">
        <v>0</v>
      </c>
      <c r="BF8" s="6" t="n">
        <v>0</v>
      </c>
      <c r="BG8" s="6" t="n">
        <v>0</v>
      </c>
      <c r="BH8" s="6" t="n">
        <v>0</v>
      </c>
      <c r="BI8" s="6" t="n">
        <f aca="false">+BC8+BF8+AW8+AZ8</f>
        <v>0</v>
      </c>
      <c r="BJ8" s="6" t="n">
        <f aca="false">+BD8+BG8+AX8+BA8</f>
        <v>0</v>
      </c>
      <c r="BK8" s="6" t="n">
        <f aca="false">+BE8+BH8+AY8+BB8</f>
        <v>0</v>
      </c>
      <c r="BL8" s="6" t="n">
        <v>0</v>
      </c>
      <c r="BM8" s="6" t="n">
        <v>0</v>
      </c>
      <c r="BN8" s="6" t="n">
        <v>0</v>
      </c>
      <c r="BO8" s="6" t="n">
        <v>0</v>
      </c>
      <c r="BP8" s="6" t="n">
        <v>0</v>
      </c>
      <c r="BQ8" s="6" t="n">
        <v>0</v>
      </c>
      <c r="BR8" s="6" t="n">
        <v>0</v>
      </c>
      <c r="BS8" s="6" t="n">
        <v>0</v>
      </c>
      <c r="BT8" s="6" t="n">
        <v>0</v>
      </c>
      <c r="BU8" s="6" t="n">
        <v>0</v>
      </c>
      <c r="BV8" s="6" t="n">
        <v>0</v>
      </c>
      <c r="BW8" s="6" t="n">
        <v>0</v>
      </c>
      <c r="BX8" s="6" t="n">
        <f aca="false">+BR8+BU8+BL8+BO8</f>
        <v>0</v>
      </c>
      <c r="BY8" s="6" t="n">
        <f aca="false">+BS8+BV8+BM8+BP8</f>
        <v>0</v>
      </c>
      <c r="BZ8" s="6" t="n">
        <f aca="false">+BT8+BW8+BN8+BQ8</f>
        <v>0</v>
      </c>
      <c r="CA8" s="6" t="n">
        <v>0</v>
      </c>
      <c r="CB8" s="6" t="n">
        <v>0</v>
      </c>
      <c r="CC8" s="6" t="n">
        <v>0</v>
      </c>
      <c r="CD8" s="6" t="n">
        <v>0</v>
      </c>
      <c r="CE8" s="6" t="n">
        <v>0</v>
      </c>
      <c r="CF8" s="6" t="n">
        <v>0</v>
      </c>
      <c r="CG8" s="6" t="n">
        <v>0</v>
      </c>
      <c r="CH8" s="6" t="n">
        <v>0</v>
      </c>
      <c r="CI8" s="6" t="n">
        <v>0</v>
      </c>
      <c r="CJ8" s="6" t="n">
        <v>0</v>
      </c>
      <c r="CK8" s="6" t="n">
        <v>0</v>
      </c>
      <c r="CL8" s="6" t="n">
        <v>0</v>
      </c>
      <c r="CM8" s="6" t="n">
        <f aca="false">+CG8+CJ8+CA8+CD8</f>
        <v>0</v>
      </c>
      <c r="CN8" s="6" t="n">
        <f aca="false">+CH8+CK8+CB8+CE8</f>
        <v>0</v>
      </c>
      <c r="CO8" s="6" t="n">
        <f aca="false">+CI8+CL8+CC8+CF8</f>
        <v>0</v>
      </c>
      <c r="CP8" s="6" t="n">
        <v>0</v>
      </c>
      <c r="CQ8" s="6" t="n">
        <v>0</v>
      </c>
      <c r="CR8" s="6" t="n">
        <v>0</v>
      </c>
      <c r="CS8" s="6" t="n">
        <v>0</v>
      </c>
      <c r="CT8" s="6" t="n">
        <v>0</v>
      </c>
      <c r="CU8" s="6" t="n">
        <v>0</v>
      </c>
      <c r="CV8" s="6" t="n">
        <v>0</v>
      </c>
      <c r="CW8" s="6" t="n">
        <v>0</v>
      </c>
      <c r="CX8" s="6" t="n">
        <v>0</v>
      </c>
      <c r="CY8" s="6" t="n">
        <v>0</v>
      </c>
      <c r="CZ8" s="6" t="n">
        <v>0</v>
      </c>
      <c r="DA8" s="6" t="n">
        <v>0</v>
      </c>
      <c r="DB8" s="6" t="n">
        <f aca="false">+CV8+CY8+CP8+CS8</f>
        <v>0</v>
      </c>
      <c r="DC8" s="6" t="n">
        <f aca="false">+CW8+CZ8+CQ8+CT8</f>
        <v>0</v>
      </c>
      <c r="DD8" s="6" t="n">
        <f aca="false">+CX8+DA8+CR8+CU8</f>
        <v>0</v>
      </c>
      <c r="DE8" s="6" t="n">
        <v>0</v>
      </c>
      <c r="DF8" s="6" t="n">
        <v>0</v>
      </c>
      <c r="DG8" s="6" t="n">
        <v>0</v>
      </c>
      <c r="DH8" s="6" t="n">
        <v>0</v>
      </c>
      <c r="DI8" s="6" t="n">
        <v>0</v>
      </c>
      <c r="DJ8" s="6" t="n">
        <v>0</v>
      </c>
      <c r="DK8" s="6" t="n">
        <v>0</v>
      </c>
      <c r="DL8" s="6" t="n">
        <v>0</v>
      </c>
      <c r="DM8" s="6" t="n">
        <v>0</v>
      </c>
      <c r="DN8" s="6" t="n">
        <v>0</v>
      </c>
      <c r="DO8" s="6" t="n">
        <v>0</v>
      </c>
      <c r="DP8" s="6" t="n">
        <v>0</v>
      </c>
      <c r="DQ8" s="6" t="n">
        <f aca="false">+DK8+DN8+DE8+DH8</f>
        <v>0</v>
      </c>
      <c r="DR8" s="6" t="n">
        <f aca="false">+DL8+DO8+DF8+DI8</f>
        <v>0</v>
      </c>
      <c r="DS8" s="6" t="n">
        <f aca="false">+DM8+DP8+DG8+DJ8</f>
        <v>0</v>
      </c>
      <c r="DT8" s="31" t="n">
        <f aca="false">+P8+AE8+AT8+BI8+BX8+CM8+DB8</f>
        <v>900000</v>
      </c>
      <c r="DU8" s="31" t="n">
        <f aca="false">+Q8+AF8+AU8+BJ8+BY8+CN8+DC8</f>
        <v>900000</v>
      </c>
      <c r="DV8" s="31" t="n">
        <f aca="false">+R8+AG8+AV8+BK8+BZ8+CO8+DD8</f>
        <v>900000</v>
      </c>
      <c r="DW8" s="31" t="n">
        <f aca="false">+DU8-DV8</f>
        <v>0</v>
      </c>
    </row>
    <row r="9" customFormat="false" ht="13.8" hidden="false" customHeight="false" outlineLevel="0" collapsed="false">
      <c r="A9" s="27" t="n">
        <v>44068</v>
      </c>
      <c r="B9" s="28" t="s">
        <v>94</v>
      </c>
      <c r="C9" s="28" t="s">
        <v>95</v>
      </c>
      <c r="D9" s="29" t="s">
        <v>96</v>
      </c>
      <c r="E9" s="28" t="s">
        <v>97</v>
      </c>
      <c r="F9" s="27" t="s">
        <v>98</v>
      </c>
      <c r="G9" s="27" t="s">
        <v>4</v>
      </c>
      <c r="H9" s="30" t="n">
        <v>5651000</v>
      </c>
      <c r="I9" s="30" t="n">
        <v>5651000</v>
      </c>
      <c r="J9" s="6" t="n">
        <v>0</v>
      </c>
      <c r="K9" s="6" t="n">
        <v>0</v>
      </c>
      <c r="L9" s="6" t="n">
        <v>0</v>
      </c>
      <c r="M9" s="30" t="n">
        <v>5651000</v>
      </c>
      <c r="N9" s="30" t="n">
        <v>5651000</v>
      </c>
      <c r="O9" s="6" t="n">
        <v>0</v>
      </c>
      <c r="P9" s="6" t="n">
        <f aca="false">+J9+M9</f>
        <v>5651000</v>
      </c>
      <c r="Q9" s="6" t="n">
        <f aca="false">+K9+N9</f>
        <v>5651000</v>
      </c>
      <c r="R9" s="6" t="n">
        <f aca="false">+L9+O9</f>
        <v>0</v>
      </c>
      <c r="S9" s="6" t="n">
        <v>0</v>
      </c>
      <c r="T9" s="6" t="n">
        <v>0</v>
      </c>
      <c r="U9" s="6" t="n">
        <v>900000</v>
      </c>
      <c r="V9" s="6" t="n">
        <v>0</v>
      </c>
      <c r="W9" s="6" t="n">
        <v>0</v>
      </c>
      <c r="X9" s="6" t="n">
        <v>1900000</v>
      </c>
      <c r="Y9" s="6" t="n">
        <v>0</v>
      </c>
      <c r="Z9" s="6" t="n">
        <v>0</v>
      </c>
      <c r="AA9" s="6" t="n">
        <v>0</v>
      </c>
      <c r="AB9" s="6" t="n">
        <v>0</v>
      </c>
      <c r="AC9" s="6" t="n">
        <v>0</v>
      </c>
      <c r="AD9" s="6" t="n">
        <v>1500000</v>
      </c>
      <c r="AE9" s="6" t="n">
        <f aca="false">+Y9+AB9+S9+V9</f>
        <v>0</v>
      </c>
      <c r="AF9" s="6" t="n">
        <f aca="false">+Z9+AC9+T9+W9</f>
        <v>0</v>
      </c>
      <c r="AG9" s="6" t="n">
        <f aca="false">+AA9+AD9+U9+X9</f>
        <v>4300000</v>
      </c>
      <c r="AH9" s="6" t="n">
        <v>0</v>
      </c>
      <c r="AI9" s="6" t="n">
        <v>0</v>
      </c>
      <c r="AJ9" s="6" t="n">
        <v>1351000</v>
      </c>
      <c r="AK9" s="6" t="n">
        <v>0</v>
      </c>
      <c r="AL9" s="6" t="n">
        <v>0</v>
      </c>
      <c r="AM9" s="6" t="n">
        <v>0</v>
      </c>
      <c r="AN9" s="6" t="n">
        <v>0</v>
      </c>
      <c r="AO9" s="6" t="n">
        <v>0</v>
      </c>
      <c r="AP9" s="6" t="n">
        <v>0</v>
      </c>
      <c r="AQ9" s="6" t="n">
        <v>0</v>
      </c>
      <c r="AR9" s="6" t="n">
        <v>0</v>
      </c>
      <c r="AS9" s="6" t="n">
        <v>0</v>
      </c>
      <c r="AT9" s="6" t="n">
        <f aca="false">+AN9+AQ9+AH9+AK9</f>
        <v>0</v>
      </c>
      <c r="AU9" s="6" t="n">
        <f aca="false">+AO9+AR9+AI9+AL9</f>
        <v>0</v>
      </c>
      <c r="AV9" s="6" t="n">
        <f aca="false">+AP9+AS9+AJ9+AM9</f>
        <v>1351000</v>
      </c>
      <c r="AW9" s="6" t="n">
        <v>0</v>
      </c>
      <c r="AX9" s="6" t="n">
        <v>0</v>
      </c>
      <c r="AY9" s="6" t="n">
        <v>0</v>
      </c>
      <c r="AZ9" s="6" t="n">
        <v>0</v>
      </c>
      <c r="BA9" s="6" t="n">
        <v>0</v>
      </c>
      <c r="BB9" s="6" t="n">
        <v>0</v>
      </c>
      <c r="BC9" s="6" t="n">
        <v>0</v>
      </c>
      <c r="BD9" s="6" t="n">
        <v>0</v>
      </c>
      <c r="BE9" s="6" t="n">
        <v>0</v>
      </c>
      <c r="BF9" s="6" t="n">
        <v>0</v>
      </c>
      <c r="BG9" s="6" t="n">
        <v>0</v>
      </c>
      <c r="BH9" s="6" t="n">
        <v>0</v>
      </c>
      <c r="BI9" s="6" t="n">
        <f aca="false">+BC9+BF9+AW9+AZ9</f>
        <v>0</v>
      </c>
      <c r="BJ9" s="6" t="n">
        <f aca="false">+BD9+BG9+AX9+BA9</f>
        <v>0</v>
      </c>
      <c r="BK9" s="6" t="n">
        <f aca="false">+BE9+BH9+AY9+BB9</f>
        <v>0</v>
      </c>
      <c r="BL9" s="6" t="n">
        <v>0</v>
      </c>
      <c r="BM9" s="6" t="n">
        <v>0</v>
      </c>
      <c r="BN9" s="6" t="n">
        <v>0</v>
      </c>
      <c r="BO9" s="6" t="n">
        <v>0</v>
      </c>
      <c r="BP9" s="6" t="n">
        <v>0</v>
      </c>
      <c r="BQ9" s="6" t="n">
        <v>0</v>
      </c>
      <c r="BR9" s="6" t="n">
        <v>0</v>
      </c>
      <c r="BS9" s="6" t="n">
        <v>0</v>
      </c>
      <c r="BT9" s="6" t="n">
        <v>0</v>
      </c>
      <c r="BU9" s="6" t="n">
        <v>0</v>
      </c>
      <c r="BV9" s="6" t="n">
        <v>0</v>
      </c>
      <c r="BW9" s="6" t="n">
        <v>0</v>
      </c>
      <c r="BX9" s="6" t="n">
        <f aca="false">+BR9+BU9+BL9+BO9</f>
        <v>0</v>
      </c>
      <c r="BY9" s="6" t="n">
        <f aca="false">+BS9+BV9+BM9+BP9</f>
        <v>0</v>
      </c>
      <c r="BZ9" s="6" t="n">
        <f aca="false">+BT9+BW9+BN9+BQ9</f>
        <v>0</v>
      </c>
      <c r="CA9" s="6" t="n">
        <v>0</v>
      </c>
      <c r="CB9" s="6" t="n">
        <v>0</v>
      </c>
      <c r="CC9" s="6" t="n">
        <v>0</v>
      </c>
      <c r="CD9" s="6" t="n">
        <v>0</v>
      </c>
      <c r="CE9" s="6" t="n">
        <v>0</v>
      </c>
      <c r="CF9" s="6" t="n">
        <v>0</v>
      </c>
      <c r="CG9" s="6" t="n">
        <v>0</v>
      </c>
      <c r="CH9" s="6" t="n">
        <v>0</v>
      </c>
      <c r="CI9" s="6" t="n">
        <v>0</v>
      </c>
      <c r="CJ9" s="6" t="n">
        <v>0</v>
      </c>
      <c r="CK9" s="6" t="n">
        <v>0</v>
      </c>
      <c r="CL9" s="6" t="n">
        <v>0</v>
      </c>
      <c r="CM9" s="6" t="n">
        <f aca="false">+CG9+CJ9+CA9+CD9</f>
        <v>0</v>
      </c>
      <c r="CN9" s="6" t="n">
        <f aca="false">+CH9+CK9+CB9+CE9</f>
        <v>0</v>
      </c>
      <c r="CO9" s="6" t="n">
        <f aca="false">+CI9+CL9+CC9+CF9</f>
        <v>0</v>
      </c>
      <c r="CP9" s="6" t="n">
        <v>0</v>
      </c>
      <c r="CQ9" s="6" t="n">
        <v>0</v>
      </c>
      <c r="CR9" s="6" t="n">
        <v>0</v>
      </c>
      <c r="CS9" s="6" t="n">
        <v>0</v>
      </c>
      <c r="CT9" s="6" t="n">
        <v>0</v>
      </c>
      <c r="CU9" s="6" t="n">
        <v>0</v>
      </c>
      <c r="CV9" s="6" t="n">
        <v>0</v>
      </c>
      <c r="CW9" s="6" t="n">
        <v>0</v>
      </c>
      <c r="CX9" s="6" t="n">
        <v>0</v>
      </c>
      <c r="CY9" s="6" t="n">
        <v>0</v>
      </c>
      <c r="CZ9" s="6" t="n">
        <v>0</v>
      </c>
      <c r="DA9" s="6" t="n">
        <v>0</v>
      </c>
      <c r="DB9" s="6" t="n">
        <f aca="false">+CV9+CY9+CP9+CS9</f>
        <v>0</v>
      </c>
      <c r="DC9" s="6" t="n">
        <f aca="false">+CW9+CZ9+CQ9+CT9</f>
        <v>0</v>
      </c>
      <c r="DD9" s="6" t="n">
        <f aca="false">+CX9+DA9+CR9+CU9</f>
        <v>0</v>
      </c>
      <c r="DE9" s="6" t="n">
        <v>0</v>
      </c>
      <c r="DF9" s="6" t="n">
        <v>0</v>
      </c>
      <c r="DG9" s="6" t="n">
        <v>0</v>
      </c>
      <c r="DH9" s="6" t="n">
        <v>0</v>
      </c>
      <c r="DI9" s="6" t="n">
        <v>0</v>
      </c>
      <c r="DJ9" s="6" t="n">
        <v>0</v>
      </c>
      <c r="DK9" s="6" t="n">
        <v>0</v>
      </c>
      <c r="DL9" s="6" t="n">
        <v>0</v>
      </c>
      <c r="DM9" s="6" t="n">
        <v>0</v>
      </c>
      <c r="DN9" s="6" t="n">
        <v>0</v>
      </c>
      <c r="DO9" s="6" t="n">
        <v>0</v>
      </c>
      <c r="DP9" s="6" t="n">
        <v>0</v>
      </c>
      <c r="DQ9" s="6" t="n">
        <f aca="false">+DK9+DN9+DE9+DH9</f>
        <v>0</v>
      </c>
      <c r="DR9" s="6" t="n">
        <f aca="false">+DL9+DO9+DF9+DI9</f>
        <v>0</v>
      </c>
      <c r="DS9" s="6" t="n">
        <f aca="false">+DM9+DP9+DG9+DJ9</f>
        <v>0</v>
      </c>
      <c r="DT9" s="31" t="n">
        <f aca="false">+P9+AE9+AT9+BI9+BX9+CM9+DB9</f>
        <v>5651000</v>
      </c>
      <c r="DU9" s="31" t="n">
        <f aca="false">+Q9+AF9+AU9+BJ9+BY9+CN9+DC9</f>
        <v>5651000</v>
      </c>
      <c r="DV9" s="31" t="n">
        <f aca="false">+R9+AG9+AV9+BK9+BZ9+CO9+DD9</f>
        <v>5651000</v>
      </c>
      <c r="DW9" s="31" t="n">
        <f aca="false">+DU9-DV9</f>
        <v>0</v>
      </c>
    </row>
    <row r="10" customFormat="false" ht="13.8" hidden="false" customHeight="false" outlineLevel="0" collapsed="false">
      <c r="A10" s="27" t="n">
        <v>44186</v>
      </c>
      <c r="B10" s="28" t="s">
        <v>99</v>
      </c>
      <c r="C10" s="28" t="s">
        <v>100</v>
      </c>
      <c r="D10" s="29" t="s">
        <v>101</v>
      </c>
      <c r="E10" s="28" t="s">
        <v>102</v>
      </c>
      <c r="F10" s="27" t="s">
        <v>103</v>
      </c>
      <c r="G10" s="27" t="s">
        <v>5</v>
      </c>
      <c r="H10" s="30" t="n">
        <v>1100000</v>
      </c>
      <c r="I10" s="30" t="n">
        <v>1100000</v>
      </c>
      <c r="J10" s="6" t="n">
        <v>0</v>
      </c>
      <c r="K10" s="6" t="n">
        <v>0</v>
      </c>
      <c r="L10" s="6" t="n">
        <v>0</v>
      </c>
      <c r="M10" s="6" t="n">
        <v>0</v>
      </c>
      <c r="N10" s="6" t="n">
        <v>0</v>
      </c>
      <c r="O10" s="6" t="n">
        <v>0</v>
      </c>
      <c r="P10" s="6" t="n">
        <f aca="false">+J10+M10</f>
        <v>0</v>
      </c>
      <c r="Q10" s="6" t="n">
        <f aca="false">+K10+N10</f>
        <v>0</v>
      </c>
      <c r="R10" s="6" t="n">
        <f aca="false">+L10+O10</f>
        <v>0</v>
      </c>
      <c r="S10" s="30" t="n">
        <v>1100000</v>
      </c>
      <c r="T10" s="30" t="n">
        <v>1100000</v>
      </c>
      <c r="U10" s="6" t="n">
        <v>0</v>
      </c>
      <c r="V10" s="6" t="n">
        <v>0</v>
      </c>
      <c r="W10" s="6" t="n">
        <v>0</v>
      </c>
      <c r="X10" s="6" t="n">
        <v>500000</v>
      </c>
      <c r="Y10" s="6" t="n">
        <v>0</v>
      </c>
      <c r="Z10" s="6" t="n">
        <v>0</v>
      </c>
      <c r="AA10" s="6" t="n">
        <v>0</v>
      </c>
      <c r="AB10" s="6" t="n">
        <v>0</v>
      </c>
      <c r="AC10" s="6" t="n">
        <v>0</v>
      </c>
      <c r="AD10" s="6" t="n">
        <v>600000</v>
      </c>
      <c r="AE10" s="6" t="n">
        <f aca="false">+Y10+AB10+S10+V10</f>
        <v>1100000</v>
      </c>
      <c r="AF10" s="6" t="n">
        <f aca="false">+Z10+AC10+T10+W10</f>
        <v>1100000</v>
      </c>
      <c r="AG10" s="6" t="n">
        <f aca="false">+AA10+AD10+U10+X10</f>
        <v>1100000</v>
      </c>
      <c r="AH10" s="6" t="n">
        <v>0</v>
      </c>
      <c r="AI10" s="6" t="n">
        <v>0</v>
      </c>
      <c r="AJ10" s="6" t="n">
        <v>0</v>
      </c>
      <c r="AK10" s="6" t="n">
        <v>0</v>
      </c>
      <c r="AL10" s="6" t="n">
        <v>0</v>
      </c>
      <c r="AM10" s="6" t="n">
        <v>0</v>
      </c>
      <c r="AN10" s="6" t="n">
        <v>0</v>
      </c>
      <c r="AO10" s="6" t="n">
        <v>0</v>
      </c>
      <c r="AP10" s="6" t="n">
        <v>0</v>
      </c>
      <c r="AQ10" s="6" t="n">
        <v>0</v>
      </c>
      <c r="AR10" s="6" t="n">
        <v>0</v>
      </c>
      <c r="AS10" s="6" t="n">
        <v>0</v>
      </c>
      <c r="AT10" s="6" t="n">
        <f aca="false">+AN10+AQ10+AH10+AK10</f>
        <v>0</v>
      </c>
      <c r="AU10" s="6" t="n">
        <f aca="false">+AO10+AR10+AI10+AL10</f>
        <v>0</v>
      </c>
      <c r="AV10" s="6" t="n">
        <f aca="false">+AP10+AS10+AJ10+AM10</f>
        <v>0</v>
      </c>
      <c r="AW10" s="6" t="n">
        <v>0</v>
      </c>
      <c r="AX10" s="6" t="n">
        <v>0</v>
      </c>
      <c r="AY10" s="6" t="n">
        <v>0</v>
      </c>
      <c r="AZ10" s="6" t="n">
        <v>0</v>
      </c>
      <c r="BA10" s="6" t="n">
        <v>0</v>
      </c>
      <c r="BB10" s="6" t="n">
        <v>0</v>
      </c>
      <c r="BC10" s="6" t="n">
        <v>0</v>
      </c>
      <c r="BD10" s="6" t="n">
        <v>0</v>
      </c>
      <c r="BE10" s="6" t="n">
        <v>0</v>
      </c>
      <c r="BF10" s="6" t="n">
        <v>0</v>
      </c>
      <c r="BG10" s="6" t="n">
        <v>0</v>
      </c>
      <c r="BH10" s="6" t="n">
        <v>0</v>
      </c>
      <c r="BI10" s="6" t="n">
        <f aca="false">+BC10+BF10+AW10+AZ10</f>
        <v>0</v>
      </c>
      <c r="BJ10" s="6" t="n">
        <f aca="false">+BD10+BG10+AX10+BA10</f>
        <v>0</v>
      </c>
      <c r="BK10" s="6" t="n">
        <f aca="false">+BE10+BH10+AY10+BB10</f>
        <v>0</v>
      </c>
      <c r="BL10" s="6" t="n">
        <v>0</v>
      </c>
      <c r="BM10" s="6" t="n">
        <v>0</v>
      </c>
      <c r="BN10" s="6" t="n">
        <v>0</v>
      </c>
      <c r="BO10" s="6" t="n">
        <v>0</v>
      </c>
      <c r="BP10" s="6" t="n">
        <v>0</v>
      </c>
      <c r="BQ10" s="6" t="n">
        <v>0</v>
      </c>
      <c r="BR10" s="6" t="n">
        <v>0</v>
      </c>
      <c r="BS10" s="6" t="n">
        <v>0</v>
      </c>
      <c r="BT10" s="6" t="n">
        <v>0</v>
      </c>
      <c r="BU10" s="6" t="n">
        <v>0</v>
      </c>
      <c r="BV10" s="6" t="n">
        <v>0</v>
      </c>
      <c r="BW10" s="6" t="n">
        <v>0</v>
      </c>
      <c r="BX10" s="6" t="n">
        <f aca="false">+BR10+BU10+BL10+BO10</f>
        <v>0</v>
      </c>
      <c r="BY10" s="6" t="n">
        <f aca="false">+BS10+BV10+BM10+BP10</f>
        <v>0</v>
      </c>
      <c r="BZ10" s="6" t="n">
        <f aca="false">+BT10+BW10+BN10+BQ10</f>
        <v>0</v>
      </c>
      <c r="CA10" s="6" t="n">
        <v>0</v>
      </c>
      <c r="CB10" s="6" t="n">
        <v>0</v>
      </c>
      <c r="CC10" s="6" t="n">
        <v>0</v>
      </c>
      <c r="CD10" s="6" t="n">
        <v>0</v>
      </c>
      <c r="CE10" s="6" t="n">
        <v>0</v>
      </c>
      <c r="CF10" s="6" t="n">
        <v>0</v>
      </c>
      <c r="CG10" s="6" t="n">
        <v>0</v>
      </c>
      <c r="CH10" s="6" t="n">
        <v>0</v>
      </c>
      <c r="CI10" s="6" t="n">
        <v>0</v>
      </c>
      <c r="CJ10" s="6" t="n">
        <v>0</v>
      </c>
      <c r="CK10" s="6" t="n">
        <v>0</v>
      </c>
      <c r="CL10" s="6" t="n">
        <v>0</v>
      </c>
      <c r="CM10" s="6" t="n">
        <f aca="false">+CG10+CJ10+CA10+CD10</f>
        <v>0</v>
      </c>
      <c r="CN10" s="6" t="n">
        <f aca="false">+CH10+CK10+CB10+CE10</f>
        <v>0</v>
      </c>
      <c r="CO10" s="6" t="n">
        <f aca="false">+CI10+CL10+CC10+CF10</f>
        <v>0</v>
      </c>
      <c r="CP10" s="6" t="n">
        <v>0</v>
      </c>
      <c r="CQ10" s="6" t="n">
        <v>0</v>
      </c>
      <c r="CR10" s="6" t="n">
        <v>0</v>
      </c>
      <c r="CS10" s="6" t="n">
        <v>0</v>
      </c>
      <c r="CT10" s="6" t="n">
        <v>0</v>
      </c>
      <c r="CU10" s="6" t="n">
        <v>0</v>
      </c>
      <c r="CV10" s="6" t="n">
        <v>0</v>
      </c>
      <c r="CW10" s="6" t="n">
        <v>0</v>
      </c>
      <c r="CX10" s="6" t="n">
        <v>0</v>
      </c>
      <c r="CY10" s="6" t="n">
        <v>0</v>
      </c>
      <c r="CZ10" s="6" t="n">
        <v>0</v>
      </c>
      <c r="DA10" s="6" t="n">
        <v>0</v>
      </c>
      <c r="DB10" s="6" t="n">
        <f aca="false">+CV10+CY10+CP10+CS10</f>
        <v>0</v>
      </c>
      <c r="DC10" s="6" t="n">
        <f aca="false">+CW10+CZ10+CQ10+CT10</f>
        <v>0</v>
      </c>
      <c r="DD10" s="6" t="n">
        <f aca="false">+CX10+DA10+CR10+CU10</f>
        <v>0</v>
      </c>
      <c r="DE10" s="6" t="n">
        <v>0</v>
      </c>
      <c r="DF10" s="6" t="n">
        <v>0</v>
      </c>
      <c r="DG10" s="6" t="n">
        <v>0</v>
      </c>
      <c r="DH10" s="6" t="n">
        <v>0</v>
      </c>
      <c r="DI10" s="6" t="n">
        <v>0</v>
      </c>
      <c r="DJ10" s="6" t="n">
        <v>0</v>
      </c>
      <c r="DK10" s="6" t="n">
        <v>0</v>
      </c>
      <c r="DL10" s="6" t="n">
        <v>0</v>
      </c>
      <c r="DM10" s="6" t="n">
        <v>0</v>
      </c>
      <c r="DN10" s="6" t="n">
        <v>0</v>
      </c>
      <c r="DO10" s="6" t="n">
        <v>0</v>
      </c>
      <c r="DP10" s="6" t="n">
        <v>0</v>
      </c>
      <c r="DQ10" s="6" t="n">
        <f aca="false">+DK10+DN10+DE10+DH10</f>
        <v>0</v>
      </c>
      <c r="DR10" s="6" t="n">
        <f aca="false">+DL10+DO10+DF10+DI10</f>
        <v>0</v>
      </c>
      <c r="DS10" s="6" t="n">
        <f aca="false">+DM10+DP10+DG10+DJ10</f>
        <v>0</v>
      </c>
      <c r="DT10" s="31" t="n">
        <f aca="false">+P10+AE10+AT10+BI10+BX10+CM10+DB10</f>
        <v>1100000</v>
      </c>
      <c r="DU10" s="31" t="n">
        <f aca="false">+Q10+AF10+AU10+BJ10+BY10+CN10+DC10</f>
        <v>1100000</v>
      </c>
      <c r="DV10" s="31" t="n">
        <f aca="false">+R10+AG10+AV10+BK10+BZ10+CO10+DD10</f>
        <v>1100000</v>
      </c>
      <c r="DW10" s="31" t="n">
        <f aca="false">+DU10-DV10</f>
        <v>0</v>
      </c>
    </row>
    <row r="11" customFormat="false" ht="13.8" hidden="false" customHeight="false" outlineLevel="0" collapsed="false">
      <c r="A11" s="27" t="n">
        <v>44022</v>
      </c>
      <c r="B11" s="28" t="s">
        <v>104</v>
      </c>
      <c r="C11" s="28" t="s">
        <v>105</v>
      </c>
      <c r="D11" s="29" t="s">
        <v>106</v>
      </c>
      <c r="E11" s="28" t="s">
        <v>107</v>
      </c>
      <c r="F11" s="27" t="s">
        <v>89</v>
      </c>
      <c r="G11" s="27" t="s">
        <v>4</v>
      </c>
      <c r="H11" s="30" t="n">
        <v>1000000</v>
      </c>
      <c r="I11" s="30" t="n">
        <v>1000000</v>
      </c>
      <c r="J11" s="6" t="n">
        <v>0</v>
      </c>
      <c r="K11" s="6" t="n">
        <v>0</v>
      </c>
      <c r="L11" s="6" t="n">
        <v>0</v>
      </c>
      <c r="M11" s="30" t="n">
        <v>1000000</v>
      </c>
      <c r="N11" s="30" t="n">
        <v>1000000</v>
      </c>
      <c r="O11" s="6" t="n">
        <v>0</v>
      </c>
      <c r="P11" s="6" t="n">
        <f aca="false">+J11+M11</f>
        <v>1000000</v>
      </c>
      <c r="Q11" s="6" t="n">
        <f aca="false">+K11+N11</f>
        <v>1000000</v>
      </c>
      <c r="R11" s="6" t="n">
        <f aca="false">+L11+O11</f>
        <v>0</v>
      </c>
      <c r="S11" s="6" t="n">
        <v>0</v>
      </c>
      <c r="T11" s="6" t="n">
        <v>0</v>
      </c>
      <c r="U11" s="6" t="n">
        <v>750000</v>
      </c>
      <c r="V11" s="6" t="n">
        <v>0</v>
      </c>
      <c r="W11" s="6" t="n">
        <v>0</v>
      </c>
      <c r="X11" s="6" t="n">
        <v>250000</v>
      </c>
      <c r="Y11" s="6" t="n">
        <v>0</v>
      </c>
      <c r="Z11" s="6" t="n">
        <v>0</v>
      </c>
      <c r="AA11" s="6" t="n">
        <v>0</v>
      </c>
      <c r="AB11" s="6" t="n">
        <v>0</v>
      </c>
      <c r="AC11" s="6" t="n">
        <v>0</v>
      </c>
      <c r="AD11" s="6" t="n">
        <v>0</v>
      </c>
      <c r="AE11" s="6" t="n">
        <f aca="false">+Y11+AB11+S11+V11</f>
        <v>0</v>
      </c>
      <c r="AF11" s="6" t="n">
        <f aca="false">+Z11+AC11+T11+W11</f>
        <v>0</v>
      </c>
      <c r="AG11" s="6" t="n">
        <f aca="false">+AA11+AD11+U11+X11</f>
        <v>1000000</v>
      </c>
      <c r="AH11" s="6" t="n">
        <v>0</v>
      </c>
      <c r="AI11" s="6" t="n">
        <v>0</v>
      </c>
      <c r="AJ11" s="6" t="n">
        <v>0</v>
      </c>
      <c r="AK11" s="6" t="n">
        <v>0</v>
      </c>
      <c r="AL11" s="6" t="n">
        <v>0</v>
      </c>
      <c r="AM11" s="6" t="n">
        <v>0</v>
      </c>
      <c r="AN11" s="6" t="n">
        <v>0</v>
      </c>
      <c r="AO11" s="6" t="n">
        <v>0</v>
      </c>
      <c r="AP11" s="6" t="n">
        <v>0</v>
      </c>
      <c r="AQ11" s="6" t="n">
        <v>0</v>
      </c>
      <c r="AR11" s="6" t="n">
        <v>0</v>
      </c>
      <c r="AS11" s="6" t="n">
        <v>0</v>
      </c>
      <c r="AT11" s="6" t="n">
        <f aca="false">+AN11+AQ11+AH11+AK11</f>
        <v>0</v>
      </c>
      <c r="AU11" s="6" t="n">
        <f aca="false">+AO11+AR11+AI11+AL11</f>
        <v>0</v>
      </c>
      <c r="AV11" s="6" t="n">
        <f aca="false">+AP11+AS11+AJ11+AM11</f>
        <v>0</v>
      </c>
      <c r="AW11" s="6" t="n">
        <v>0</v>
      </c>
      <c r="AX11" s="6" t="n">
        <v>0</v>
      </c>
      <c r="AY11" s="6" t="n">
        <v>0</v>
      </c>
      <c r="AZ11" s="6" t="n">
        <v>0</v>
      </c>
      <c r="BA11" s="6" t="n">
        <v>0</v>
      </c>
      <c r="BB11" s="6" t="n">
        <v>0</v>
      </c>
      <c r="BC11" s="6" t="n">
        <v>0</v>
      </c>
      <c r="BD11" s="6" t="n">
        <v>0</v>
      </c>
      <c r="BE11" s="6" t="n">
        <v>0</v>
      </c>
      <c r="BF11" s="6" t="n">
        <v>0</v>
      </c>
      <c r="BG11" s="6" t="n">
        <v>0</v>
      </c>
      <c r="BH11" s="6" t="n">
        <v>0</v>
      </c>
      <c r="BI11" s="6" t="n">
        <f aca="false">+BC11+BF11+AW11+AZ11</f>
        <v>0</v>
      </c>
      <c r="BJ11" s="6" t="n">
        <f aca="false">+BD11+BG11+AX11+BA11</f>
        <v>0</v>
      </c>
      <c r="BK11" s="6" t="n">
        <f aca="false">+BE11+BH11+AY11+BB11</f>
        <v>0</v>
      </c>
      <c r="BL11" s="6" t="n">
        <v>0</v>
      </c>
      <c r="BM11" s="6" t="n">
        <v>0</v>
      </c>
      <c r="BN11" s="6" t="n">
        <v>0</v>
      </c>
      <c r="BO11" s="6" t="n">
        <v>0</v>
      </c>
      <c r="BP11" s="6" t="n">
        <v>0</v>
      </c>
      <c r="BQ11" s="6" t="n">
        <v>0</v>
      </c>
      <c r="BR11" s="6" t="n">
        <v>0</v>
      </c>
      <c r="BS11" s="6" t="n">
        <v>0</v>
      </c>
      <c r="BT11" s="6" t="n">
        <v>0</v>
      </c>
      <c r="BU11" s="6" t="n">
        <v>0</v>
      </c>
      <c r="BV11" s="6" t="n">
        <v>0</v>
      </c>
      <c r="BW11" s="6" t="n">
        <v>0</v>
      </c>
      <c r="BX11" s="6" t="n">
        <f aca="false">+BR11+BU11+BL11+BO11</f>
        <v>0</v>
      </c>
      <c r="BY11" s="6" t="n">
        <f aca="false">+BS11+BV11+BM11+BP11</f>
        <v>0</v>
      </c>
      <c r="BZ11" s="6" t="n">
        <f aca="false">+BT11+BW11+BN11+BQ11</f>
        <v>0</v>
      </c>
      <c r="CA11" s="6" t="n">
        <v>0</v>
      </c>
      <c r="CB11" s="6" t="n">
        <v>0</v>
      </c>
      <c r="CC11" s="6" t="n">
        <v>0</v>
      </c>
      <c r="CD11" s="6" t="n">
        <v>0</v>
      </c>
      <c r="CE11" s="6" t="n">
        <v>0</v>
      </c>
      <c r="CF11" s="6" t="n">
        <v>0</v>
      </c>
      <c r="CG11" s="6" t="n">
        <v>0</v>
      </c>
      <c r="CH11" s="6" t="n">
        <v>0</v>
      </c>
      <c r="CI11" s="6" t="n">
        <v>0</v>
      </c>
      <c r="CJ11" s="6" t="n">
        <v>0</v>
      </c>
      <c r="CK11" s="6" t="n">
        <v>0</v>
      </c>
      <c r="CL11" s="6" t="n">
        <v>0</v>
      </c>
      <c r="CM11" s="6" t="n">
        <f aca="false">+CG11+CJ11+CA11+CD11</f>
        <v>0</v>
      </c>
      <c r="CN11" s="6" t="n">
        <f aca="false">+CH11+CK11+CB11+CE11</f>
        <v>0</v>
      </c>
      <c r="CO11" s="6" t="n">
        <f aca="false">+CI11+CL11+CC11+CF11</f>
        <v>0</v>
      </c>
      <c r="CP11" s="6" t="n">
        <v>0</v>
      </c>
      <c r="CQ11" s="6" t="n">
        <v>0</v>
      </c>
      <c r="CR11" s="6" t="n">
        <v>0</v>
      </c>
      <c r="CS11" s="6" t="n">
        <v>0</v>
      </c>
      <c r="CT11" s="6" t="n">
        <v>0</v>
      </c>
      <c r="CU11" s="6" t="n">
        <v>0</v>
      </c>
      <c r="CV11" s="6" t="n">
        <v>0</v>
      </c>
      <c r="CW11" s="6" t="n">
        <v>0</v>
      </c>
      <c r="CX11" s="6" t="n">
        <v>0</v>
      </c>
      <c r="CY11" s="6" t="n">
        <v>0</v>
      </c>
      <c r="CZ11" s="6" t="n">
        <v>0</v>
      </c>
      <c r="DA11" s="6" t="n">
        <v>0</v>
      </c>
      <c r="DB11" s="6" t="n">
        <f aca="false">+CV11+CY11+CP11+CS11</f>
        <v>0</v>
      </c>
      <c r="DC11" s="6" t="n">
        <f aca="false">+CW11+CZ11+CQ11+CT11</f>
        <v>0</v>
      </c>
      <c r="DD11" s="6" t="n">
        <f aca="false">+CX11+DA11+CR11+CU11</f>
        <v>0</v>
      </c>
      <c r="DE11" s="6" t="n">
        <v>0</v>
      </c>
      <c r="DF11" s="6" t="n">
        <v>0</v>
      </c>
      <c r="DG11" s="6" t="n">
        <v>0</v>
      </c>
      <c r="DH11" s="6" t="n">
        <v>0</v>
      </c>
      <c r="DI11" s="6" t="n">
        <v>0</v>
      </c>
      <c r="DJ11" s="6" t="n">
        <v>0</v>
      </c>
      <c r="DK11" s="6" t="n">
        <v>0</v>
      </c>
      <c r="DL11" s="6" t="n">
        <v>0</v>
      </c>
      <c r="DM11" s="6" t="n">
        <v>0</v>
      </c>
      <c r="DN11" s="6" t="n">
        <v>0</v>
      </c>
      <c r="DO11" s="6" t="n">
        <v>0</v>
      </c>
      <c r="DP11" s="6" t="n">
        <v>0</v>
      </c>
      <c r="DQ11" s="6" t="n">
        <f aca="false">+DK11+DN11+DE11+DH11</f>
        <v>0</v>
      </c>
      <c r="DR11" s="6" t="n">
        <f aca="false">+DL11+DO11+DF11+DI11</f>
        <v>0</v>
      </c>
      <c r="DS11" s="6" t="n">
        <f aca="false">+DM11+DP11+DG11+DJ11</f>
        <v>0</v>
      </c>
      <c r="DT11" s="31" t="n">
        <f aca="false">+P11+AE11+AT11+BI11+BX11+CM11+DB11</f>
        <v>1000000</v>
      </c>
      <c r="DU11" s="31" t="n">
        <f aca="false">+Q11+AF11+AU11+BJ11+BY11+CN11+DC11</f>
        <v>1000000</v>
      </c>
      <c r="DV11" s="31" t="n">
        <f aca="false">+R11+AG11+AV11+BK11+BZ11+CO11+DD11</f>
        <v>1000000</v>
      </c>
      <c r="DW11" s="31" t="n">
        <f aca="false">+DU11-DV11</f>
        <v>0</v>
      </c>
    </row>
    <row r="12" customFormat="false" ht="13.8" hidden="false" customHeight="false" outlineLevel="0" collapsed="false">
      <c r="A12" s="27" t="n">
        <v>44091</v>
      </c>
      <c r="B12" s="28" t="s">
        <v>108</v>
      </c>
      <c r="C12" s="28" t="s">
        <v>109</v>
      </c>
      <c r="D12" s="29" t="s">
        <v>110</v>
      </c>
      <c r="E12" s="28" t="s">
        <v>111</v>
      </c>
      <c r="F12" s="27" t="s">
        <v>112</v>
      </c>
      <c r="G12" s="27" t="s">
        <v>4</v>
      </c>
      <c r="H12" s="30" t="n">
        <v>1849000</v>
      </c>
      <c r="I12" s="30" t="n">
        <v>1849000</v>
      </c>
      <c r="J12" s="6" t="n">
        <v>0</v>
      </c>
      <c r="K12" s="6" t="n">
        <v>0</v>
      </c>
      <c r="L12" s="6" t="n">
        <v>0</v>
      </c>
      <c r="M12" s="30" t="n">
        <v>1849000</v>
      </c>
      <c r="N12" s="30" t="n">
        <v>1849000</v>
      </c>
      <c r="O12" s="6" t="n">
        <v>0</v>
      </c>
      <c r="P12" s="6" t="n">
        <f aca="false">+J12+M12</f>
        <v>1849000</v>
      </c>
      <c r="Q12" s="6" t="n">
        <f aca="false">+K12+N12</f>
        <v>1849000</v>
      </c>
      <c r="R12" s="6" t="n">
        <f aca="false">+L12+O12</f>
        <v>0</v>
      </c>
      <c r="S12" s="6" t="n">
        <v>0</v>
      </c>
      <c r="T12" s="6" t="n">
        <v>0</v>
      </c>
      <c r="U12" s="6" t="n">
        <v>0</v>
      </c>
      <c r="V12" s="6" t="n">
        <v>0</v>
      </c>
      <c r="W12" s="6" t="n">
        <v>0</v>
      </c>
      <c r="X12" s="6" t="n">
        <v>481000</v>
      </c>
      <c r="Y12" s="6" t="n">
        <v>0</v>
      </c>
      <c r="Z12" s="6" t="n">
        <v>0</v>
      </c>
      <c r="AA12" s="6" t="n">
        <v>0</v>
      </c>
      <c r="AB12" s="6" t="n">
        <v>0</v>
      </c>
      <c r="AC12" s="6" t="n">
        <v>0</v>
      </c>
      <c r="AD12" s="6" t="n">
        <v>0</v>
      </c>
      <c r="AE12" s="6" t="n">
        <f aca="false">+Y12+AB12+S12+V12</f>
        <v>0</v>
      </c>
      <c r="AF12" s="6" t="n">
        <f aca="false">+Z12+AC12+T12+W12</f>
        <v>0</v>
      </c>
      <c r="AG12" s="6" t="n">
        <f aca="false">+AA12+AD12+U12+X12</f>
        <v>481000</v>
      </c>
      <c r="AH12" s="6" t="n">
        <v>0</v>
      </c>
      <c r="AI12" s="6" t="n">
        <v>0</v>
      </c>
      <c r="AJ12" s="6" t="n">
        <v>0</v>
      </c>
      <c r="AK12" s="6" t="n">
        <v>0</v>
      </c>
      <c r="AL12" s="6" t="n">
        <v>0</v>
      </c>
      <c r="AM12" s="6" t="n">
        <v>200000</v>
      </c>
      <c r="AN12" s="6" t="n">
        <v>0</v>
      </c>
      <c r="AO12" s="6" t="n">
        <v>0</v>
      </c>
      <c r="AP12" s="6" t="n">
        <v>250000</v>
      </c>
      <c r="AQ12" s="6" t="n">
        <v>0</v>
      </c>
      <c r="AR12" s="6" t="n">
        <v>0</v>
      </c>
      <c r="AS12" s="6" t="n">
        <v>918000</v>
      </c>
      <c r="AT12" s="6" t="n">
        <f aca="false">+AN12+AQ12+AH12+AK12</f>
        <v>0</v>
      </c>
      <c r="AU12" s="6" t="n">
        <f aca="false">+AO12+AR12+AI12+AL12</f>
        <v>0</v>
      </c>
      <c r="AV12" s="6" t="n">
        <f aca="false">+AP12+AS12+AJ12+AM12</f>
        <v>1368000</v>
      </c>
      <c r="AW12" s="6" t="n">
        <v>0</v>
      </c>
      <c r="AX12" s="6" t="n">
        <v>0</v>
      </c>
      <c r="AY12" s="6" t="n">
        <v>0</v>
      </c>
      <c r="AZ12" s="6" t="n">
        <v>0</v>
      </c>
      <c r="BA12" s="6" t="n">
        <v>0</v>
      </c>
      <c r="BB12" s="6" t="n">
        <v>0</v>
      </c>
      <c r="BC12" s="6" t="n">
        <v>0</v>
      </c>
      <c r="BD12" s="6" t="n">
        <v>0</v>
      </c>
      <c r="BE12" s="6" t="n">
        <v>0</v>
      </c>
      <c r="BF12" s="6" t="n">
        <v>0</v>
      </c>
      <c r="BG12" s="6" t="n">
        <v>0</v>
      </c>
      <c r="BH12" s="6" t="n">
        <v>0</v>
      </c>
      <c r="BI12" s="6" t="n">
        <f aca="false">+BC12+BF12+AW12+AZ12</f>
        <v>0</v>
      </c>
      <c r="BJ12" s="6" t="n">
        <f aca="false">+BD12+BG12+AX12+BA12</f>
        <v>0</v>
      </c>
      <c r="BK12" s="6" t="n">
        <f aca="false">+BE12+BH12+AY12+BB12</f>
        <v>0</v>
      </c>
      <c r="BL12" s="6" t="n">
        <v>0</v>
      </c>
      <c r="BM12" s="6" t="n">
        <v>0</v>
      </c>
      <c r="BN12" s="6" t="n">
        <v>0</v>
      </c>
      <c r="BO12" s="6" t="n">
        <v>0</v>
      </c>
      <c r="BP12" s="6" t="n">
        <v>0</v>
      </c>
      <c r="BQ12" s="6" t="n">
        <v>0</v>
      </c>
      <c r="BR12" s="6" t="n">
        <v>0</v>
      </c>
      <c r="BS12" s="6" t="n">
        <v>0</v>
      </c>
      <c r="BT12" s="6" t="n">
        <v>0</v>
      </c>
      <c r="BU12" s="6" t="n">
        <v>0</v>
      </c>
      <c r="BV12" s="6" t="n">
        <v>0</v>
      </c>
      <c r="BW12" s="6" t="n">
        <v>0</v>
      </c>
      <c r="BX12" s="6" t="n">
        <f aca="false">+BR12+BU12+BL12+BO12</f>
        <v>0</v>
      </c>
      <c r="BY12" s="6" t="n">
        <f aca="false">+BS12+BV12+BM12+BP12</f>
        <v>0</v>
      </c>
      <c r="BZ12" s="6" t="n">
        <f aca="false">+BT12+BW12+BN12+BQ12</f>
        <v>0</v>
      </c>
      <c r="CA12" s="6" t="n">
        <v>0</v>
      </c>
      <c r="CB12" s="6" t="n">
        <v>0</v>
      </c>
      <c r="CC12" s="6" t="n">
        <v>0</v>
      </c>
      <c r="CD12" s="6" t="n">
        <v>0</v>
      </c>
      <c r="CE12" s="6" t="n">
        <v>0</v>
      </c>
      <c r="CF12" s="6" t="n">
        <v>0</v>
      </c>
      <c r="CG12" s="6" t="n">
        <v>0</v>
      </c>
      <c r="CH12" s="6" t="n">
        <v>0</v>
      </c>
      <c r="CI12" s="6" t="n">
        <v>0</v>
      </c>
      <c r="CJ12" s="6" t="n">
        <v>0</v>
      </c>
      <c r="CK12" s="6" t="n">
        <v>0</v>
      </c>
      <c r="CL12" s="6" t="n">
        <v>0</v>
      </c>
      <c r="CM12" s="6" t="n">
        <f aca="false">+CG12+CJ12+CA12+CD12</f>
        <v>0</v>
      </c>
      <c r="CN12" s="6" t="n">
        <f aca="false">+CH12+CK12+CB12+CE12</f>
        <v>0</v>
      </c>
      <c r="CO12" s="6" t="n">
        <f aca="false">+CI12+CL12+CC12+CF12</f>
        <v>0</v>
      </c>
      <c r="CP12" s="6" t="n">
        <v>0</v>
      </c>
      <c r="CQ12" s="6" t="n">
        <v>0</v>
      </c>
      <c r="CR12" s="6" t="n">
        <v>0</v>
      </c>
      <c r="CS12" s="6" t="n">
        <v>0</v>
      </c>
      <c r="CT12" s="6" t="n">
        <v>0</v>
      </c>
      <c r="CU12" s="6" t="n">
        <v>0</v>
      </c>
      <c r="CV12" s="6" t="n">
        <v>0</v>
      </c>
      <c r="CW12" s="6" t="n">
        <v>0</v>
      </c>
      <c r="CX12" s="6" t="n">
        <v>0</v>
      </c>
      <c r="CY12" s="6" t="n">
        <v>0</v>
      </c>
      <c r="CZ12" s="6" t="n">
        <v>0</v>
      </c>
      <c r="DA12" s="6" t="n">
        <v>0</v>
      </c>
      <c r="DB12" s="6" t="n">
        <f aca="false">+CV12+CY12+CP12+CS12</f>
        <v>0</v>
      </c>
      <c r="DC12" s="6" t="n">
        <f aca="false">+CW12+CZ12+CQ12+CT12</f>
        <v>0</v>
      </c>
      <c r="DD12" s="6" t="n">
        <f aca="false">+CX12+DA12+CR12+CU12</f>
        <v>0</v>
      </c>
      <c r="DE12" s="6" t="n">
        <v>0</v>
      </c>
      <c r="DF12" s="6" t="n">
        <v>0</v>
      </c>
      <c r="DG12" s="6" t="n">
        <v>0</v>
      </c>
      <c r="DH12" s="6" t="n">
        <v>0</v>
      </c>
      <c r="DI12" s="6" t="n">
        <v>0</v>
      </c>
      <c r="DJ12" s="6" t="n">
        <v>0</v>
      </c>
      <c r="DK12" s="6" t="n">
        <v>0</v>
      </c>
      <c r="DL12" s="6" t="n">
        <v>0</v>
      </c>
      <c r="DM12" s="6" t="n">
        <v>0</v>
      </c>
      <c r="DN12" s="6" t="n">
        <v>0</v>
      </c>
      <c r="DO12" s="6" t="n">
        <v>0</v>
      </c>
      <c r="DP12" s="6" t="n">
        <v>0</v>
      </c>
      <c r="DQ12" s="6" t="n">
        <f aca="false">+DK12+DN12+DE12+DH12</f>
        <v>0</v>
      </c>
      <c r="DR12" s="6" t="n">
        <f aca="false">+DL12+DO12+DF12+DI12</f>
        <v>0</v>
      </c>
      <c r="DS12" s="6" t="n">
        <f aca="false">+DM12+DP12+DG12+DJ12</f>
        <v>0</v>
      </c>
      <c r="DT12" s="31" t="n">
        <f aca="false">+P12+AE12+AT12+BI12+BX12+CM12+DB12</f>
        <v>1849000</v>
      </c>
      <c r="DU12" s="31" t="n">
        <f aca="false">+Q12+AF12+AU12+BJ12+BY12+CN12+DC12</f>
        <v>1849000</v>
      </c>
      <c r="DV12" s="31" t="n">
        <f aca="false">+R12+AG12+AV12+BK12+BZ12+CO12+DD12</f>
        <v>1849000</v>
      </c>
      <c r="DW12" s="31" t="n">
        <f aca="false">+DU12-DV12</f>
        <v>0</v>
      </c>
    </row>
    <row r="13" customFormat="false" ht="13.8" hidden="false" customHeight="false" outlineLevel="0" collapsed="false">
      <c r="A13" s="27" t="n">
        <v>44111</v>
      </c>
      <c r="B13" s="28" t="s">
        <v>113</v>
      </c>
      <c r="C13" s="28" t="s">
        <v>114</v>
      </c>
      <c r="D13" s="29" t="s">
        <v>115</v>
      </c>
      <c r="E13" s="28" t="s">
        <v>116</v>
      </c>
      <c r="F13" s="27" t="s">
        <v>117</v>
      </c>
      <c r="G13" s="27" t="s">
        <v>4</v>
      </c>
      <c r="H13" s="30" t="n">
        <v>180000</v>
      </c>
      <c r="I13" s="30" t="n">
        <v>180000</v>
      </c>
      <c r="J13" s="6" t="n">
        <v>0</v>
      </c>
      <c r="K13" s="6" t="n">
        <v>0</v>
      </c>
      <c r="L13" s="6" t="n">
        <v>0</v>
      </c>
      <c r="M13" s="30" t="n">
        <v>180000</v>
      </c>
      <c r="N13" s="30" t="n">
        <v>180000</v>
      </c>
      <c r="O13" s="6" t="n">
        <v>0</v>
      </c>
      <c r="P13" s="6" t="n">
        <f aca="false">+J13+M13</f>
        <v>180000</v>
      </c>
      <c r="Q13" s="6" t="n">
        <f aca="false">+K13+N13</f>
        <v>180000</v>
      </c>
      <c r="R13" s="6" t="n">
        <f aca="false">+L13+O13</f>
        <v>0</v>
      </c>
      <c r="S13" s="6" t="n">
        <v>0</v>
      </c>
      <c r="T13" s="6" t="n">
        <v>0</v>
      </c>
      <c r="U13" s="6" t="n">
        <v>0</v>
      </c>
      <c r="V13" s="6" t="n">
        <v>0</v>
      </c>
      <c r="W13" s="6" t="n">
        <v>0</v>
      </c>
      <c r="X13" s="6" t="n">
        <v>180000</v>
      </c>
      <c r="Y13" s="6" t="n">
        <v>0</v>
      </c>
      <c r="Z13" s="6" t="n">
        <v>0</v>
      </c>
      <c r="AA13" s="6" t="n">
        <v>0</v>
      </c>
      <c r="AB13" s="6" t="n">
        <v>0</v>
      </c>
      <c r="AC13" s="6" t="n">
        <v>0</v>
      </c>
      <c r="AD13" s="6" t="n">
        <v>0</v>
      </c>
      <c r="AE13" s="6" t="n">
        <f aca="false">+Y13+AB13+S13+V13</f>
        <v>0</v>
      </c>
      <c r="AF13" s="6" t="n">
        <f aca="false">+Z13+AC13+T13+W13</f>
        <v>0</v>
      </c>
      <c r="AG13" s="6" t="n">
        <f aca="false">+AA13+AD13+U13+X13</f>
        <v>180000</v>
      </c>
      <c r="AH13" s="6" t="n">
        <v>0</v>
      </c>
      <c r="AI13" s="6" t="n">
        <v>0</v>
      </c>
      <c r="AJ13" s="6" t="n">
        <v>0</v>
      </c>
      <c r="AK13" s="6" t="n">
        <v>0</v>
      </c>
      <c r="AL13" s="6" t="n">
        <v>0</v>
      </c>
      <c r="AM13" s="6" t="n">
        <v>0</v>
      </c>
      <c r="AN13" s="6" t="n">
        <v>0</v>
      </c>
      <c r="AO13" s="6" t="n">
        <v>0</v>
      </c>
      <c r="AP13" s="6" t="n">
        <v>0</v>
      </c>
      <c r="AQ13" s="6" t="n">
        <v>0</v>
      </c>
      <c r="AR13" s="6" t="n">
        <v>0</v>
      </c>
      <c r="AS13" s="6" t="n">
        <v>0</v>
      </c>
      <c r="AT13" s="6" t="n">
        <f aca="false">+AN13+AQ13+AH13+AK13</f>
        <v>0</v>
      </c>
      <c r="AU13" s="6" t="n">
        <f aca="false">+AO13+AR13+AI13+AL13</f>
        <v>0</v>
      </c>
      <c r="AV13" s="6" t="n">
        <f aca="false">+AP13+AS13+AJ13+AM13</f>
        <v>0</v>
      </c>
      <c r="AW13" s="6" t="n">
        <v>0</v>
      </c>
      <c r="AX13" s="6" t="n">
        <v>0</v>
      </c>
      <c r="AY13" s="6" t="n">
        <v>0</v>
      </c>
      <c r="AZ13" s="6" t="n">
        <v>0</v>
      </c>
      <c r="BA13" s="6" t="n">
        <v>0</v>
      </c>
      <c r="BB13" s="6" t="n">
        <v>0</v>
      </c>
      <c r="BC13" s="6" t="n">
        <v>0</v>
      </c>
      <c r="BD13" s="6" t="n">
        <v>0</v>
      </c>
      <c r="BE13" s="6" t="n">
        <v>0</v>
      </c>
      <c r="BF13" s="6" t="n">
        <v>0</v>
      </c>
      <c r="BG13" s="6" t="n">
        <v>0</v>
      </c>
      <c r="BH13" s="6" t="n">
        <v>0</v>
      </c>
      <c r="BI13" s="6" t="n">
        <f aca="false">+BC13+BF13+AW13+AZ13</f>
        <v>0</v>
      </c>
      <c r="BJ13" s="6" t="n">
        <f aca="false">+BD13+BG13+AX13+BA13</f>
        <v>0</v>
      </c>
      <c r="BK13" s="6" t="n">
        <f aca="false">+BE13+BH13+AY13+BB13</f>
        <v>0</v>
      </c>
      <c r="BL13" s="6" t="n">
        <v>0</v>
      </c>
      <c r="BM13" s="6" t="n">
        <v>0</v>
      </c>
      <c r="BN13" s="6" t="n">
        <v>0</v>
      </c>
      <c r="BO13" s="6" t="n">
        <v>0</v>
      </c>
      <c r="BP13" s="6" t="n">
        <v>0</v>
      </c>
      <c r="BQ13" s="6" t="n">
        <v>0</v>
      </c>
      <c r="BR13" s="6" t="n">
        <v>0</v>
      </c>
      <c r="BS13" s="6" t="n">
        <v>0</v>
      </c>
      <c r="BT13" s="6" t="n">
        <v>0</v>
      </c>
      <c r="BU13" s="6" t="n">
        <v>0</v>
      </c>
      <c r="BV13" s="6" t="n">
        <v>0</v>
      </c>
      <c r="BW13" s="6" t="n">
        <v>0</v>
      </c>
      <c r="BX13" s="6" t="n">
        <f aca="false">+BR13+BU13+BL13+BO13</f>
        <v>0</v>
      </c>
      <c r="BY13" s="6" t="n">
        <f aca="false">+BS13+BV13+BM13+BP13</f>
        <v>0</v>
      </c>
      <c r="BZ13" s="6" t="n">
        <f aca="false">+BT13+BW13+BN13+BQ13</f>
        <v>0</v>
      </c>
      <c r="CA13" s="6" t="n">
        <v>0</v>
      </c>
      <c r="CB13" s="6" t="n">
        <v>0</v>
      </c>
      <c r="CC13" s="6" t="n">
        <v>0</v>
      </c>
      <c r="CD13" s="6" t="n">
        <v>0</v>
      </c>
      <c r="CE13" s="6" t="n">
        <v>0</v>
      </c>
      <c r="CF13" s="6" t="n">
        <v>0</v>
      </c>
      <c r="CG13" s="6" t="n">
        <v>0</v>
      </c>
      <c r="CH13" s="6" t="n">
        <v>0</v>
      </c>
      <c r="CI13" s="6" t="n">
        <v>0</v>
      </c>
      <c r="CJ13" s="6" t="n">
        <v>0</v>
      </c>
      <c r="CK13" s="6" t="n">
        <v>0</v>
      </c>
      <c r="CL13" s="6" t="n">
        <v>0</v>
      </c>
      <c r="CM13" s="6" t="n">
        <f aca="false">+CG13+CJ13+CA13+CD13</f>
        <v>0</v>
      </c>
      <c r="CN13" s="6" t="n">
        <f aca="false">+CH13+CK13+CB13+CE13</f>
        <v>0</v>
      </c>
      <c r="CO13" s="6" t="n">
        <f aca="false">+CI13+CL13+CC13+CF13</f>
        <v>0</v>
      </c>
      <c r="CP13" s="6" t="n">
        <v>0</v>
      </c>
      <c r="CQ13" s="6" t="n">
        <v>0</v>
      </c>
      <c r="CR13" s="6" t="n">
        <v>0</v>
      </c>
      <c r="CS13" s="6" t="n">
        <v>0</v>
      </c>
      <c r="CT13" s="6" t="n">
        <v>0</v>
      </c>
      <c r="CU13" s="6" t="n">
        <v>0</v>
      </c>
      <c r="CV13" s="6" t="n">
        <v>0</v>
      </c>
      <c r="CW13" s="6" t="n">
        <v>0</v>
      </c>
      <c r="CX13" s="6" t="n">
        <v>0</v>
      </c>
      <c r="CY13" s="6" t="n">
        <v>0</v>
      </c>
      <c r="CZ13" s="6" t="n">
        <v>0</v>
      </c>
      <c r="DA13" s="6" t="n">
        <v>0</v>
      </c>
      <c r="DB13" s="6" t="n">
        <f aca="false">+CV13+CY13+CP13+CS13</f>
        <v>0</v>
      </c>
      <c r="DC13" s="6" t="n">
        <f aca="false">+CW13+CZ13+CQ13+CT13</f>
        <v>0</v>
      </c>
      <c r="DD13" s="6" t="n">
        <f aca="false">+CX13+DA13+CR13+CU13</f>
        <v>0</v>
      </c>
      <c r="DE13" s="6" t="n">
        <v>0</v>
      </c>
      <c r="DF13" s="6" t="n">
        <v>0</v>
      </c>
      <c r="DG13" s="6" t="n">
        <v>0</v>
      </c>
      <c r="DH13" s="6" t="n">
        <v>0</v>
      </c>
      <c r="DI13" s="6" t="n">
        <v>0</v>
      </c>
      <c r="DJ13" s="6" t="n">
        <v>0</v>
      </c>
      <c r="DK13" s="6" t="n">
        <v>0</v>
      </c>
      <c r="DL13" s="6" t="n">
        <v>0</v>
      </c>
      <c r="DM13" s="6" t="n">
        <v>0</v>
      </c>
      <c r="DN13" s="6" t="n">
        <v>0</v>
      </c>
      <c r="DO13" s="6" t="n">
        <v>0</v>
      </c>
      <c r="DP13" s="6" t="n">
        <v>0</v>
      </c>
      <c r="DQ13" s="6" t="n">
        <f aca="false">+DK13+DN13+DE13+DH13</f>
        <v>0</v>
      </c>
      <c r="DR13" s="6" t="n">
        <f aca="false">+DL13+DO13+DF13+DI13</f>
        <v>0</v>
      </c>
      <c r="DS13" s="6" t="n">
        <f aca="false">+DM13+DP13+DG13+DJ13</f>
        <v>0</v>
      </c>
      <c r="DT13" s="31" t="n">
        <f aca="false">+P13+AE13+AT13+BI13+BX13+CM13+DB13</f>
        <v>180000</v>
      </c>
      <c r="DU13" s="31" t="n">
        <f aca="false">+Q13+AF13+AU13+BJ13+BY13+CN13+DC13</f>
        <v>180000</v>
      </c>
      <c r="DV13" s="31" t="n">
        <f aca="false">+R13+AG13+AV13+BK13+BZ13+CO13+DD13</f>
        <v>180000</v>
      </c>
      <c r="DW13" s="31" t="n">
        <f aca="false">+DU13-DV13</f>
        <v>0</v>
      </c>
    </row>
    <row r="14" customFormat="false" ht="13.8" hidden="false" customHeight="false" outlineLevel="0" collapsed="false">
      <c r="A14" s="27" t="n">
        <v>44048</v>
      </c>
      <c r="B14" s="28" t="s">
        <v>118</v>
      </c>
      <c r="C14" s="28" t="s">
        <v>119</v>
      </c>
      <c r="D14" s="29" t="s">
        <v>120</v>
      </c>
      <c r="E14" s="28" t="s">
        <v>121</v>
      </c>
      <c r="F14" s="27" t="s">
        <v>89</v>
      </c>
      <c r="G14" s="27" t="s">
        <v>4</v>
      </c>
      <c r="H14" s="30" t="n">
        <v>800000</v>
      </c>
      <c r="I14" s="30" t="n">
        <v>800000</v>
      </c>
      <c r="J14" s="6" t="n">
        <v>0</v>
      </c>
      <c r="K14" s="6" t="n">
        <v>0</v>
      </c>
      <c r="L14" s="6" t="n">
        <v>0</v>
      </c>
      <c r="M14" s="30" t="n">
        <v>800000</v>
      </c>
      <c r="N14" s="30" t="n">
        <v>800000</v>
      </c>
      <c r="O14" s="6" t="n">
        <v>0</v>
      </c>
      <c r="P14" s="6" t="n">
        <f aca="false">+J14+M14</f>
        <v>800000</v>
      </c>
      <c r="Q14" s="6" t="n">
        <f aca="false">+K14+N14</f>
        <v>800000</v>
      </c>
      <c r="R14" s="6" t="n">
        <f aca="false">+L14+O14</f>
        <v>0</v>
      </c>
      <c r="S14" s="6" t="n">
        <v>0</v>
      </c>
      <c r="T14" s="6" t="n">
        <v>0</v>
      </c>
      <c r="U14" s="6" t="n">
        <v>0</v>
      </c>
      <c r="V14" s="6" t="n">
        <v>0</v>
      </c>
      <c r="W14" s="6" t="n">
        <v>0</v>
      </c>
      <c r="X14" s="6" t="n">
        <v>800000</v>
      </c>
      <c r="Y14" s="6" t="n">
        <v>0</v>
      </c>
      <c r="Z14" s="6" t="n">
        <v>0</v>
      </c>
      <c r="AA14" s="6" t="n">
        <v>0</v>
      </c>
      <c r="AB14" s="6" t="n">
        <v>0</v>
      </c>
      <c r="AC14" s="6" t="n">
        <v>0</v>
      </c>
      <c r="AD14" s="6" t="n">
        <v>0</v>
      </c>
      <c r="AE14" s="6" t="n">
        <f aca="false">+Y14+AB14+S14+V14</f>
        <v>0</v>
      </c>
      <c r="AF14" s="6" t="n">
        <f aca="false">+Z14+AC14+T14+W14</f>
        <v>0</v>
      </c>
      <c r="AG14" s="6" t="n">
        <f aca="false">+AA14+AD14+U14+X14</f>
        <v>800000</v>
      </c>
      <c r="AH14" s="6" t="n">
        <v>0</v>
      </c>
      <c r="AI14" s="6" t="n">
        <v>0</v>
      </c>
      <c r="AJ14" s="6" t="n">
        <v>0</v>
      </c>
      <c r="AK14" s="6" t="n">
        <v>0</v>
      </c>
      <c r="AL14" s="6" t="n">
        <v>0</v>
      </c>
      <c r="AM14" s="6" t="n">
        <v>0</v>
      </c>
      <c r="AN14" s="6" t="n">
        <v>0</v>
      </c>
      <c r="AO14" s="6" t="n">
        <v>0</v>
      </c>
      <c r="AP14" s="6" t="n">
        <v>0</v>
      </c>
      <c r="AQ14" s="6" t="n">
        <v>0</v>
      </c>
      <c r="AR14" s="6" t="n">
        <v>0</v>
      </c>
      <c r="AS14" s="6" t="n">
        <v>0</v>
      </c>
      <c r="AT14" s="6" t="n">
        <f aca="false">+AN14+AQ14+AH14+AK14</f>
        <v>0</v>
      </c>
      <c r="AU14" s="6" t="n">
        <f aca="false">+AO14+AR14+AI14+AL14</f>
        <v>0</v>
      </c>
      <c r="AV14" s="6" t="n">
        <f aca="false">+AP14+AS14+AJ14+AM14</f>
        <v>0</v>
      </c>
      <c r="AW14" s="6" t="n">
        <v>0</v>
      </c>
      <c r="AX14" s="6" t="n">
        <v>0</v>
      </c>
      <c r="AY14" s="6" t="n">
        <v>0</v>
      </c>
      <c r="AZ14" s="6" t="n">
        <v>0</v>
      </c>
      <c r="BA14" s="6" t="n">
        <v>0</v>
      </c>
      <c r="BB14" s="6" t="n">
        <v>0</v>
      </c>
      <c r="BC14" s="6" t="n">
        <v>0</v>
      </c>
      <c r="BD14" s="6" t="n">
        <v>0</v>
      </c>
      <c r="BE14" s="6" t="n">
        <v>0</v>
      </c>
      <c r="BF14" s="6" t="n">
        <v>0</v>
      </c>
      <c r="BG14" s="6" t="n">
        <v>0</v>
      </c>
      <c r="BH14" s="6" t="n">
        <v>0</v>
      </c>
      <c r="BI14" s="6" t="n">
        <f aca="false">+BC14+BF14+AW14+AZ14</f>
        <v>0</v>
      </c>
      <c r="BJ14" s="6" t="n">
        <f aca="false">+BD14+BG14+AX14+BA14</f>
        <v>0</v>
      </c>
      <c r="BK14" s="6" t="n">
        <f aca="false">+BE14+BH14+AY14+BB14</f>
        <v>0</v>
      </c>
      <c r="BL14" s="6" t="n">
        <v>0</v>
      </c>
      <c r="BM14" s="6" t="n">
        <v>0</v>
      </c>
      <c r="BN14" s="6" t="n">
        <v>0</v>
      </c>
      <c r="BO14" s="6" t="n">
        <v>0</v>
      </c>
      <c r="BP14" s="6" t="n">
        <v>0</v>
      </c>
      <c r="BQ14" s="6" t="n">
        <v>0</v>
      </c>
      <c r="BR14" s="6" t="n">
        <v>0</v>
      </c>
      <c r="BS14" s="6" t="n">
        <v>0</v>
      </c>
      <c r="BT14" s="6" t="n">
        <v>0</v>
      </c>
      <c r="BU14" s="6" t="n">
        <v>0</v>
      </c>
      <c r="BV14" s="6" t="n">
        <v>0</v>
      </c>
      <c r="BW14" s="6" t="n">
        <v>0</v>
      </c>
      <c r="BX14" s="6" t="n">
        <f aca="false">+BR14+BU14+BL14+BO14</f>
        <v>0</v>
      </c>
      <c r="BY14" s="6" t="n">
        <f aca="false">+BS14+BV14+BM14+BP14</f>
        <v>0</v>
      </c>
      <c r="BZ14" s="6" t="n">
        <f aca="false">+BT14+BW14+BN14+BQ14</f>
        <v>0</v>
      </c>
      <c r="CA14" s="6" t="n">
        <v>0</v>
      </c>
      <c r="CB14" s="6" t="n">
        <v>0</v>
      </c>
      <c r="CC14" s="6" t="n">
        <v>0</v>
      </c>
      <c r="CD14" s="6" t="n">
        <v>0</v>
      </c>
      <c r="CE14" s="6" t="n">
        <v>0</v>
      </c>
      <c r="CF14" s="6" t="n">
        <v>0</v>
      </c>
      <c r="CG14" s="6" t="n">
        <v>0</v>
      </c>
      <c r="CH14" s="6" t="n">
        <v>0</v>
      </c>
      <c r="CI14" s="6" t="n">
        <v>0</v>
      </c>
      <c r="CJ14" s="6" t="n">
        <v>0</v>
      </c>
      <c r="CK14" s="6" t="n">
        <v>0</v>
      </c>
      <c r="CL14" s="6" t="n">
        <v>0</v>
      </c>
      <c r="CM14" s="6" t="n">
        <f aca="false">+CG14+CJ14+CA14+CD14</f>
        <v>0</v>
      </c>
      <c r="CN14" s="6" t="n">
        <f aca="false">+CH14+CK14+CB14+CE14</f>
        <v>0</v>
      </c>
      <c r="CO14" s="6" t="n">
        <f aca="false">+CI14+CL14+CC14+CF14</f>
        <v>0</v>
      </c>
      <c r="CP14" s="6" t="n">
        <v>0</v>
      </c>
      <c r="CQ14" s="6" t="n">
        <v>0</v>
      </c>
      <c r="CR14" s="6" t="n">
        <v>0</v>
      </c>
      <c r="CS14" s="6" t="n">
        <v>0</v>
      </c>
      <c r="CT14" s="6" t="n">
        <v>0</v>
      </c>
      <c r="CU14" s="6" t="n">
        <v>0</v>
      </c>
      <c r="CV14" s="6" t="n">
        <v>0</v>
      </c>
      <c r="CW14" s="6" t="n">
        <v>0</v>
      </c>
      <c r="CX14" s="6" t="n">
        <v>0</v>
      </c>
      <c r="CY14" s="6" t="n">
        <v>0</v>
      </c>
      <c r="CZ14" s="6" t="n">
        <v>0</v>
      </c>
      <c r="DA14" s="6" t="n">
        <v>0</v>
      </c>
      <c r="DB14" s="6" t="n">
        <f aca="false">+CV14+CY14+CP14+CS14</f>
        <v>0</v>
      </c>
      <c r="DC14" s="6" t="n">
        <f aca="false">+CW14+CZ14+CQ14+CT14</f>
        <v>0</v>
      </c>
      <c r="DD14" s="6" t="n">
        <f aca="false">+CX14+DA14+CR14+CU14</f>
        <v>0</v>
      </c>
      <c r="DE14" s="6" t="n">
        <v>0</v>
      </c>
      <c r="DF14" s="6" t="n">
        <v>0</v>
      </c>
      <c r="DG14" s="6" t="n">
        <v>0</v>
      </c>
      <c r="DH14" s="6" t="n">
        <v>0</v>
      </c>
      <c r="DI14" s="6" t="n">
        <v>0</v>
      </c>
      <c r="DJ14" s="6" t="n">
        <v>0</v>
      </c>
      <c r="DK14" s="6" t="n">
        <v>0</v>
      </c>
      <c r="DL14" s="6" t="n">
        <v>0</v>
      </c>
      <c r="DM14" s="6" t="n">
        <v>0</v>
      </c>
      <c r="DN14" s="6" t="n">
        <v>0</v>
      </c>
      <c r="DO14" s="6" t="n">
        <v>0</v>
      </c>
      <c r="DP14" s="6" t="n">
        <v>0</v>
      </c>
      <c r="DQ14" s="6" t="n">
        <f aca="false">+DK14+DN14+DE14+DH14</f>
        <v>0</v>
      </c>
      <c r="DR14" s="6" t="n">
        <f aca="false">+DL14+DO14+DF14+DI14</f>
        <v>0</v>
      </c>
      <c r="DS14" s="6" t="n">
        <f aca="false">+DM14+DP14+DG14+DJ14</f>
        <v>0</v>
      </c>
      <c r="DT14" s="31" t="n">
        <f aca="false">+P14+AE14+AT14+BI14+BX14+CM14+DB14</f>
        <v>800000</v>
      </c>
      <c r="DU14" s="31" t="n">
        <f aca="false">+Q14+AF14+AU14+BJ14+BY14+CN14+DC14</f>
        <v>800000</v>
      </c>
      <c r="DV14" s="31" t="n">
        <f aca="false">+R14+AG14+AV14+BK14+BZ14+CO14+DD14</f>
        <v>800000</v>
      </c>
      <c r="DW14" s="31" t="n">
        <f aca="false">+DU14-DV14</f>
        <v>0</v>
      </c>
    </row>
    <row r="15" customFormat="false" ht="13.8" hidden="false" customHeight="false" outlineLevel="0" collapsed="false">
      <c r="A15" s="27" t="n">
        <v>44039</v>
      </c>
      <c r="B15" s="28" t="s">
        <v>122</v>
      </c>
      <c r="C15" s="28" t="s">
        <v>123</v>
      </c>
      <c r="D15" s="29" t="s">
        <v>124</v>
      </c>
      <c r="E15" s="28" t="s">
        <v>125</v>
      </c>
      <c r="F15" s="27" t="s">
        <v>126</v>
      </c>
      <c r="G15" s="27" t="s">
        <v>4</v>
      </c>
      <c r="H15" s="30" t="n">
        <v>9391000</v>
      </c>
      <c r="I15" s="30" t="n">
        <v>9391000</v>
      </c>
      <c r="J15" s="6" t="n">
        <v>0</v>
      </c>
      <c r="K15" s="6" t="n">
        <v>0</v>
      </c>
      <c r="L15" s="6" t="n">
        <v>0</v>
      </c>
      <c r="M15" s="30" t="n">
        <v>9391000</v>
      </c>
      <c r="N15" s="30" t="n">
        <v>9391000</v>
      </c>
      <c r="O15" s="6" t="n">
        <v>0</v>
      </c>
      <c r="P15" s="6" t="n">
        <f aca="false">+J15+M15</f>
        <v>9391000</v>
      </c>
      <c r="Q15" s="6" t="n">
        <f aca="false">+K15+N15</f>
        <v>9391000</v>
      </c>
      <c r="R15" s="6" t="n">
        <f aca="false">+L15+O15</f>
        <v>0</v>
      </c>
      <c r="S15" s="6" t="n">
        <v>0</v>
      </c>
      <c r="T15" s="6" t="n">
        <v>0</v>
      </c>
      <c r="U15" s="6" t="n">
        <v>350000</v>
      </c>
      <c r="V15" s="6" t="n">
        <v>0</v>
      </c>
      <c r="W15" s="6" t="n">
        <v>0</v>
      </c>
      <c r="X15" s="6" t="n">
        <v>250000</v>
      </c>
      <c r="Y15" s="6" t="n">
        <v>0</v>
      </c>
      <c r="Z15" s="6" t="n">
        <v>0</v>
      </c>
      <c r="AA15" s="6" t="n">
        <v>0</v>
      </c>
      <c r="AB15" s="6" t="n">
        <v>0</v>
      </c>
      <c r="AC15" s="6" t="n">
        <v>0</v>
      </c>
      <c r="AD15" s="6" t="n">
        <v>1200000</v>
      </c>
      <c r="AE15" s="6" t="n">
        <f aca="false">+Y15+AB15+S15+V15</f>
        <v>0</v>
      </c>
      <c r="AF15" s="6" t="n">
        <f aca="false">+Z15+AC15+T15+W15</f>
        <v>0</v>
      </c>
      <c r="AG15" s="6" t="n">
        <f aca="false">+AA15+AD15+U15+X15</f>
        <v>1800000</v>
      </c>
      <c r="AH15" s="6" t="n">
        <v>0</v>
      </c>
      <c r="AI15" s="6" t="n">
        <v>0</v>
      </c>
      <c r="AJ15" s="6" t="n">
        <v>1200000</v>
      </c>
      <c r="AK15" s="6" t="n">
        <v>0</v>
      </c>
      <c r="AL15" s="6" t="n">
        <v>0</v>
      </c>
      <c r="AM15" s="6" t="n">
        <v>1065166.67</v>
      </c>
      <c r="AN15" s="6" t="n">
        <v>0</v>
      </c>
      <c r="AO15" s="6" t="n">
        <v>0</v>
      </c>
      <c r="AP15" s="6" t="n">
        <v>3000000</v>
      </c>
      <c r="AQ15" s="6" t="n">
        <v>0</v>
      </c>
      <c r="AR15" s="6" t="n">
        <v>0</v>
      </c>
      <c r="AS15" s="6" t="n">
        <v>590000</v>
      </c>
      <c r="AT15" s="6" t="n">
        <f aca="false">+AN15+AQ15+AH15+AK15</f>
        <v>0</v>
      </c>
      <c r="AU15" s="6" t="n">
        <f aca="false">+AO15+AR15+AI15+AL15</f>
        <v>0</v>
      </c>
      <c r="AV15" s="6" t="n">
        <f aca="false">+AP15+AS15+AJ15+AM15</f>
        <v>5855166.67</v>
      </c>
      <c r="AW15" s="6" t="n">
        <v>0</v>
      </c>
      <c r="AX15" s="6" t="n">
        <v>0</v>
      </c>
      <c r="AY15" s="6" t="n">
        <v>578611.11</v>
      </c>
      <c r="AZ15" s="6" t="n">
        <v>0</v>
      </c>
      <c r="BA15" s="6" t="n">
        <v>0</v>
      </c>
      <c r="BB15" s="6" t="n">
        <v>1157222.22</v>
      </c>
      <c r="BC15" s="6" t="n">
        <v>0</v>
      </c>
      <c r="BD15" s="6" t="n">
        <v>0</v>
      </c>
      <c r="BE15" s="6" t="n">
        <v>0</v>
      </c>
      <c r="BF15" s="6" t="n">
        <v>0</v>
      </c>
      <c r="BG15" s="6" t="n">
        <v>0</v>
      </c>
      <c r="BH15" s="6" t="n">
        <v>0</v>
      </c>
      <c r="BI15" s="6" t="n">
        <f aca="false">+BC15+BF15+AW15+AZ15</f>
        <v>0</v>
      </c>
      <c r="BJ15" s="6" t="n">
        <f aca="false">+BD15+BG15+AX15+BA15</f>
        <v>0</v>
      </c>
      <c r="BK15" s="6" t="n">
        <f aca="false">+BE15+BH15+AY15+BB15</f>
        <v>1735833.33</v>
      </c>
      <c r="BL15" s="6" t="n">
        <v>0</v>
      </c>
      <c r="BM15" s="6" t="n">
        <v>0</v>
      </c>
      <c r="BN15" s="6" t="n">
        <v>0</v>
      </c>
      <c r="BO15" s="6" t="n">
        <v>0</v>
      </c>
      <c r="BP15" s="6" t="n">
        <v>0</v>
      </c>
      <c r="BQ15" s="6" t="n">
        <v>0</v>
      </c>
      <c r="BR15" s="6" t="n">
        <v>0</v>
      </c>
      <c r="BS15" s="6" t="n">
        <v>0</v>
      </c>
      <c r="BT15" s="6" t="n">
        <v>0</v>
      </c>
      <c r="BU15" s="6" t="n">
        <v>0</v>
      </c>
      <c r="BV15" s="6" t="n">
        <v>0</v>
      </c>
      <c r="BW15" s="6" t="n">
        <v>0</v>
      </c>
      <c r="BX15" s="6" t="n">
        <f aca="false">+BR15+BU15+BL15+BO15</f>
        <v>0</v>
      </c>
      <c r="BY15" s="6" t="n">
        <f aca="false">+BS15+BV15+BM15+BP15</f>
        <v>0</v>
      </c>
      <c r="BZ15" s="6" t="n">
        <f aca="false">+BT15+BW15+BN15+BQ15</f>
        <v>0</v>
      </c>
      <c r="CA15" s="6" t="n">
        <v>0</v>
      </c>
      <c r="CB15" s="6" t="n">
        <v>0</v>
      </c>
      <c r="CC15" s="6" t="n">
        <v>0</v>
      </c>
      <c r="CD15" s="6" t="n">
        <v>0</v>
      </c>
      <c r="CE15" s="6" t="n">
        <v>0</v>
      </c>
      <c r="CF15" s="6" t="n">
        <v>0</v>
      </c>
      <c r="CG15" s="6" t="n">
        <v>0</v>
      </c>
      <c r="CH15" s="6" t="n">
        <v>0</v>
      </c>
      <c r="CI15" s="6" t="n">
        <v>0</v>
      </c>
      <c r="CJ15" s="6" t="n">
        <v>0</v>
      </c>
      <c r="CK15" s="6" t="n">
        <v>0</v>
      </c>
      <c r="CL15" s="6" t="n">
        <v>0</v>
      </c>
      <c r="CM15" s="6" t="n">
        <f aca="false">+CG15+CJ15+CA15+CD15</f>
        <v>0</v>
      </c>
      <c r="CN15" s="6" t="n">
        <f aca="false">+CH15+CK15+CB15+CE15</f>
        <v>0</v>
      </c>
      <c r="CO15" s="6" t="n">
        <f aca="false">+CI15+CL15+CC15+CF15</f>
        <v>0</v>
      </c>
      <c r="CP15" s="6" t="n">
        <v>0</v>
      </c>
      <c r="CQ15" s="6" t="n">
        <v>0</v>
      </c>
      <c r="CR15" s="6" t="n">
        <v>0</v>
      </c>
      <c r="CS15" s="6" t="n">
        <v>0</v>
      </c>
      <c r="CT15" s="6" t="n">
        <v>0</v>
      </c>
      <c r="CU15" s="6" t="n">
        <v>0</v>
      </c>
      <c r="CV15" s="6" t="n">
        <v>0</v>
      </c>
      <c r="CW15" s="6" t="n">
        <v>0</v>
      </c>
      <c r="CX15" s="6" t="n">
        <v>0</v>
      </c>
      <c r="CY15" s="6" t="n">
        <v>0</v>
      </c>
      <c r="CZ15" s="6" t="n">
        <v>0</v>
      </c>
      <c r="DA15" s="6" t="n">
        <v>0</v>
      </c>
      <c r="DB15" s="6" t="n">
        <f aca="false">+CV15+CY15+CP15+CS15</f>
        <v>0</v>
      </c>
      <c r="DC15" s="6" t="n">
        <f aca="false">+CW15+CZ15+CQ15+CT15</f>
        <v>0</v>
      </c>
      <c r="DD15" s="6" t="n">
        <f aca="false">+CX15+DA15+CR15+CU15</f>
        <v>0</v>
      </c>
      <c r="DE15" s="6" t="n">
        <v>0</v>
      </c>
      <c r="DF15" s="6" t="n">
        <v>0</v>
      </c>
      <c r="DG15" s="6" t="n">
        <v>0</v>
      </c>
      <c r="DH15" s="6" t="n">
        <v>0</v>
      </c>
      <c r="DI15" s="6" t="n">
        <v>0</v>
      </c>
      <c r="DJ15" s="6" t="n">
        <v>0</v>
      </c>
      <c r="DK15" s="6" t="n">
        <v>0</v>
      </c>
      <c r="DL15" s="6" t="n">
        <v>0</v>
      </c>
      <c r="DM15" s="6" t="n">
        <v>0</v>
      </c>
      <c r="DN15" s="6" t="n">
        <v>0</v>
      </c>
      <c r="DO15" s="6" t="n">
        <v>0</v>
      </c>
      <c r="DP15" s="6" t="n">
        <v>0</v>
      </c>
      <c r="DQ15" s="6" t="n">
        <f aca="false">+DK15+DN15+DE15+DH15</f>
        <v>0</v>
      </c>
      <c r="DR15" s="6" t="n">
        <f aca="false">+DL15+DO15+DF15+DI15</f>
        <v>0</v>
      </c>
      <c r="DS15" s="6" t="n">
        <f aca="false">+DM15+DP15+DG15+DJ15</f>
        <v>0</v>
      </c>
      <c r="DT15" s="31" t="n">
        <f aca="false">+P15+AE15+AT15+BI15+BX15+CM15+DB15</f>
        <v>9391000</v>
      </c>
      <c r="DU15" s="31" t="n">
        <f aca="false">+Q15+AF15+AU15+BJ15+BY15+CN15+DC15</f>
        <v>9391000</v>
      </c>
      <c r="DV15" s="31" t="n">
        <f aca="false">+R15+AG15+AV15+BK15+BZ15+CO15+DD15</f>
        <v>9391000</v>
      </c>
      <c r="DW15" s="31" t="n">
        <f aca="false">+DU15-DV15</f>
        <v>0</v>
      </c>
    </row>
    <row r="16" customFormat="false" ht="13.8" hidden="false" customHeight="false" outlineLevel="0" collapsed="false">
      <c r="A16" s="27" t="n">
        <v>44075</v>
      </c>
      <c r="B16" s="28" t="s">
        <v>127</v>
      </c>
      <c r="C16" s="28" t="s">
        <v>128</v>
      </c>
      <c r="D16" s="29" t="s">
        <v>129</v>
      </c>
      <c r="E16" s="28" t="s">
        <v>130</v>
      </c>
      <c r="F16" s="27" t="s">
        <v>131</v>
      </c>
      <c r="G16" s="27" t="s">
        <v>4</v>
      </c>
      <c r="H16" s="30" t="n">
        <v>695780</v>
      </c>
      <c r="I16" s="30" t="n">
        <v>695780</v>
      </c>
      <c r="J16" s="6" t="n">
        <v>0</v>
      </c>
      <c r="K16" s="6" t="n">
        <v>0</v>
      </c>
      <c r="L16" s="6" t="n">
        <v>0</v>
      </c>
      <c r="M16" s="30" t="n">
        <v>695780</v>
      </c>
      <c r="N16" s="30" t="n">
        <v>695780</v>
      </c>
      <c r="O16" s="6" t="n">
        <v>0</v>
      </c>
      <c r="P16" s="6" t="n">
        <f aca="false">+J16+M16</f>
        <v>695780</v>
      </c>
      <c r="Q16" s="6" t="n">
        <f aca="false">+K16+N16</f>
        <v>695780</v>
      </c>
      <c r="R16" s="6" t="n">
        <f aca="false">+L16+O16</f>
        <v>0</v>
      </c>
      <c r="S16" s="6" t="n">
        <v>0</v>
      </c>
      <c r="T16" s="6" t="n">
        <v>0</v>
      </c>
      <c r="U16" s="6" t="n">
        <v>120000</v>
      </c>
      <c r="V16" s="6" t="n">
        <v>0</v>
      </c>
      <c r="W16" s="6" t="n">
        <v>0</v>
      </c>
      <c r="X16" s="6" t="n">
        <v>200000</v>
      </c>
      <c r="Y16" s="6" t="n">
        <v>0</v>
      </c>
      <c r="Z16" s="6" t="n">
        <v>0</v>
      </c>
      <c r="AA16" s="6" t="n">
        <v>0</v>
      </c>
      <c r="AB16" s="6" t="n">
        <v>0</v>
      </c>
      <c r="AC16" s="6" t="n">
        <v>0</v>
      </c>
      <c r="AD16" s="6" t="n">
        <v>0</v>
      </c>
      <c r="AE16" s="6" t="n">
        <f aca="false">+Y16+AB16+S16+V16</f>
        <v>0</v>
      </c>
      <c r="AF16" s="6" t="n">
        <f aca="false">+Z16+AC16+T16+W16</f>
        <v>0</v>
      </c>
      <c r="AG16" s="6" t="n">
        <f aca="false">+AA16+AD16+U16+X16</f>
        <v>320000</v>
      </c>
      <c r="AH16" s="6" t="n">
        <v>0</v>
      </c>
      <c r="AI16" s="6" t="n">
        <v>0</v>
      </c>
      <c r="AJ16" s="6" t="n">
        <v>200000</v>
      </c>
      <c r="AK16" s="6" t="n">
        <v>0</v>
      </c>
      <c r="AL16" s="6" t="n">
        <v>0</v>
      </c>
      <c r="AM16" s="6" t="n">
        <v>175780</v>
      </c>
      <c r="AN16" s="6" t="n">
        <v>0</v>
      </c>
      <c r="AO16" s="6" t="n">
        <v>0</v>
      </c>
      <c r="AP16" s="6" t="n">
        <v>0</v>
      </c>
      <c r="AQ16" s="6" t="n">
        <v>0</v>
      </c>
      <c r="AR16" s="6" t="n">
        <v>0</v>
      </c>
      <c r="AS16" s="6" t="n">
        <v>0</v>
      </c>
      <c r="AT16" s="6" t="n">
        <f aca="false">+AN16+AQ16+AH16+AK16</f>
        <v>0</v>
      </c>
      <c r="AU16" s="6" t="n">
        <f aca="false">+AO16+AR16+AI16+AL16</f>
        <v>0</v>
      </c>
      <c r="AV16" s="6" t="n">
        <f aca="false">+AP16+AS16+AJ16+AM16</f>
        <v>375780</v>
      </c>
      <c r="AW16" s="6" t="n">
        <v>0</v>
      </c>
      <c r="AX16" s="6" t="n">
        <v>0</v>
      </c>
      <c r="AY16" s="6" t="n">
        <v>0</v>
      </c>
      <c r="AZ16" s="6" t="n">
        <v>0</v>
      </c>
      <c r="BA16" s="6" t="n">
        <v>0</v>
      </c>
      <c r="BB16" s="6" t="n">
        <v>0</v>
      </c>
      <c r="BC16" s="6" t="n">
        <v>0</v>
      </c>
      <c r="BD16" s="6" t="n">
        <v>0</v>
      </c>
      <c r="BE16" s="6" t="n">
        <v>0</v>
      </c>
      <c r="BF16" s="6" t="n">
        <v>0</v>
      </c>
      <c r="BG16" s="6" t="n">
        <v>0</v>
      </c>
      <c r="BH16" s="6" t="n">
        <v>0</v>
      </c>
      <c r="BI16" s="6" t="n">
        <f aca="false">+BC16+BF16+AW16+AZ16</f>
        <v>0</v>
      </c>
      <c r="BJ16" s="6" t="n">
        <f aca="false">+BD16+BG16+AX16+BA16</f>
        <v>0</v>
      </c>
      <c r="BK16" s="6" t="n">
        <f aca="false">+BE16+BH16+AY16+BB16</f>
        <v>0</v>
      </c>
      <c r="BL16" s="6" t="n">
        <v>0</v>
      </c>
      <c r="BM16" s="6" t="n">
        <v>0</v>
      </c>
      <c r="BN16" s="6" t="n">
        <v>0</v>
      </c>
      <c r="BO16" s="6" t="n">
        <v>0</v>
      </c>
      <c r="BP16" s="6" t="n">
        <v>0</v>
      </c>
      <c r="BQ16" s="6" t="n">
        <v>0</v>
      </c>
      <c r="BR16" s="6" t="n">
        <v>0</v>
      </c>
      <c r="BS16" s="6" t="n">
        <v>0</v>
      </c>
      <c r="BT16" s="6" t="n">
        <v>0</v>
      </c>
      <c r="BU16" s="6" t="n">
        <v>0</v>
      </c>
      <c r="BV16" s="6" t="n">
        <v>0</v>
      </c>
      <c r="BW16" s="6" t="n">
        <v>0</v>
      </c>
      <c r="BX16" s="6" t="n">
        <f aca="false">+BR16+BU16+BL16+BO16</f>
        <v>0</v>
      </c>
      <c r="BY16" s="6" t="n">
        <f aca="false">+BS16+BV16+BM16+BP16</f>
        <v>0</v>
      </c>
      <c r="BZ16" s="6" t="n">
        <f aca="false">+BT16+BW16+BN16+BQ16</f>
        <v>0</v>
      </c>
      <c r="CA16" s="6" t="n">
        <v>0</v>
      </c>
      <c r="CB16" s="6" t="n">
        <v>0</v>
      </c>
      <c r="CC16" s="6" t="n">
        <v>0</v>
      </c>
      <c r="CD16" s="6" t="n">
        <v>0</v>
      </c>
      <c r="CE16" s="6" t="n">
        <v>0</v>
      </c>
      <c r="CF16" s="6" t="n">
        <v>0</v>
      </c>
      <c r="CG16" s="6" t="n">
        <v>0</v>
      </c>
      <c r="CH16" s="6" t="n">
        <v>0</v>
      </c>
      <c r="CI16" s="6" t="n">
        <v>0</v>
      </c>
      <c r="CJ16" s="6" t="n">
        <v>0</v>
      </c>
      <c r="CK16" s="6" t="n">
        <v>0</v>
      </c>
      <c r="CL16" s="6" t="n">
        <v>0</v>
      </c>
      <c r="CM16" s="6" t="n">
        <f aca="false">+CG16+CJ16+CA16+CD16</f>
        <v>0</v>
      </c>
      <c r="CN16" s="6" t="n">
        <f aca="false">+CH16+CK16+CB16+CE16</f>
        <v>0</v>
      </c>
      <c r="CO16" s="6" t="n">
        <f aca="false">+CI16+CL16+CC16+CF16</f>
        <v>0</v>
      </c>
      <c r="CP16" s="6" t="n">
        <v>0</v>
      </c>
      <c r="CQ16" s="6" t="n">
        <v>0</v>
      </c>
      <c r="CR16" s="6" t="n">
        <v>0</v>
      </c>
      <c r="CS16" s="6" t="n">
        <v>0</v>
      </c>
      <c r="CT16" s="6" t="n">
        <v>0</v>
      </c>
      <c r="CU16" s="6" t="n">
        <v>0</v>
      </c>
      <c r="CV16" s="6" t="n">
        <v>0</v>
      </c>
      <c r="CW16" s="6" t="n">
        <v>0</v>
      </c>
      <c r="CX16" s="6" t="n">
        <v>0</v>
      </c>
      <c r="CY16" s="6" t="n">
        <v>0</v>
      </c>
      <c r="CZ16" s="6" t="n">
        <v>0</v>
      </c>
      <c r="DA16" s="6" t="n">
        <v>0</v>
      </c>
      <c r="DB16" s="6" t="n">
        <f aca="false">+CV16+CY16+CP16+CS16</f>
        <v>0</v>
      </c>
      <c r="DC16" s="6" t="n">
        <f aca="false">+CW16+CZ16+CQ16+CT16</f>
        <v>0</v>
      </c>
      <c r="DD16" s="6" t="n">
        <f aca="false">+CX16+DA16+CR16+CU16</f>
        <v>0</v>
      </c>
      <c r="DE16" s="6" t="n">
        <v>0</v>
      </c>
      <c r="DF16" s="6" t="n">
        <v>0</v>
      </c>
      <c r="DG16" s="6" t="n">
        <v>0</v>
      </c>
      <c r="DH16" s="6" t="n">
        <v>0</v>
      </c>
      <c r="DI16" s="6" t="n">
        <v>0</v>
      </c>
      <c r="DJ16" s="6" t="n">
        <v>0</v>
      </c>
      <c r="DK16" s="6" t="n">
        <v>0</v>
      </c>
      <c r="DL16" s="6" t="n">
        <v>0</v>
      </c>
      <c r="DM16" s="6" t="n">
        <v>0</v>
      </c>
      <c r="DN16" s="6" t="n">
        <v>0</v>
      </c>
      <c r="DO16" s="6" t="n">
        <v>0</v>
      </c>
      <c r="DP16" s="6" t="n">
        <v>0</v>
      </c>
      <c r="DQ16" s="6" t="n">
        <f aca="false">+DK16+DN16+DE16+DH16</f>
        <v>0</v>
      </c>
      <c r="DR16" s="6" t="n">
        <f aca="false">+DL16+DO16+DF16+DI16</f>
        <v>0</v>
      </c>
      <c r="DS16" s="6" t="n">
        <f aca="false">+DM16+DP16+DG16+DJ16</f>
        <v>0</v>
      </c>
      <c r="DT16" s="31" t="n">
        <f aca="false">+P16+AE16+AT16+BI16+BX16+CM16+DB16</f>
        <v>695780</v>
      </c>
      <c r="DU16" s="31" t="n">
        <f aca="false">+Q16+AF16+AU16+BJ16+BY16+CN16+DC16</f>
        <v>695780</v>
      </c>
      <c r="DV16" s="31" t="n">
        <f aca="false">+R16+AG16+AV16+BK16+BZ16+CO16+DD16</f>
        <v>695780</v>
      </c>
      <c r="DW16" s="31" t="n">
        <f aca="false">+DU16-DV16</f>
        <v>0</v>
      </c>
    </row>
    <row r="17" customFormat="false" ht="13.8" hidden="false" customHeight="false" outlineLevel="0" collapsed="false">
      <c r="A17" s="32" t="n">
        <v>44376</v>
      </c>
      <c r="B17" s="33" t="s">
        <v>132</v>
      </c>
      <c r="C17" s="33" t="s">
        <v>133</v>
      </c>
      <c r="D17" s="29" t="s">
        <v>134</v>
      </c>
      <c r="E17" s="28" t="s">
        <v>135</v>
      </c>
      <c r="F17" s="27" t="s">
        <v>98</v>
      </c>
      <c r="G17" s="27" t="s">
        <v>4</v>
      </c>
      <c r="H17" s="30" t="n">
        <v>-837974</v>
      </c>
      <c r="I17" s="30" t="n">
        <v>-837974</v>
      </c>
      <c r="J17" s="6" t="n">
        <v>0</v>
      </c>
      <c r="K17" s="6" t="n">
        <v>0</v>
      </c>
      <c r="L17" s="6" t="n">
        <v>0</v>
      </c>
      <c r="M17" s="30" t="n">
        <v>-837974</v>
      </c>
      <c r="N17" s="30" t="n">
        <v>-837974</v>
      </c>
      <c r="O17" s="6" t="n">
        <v>0</v>
      </c>
      <c r="P17" s="6" t="n">
        <f aca="false">+J17+M17</f>
        <v>-837974</v>
      </c>
      <c r="Q17" s="6" t="n">
        <f aca="false">+K17+N17</f>
        <v>-837974</v>
      </c>
      <c r="R17" s="6" t="n">
        <f aca="false">+L17+O17</f>
        <v>0</v>
      </c>
      <c r="S17" s="6" t="n">
        <v>0</v>
      </c>
      <c r="T17" s="6" t="n">
        <v>0</v>
      </c>
      <c r="U17" s="6" t="n">
        <v>0</v>
      </c>
      <c r="V17" s="6" t="n">
        <v>0</v>
      </c>
      <c r="W17" s="6" t="n">
        <v>0</v>
      </c>
      <c r="X17" s="6" t="n">
        <v>714249</v>
      </c>
      <c r="Y17" s="6" t="n">
        <v>0</v>
      </c>
      <c r="Z17" s="6" t="n">
        <v>0</v>
      </c>
      <c r="AA17" s="6" t="n">
        <v>0</v>
      </c>
      <c r="AB17" s="6" t="n">
        <v>0</v>
      </c>
      <c r="AC17" s="6" t="n">
        <v>0</v>
      </c>
      <c r="AD17" s="6" t="n">
        <v>200000</v>
      </c>
      <c r="AE17" s="6" t="n">
        <f aca="false">+Y17+AB17+S17+V17</f>
        <v>0</v>
      </c>
      <c r="AF17" s="6" t="n">
        <f aca="false">+Z17+AC17+T17+W17</f>
        <v>0</v>
      </c>
      <c r="AG17" s="6" t="n">
        <f aca="false">+AA17+AD17+U17+X17</f>
        <v>914249</v>
      </c>
      <c r="AH17" s="6" t="n">
        <v>0</v>
      </c>
      <c r="AI17" s="6" t="n">
        <v>0</v>
      </c>
      <c r="AJ17" s="6" t="n">
        <v>700000</v>
      </c>
      <c r="AK17" s="6" t="n">
        <v>0</v>
      </c>
      <c r="AL17" s="6" t="n">
        <v>0</v>
      </c>
      <c r="AM17" s="6" t="n">
        <v>180919.25</v>
      </c>
      <c r="AN17" s="6" t="n">
        <v>0</v>
      </c>
      <c r="AO17" s="6" t="n">
        <v>0</v>
      </c>
      <c r="AP17" s="6" t="n">
        <v>0</v>
      </c>
      <c r="AQ17" s="6" t="n">
        <v>0</v>
      </c>
      <c r="AR17" s="6" t="n">
        <v>0</v>
      </c>
      <c r="AS17" s="6" t="n">
        <v>542757.75</v>
      </c>
      <c r="AT17" s="6" t="n">
        <f aca="false">+AN17+AQ17+AH17+AK17</f>
        <v>0</v>
      </c>
      <c r="AU17" s="6" t="n">
        <f aca="false">+AO17+AR17+AI17+AL17</f>
        <v>0</v>
      </c>
      <c r="AV17" s="6" t="n">
        <f aca="false">+AP17+AS17+AJ17+AM17</f>
        <v>1423677</v>
      </c>
      <c r="AW17" s="6" t="n">
        <v>0</v>
      </c>
      <c r="AX17" s="6" t="n">
        <v>0</v>
      </c>
      <c r="AY17" s="6" t="n">
        <v>0</v>
      </c>
      <c r="AZ17" s="6" t="n">
        <v>0</v>
      </c>
      <c r="BA17" s="6" t="n">
        <v>0</v>
      </c>
      <c r="BB17" s="6" t="n">
        <v>0</v>
      </c>
      <c r="BC17" s="6" t="n">
        <v>0</v>
      </c>
      <c r="BD17" s="6" t="n">
        <v>0</v>
      </c>
      <c r="BE17" s="6" t="n">
        <v>0</v>
      </c>
      <c r="BF17" s="6" t="n">
        <v>0</v>
      </c>
      <c r="BG17" s="6" t="n">
        <v>0</v>
      </c>
      <c r="BH17" s="6" t="n">
        <v>0</v>
      </c>
      <c r="BI17" s="6" t="n">
        <f aca="false">+BC17+BF17+AW17+AZ17</f>
        <v>0</v>
      </c>
      <c r="BJ17" s="6" t="n">
        <f aca="false">+BD17+BG17+AX17+BA17</f>
        <v>0</v>
      </c>
      <c r="BK17" s="6" t="n">
        <f aca="false">+BE17+BH17+AY17+BB17</f>
        <v>0</v>
      </c>
      <c r="BL17" s="6" t="n">
        <v>0</v>
      </c>
      <c r="BM17" s="6" t="n">
        <v>0</v>
      </c>
      <c r="BN17" s="6" t="n">
        <v>0</v>
      </c>
      <c r="BO17" s="6" t="n">
        <v>0</v>
      </c>
      <c r="BP17" s="6" t="n">
        <v>0</v>
      </c>
      <c r="BQ17" s="6" t="n">
        <v>0</v>
      </c>
      <c r="BR17" s="6" t="n">
        <v>0</v>
      </c>
      <c r="BS17" s="6" t="n">
        <v>0</v>
      </c>
      <c r="BT17" s="6" t="n">
        <v>0</v>
      </c>
      <c r="BU17" s="6" t="n">
        <v>0</v>
      </c>
      <c r="BV17" s="6" t="n">
        <v>0</v>
      </c>
      <c r="BW17" s="6" t="n">
        <v>0</v>
      </c>
      <c r="BX17" s="6" t="n">
        <f aca="false">+BR17+BU17+BL17+BO17</f>
        <v>0</v>
      </c>
      <c r="BY17" s="6" t="n">
        <f aca="false">+BS17+BV17+BM17+BP17</f>
        <v>0</v>
      </c>
      <c r="BZ17" s="6" t="n">
        <f aca="false">+BT17+BW17+BN17+BQ17</f>
        <v>0</v>
      </c>
      <c r="CA17" s="6" t="n">
        <v>0</v>
      </c>
      <c r="CB17" s="6" t="n">
        <v>0</v>
      </c>
      <c r="CC17" s="6" t="n">
        <v>0</v>
      </c>
      <c r="CD17" s="6" t="n">
        <v>0</v>
      </c>
      <c r="CE17" s="6" t="n">
        <v>0</v>
      </c>
      <c r="CF17" s="6" t="n">
        <v>0</v>
      </c>
      <c r="CG17" s="6" t="n">
        <v>0</v>
      </c>
      <c r="CH17" s="6" t="n">
        <v>0</v>
      </c>
      <c r="CI17" s="6" t="n">
        <v>0</v>
      </c>
      <c r="CJ17" s="6" t="n">
        <v>0</v>
      </c>
      <c r="CK17" s="6" t="n">
        <v>0</v>
      </c>
      <c r="CL17" s="6" t="n">
        <v>0</v>
      </c>
      <c r="CM17" s="6" t="n">
        <f aca="false">+CG17+CJ17+CA17+CD17</f>
        <v>0</v>
      </c>
      <c r="CN17" s="6" t="n">
        <f aca="false">+CH17+CK17+CB17+CE17</f>
        <v>0</v>
      </c>
      <c r="CO17" s="6" t="n">
        <f aca="false">+CI17+CL17+CC17+CF17</f>
        <v>0</v>
      </c>
      <c r="CP17" s="6" t="n">
        <v>0</v>
      </c>
      <c r="CQ17" s="6" t="n">
        <v>0</v>
      </c>
      <c r="CR17" s="6" t="n">
        <v>0</v>
      </c>
      <c r="CS17" s="6" t="n">
        <v>0</v>
      </c>
      <c r="CT17" s="6" t="n">
        <v>0</v>
      </c>
      <c r="CU17" s="6" t="n">
        <v>0</v>
      </c>
      <c r="CV17" s="6" t="n">
        <v>0</v>
      </c>
      <c r="CW17" s="6" t="n">
        <v>0</v>
      </c>
      <c r="CX17" s="6" t="n">
        <v>0</v>
      </c>
      <c r="CY17" s="6" t="n">
        <v>0</v>
      </c>
      <c r="CZ17" s="6" t="n">
        <v>0</v>
      </c>
      <c r="DA17" s="6" t="n">
        <v>0</v>
      </c>
      <c r="DB17" s="6" t="n">
        <f aca="false">+CV17+CY17+CP17+CS17</f>
        <v>0</v>
      </c>
      <c r="DC17" s="6" t="n">
        <f aca="false">+CW17+CZ17+CQ17+CT17</f>
        <v>0</v>
      </c>
      <c r="DD17" s="6" t="n">
        <f aca="false">+CX17+DA17+CR17+CU17</f>
        <v>0</v>
      </c>
      <c r="DE17" s="6" t="n">
        <v>0</v>
      </c>
      <c r="DF17" s="6" t="n">
        <v>0</v>
      </c>
      <c r="DG17" s="6" t="n">
        <v>0</v>
      </c>
      <c r="DH17" s="6" t="n">
        <v>0</v>
      </c>
      <c r="DI17" s="6" t="n">
        <v>0</v>
      </c>
      <c r="DJ17" s="6" t="n">
        <v>0</v>
      </c>
      <c r="DK17" s="6" t="n">
        <v>0</v>
      </c>
      <c r="DL17" s="6" t="n">
        <v>0</v>
      </c>
      <c r="DM17" s="6" t="n">
        <v>0</v>
      </c>
      <c r="DN17" s="6" t="n">
        <v>0</v>
      </c>
      <c r="DO17" s="6" t="n">
        <v>0</v>
      </c>
      <c r="DP17" s="6" t="n">
        <v>0</v>
      </c>
      <c r="DQ17" s="6" t="n">
        <f aca="false">+DK17+DN17+DE17+DH17</f>
        <v>0</v>
      </c>
      <c r="DR17" s="6" t="n">
        <f aca="false">+DL17+DO17+DF17+DI17</f>
        <v>0</v>
      </c>
      <c r="DS17" s="6" t="n">
        <f aca="false">+DM17+DP17+DG17+DJ17</f>
        <v>0</v>
      </c>
      <c r="DT17" s="31" t="n">
        <f aca="false">+P17+AE17+AT17+BI17+BX17+CM17+DB17</f>
        <v>-837974</v>
      </c>
      <c r="DU17" s="31" t="n">
        <f aca="false">+Q17+AF17+AU17+BJ17+BY17+CN17+DC17</f>
        <v>-837974</v>
      </c>
      <c r="DV17" s="31" t="n">
        <f aca="false">+R17+AG17+AV17+BK17+BZ17+CO17+DD17</f>
        <v>2337926</v>
      </c>
      <c r="DW17" s="31" t="n">
        <f aca="false">+DU17-DV17</f>
        <v>-3175900</v>
      </c>
    </row>
    <row r="18" customFormat="false" ht="13.8" hidden="false" customHeight="false" outlineLevel="0" collapsed="false">
      <c r="A18" s="32" t="n">
        <v>44076</v>
      </c>
      <c r="B18" s="33" t="s">
        <v>136</v>
      </c>
      <c r="C18" s="33" t="s">
        <v>133</v>
      </c>
      <c r="D18" s="29" t="s">
        <v>134</v>
      </c>
      <c r="E18" s="28" t="s">
        <v>137</v>
      </c>
      <c r="F18" s="27" t="s">
        <v>138</v>
      </c>
      <c r="G18" s="27" t="s">
        <v>4</v>
      </c>
      <c r="H18" s="30" t="n">
        <v>3175900</v>
      </c>
      <c r="I18" s="30" t="n">
        <v>3175900</v>
      </c>
      <c r="J18" s="6" t="n">
        <v>0</v>
      </c>
      <c r="K18" s="6" t="n">
        <v>0</v>
      </c>
      <c r="L18" s="6" t="n">
        <v>0</v>
      </c>
      <c r="M18" s="30" t="n">
        <v>3175900</v>
      </c>
      <c r="N18" s="30" t="n">
        <v>3175900</v>
      </c>
      <c r="O18" s="6" t="n">
        <v>0</v>
      </c>
      <c r="P18" s="6" t="n">
        <f aca="false">+J18+M18</f>
        <v>3175900</v>
      </c>
      <c r="Q18" s="6" t="n">
        <f aca="false">+K18+N18</f>
        <v>3175900</v>
      </c>
      <c r="R18" s="6" t="n">
        <f aca="false">+L18+O18</f>
        <v>0</v>
      </c>
      <c r="S18" s="6" t="n">
        <v>0</v>
      </c>
      <c r="T18" s="6" t="n">
        <v>0</v>
      </c>
      <c r="U18" s="6" t="n">
        <v>0</v>
      </c>
      <c r="V18" s="6" t="n">
        <v>0</v>
      </c>
      <c r="W18" s="6" t="n">
        <v>0</v>
      </c>
      <c r="X18" s="6" t="n">
        <v>0</v>
      </c>
      <c r="Y18" s="6" t="n">
        <v>0</v>
      </c>
      <c r="Z18" s="6" t="n">
        <v>0</v>
      </c>
      <c r="AA18" s="6" t="n">
        <v>0</v>
      </c>
      <c r="AB18" s="6" t="n">
        <v>0</v>
      </c>
      <c r="AC18" s="6" t="n">
        <v>0</v>
      </c>
      <c r="AD18" s="6" t="n">
        <v>0</v>
      </c>
      <c r="AE18" s="6" t="n">
        <f aca="false">+Y18+AB18+S18+V18</f>
        <v>0</v>
      </c>
      <c r="AF18" s="6" t="n">
        <f aca="false">+Z18+AC18+T18+W18</f>
        <v>0</v>
      </c>
      <c r="AG18" s="6" t="n">
        <f aca="false">+AA18+AD18+U18+X18</f>
        <v>0</v>
      </c>
      <c r="AH18" s="6" t="n">
        <v>0</v>
      </c>
      <c r="AI18" s="6" t="n">
        <v>0</v>
      </c>
      <c r="AJ18" s="6" t="n">
        <v>0</v>
      </c>
      <c r="AK18" s="6" t="n">
        <v>0</v>
      </c>
      <c r="AL18" s="6" t="n">
        <v>0</v>
      </c>
      <c r="AM18" s="6" t="n">
        <v>0</v>
      </c>
      <c r="AN18" s="6" t="n">
        <v>0</v>
      </c>
      <c r="AO18" s="6" t="n">
        <v>0</v>
      </c>
      <c r="AP18" s="6" t="n">
        <v>0</v>
      </c>
      <c r="AQ18" s="6" t="n">
        <v>0</v>
      </c>
      <c r="AR18" s="6" t="n">
        <v>0</v>
      </c>
      <c r="AS18" s="6" t="n">
        <v>0</v>
      </c>
      <c r="AT18" s="6" t="n">
        <f aca="false">+AN18+AQ18+AH18+AK18</f>
        <v>0</v>
      </c>
      <c r="AU18" s="6" t="n">
        <f aca="false">+AO18+AR18+AI18+AL18</f>
        <v>0</v>
      </c>
      <c r="AV18" s="6" t="n">
        <f aca="false">+AP18+AS18+AJ18+AM18</f>
        <v>0</v>
      </c>
      <c r="AW18" s="6" t="n">
        <v>0</v>
      </c>
      <c r="AX18" s="6" t="n">
        <v>0</v>
      </c>
      <c r="AY18" s="6" t="n">
        <v>0</v>
      </c>
      <c r="AZ18" s="6" t="n">
        <v>0</v>
      </c>
      <c r="BA18" s="6" t="n">
        <v>0</v>
      </c>
      <c r="BB18" s="6" t="n">
        <v>0</v>
      </c>
      <c r="BC18" s="6" t="n">
        <v>0</v>
      </c>
      <c r="BD18" s="6" t="n">
        <v>0</v>
      </c>
      <c r="BE18" s="6" t="n">
        <v>0</v>
      </c>
      <c r="BF18" s="6" t="n">
        <v>0</v>
      </c>
      <c r="BG18" s="6" t="n">
        <v>0</v>
      </c>
      <c r="BH18" s="6" t="n">
        <v>0</v>
      </c>
      <c r="BI18" s="6" t="n">
        <f aca="false">+BC18+BF18+AW18+AZ18</f>
        <v>0</v>
      </c>
      <c r="BJ18" s="6" t="n">
        <f aca="false">+BD18+BG18+AX18+BA18</f>
        <v>0</v>
      </c>
      <c r="BK18" s="6" t="n">
        <f aca="false">+BE18+BH18+AY18+BB18</f>
        <v>0</v>
      </c>
      <c r="BL18" s="6" t="n">
        <v>0</v>
      </c>
      <c r="BM18" s="6" t="n">
        <v>0</v>
      </c>
      <c r="BN18" s="6" t="n">
        <v>0</v>
      </c>
      <c r="BO18" s="6" t="n">
        <v>0</v>
      </c>
      <c r="BP18" s="6" t="n">
        <v>0</v>
      </c>
      <c r="BQ18" s="6" t="n">
        <v>0</v>
      </c>
      <c r="BR18" s="6" t="n">
        <v>0</v>
      </c>
      <c r="BS18" s="6" t="n">
        <v>0</v>
      </c>
      <c r="BT18" s="6" t="n">
        <v>0</v>
      </c>
      <c r="BU18" s="6" t="n">
        <v>0</v>
      </c>
      <c r="BV18" s="6" t="n">
        <v>0</v>
      </c>
      <c r="BW18" s="6" t="n">
        <v>0</v>
      </c>
      <c r="BX18" s="6" t="n">
        <f aca="false">+BR18+BU18+BL18+BO18</f>
        <v>0</v>
      </c>
      <c r="BY18" s="6" t="n">
        <f aca="false">+BS18+BV18+BM18+BP18</f>
        <v>0</v>
      </c>
      <c r="BZ18" s="6" t="n">
        <f aca="false">+BT18+BW18+BN18+BQ18</f>
        <v>0</v>
      </c>
      <c r="CA18" s="6" t="n">
        <v>0</v>
      </c>
      <c r="CB18" s="6" t="n">
        <v>0</v>
      </c>
      <c r="CC18" s="6" t="n">
        <v>0</v>
      </c>
      <c r="CD18" s="6" t="n">
        <v>0</v>
      </c>
      <c r="CE18" s="6" t="n">
        <v>0</v>
      </c>
      <c r="CF18" s="6" t="n">
        <v>0</v>
      </c>
      <c r="CG18" s="6" t="n">
        <v>0</v>
      </c>
      <c r="CH18" s="6" t="n">
        <v>0</v>
      </c>
      <c r="CI18" s="6" t="n">
        <v>0</v>
      </c>
      <c r="CJ18" s="6" t="n">
        <v>0</v>
      </c>
      <c r="CK18" s="6" t="n">
        <v>0</v>
      </c>
      <c r="CL18" s="6" t="n">
        <v>0</v>
      </c>
      <c r="CM18" s="6" t="n">
        <f aca="false">+CG18+CJ18+CA18+CD18</f>
        <v>0</v>
      </c>
      <c r="CN18" s="6" t="n">
        <f aca="false">+CH18+CK18+CB18+CE18</f>
        <v>0</v>
      </c>
      <c r="CO18" s="6" t="n">
        <f aca="false">+CI18+CL18+CC18+CF18</f>
        <v>0</v>
      </c>
      <c r="CP18" s="6" t="n">
        <v>0</v>
      </c>
      <c r="CQ18" s="6" t="n">
        <v>0</v>
      </c>
      <c r="CR18" s="6" t="n">
        <v>0</v>
      </c>
      <c r="CS18" s="6" t="n">
        <v>0</v>
      </c>
      <c r="CT18" s="6" t="n">
        <v>0</v>
      </c>
      <c r="CU18" s="6" t="n">
        <v>0</v>
      </c>
      <c r="CV18" s="6" t="n">
        <v>0</v>
      </c>
      <c r="CW18" s="6" t="n">
        <v>0</v>
      </c>
      <c r="CX18" s="6" t="n">
        <v>0</v>
      </c>
      <c r="CY18" s="6" t="n">
        <v>0</v>
      </c>
      <c r="CZ18" s="6" t="n">
        <v>0</v>
      </c>
      <c r="DA18" s="6" t="n">
        <v>0</v>
      </c>
      <c r="DB18" s="6" t="n">
        <f aca="false">+CV18+CY18+CP18+CS18</f>
        <v>0</v>
      </c>
      <c r="DC18" s="6" t="n">
        <f aca="false">+CW18+CZ18+CQ18+CT18</f>
        <v>0</v>
      </c>
      <c r="DD18" s="6" t="n">
        <f aca="false">+CX18+DA18+CR18+CU18</f>
        <v>0</v>
      </c>
      <c r="DE18" s="6" t="n">
        <v>0</v>
      </c>
      <c r="DF18" s="6" t="n">
        <v>0</v>
      </c>
      <c r="DG18" s="6" t="n">
        <v>0</v>
      </c>
      <c r="DH18" s="6" t="n">
        <v>0</v>
      </c>
      <c r="DI18" s="6" t="n">
        <v>0</v>
      </c>
      <c r="DJ18" s="6" t="n">
        <v>0</v>
      </c>
      <c r="DK18" s="6" t="n">
        <v>0</v>
      </c>
      <c r="DL18" s="6" t="n">
        <v>0</v>
      </c>
      <c r="DM18" s="6" t="n">
        <v>0</v>
      </c>
      <c r="DN18" s="6" t="n">
        <v>0</v>
      </c>
      <c r="DO18" s="6" t="n">
        <v>0</v>
      </c>
      <c r="DP18" s="6" t="n">
        <v>0</v>
      </c>
      <c r="DQ18" s="6" t="n">
        <f aca="false">+DK18+DN18+DE18+DH18</f>
        <v>0</v>
      </c>
      <c r="DR18" s="6" t="n">
        <f aca="false">+DL18+DO18+DF18+DI18</f>
        <v>0</v>
      </c>
      <c r="DS18" s="6" t="n">
        <f aca="false">+DM18+DP18+DG18+DJ18</f>
        <v>0</v>
      </c>
      <c r="DT18" s="31" t="n">
        <f aca="false">+P18+AE18+AT18+BI18+BX18+CM18+DB18</f>
        <v>3175900</v>
      </c>
      <c r="DU18" s="31" t="n">
        <f aca="false">+Q18+AF18+AU18+BJ18+BY18+CN18+DC18</f>
        <v>3175900</v>
      </c>
      <c r="DV18" s="31" t="n">
        <f aca="false">+R18+AG18+AV18+BK18+BZ18+CO18+DD18</f>
        <v>0</v>
      </c>
      <c r="DW18" s="31" t="n">
        <f aca="false">+DU18-DV18</f>
        <v>3175900</v>
      </c>
    </row>
    <row r="19" customFormat="false" ht="13.8" hidden="false" customHeight="false" outlineLevel="0" collapsed="false">
      <c r="A19" s="27" t="n">
        <v>44172</v>
      </c>
      <c r="B19" s="28" t="s">
        <v>139</v>
      </c>
      <c r="C19" s="28" t="s">
        <v>140</v>
      </c>
      <c r="D19" s="29" t="s">
        <v>141</v>
      </c>
      <c r="E19" s="28" t="s">
        <v>142</v>
      </c>
      <c r="F19" s="27" t="s">
        <v>143</v>
      </c>
      <c r="G19" s="27" t="s">
        <v>5</v>
      </c>
      <c r="H19" s="30" t="n">
        <v>368522</v>
      </c>
      <c r="I19" s="30" t="n">
        <v>368522</v>
      </c>
      <c r="J19" s="6" t="n">
        <v>0</v>
      </c>
      <c r="K19" s="6" t="n">
        <v>0</v>
      </c>
      <c r="L19" s="6" t="n">
        <v>0</v>
      </c>
      <c r="M19" s="6" t="n">
        <v>0</v>
      </c>
      <c r="N19" s="6" t="n">
        <v>0</v>
      </c>
      <c r="O19" s="6" t="n">
        <v>0</v>
      </c>
      <c r="P19" s="6" t="n">
        <f aca="false">+J19+M19</f>
        <v>0</v>
      </c>
      <c r="Q19" s="6" t="n">
        <f aca="false">+K19+N19</f>
        <v>0</v>
      </c>
      <c r="R19" s="6" t="n">
        <f aca="false">+L19+O19</f>
        <v>0</v>
      </c>
      <c r="S19" s="30" t="n">
        <v>368522</v>
      </c>
      <c r="T19" s="30" t="n">
        <v>368522</v>
      </c>
      <c r="U19" s="6" t="n">
        <v>0</v>
      </c>
      <c r="V19" s="6" t="n">
        <v>0</v>
      </c>
      <c r="W19" s="6" t="n">
        <v>0</v>
      </c>
      <c r="X19" s="6" t="n">
        <v>357000</v>
      </c>
      <c r="Y19" s="6" t="n">
        <v>0</v>
      </c>
      <c r="Z19" s="6" t="n">
        <v>0</v>
      </c>
      <c r="AA19" s="6" t="n">
        <v>0</v>
      </c>
      <c r="AB19" s="6" t="n">
        <v>0</v>
      </c>
      <c r="AC19" s="6" t="n">
        <v>0</v>
      </c>
      <c r="AD19" s="6" t="n">
        <v>11522</v>
      </c>
      <c r="AE19" s="6" t="n">
        <f aca="false">+Y19+AB19+S19+V19</f>
        <v>368522</v>
      </c>
      <c r="AF19" s="6" t="n">
        <f aca="false">+Z19+AC19+T19+W19</f>
        <v>368522</v>
      </c>
      <c r="AG19" s="6" t="n">
        <f aca="false">+AA19+AD19+U19+X19</f>
        <v>368522</v>
      </c>
      <c r="AH19" s="6" t="n">
        <v>0</v>
      </c>
      <c r="AI19" s="6" t="n">
        <v>0</v>
      </c>
      <c r="AJ19" s="6" t="n">
        <v>0</v>
      </c>
      <c r="AK19" s="6" t="n">
        <v>0</v>
      </c>
      <c r="AL19" s="6" t="n">
        <v>0</v>
      </c>
      <c r="AM19" s="6" t="n">
        <v>0</v>
      </c>
      <c r="AN19" s="6" t="n">
        <v>0</v>
      </c>
      <c r="AO19" s="6" t="n">
        <v>0</v>
      </c>
      <c r="AP19" s="6" t="n">
        <v>0</v>
      </c>
      <c r="AQ19" s="6" t="n">
        <v>0</v>
      </c>
      <c r="AR19" s="6" t="n">
        <v>0</v>
      </c>
      <c r="AS19" s="6" t="n">
        <v>0</v>
      </c>
      <c r="AT19" s="6" t="n">
        <f aca="false">+AN19+AQ19+AH19+AK19</f>
        <v>0</v>
      </c>
      <c r="AU19" s="6" t="n">
        <f aca="false">+AO19+AR19+AI19+AL19</f>
        <v>0</v>
      </c>
      <c r="AV19" s="6" t="n">
        <f aca="false">+AP19+AS19+AJ19+AM19</f>
        <v>0</v>
      </c>
      <c r="AW19" s="6" t="n">
        <v>0</v>
      </c>
      <c r="AX19" s="6" t="n">
        <v>0</v>
      </c>
      <c r="AY19" s="6" t="n">
        <v>0</v>
      </c>
      <c r="AZ19" s="6" t="n">
        <v>0</v>
      </c>
      <c r="BA19" s="6" t="n">
        <v>0</v>
      </c>
      <c r="BB19" s="6" t="n">
        <v>0</v>
      </c>
      <c r="BC19" s="6" t="n">
        <v>0</v>
      </c>
      <c r="BD19" s="6" t="n">
        <v>0</v>
      </c>
      <c r="BE19" s="6" t="n">
        <v>0</v>
      </c>
      <c r="BF19" s="6" t="n">
        <v>0</v>
      </c>
      <c r="BG19" s="6" t="n">
        <v>0</v>
      </c>
      <c r="BH19" s="6" t="n">
        <v>0</v>
      </c>
      <c r="BI19" s="6" t="n">
        <f aca="false">+BC19+BF19+AW19+AZ19</f>
        <v>0</v>
      </c>
      <c r="BJ19" s="6" t="n">
        <f aca="false">+BD19+BG19+AX19+BA19</f>
        <v>0</v>
      </c>
      <c r="BK19" s="6" t="n">
        <f aca="false">+BE19+BH19+AY19+BB19</f>
        <v>0</v>
      </c>
      <c r="BL19" s="6" t="n">
        <v>0</v>
      </c>
      <c r="BM19" s="6" t="n">
        <v>0</v>
      </c>
      <c r="BN19" s="6" t="n">
        <v>0</v>
      </c>
      <c r="BO19" s="6" t="n">
        <v>0</v>
      </c>
      <c r="BP19" s="6" t="n">
        <v>0</v>
      </c>
      <c r="BQ19" s="6" t="n">
        <v>0</v>
      </c>
      <c r="BR19" s="6" t="n">
        <v>0</v>
      </c>
      <c r="BS19" s="6" t="n">
        <v>0</v>
      </c>
      <c r="BT19" s="6" t="n">
        <v>0</v>
      </c>
      <c r="BU19" s="6" t="n">
        <v>0</v>
      </c>
      <c r="BV19" s="6" t="n">
        <v>0</v>
      </c>
      <c r="BW19" s="6" t="n">
        <v>0</v>
      </c>
      <c r="BX19" s="6" t="n">
        <f aca="false">+BR19+BU19+BL19+BO19</f>
        <v>0</v>
      </c>
      <c r="BY19" s="6" t="n">
        <f aca="false">+BS19+BV19+BM19+BP19</f>
        <v>0</v>
      </c>
      <c r="BZ19" s="6" t="n">
        <f aca="false">+BT19+BW19+BN19+BQ19</f>
        <v>0</v>
      </c>
      <c r="CA19" s="6" t="n">
        <v>0</v>
      </c>
      <c r="CB19" s="6" t="n">
        <v>0</v>
      </c>
      <c r="CC19" s="6" t="n">
        <v>0</v>
      </c>
      <c r="CD19" s="6" t="n">
        <v>0</v>
      </c>
      <c r="CE19" s="6" t="n">
        <v>0</v>
      </c>
      <c r="CF19" s="6" t="n">
        <v>0</v>
      </c>
      <c r="CG19" s="6" t="n">
        <v>0</v>
      </c>
      <c r="CH19" s="6" t="n">
        <v>0</v>
      </c>
      <c r="CI19" s="6" t="n">
        <v>0</v>
      </c>
      <c r="CJ19" s="6" t="n">
        <v>0</v>
      </c>
      <c r="CK19" s="6" t="n">
        <v>0</v>
      </c>
      <c r="CL19" s="6" t="n">
        <v>0</v>
      </c>
      <c r="CM19" s="6" t="n">
        <f aca="false">+CG19+CJ19+CA19+CD19</f>
        <v>0</v>
      </c>
      <c r="CN19" s="6" t="n">
        <f aca="false">+CH19+CK19+CB19+CE19</f>
        <v>0</v>
      </c>
      <c r="CO19" s="6" t="n">
        <f aca="false">+CI19+CL19+CC19+CF19</f>
        <v>0</v>
      </c>
      <c r="CP19" s="6" t="n">
        <v>0</v>
      </c>
      <c r="CQ19" s="6" t="n">
        <v>0</v>
      </c>
      <c r="CR19" s="6" t="n">
        <v>0</v>
      </c>
      <c r="CS19" s="6" t="n">
        <v>0</v>
      </c>
      <c r="CT19" s="6" t="n">
        <v>0</v>
      </c>
      <c r="CU19" s="6" t="n">
        <v>0</v>
      </c>
      <c r="CV19" s="6" t="n">
        <v>0</v>
      </c>
      <c r="CW19" s="6" t="n">
        <v>0</v>
      </c>
      <c r="CX19" s="6" t="n">
        <v>0</v>
      </c>
      <c r="CY19" s="6" t="n">
        <v>0</v>
      </c>
      <c r="CZ19" s="6" t="n">
        <v>0</v>
      </c>
      <c r="DA19" s="6" t="n">
        <v>0</v>
      </c>
      <c r="DB19" s="6" t="n">
        <f aca="false">+CV19+CY19+CP19+CS19</f>
        <v>0</v>
      </c>
      <c r="DC19" s="6" t="n">
        <f aca="false">+CW19+CZ19+CQ19+CT19</f>
        <v>0</v>
      </c>
      <c r="DD19" s="6" t="n">
        <f aca="false">+CX19+DA19+CR19+CU19</f>
        <v>0</v>
      </c>
      <c r="DE19" s="6" t="n">
        <v>0</v>
      </c>
      <c r="DF19" s="6" t="n">
        <v>0</v>
      </c>
      <c r="DG19" s="6" t="n">
        <v>0</v>
      </c>
      <c r="DH19" s="6" t="n">
        <v>0</v>
      </c>
      <c r="DI19" s="6" t="n">
        <v>0</v>
      </c>
      <c r="DJ19" s="6" t="n">
        <v>0</v>
      </c>
      <c r="DK19" s="6" t="n">
        <v>0</v>
      </c>
      <c r="DL19" s="6" t="n">
        <v>0</v>
      </c>
      <c r="DM19" s="6" t="n">
        <v>0</v>
      </c>
      <c r="DN19" s="6" t="n">
        <v>0</v>
      </c>
      <c r="DO19" s="6" t="n">
        <v>0</v>
      </c>
      <c r="DP19" s="6" t="n">
        <v>0</v>
      </c>
      <c r="DQ19" s="6" t="n">
        <f aca="false">+DK19+DN19+DE19+DH19</f>
        <v>0</v>
      </c>
      <c r="DR19" s="6" t="n">
        <f aca="false">+DL19+DO19+DF19+DI19</f>
        <v>0</v>
      </c>
      <c r="DS19" s="6" t="n">
        <f aca="false">+DM19+DP19+DG19+DJ19</f>
        <v>0</v>
      </c>
      <c r="DT19" s="31" t="n">
        <f aca="false">+P19+AE19+AT19+BI19+BX19+CM19+DB19</f>
        <v>368522</v>
      </c>
      <c r="DU19" s="31" t="n">
        <f aca="false">+Q19+AF19+AU19+BJ19+BY19+CN19+DC19</f>
        <v>368522</v>
      </c>
      <c r="DV19" s="31" t="n">
        <f aca="false">+R19+AG19+AV19+BK19+BZ19+CO19+DD19</f>
        <v>368522</v>
      </c>
      <c r="DW19" s="31" t="n">
        <f aca="false">+DU19-DV19</f>
        <v>0</v>
      </c>
    </row>
    <row r="20" customFormat="false" ht="13.8" hidden="false" customHeight="false" outlineLevel="0" collapsed="false">
      <c r="A20" s="27" t="n">
        <v>44084</v>
      </c>
      <c r="B20" s="28" t="s">
        <v>144</v>
      </c>
      <c r="C20" s="28" t="s">
        <v>145</v>
      </c>
      <c r="D20" s="29" t="s">
        <v>146</v>
      </c>
      <c r="E20" s="28" t="s">
        <v>147</v>
      </c>
      <c r="F20" s="27" t="s">
        <v>148</v>
      </c>
      <c r="G20" s="27" t="s">
        <v>4</v>
      </c>
      <c r="H20" s="30" t="n">
        <v>500000</v>
      </c>
      <c r="I20" s="30" t="n">
        <v>500000</v>
      </c>
      <c r="J20" s="6" t="n">
        <v>0</v>
      </c>
      <c r="K20" s="6" t="n">
        <v>0</v>
      </c>
      <c r="L20" s="6" t="n">
        <v>0</v>
      </c>
      <c r="M20" s="30" t="n">
        <v>500000</v>
      </c>
      <c r="N20" s="30" t="n">
        <v>500000</v>
      </c>
      <c r="O20" s="6" t="n">
        <v>0</v>
      </c>
      <c r="P20" s="6" t="n">
        <f aca="false">+J20+M20</f>
        <v>500000</v>
      </c>
      <c r="Q20" s="6" t="n">
        <f aca="false">+K20+N20</f>
        <v>500000</v>
      </c>
      <c r="R20" s="6" t="n">
        <f aca="false">+L20+O20</f>
        <v>0</v>
      </c>
      <c r="S20" s="6" t="n">
        <v>0</v>
      </c>
      <c r="T20" s="6" t="n">
        <v>0</v>
      </c>
      <c r="U20" s="6" t="n">
        <v>0</v>
      </c>
      <c r="V20" s="6" t="n">
        <v>0</v>
      </c>
      <c r="W20" s="6" t="n">
        <v>0</v>
      </c>
      <c r="X20" s="6" t="n">
        <v>500000</v>
      </c>
      <c r="Y20" s="6" t="n">
        <v>0</v>
      </c>
      <c r="Z20" s="6" t="n">
        <v>0</v>
      </c>
      <c r="AA20" s="6" t="n">
        <v>0</v>
      </c>
      <c r="AB20" s="6" t="n">
        <v>0</v>
      </c>
      <c r="AC20" s="6" t="n">
        <v>0</v>
      </c>
      <c r="AD20" s="6" t="n">
        <v>0</v>
      </c>
      <c r="AE20" s="6" t="n">
        <f aca="false">+Y20+AB20+S20+V20</f>
        <v>0</v>
      </c>
      <c r="AF20" s="6" t="n">
        <f aca="false">+Z20+AC20+T20+W20</f>
        <v>0</v>
      </c>
      <c r="AG20" s="6" t="n">
        <f aca="false">+AA20+AD20+U20+X20</f>
        <v>500000</v>
      </c>
      <c r="AH20" s="6" t="n">
        <v>0</v>
      </c>
      <c r="AI20" s="6" t="n">
        <v>0</v>
      </c>
      <c r="AJ20" s="6" t="n">
        <v>0</v>
      </c>
      <c r="AK20" s="6" t="n">
        <v>0</v>
      </c>
      <c r="AL20" s="6" t="n">
        <v>0</v>
      </c>
      <c r="AM20" s="6" t="n">
        <v>0</v>
      </c>
      <c r="AN20" s="6" t="n">
        <v>0</v>
      </c>
      <c r="AO20" s="6" t="n">
        <v>0</v>
      </c>
      <c r="AP20" s="6" t="n">
        <v>0</v>
      </c>
      <c r="AQ20" s="6" t="n">
        <v>0</v>
      </c>
      <c r="AR20" s="6" t="n">
        <v>0</v>
      </c>
      <c r="AS20" s="6" t="n">
        <v>0</v>
      </c>
      <c r="AT20" s="6" t="n">
        <f aca="false">+AN20+AQ20+AH20+AK20</f>
        <v>0</v>
      </c>
      <c r="AU20" s="6" t="n">
        <f aca="false">+AO20+AR20+AI20+AL20</f>
        <v>0</v>
      </c>
      <c r="AV20" s="6" t="n">
        <f aca="false">+AP20+AS20+AJ20+AM20</f>
        <v>0</v>
      </c>
      <c r="AW20" s="6" t="n">
        <v>0</v>
      </c>
      <c r="AX20" s="6" t="n">
        <v>0</v>
      </c>
      <c r="AY20" s="6" t="n">
        <v>0</v>
      </c>
      <c r="AZ20" s="6" t="n">
        <v>0</v>
      </c>
      <c r="BA20" s="6" t="n">
        <v>0</v>
      </c>
      <c r="BB20" s="6" t="n">
        <v>0</v>
      </c>
      <c r="BC20" s="6" t="n">
        <v>0</v>
      </c>
      <c r="BD20" s="6" t="n">
        <v>0</v>
      </c>
      <c r="BE20" s="6" t="n">
        <v>0</v>
      </c>
      <c r="BF20" s="6" t="n">
        <v>0</v>
      </c>
      <c r="BG20" s="6" t="n">
        <v>0</v>
      </c>
      <c r="BH20" s="6" t="n">
        <v>0</v>
      </c>
      <c r="BI20" s="6" t="n">
        <f aca="false">+BC20+BF20+AW20+AZ20</f>
        <v>0</v>
      </c>
      <c r="BJ20" s="6" t="n">
        <f aca="false">+BD20+BG20+AX20+BA20</f>
        <v>0</v>
      </c>
      <c r="BK20" s="6" t="n">
        <f aca="false">+BE20+BH20+AY20+BB20</f>
        <v>0</v>
      </c>
      <c r="BL20" s="6" t="n">
        <v>0</v>
      </c>
      <c r="BM20" s="6" t="n">
        <v>0</v>
      </c>
      <c r="BN20" s="6" t="n">
        <v>0</v>
      </c>
      <c r="BO20" s="6" t="n">
        <v>0</v>
      </c>
      <c r="BP20" s="6" t="n">
        <v>0</v>
      </c>
      <c r="BQ20" s="6" t="n">
        <v>0</v>
      </c>
      <c r="BR20" s="6" t="n">
        <v>0</v>
      </c>
      <c r="BS20" s="6" t="n">
        <v>0</v>
      </c>
      <c r="BT20" s="6" t="n">
        <v>0</v>
      </c>
      <c r="BU20" s="6" t="n">
        <v>0</v>
      </c>
      <c r="BV20" s="6" t="n">
        <v>0</v>
      </c>
      <c r="BW20" s="6" t="n">
        <v>0</v>
      </c>
      <c r="BX20" s="6" t="n">
        <f aca="false">+BR20+BU20+BL20+BO20</f>
        <v>0</v>
      </c>
      <c r="BY20" s="6" t="n">
        <f aca="false">+BS20+BV20+BM20+BP20</f>
        <v>0</v>
      </c>
      <c r="BZ20" s="6" t="n">
        <f aca="false">+BT20+BW20+BN20+BQ20</f>
        <v>0</v>
      </c>
      <c r="CA20" s="6" t="n">
        <v>0</v>
      </c>
      <c r="CB20" s="6" t="n">
        <v>0</v>
      </c>
      <c r="CC20" s="6" t="n">
        <v>0</v>
      </c>
      <c r="CD20" s="6" t="n">
        <v>0</v>
      </c>
      <c r="CE20" s="6" t="n">
        <v>0</v>
      </c>
      <c r="CF20" s="6" t="n">
        <v>0</v>
      </c>
      <c r="CG20" s="6" t="n">
        <v>0</v>
      </c>
      <c r="CH20" s="6" t="n">
        <v>0</v>
      </c>
      <c r="CI20" s="6" t="n">
        <v>0</v>
      </c>
      <c r="CJ20" s="6" t="n">
        <v>0</v>
      </c>
      <c r="CK20" s="6" t="n">
        <v>0</v>
      </c>
      <c r="CL20" s="6" t="n">
        <v>0</v>
      </c>
      <c r="CM20" s="6" t="n">
        <f aca="false">+CG20+CJ20+CA20+CD20</f>
        <v>0</v>
      </c>
      <c r="CN20" s="6" t="n">
        <f aca="false">+CH20+CK20+CB20+CE20</f>
        <v>0</v>
      </c>
      <c r="CO20" s="6" t="n">
        <f aca="false">+CI20+CL20+CC20+CF20</f>
        <v>0</v>
      </c>
      <c r="CP20" s="6" t="n">
        <v>0</v>
      </c>
      <c r="CQ20" s="6" t="n">
        <v>0</v>
      </c>
      <c r="CR20" s="6" t="n">
        <v>0</v>
      </c>
      <c r="CS20" s="6" t="n">
        <v>0</v>
      </c>
      <c r="CT20" s="6" t="n">
        <v>0</v>
      </c>
      <c r="CU20" s="6" t="n">
        <v>0</v>
      </c>
      <c r="CV20" s="6" t="n">
        <v>0</v>
      </c>
      <c r="CW20" s="6" t="n">
        <v>0</v>
      </c>
      <c r="CX20" s="6" t="n">
        <v>0</v>
      </c>
      <c r="CY20" s="6" t="n">
        <v>0</v>
      </c>
      <c r="CZ20" s="6" t="n">
        <v>0</v>
      </c>
      <c r="DA20" s="6" t="n">
        <v>0</v>
      </c>
      <c r="DB20" s="6" t="n">
        <f aca="false">+CV20+CY20+CP20+CS20</f>
        <v>0</v>
      </c>
      <c r="DC20" s="6" t="n">
        <f aca="false">+CW20+CZ20+CQ20+CT20</f>
        <v>0</v>
      </c>
      <c r="DD20" s="6" t="n">
        <f aca="false">+CX20+DA20+CR20+CU20</f>
        <v>0</v>
      </c>
      <c r="DE20" s="6" t="n">
        <v>0</v>
      </c>
      <c r="DF20" s="6" t="n">
        <v>0</v>
      </c>
      <c r="DG20" s="6" t="n">
        <v>0</v>
      </c>
      <c r="DH20" s="6" t="n">
        <v>0</v>
      </c>
      <c r="DI20" s="6" t="n">
        <v>0</v>
      </c>
      <c r="DJ20" s="6" t="n">
        <v>0</v>
      </c>
      <c r="DK20" s="6" t="n">
        <v>0</v>
      </c>
      <c r="DL20" s="6" t="n">
        <v>0</v>
      </c>
      <c r="DM20" s="6" t="n">
        <v>0</v>
      </c>
      <c r="DN20" s="6" t="n">
        <v>0</v>
      </c>
      <c r="DO20" s="6" t="n">
        <v>0</v>
      </c>
      <c r="DP20" s="6" t="n">
        <v>0</v>
      </c>
      <c r="DQ20" s="6" t="n">
        <f aca="false">+DK20+DN20+DE20+DH20</f>
        <v>0</v>
      </c>
      <c r="DR20" s="6" t="n">
        <f aca="false">+DL20+DO20+DF20+DI20</f>
        <v>0</v>
      </c>
      <c r="DS20" s="6" t="n">
        <f aca="false">+DM20+DP20+DG20+DJ20</f>
        <v>0</v>
      </c>
      <c r="DT20" s="31" t="n">
        <f aca="false">+P20+AE20+AT20+BI20+BX20+CM20+DB20</f>
        <v>500000</v>
      </c>
      <c r="DU20" s="31" t="n">
        <f aca="false">+Q20+AF20+AU20+BJ20+BY20+CN20+DC20</f>
        <v>500000</v>
      </c>
      <c r="DV20" s="31" t="n">
        <f aca="false">+R20+AG20+AV20+BK20+BZ20+CO20+DD20</f>
        <v>500000</v>
      </c>
      <c r="DW20" s="31" t="n">
        <f aca="false">+DU20-DV20</f>
        <v>0</v>
      </c>
    </row>
    <row r="21" customFormat="false" ht="13.8" hidden="false" customHeight="false" outlineLevel="0" collapsed="false">
      <c r="A21" s="27" t="n">
        <v>44130</v>
      </c>
      <c r="B21" s="28" t="s">
        <v>149</v>
      </c>
      <c r="C21" s="28" t="s">
        <v>150</v>
      </c>
      <c r="D21" s="29" t="s">
        <v>151</v>
      </c>
      <c r="E21" s="28" t="s">
        <v>152</v>
      </c>
      <c r="F21" s="27" t="s">
        <v>153</v>
      </c>
      <c r="G21" s="27" t="s">
        <v>5</v>
      </c>
      <c r="H21" s="30" t="n">
        <v>506000</v>
      </c>
      <c r="I21" s="30" t="n">
        <v>506000</v>
      </c>
      <c r="J21" s="6" t="n">
        <v>0</v>
      </c>
      <c r="K21" s="6" t="n">
        <v>0</v>
      </c>
      <c r="L21" s="6" t="n">
        <v>0</v>
      </c>
      <c r="M21" s="6" t="n">
        <v>0</v>
      </c>
      <c r="N21" s="6" t="n">
        <v>0</v>
      </c>
      <c r="O21" s="6" t="n">
        <v>0</v>
      </c>
      <c r="P21" s="6" t="n">
        <f aca="false">+J21+M21</f>
        <v>0</v>
      </c>
      <c r="Q21" s="6" t="n">
        <f aca="false">+K21+N21</f>
        <v>0</v>
      </c>
      <c r="R21" s="6" t="n">
        <f aca="false">+L21+O21</f>
        <v>0</v>
      </c>
      <c r="S21" s="30" t="n">
        <v>506000</v>
      </c>
      <c r="T21" s="30" t="n">
        <v>506000</v>
      </c>
      <c r="U21" s="6" t="n">
        <v>0</v>
      </c>
      <c r="V21" s="6" t="n">
        <v>0</v>
      </c>
      <c r="W21" s="6" t="n">
        <v>0</v>
      </c>
      <c r="X21" s="6" t="n">
        <v>50000</v>
      </c>
      <c r="Y21" s="6" t="n">
        <v>0</v>
      </c>
      <c r="Z21" s="6" t="n">
        <v>0</v>
      </c>
      <c r="AA21" s="6" t="n">
        <v>0</v>
      </c>
      <c r="AB21" s="6" t="n">
        <v>0</v>
      </c>
      <c r="AC21" s="6" t="n">
        <v>0</v>
      </c>
      <c r="AD21" s="6" t="n">
        <v>200000</v>
      </c>
      <c r="AE21" s="6" t="n">
        <f aca="false">+Y21+AB21+S21+V21</f>
        <v>506000</v>
      </c>
      <c r="AF21" s="6" t="n">
        <f aca="false">+Z21+AC21+T21+W21</f>
        <v>506000</v>
      </c>
      <c r="AG21" s="6" t="n">
        <f aca="false">+AA21+AD21+U21+X21</f>
        <v>250000</v>
      </c>
      <c r="AH21" s="6" t="n">
        <v>0</v>
      </c>
      <c r="AI21" s="6" t="n">
        <v>0</v>
      </c>
      <c r="AJ21" s="6" t="n">
        <v>0</v>
      </c>
      <c r="AK21" s="6" t="n">
        <v>0</v>
      </c>
      <c r="AL21" s="6" t="n">
        <v>0</v>
      </c>
      <c r="AM21" s="6" t="n">
        <v>128000</v>
      </c>
      <c r="AN21" s="6" t="n">
        <v>0</v>
      </c>
      <c r="AO21" s="6" t="n">
        <v>0</v>
      </c>
      <c r="AP21" s="6" t="n">
        <v>128000</v>
      </c>
      <c r="AQ21" s="6" t="n">
        <v>0</v>
      </c>
      <c r="AR21" s="6" t="n">
        <v>0</v>
      </c>
      <c r="AS21" s="6" t="n">
        <v>0</v>
      </c>
      <c r="AT21" s="6" t="n">
        <f aca="false">+AN21+AQ21+AH21+AK21</f>
        <v>0</v>
      </c>
      <c r="AU21" s="6" t="n">
        <f aca="false">+AO21+AR21+AI21+AL21</f>
        <v>0</v>
      </c>
      <c r="AV21" s="6" t="n">
        <f aca="false">+AP21+AS21+AJ21+AM21</f>
        <v>256000</v>
      </c>
      <c r="AW21" s="6" t="n">
        <v>0</v>
      </c>
      <c r="AX21" s="6" t="n">
        <v>0</v>
      </c>
      <c r="AY21" s="6" t="n">
        <v>0</v>
      </c>
      <c r="AZ21" s="6" t="n">
        <v>0</v>
      </c>
      <c r="BA21" s="6" t="n">
        <v>0</v>
      </c>
      <c r="BB21" s="6" t="n">
        <v>0</v>
      </c>
      <c r="BC21" s="6" t="n">
        <v>0</v>
      </c>
      <c r="BD21" s="6" t="n">
        <v>0</v>
      </c>
      <c r="BE21" s="6" t="n">
        <v>0</v>
      </c>
      <c r="BF21" s="6" t="n">
        <v>0</v>
      </c>
      <c r="BG21" s="6" t="n">
        <v>0</v>
      </c>
      <c r="BH21" s="6" t="n">
        <v>0</v>
      </c>
      <c r="BI21" s="6" t="n">
        <f aca="false">+BC21+BF21+AW21+AZ21</f>
        <v>0</v>
      </c>
      <c r="BJ21" s="6" t="n">
        <f aca="false">+BD21+BG21+AX21+BA21</f>
        <v>0</v>
      </c>
      <c r="BK21" s="6" t="n">
        <f aca="false">+BE21+BH21+AY21+BB21</f>
        <v>0</v>
      </c>
      <c r="BL21" s="6" t="n">
        <v>0</v>
      </c>
      <c r="BM21" s="6" t="n">
        <v>0</v>
      </c>
      <c r="BN21" s="6" t="n">
        <v>0</v>
      </c>
      <c r="BO21" s="6" t="n">
        <v>0</v>
      </c>
      <c r="BP21" s="6" t="n">
        <v>0</v>
      </c>
      <c r="BQ21" s="6" t="n">
        <v>0</v>
      </c>
      <c r="BR21" s="6" t="n">
        <v>0</v>
      </c>
      <c r="BS21" s="6" t="n">
        <v>0</v>
      </c>
      <c r="BT21" s="6" t="n">
        <v>0</v>
      </c>
      <c r="BU21" s="6" t="n">
        <v>0</v>
      </c>
      <c r="BV21" s="6" t="n">
        <v>0</v>
      </c>
      <c r="BW21" s="6" t="n">
        <v>0</v>
      </c>
      <c r="BX21" s="6" t="n">
        <f aca="false">+BR21+BU21+BL21+BO21</f>
        <v>0</v>
      </c>
      <c r="BY21" s="6" t="n">
        <f aca="false">+BS21+BV21+BM21+BP21</f>
        <v>0</v>
      </c>
      <c r="BZ21" s="6" t="n">
        <f aca="false">+BT21+BW21+BN21+BQ21</f>
        <v>0</v>
      </c>
      <c r="CA21" s="6" t="n">
        <v>0</v>
      </c>
      <c r="CB21" s="6" t="n">
        <v>0</v>
      </c>
      <c r="CC21" s="6" t="n">
        <v>0</v>
      </c>
      <c r="CD21" s="6" t="n">
        <v>0</v>
      </c>
      <c r="CE21" s="6" t="n">
        <v>0</v>
      </c>
      <c r="CF21" s="6" t="n">
        <v>0</v>
      </c>
      <c r="CG21" s="6" t="n">
        <v>0</v>
      </c>
      <c r="CH21" s="6" t="n">
        <v>0</v>
      </c>
      <c r="CI21" s="6" t="n">
        <v>0</v>
      </c>
      <c r="CJ21" s="6" t="n">
        <v>0</v>
      </c>
      <c r="CK21" s="6" t="n">
        <v>0</v>
      </c>
      <c r="CL21" s="6" t="n">
        <v>0</v>
      </c>
      <c r="CM21" s="6" t="n">
        <f aca="false">+CG21+CJ21+CA21+CD21</f>
        <v>0</v>
      </c>
      <c r="CN21" s="6" t="n">
        <f aca="false">+CH21+CK21+CB21+CE21</f>
        <v>0</v>
      </c>
      <c r="CO21" s="6" t="n">
        <f aca="false">+CI21+CL21+CC21+CF21</f>
        <v>0</v>
      </c>
      <c r="CP21" s="6" t="n">
        <v>0</v>
      </c>
      <c r="CQ21" s="6" t="n">
        <v>0</v>
      </c>
      <c r="CR21" s="6" t="n">
        <v>0</v>
      </c>
      <c r="CS21" s="6" t="n">
        <v>0</v>
      </c>
      <c r="CT21" s="6" t="n">
        <v>0</v>
      </c>
      <c r="CU21" s="6" t="n">
        <v>0</v>
      </c>
      <c r="CV21" s="6" t="n">
        <v>0</v>
      </c>
      <c r="CW21" s="6" t="n">
        <v>0</v>
      </c>
      <c r="CX21" s="6" t="n">
        <v>0</v>
      </c>
      <c r="CY21" s="6" t="n">
        <v>0</v>
      </c>
      <c r="CZ21" s="6" t="n">
        <v>0</v>
      </c>
      <c r="DA21" s="6" t="n">
        <v>0</v>
      </c>
      <c r="DB21" s="6" t="n">
        <f aca="false">+CV21+CY21+CP21+CS21</f>
        <v>0</v>
      </c>
      <c r="DC21" s="6" t="n">
        <f aca="false">+CW21+CZ21+CQ21+CT21</f>
        <v>0</v>
      </c>
      <c r="DD21" s="6" t="n">
        <f aca="false">+CX21+DA21+CR21+CU21</f>
        <v>0</v>
      </c>
      <c r="DE21" s="6" t="n">
        <v>0</v>
      </c>
      <c r="DF21" s="6" t="n">
        <v>0</v>
      </c>
      <c r="DG21" s="6" t="n">
        <v>0</v>
      </c>
      <c r="DH21" s="6" t="n">
        <v>0</v>
      </c>
      <c r="DI21" s="6" t="n">
        <v>0</v>
      </c>
      <c r="DJ21" s="6" t="n">
        <v>0</v>
      </c>
      <c r="DK21" s="6" t="n">
        <v>0</v>
      </c>
      <c r="DL21" s="6" t="n">
        <v>0</v>
      </c>
      <c r="DM21" s="6" t="n">
        <v>0</v>
      </c>
      <c r="DN21" s="6" t="n">
        <v>0</v>
      </c>
      <c r="DO21" s="6" t="n">
        <v>0</v>
      </c>
      <c r="DP21" s="6" t="n">
        <v>0</v>
      </c>
      <c r="DQ21" s="6" t="n">
        <f aca="false">+DK21+DN21+DE21+DH21</f>
        <v>0</v>
      </c>
      <c r="DR21" s="6" t="n">
        <f aca="false">+DL21+DO21+DF21+DI21</f>
        <v>0</v>
      </c>
      <c r="DS21" s="6" t="n">
        <f aca="false">+DM21+DP21+DG21+DJ21</f>
        <v>0</v>
      </c>
      <c r="DT21" s="31" t="n">
        <f aca="false">+P21+AE21+AT21+BI21+BX21+CM21+DB21</f>
        <v>506000</v>
      </c>
      <c r="DU21" s="31" t="n">
        <f aca="false">+Q21+AF21+AU21+BJ21+BY21+CN21+DC21</f>
        <v>506000</v>
      </c>
      <c r="DV21" s="31" t="n">
        <f aca="false">+R21+AG21+AV21+BK21+BZ21+CO21+DD21</f>
        <v>506000</v>
      </c>
      <c r="DW21" s="31" t="n">
        <f aca="false">+DU21-DV21</f>
        <v>0</v>
      </c>
    </row>
    <row r="22" customFormat="false" ht="13.8" hidden="false" customHeight="false" outlineLevel="0" collapsed="false">
      <c r="A22" s="27" t="n">
        <v>44134</v>
      </c>
      <c r="B22" s="28" t="s">
        <v>154</v>
      </c>
      <c r="C22" s="28" t="s">
        <v>155</v>
      </c>
      <c r="D22" s="29" t="s">
        <v>156</v>
      </c>
      <c r="E22" s="28" t="s">
        <v>157</v>
      </c>
      <c r="F22" s="27" t="s">
        <v>158</v>
      </c>
      <c r="G22" s="27" t="s">
        <v>5</v>
      </c>
      <c r="H22" s="30" t="n">
        <v>217425</v>
      </c>
      <c r="I22" s="30" t="n">
        <v>11425</v>
      </c>
      <c r="J22" s="6" t="n">
        <v>0</v>
      </c>
      <c r="K22" s="6" t="n">
        <v>0</v>
      </c>
      <c r="L22" s="6" t="n">
        <v>0</v>
      </c>
      <c r="M22" s="6" t="n">
        <v>0</v>
      </c>
      <c r="N22" s="6" t="n">
        <v>0</v>
      </c>
      <c r="O22" s="6" t="n">
        <v>0</v>
      </c>
      <c r="P22" s="6" t="n">
        <f aca="false">+J22+M22</f>
        <v>0</v>
      </c>
      <c r="Q22" s="6" t="n">
        <f aca="false">+K22+N22</f>
        <v>0</v>
      </c>
      <c r="R22" s="6" t="n">
        <f aca="false">+L22+O22</f>
        <v>0</v>
      </c>
      <c r="S22" s="30" t="n">
        <v>217425</v>
      </c>
      <c r="T22" s="30" t="n">
        <v>11425</v>
      </c>
      <c r="U22" s="6" t="n">
        <v>0</v>
      </c>
      <c r="V22" s="6" t="n">
        <v>0</v>
      </c>
      <c r="W22" s="6" t="n">
        <v>0</v>
      </c>
      <c r="X22" s="6" t="n">
        <v>11425</v>
      </c>
      <c r="Y22" s="6" t="n">
        <v>0</v>
      </c>
      <c r="Z22" s="6" t="n">
        <v>0</v>
      </c>
      <c r="AA22" s="6" t="n">
        <v>0</v>
      </c>
      <c r="AB22" s="6" t="n">
        <v>0</v>
      </c>
      <c r="AC22" s="6" t="n">
        <v>0</v>
      </c>
      <c r="AD22" s="6" t="n">
        <v>0</v>
      </c>
      <c r="AE22" s="6" t="n">
        <f aca="false">+Y22+AB22+S22+V22</f>
        <v>217425</v>
      </c>
      <c r="AF22" s="6" t="n">
        <f aca="false">+Z22+AC22+T22+W22</f>
        <v>11425</v>
      </c>
      <c r="AG22" s="6" t="n">
        <f aca="false">+AA22+AD22+U22+X22</f>
        <v>11425</v>
      </c>
      <c r="AH22" s="6" t="n">
        <v>0</v>
      </c>
      <c r="AI22" s="6" t="n">
        <v>0</v>
      </c>
      <c r="AJ22" s="6" t="n">
        <v>0</v>
      </c>
      <c r="AK22" s="6" t="n">
        <v>0</v>
      </c>
      <c r="AL22" s="6" t="n">
        <v>0</v>
      </c>
      <c r="AM22" s="6" t="n">
        <v>0</v>
      </c>
      <c r="AN22" s="6" t="n">
        <v>0</v>
      </c>
      <c r="AO22" s="6" t="n">
        <v>0</v>
      </c>
      <c r="AP22" s="6" t="n">
        <v>0</v>
      </c>
      <c r="AQ22" s="6" t="n">
        <v>0</v>
      </c>
      <c r="AR22" s="6" t="n">
        <v>0</v>
      </c>
      <c r="AS22" s="6" t="n">
        <v>0</v>
      </c>
      <c r="AT22" s="6" t="n">
        <f aca="false">+AN22+AQ22+AH22+AK22</f>
        <v>0</v>
      </c>
      <c r="AU22" s="6" t="n">
        <f aca="false">+AO22+AR22+AI22+AL22</f>
        <v>0</v>
      </c>
      <c r="AV22" s="6" t="n">
        <f aca="false">+AP22+AS22+AJ22+AM22</f>
        <v>0</v>
      </c>
      <c r="AW22" s="6" t="n">
        <v>0</v>
      </c>
      <c r="AX22" s="6" t="n">
        <v>0</v>
      </c>
      <c r="AY22" s="6" t="n">
        <v>0</v>
      </c>
      <c r="AZ22" s="6" t="n">
        <v>0</v>
      </c>
      <c r="BA22" s="6" t="n">
        <v>0</v>
      </c>
      <c r="BB22" s="6" t="n">
        <v>0</v>
      </c>
      <c r="BC22" s="6" t="n">
        <v>0</v>
      </c>
      <c r="BD22" s="6" t="n">
        <v>0</v>
      </c>
      <c r="BE22" s="6" t="n">
        <v>0</v>
      </c>
      <c r="BF22" s="6" t="n">
        <v>0</v>
      </c>
      <c r="BG22" s="6" t="n">
        <v>0</v>
      </c>
      <c r="BH22" s="6" t="n">
        <v>0</v>
      </c>
      <c r="BI22" s="6" t="n">
        <f aca="false">+BC22+BF22+AW22+AZ22</f>
        <v>0</v>
      </c>
      <c r="BJ22" s="6" t="n">
        <f aca="false">+BD22+BG22+AX22+BA22</f>
        <v>0</v>
      </c>
      <c r="BK22" s="6" t="n">
        <f aca="false">+BE22+BH22+AY22+BB22</f>
        <v>0</v>
      </c>
      <c r="BL22" s="6" t="n">
        <v>0</v>
      </c>
      <c r="BM22" s="6" t="n">
        <v>0</v>
      </c>
      <c r="BN22" s="6" t="n">
        <v>0</v>
      </c>
      <c r="BO22" s="6" t="n">
        <v>0</v>
      </c>
      <c r="BP22" s="6" t="n">
        <v>0</v>
      </c>
      <c r="BQ22" s="6" t="n">
        <v>0</v>
      </c>
      <c r="BR22" s="6" t="n">
        <v>0</v>
      </c>
      <c r="BS22" s="6" t="n">
        <v>0</v>
      </c>
      <c r="BT22" s="6" t="n">
        <v>0</v>
      </c>
      <c r="BU22" s="6" t="n">
        <v>0</v>
      </c>
      <c r="BV22" s="6" t="n">
        <v>0</v>
      </c>
      <c r="BW22" s="6" t="n">
        <v>0</v>
      </c>
      <c r="BX22" s="6" t="n">
        <f aca="false">+BR22+BU22+BL22+BO22</f>
        <v>0</v>
      </c>
      <c r="BY22" s="6" t="n">
        <f aca="false">+BS22+BV22+BM22+BP22</f>
        <v>0</v>
      </c>
      <c r="BZ22" s="6" t="n">
        <f aca="false">+BT22+BW22+BN22+BQ22</f>
        <v>0</v>
      </c>
      <c r="CA22" s="6" t="n">
        <v>0</v>
      </c>
      <c r="CB22" s="6" t="n">
        <v>0</v>
      </c>
      <c r="CC22" s="6" t="n">
        <v>0</v>
      </c>
      <c r="CD22" s="6" t="n">
        <v>0</v>
      </c>
      <c r="CE22" s="6" t="n">
        <v>0</v>
      </c>
      <c r="CF22" s="6" t="n">
        <v>0</v>
      </c>
      <c r="CG22" s="6" t="n">
        <v>0</v>
      </c>
      <c r="CH22" s="6" t="n">
        <v>0</v>
      </c>
      <c r="CI22" s="6" t="n">
        <v>0</v>
      </c>
      <c r="CJ22" s="6" t="n">
        <v>0</v>
      </c>
      <c r="CK22" s="6" t="n">
        <v>0</v>
      </c>
      <c r="CL22" s="6" t="n">
        <v>0</v>
      </c>
      <c r="CM22" s="6" t="n">
        <f aca="false">+CG22+CJ22+CA22+CD22</f>
        <v>0</v>
      </c>
      <c r="CN22" s="6" t="n">
        <f aca="false">+CH22+CK22+CB22+CE22</f>
        <v>0</v>
      </c>
      <c r="CO22" s="6" t="n">
        <f aca="false">+CI22+CL22+CC22+CF22</f>
        <v>0</v>
      </c>
      <c r="CP22" s="6" t="n">
        <v>0</v>
      </c>
      <c r="CQ22" s="6" t="n">
        <v>0</v>
      </c>
      <c r="CR22" s="6" t="n">
        <v>0</v>
      </c>
      <c r="CS22" s="6" t="n">
        <v>0</v>
      </c>
      <c r="CT22" s="6" t="n">
        <v>0</v>
      </c>
      <c r="CU22" s="6" t="n">
        <v>0</v>
      </c>
      <c r="CV22" s="6" t="n">
        <v>0</v>
      </c>
      <c r="CW22" s="6" t="n">
        <v>0</v>
      </c>
      <c r="CX22" s="6" t="n">
        <v>0</v>
      </c>
      <c r="CY22" s="6" t="n">
        <v>0</v>
      </c>
      <c r="CZ22" s="6" t="n">
        <v>0</v>
      </c>
      <c r="DA22" s="6" t="n">
        <v>0</v>
      </c>
      <c r="DB22" s="6" t="n">
        <f aca="false">+CV22+CY22+CP22+CS22</f>
        <v>0</v>
      </c>
      <c r="DC22" s="6" t="n">
        <f aca="false">+CW22+CZ22+CQ22+CT22</f>
        <v>0</v>
      </c>
      <c r="DD22" s="6" t="n">
        <f aca="false">+CX22+DA22+CR22+CU22</f>
        <v>0</v>
      </c>
      <c r="DE22" s="6" t="n">
        <v>0</v>
      </c>
      <c r="DF22" s="6" t="n">
        <v>0</v>
      </c>
      <c r="DG22" s="6" t="n">
        <v>0</v>
      </c>
      <c r="DH22" s="6" t="n">
        <v>0</v>
      </c>
      <c r="DI22" s="6" t="n">
        <v>0</v>
      </c>
      <c r="DJ22" s="6" t="n">
        <v>0</v>
      </c>
      <c r="DK22" s="6" t="n">
        <v>0</v>
      </c>
      <c r="DL22" s="6" t="n">
        <v>0</v>
      </c>
      <c r="DM22" s="6" t="n">
        <v>0</v>
      </c>
      <c r="DN22" s="6" t="n">
        <v>0</v>
      </c>
      <c r="DO22" s="6" t="n">
        <v>0</v>
      </c>
      <c r="DP22" s="6" t="n">
        <v>0</v>
      </c>
      <c r="DQ22" s="6" t="n">
        <f aca="false">+DK22+DN22+DE22+DH22</f>
        <v>0</v>
      </c>
      <c r="DR22" s="6" t="n">
        <f aca="false">+DL22+DO22+DF22+DI22</f>
        <v>0</v>
      </c>
      <c r="DS22" s="6" t="n">
        <f aca="false">+DM22+DP22+DG22+DJ22</f>
        <v>0</v>
      </c>
      <c r="DT22" s="31" t="n">
        <f aca="false">+P22+AE22+AT22+BI22+BX22+CM22+DB22</f>
        <v>217425</v>
      </c>
      <c r="DU22" s="31" t="n">
        <f aca="false">+Q22+AF22+AU22+BJ22+BY22+CN22+DC22</f>
        <v>11425</v>
      </c>
      <c r="DV22" s="31" t="n">
        <f aca="false">+R22+AG22+AV22+BK22+BZ22+CO22+DD22</f>
        <v>11425</v>
      </c>
      <c r="DW22" s="31" t="n">
        <f aca="false">+DU22-DV22</f>
        <v>0</v>
      </c>
    </row>
    <row r="23" customFormat="false" ht="13.8" hidden="false" customHeight="false" outlineLevel="0" collapsed="false">
      <c r="A23" s="27" t="n">
        <v>44134</v>
      </c>
      <c r="B23" s="28" t="s">
        <v>154</v>
      </c>
      <c r="C23" s="28" t="s">
        <v>155</v>
      </c>
      <c r="D23" s="29" t="s">
        <v>156</v>
      </c>
      <c r="E23" s="28" t="s">
        <v>157</v>
      </c>
      <c r="F23" s="27" t="s">
        <v>158</v>
      </c>
      <c r="G23" s="27" t="s">
        <v>5</v>
      </c>
      <c r="H23" s="30"/>
      <c r="I23" s="30" t="n">
        <v>206000</v>
      </c>
      <c r="J23" s="6" t="n">
        <v>0</v>
      </c>
      <c r="K23" s="6" t="n">
        <v>0</v>
      </c>
      <c r="L23" s="6" t="n">
        <v>0</v>
      </c>
      <c r="M23" s="6" t="n">
        <v>0</v>
      </c>
      <c r="N23" s="6" t="n">
        <v>0</v>
      </c>
      <c r="O23" s="6" t="n">
        <v>0</v>
      </c>
      <c r="P23" s="6" t="n">
        <f aca="false">+J23+M23</f>
        <v>0</v>
      </c>
      <c r="Q23" s="6" t="n">
        <f aca="false">+K23+N23</f>
        <v>0</v>
      </c>
      <c r="R23" s="6" t="n">
        <f aca="false">+L23+O23</f>
        <v>0</v>
      </c>
      <c r="S23" s="30" t="n">
        <v>0</v>
      </c>
      <c r="T23" s="30" t="n">
        <v>206000</v>
      </c>
      <c r="U23" s="6" t="n">
        <v>0</v>
      </c>
      <c r="V23" s="6" t="n">
        <v>0</v>
      </c>
      <c r="W23" s="6" t="n">
        <v>0</v>
      </c>
      <c r="X23" s="6" t="n">
        <v>206000</v>
      </c>
      <c r="Y23" s="6" t="n">
        <v>0</v>
      </c>
      <c r="Z23" s="6" t="n">
        <v>0</v>
      </c>
      <c r="AA23" s="6" t="n">
        <v>0</v>
      </c>
      <c r="AB23" s="6" t="n">
        <v>0</v>
      </c>
      <c r="AC23" s="6" t="n">
        <v>0</v>
      </c>
      <c r="AD23" s="6" t="n">
        <v>0</v>
      </c>
      <c r="AE23" s="6" t="n">
        <f aca="false">+Y23+AB23+S23+V23</f>
        <v>0</v>
      </c>
      <c r="AF23" s="6" t="n">
        <f aca="false">+Z23+AC23+T23+W23</f>
        <v>206000</v>
      </c>
      <c r="AG23" s="6" t="n">
        <f aca="false">+AA23+AD23+U23+X23</f>
        <v>206000</v>
      </c>
      <c r="AH23" s="6" t="n">
        <v>0</v>
      </c>
      <c r="AI23" s="6" t="n">
        <v>0</v>
      </c>
      <c r="AJ23" s="6" t="n">
        <v>0</v>
      </c>
      <c r="AK23" s="6" t="n">
        <v>0</v>
      </c>
      <c r="AL23" s="6" t="n">
        <v>0</v>
      </c>
      <c r="AM23" s="6" t="n">
        <v>0</v>
      </c>
      <c r="AN23" s="6" t="n">
        <v>0</v>
      </c>
      <c r="AO23" s="6" t="n">
        <v>0</v>
      </c>
      <c r="AP23" s="6" t="n">
        <v>0</v>
      </c>
      <c r="AQ23" s="6" t="n">
        <v>0</v>
      </c>
      <c r="AR23" s="6" t="n">
        <v>0</v>
      </c>
      <c r="AS23" s="6" t="n">
        <v>0</v>
      </c>
      <c r="AT23" s="6" t="n">
        <f aca="false">+AN23+AQ23+AH23+AK23</f>
        <v>0</v>
      </c>
      <c r="AU23" s="6" t="n">
        <f aca="false">+AO23+AR23+AI23+AL23</f>
        <v>0</v>
      </c>
      <c r="AV23" s="6" t="n">
        <f aca="false">+AP23+AS23+AJ23+AM23</f>
        <v>0</v>
      </c>
      <c r="AW23" s="6" t="n">
        <v>0</v>
      </c>
      <c r="AX23" s="6" t="n">
        <v>0</v>
      </c>
      <c r="AY23" s="6" t="n">
        <v>0</v>
      </c>
      <c r="AZ23" s="6" t="n">
        <v>0</v>
      </c>
      <c r="BA23" s="6" t="n">
        <v>0</v>
      </c>
      <c r="BB23" s="6" t="n">
        <v>0</v>
      </c>
      <c r="BC23" s="6" t="n">
        <v>0</v>
      </c>
      <c r="BD23" s="6" t="n">
        <v>0</v>
      </c>
      <c r="BE23" s="6" t="n">
        <v>0</v>
      </c>
      <c r="BF23" s="6" t="n">
        <v>0</v>
      </c>
      <c r="BG23" s="6" t="n">
        <v>0</v>
      </c>
      <c r="BH23" s="6" t="n">
        <v>0</v>
      </c>
      <c r="BI23" s="6" t="n">
        <f aca="false">+BC23+BF23+AW23+AZ23</f>
        <v>0</v>
      </c>
      <c r="BJ23" s="6" t="n">
        <f aca="false">+BD23+BG23+AX23+BA23</f>
        <v>0</v>
      </c>
      <c r="BK23" s="6" t="n">
        <f aca="false">+BE23+BH23+AY23+BB23</f>
        <v>0</v>
      </c>
      <c r="BL23" s="6" t="n">
        <v>0</v>
      </c>
      <c r="BM23" s="6" t="n">
        <v>0</v>
      </c>
      <c r="BN23" s="6" t="n">
        <v>0</v>
      </c>
      <c r="BO23" s="6" t="n">
        <v>0</v>
      </c>
      <c r="BP23" s="6" t="n">
        <v>0</v>
      </c>
      <c r="BQ23" s="6" t="n">
        <v>0</v>
      </c>
      <c r="BR23" s="6" t="n">
        <v>0</v>
      </c>
      <c r="BS23" s="6" t="n">
        <v>0</v>
      </c>
      <c r="BT23" s="6" t="n">
        <v>0</v>
      </c>
      <c r="BU23" s="6" t="n">
        <v>0</v>
      </c>
      <c r="BV23" s="6" t="n">
        <v>0</v>
      </c>
      <c r="BW23" s="6" t="n">
        <v>0</v>
      </c>
      <c r="BX23" s="6" t="n">
        <f aca="false">+BR23+BU23+BL23+BO23</f>
        <v>0</v>
      </c>
      <c r="BY23" s="6" t="n">
        <f aca="false">+BS23+BV23+BM23+BP23</f>
        <v>0</v>
      </c>
      <c r="BZ23" s="6" t="n">
        <f aca="false">+BT23+BW23+BN23+BQ23</f>
        <v>0</v>
      </c>
      <c r="CA23" s="6" t="n">
        <v>0</v>
      </c>
      <c r="CB23" s="6" t="n">
        <v>0</v>
      </c>
      <c r="CC23" s="6" t="n">
        <v>0</v>
      </c>
      <c r="CD23" s="6" t="n">
        <v>0</v>
      </c>
      <c r="CE23" s="6" t="n">
        <v>0</v>
      </c>
      <c r="CF23" s="6" t="n">
        <v>0</v>
      </c>
      <c r="CG23" s="6" t="n">
        <v>0</v>
      </c>
      <c r="CH23" s="6" t="n">
        <v>0</v>
      </c>
      <c r="CI23" s="6" t="n">
        <v>0</v>
      </c>
      <c r="CJ23" s="6" t="n">
        <v>0</v>
      </c>
      <c r="CK23" s="6" t="n">
        <v>0</v>
      </c>
      <c r="CL23" s="6" t="n">
        <v>0</v>
      </c>
      <c r="CM23" s="6" t="n">
        <f aca="false">+CG23+CJ23+CA23+CD23</f>
        <v>0</v>
      </c>
      <c r="CN23" s="6" t="n">
        <f aca="false">+CH23+CK23+CB23+CE23</f>
        <v>0</v>
      </c>
      <c r="CO23" s="6" t="n">
        <f aca="false">+CI23+CL23+CC23+CF23</f>
        <v>0</v>
      </c>
      <c r="CP23" s="6" t="n">
        <v>0</v>
      </c>
      <c r="CQ23" s="6" t="n">
        <v>0</v>
      </c>
      <c r="CR23" s="6" t="n">
        <v>0</v>
      </c>
      <c r="CS23" s="6" t="n">
        <v>0</v>
      </c>
      <c r="CT23" s="6" t="n">
        <v>0</v>
      </c>
      <c r="CU23" s="6" t="n">
        <v>0</v>
      </c>
      <c r="CV23" s="6" t="n">
        <v>0</v>
      </c>
      <c r="CW23" s="6" t="n">
        <v>0</v>
      </c>
      <c r="CX23" s="6" t="n">
        <v>0</v>
      </c>
      <c r="CY23" s="6" t="n">
        <v>0</v>
      </c>
      <c r="CZ23" s="6" t="n">
        <v>0</v>
      </c>
      <c r="DA23" s="6" t="n">
        <v>0</v>
      </c>
      <c r="DB23" s="6" t="n">
        <f aca="false">+CV23+CY23+CP23+CS23</f>
        <v>0</v>
      </c>
      <c r="DC23" s="6" t="n">
        <f aca="false">+CW23+CZ23+CQ23+CT23</f>
        <v>0</v>
      </c>
      <c r="DD23" s="6" t="n">
        <f aca="false">+CX23+DA23+CR23+CU23</f>
        <v>0</v>
      </c>
      <c r="DE23" s="6" t="n">
        <v>0</v>
      </c>
      <c r="DF23" s="6" t="n">
        <v>0</v>
      </c>
      <c r="DG23" s="6" t="n">
        <v>0</v>
      </c>
      <c r="DH23" s="6" t="n">
        <v>0</v>
      </c>
      <c r="DI23" s="6" t="n">
        <v>0</v>
      </c>
      <c r="DJ23" s="6" t="n">
        <v>0</v>
      </c>
      <c r="DK23" s="6" t="n">
        <v>0</v>
      </c>
      <c r="DL23" s="6" t="n">
        <v>0</v>
      </c>
      <c r="DM23" s="6" t="n">
        <v>0</v>
      </c>
      <c r="DN23" s="6" t="n">
        <v>0</v>
      </c>
      <c r="DO23" s="6" t="n">
        <v>0</v>
      </c>
      <c r="DP23" s="6" t="n">
        <v>0</v>
      </c>
      <c r="DQ23" s="6" t="n">
        <f aca="false">+DK23+DN23+DE23+DH23</f>
        <v>0</v>
      </c>
      <c r="DR23" s="6" t="n">
        <f aca="false">+DL23+DO23+DF23+DI23</f>
        <v>0</v>
      </c>
      <c r="DS23" s="6" t="n">
        <f aca="false">+DM23+DP23+DG23+DJ23</f>
        <v>0</v>
      </c>
      <c r="DT23" s="31" t="n">
        <f aca="false">+P23+AE23+AT23+BI23+BX23+CM23+DB23</f>
        <v>0</v>
      </c>
      <c r="DU23" s="31" t="n">
        <f aca="false">+Q23+AF23+AU23+BJ23+BY23+CN23+DC23</f>
        <v>206000</v>
      </c>
      <c r="DV23" s="31" t="n">
        <f aca="false">+R23+AG23+AV23+BK23+BZ23+CO23+DD23</f>
        <v>206000</v>
      </c>
      <c r="DW23" s="31" t="n">
        <f aca="false">+DU23-DV23</f>
        <v>0</v>
      </c>
    </row>
    <row r="24" customFormat="false" ht="13.8" hidden="false" customHeight="false" outlineLevel="0" collapsed="false">
      <c r="A24" s="27" t="n">
        <v>44235</v>
      </c>
      <c r="B24" s="28" t="s">
        <v>159</v>
      </c>
      <c r="C24" s="28" t="s">
        <v>160</v>
      </c>
      <c r="D24" s="29" t="s">
        <v>161</v>
      </c>
      <c r="E24" s="28" t="s">
        <v>162</v>
      </c>
      <c r="F24" s="27" t="s">
        <v>163</v>
      </c>
      <c r="G24" s="27" t="s">
        <v>6</v>
      </c>
      <c r="H24" s="30" t="n">
        <v>175000</v>
      </c>
      <c r="I24" s="30" t="n">
        <v>175000</v>
      </c>
      <c r="J24" s="6" t="n">
        <v>0</v>
      </c>
      <c r="K24" s="6" t="n">
        <v>0</v>
      </c>
      <c r="L24" s="6" t="n">
        <v>0</v>
      </c>
      <c r="M24" s="6" t="n">
        <v>0</v>
      </c>
      <c r="N24" s="6" t="n">
        <v>0</v>
      </c>
      <c r="O24" s="6" t="n">
        <v>0</v>
      </c>
      <c r="P24" s="6" t="n">
        <f aca="false">+J24+M24</f>
        <v>0</v>
      </c>
      <c r="Q24" s="6" t="n">
        <f aca="false">+K24+N24</f>
        <v>0</v>
      </c>
      <c r="R24" s="6" t="n">
        <f aca="false">+L24+O24</f>
        <v>0</v>
      </c>
      <c r="S24" s="6" t="n">
        <v>0</v>
      </c>
      <c r="T24" s="6" t="n">
        <v>0</v>
      </c>
      <c r="U24" s="6" t="n">
        <v>0</v>
      </c>
      <c r="V24" s="30" t="n">
        <v>175000</v>
      </c>
      <c r="W24" s="30" t="n">
        <v>175000</v>
      </c>
      <c r="X24" s="6" t="n">
        <v>50000</v>
      </c>
      <c r="Y24" s="6" t="n">
        <v>0</v>
      </c>
      <c r="Z24" s="6" t="n">
        <v>0</v>
      </c>
      <c r="AA24" s="6" t="n">
        <v>0</v>
      </c>
      <c r="AB24" s="6" t="n">
        <v>0</v>
      </c>
      <c r="AC24" s="6" t="n">
        <v>0</v>
      </c>
      <c r="AD24" s="6" t="n">
        <v>0</v>
      </c>
      <c r="AE24" s="6" t="n">
        <f aca="false">+Y24+AB24+S24+V24</f>
        <v>175000</v>
      </c>
      <c r="AF24" s="6" t="n">
        <f aca="false">+Z24+AC24+T24+W24</f>
        <v>175000</v>
      </c>
      <c r="AG24" s="6" t="n">
        <f aca="false">+AA24+AD24+U24+X24</f>
        <v>50000</v>
      </c>
      <c r="AH24" s="6" t="n">
        <v>0</v>
      </c>
      <c r="AI24" s="6" t="n">
        <v>0</v>
      </c>
      <c r="AJ24" s="6" t="n">
        <v>0</v>
      </c>
      <c r="AK24" s="6" t="n">
        <v>0</v>
      </c>
      <c r="AL24" s="6" t="n">
        <v>0</v>
      </c>
      <c r="AM24" s="6" t="n">
        <v>50000</v>
      </c>
      <c r="AN24" s="6" t="n">
        <v>0</v>
      </c>
      <c r="AO24" s="6" t="n">
        <v>0</v>
      </c>
      <c r="AP24" s="6" t="n">
        <v>75000</v>
      </c>
      <c r="AQ24" s="6" t="n">
        <v>0</v>
      </c>
      <c r="AR24" s="6" t="n">
        <v>0</v>
      </c>
      <c r="AS24" s="6" t="n">
        <v>0</v>
      </c>
      <c r="AT24" s="6" t="n">
        <f aca="false">+AN24+AQ24+AH24+AK24</f>
        <v>0</v>
      </c>
      <c r="AU24" s="6" t="n">
        <f aca="false">+AO24+AR24+AI24+AL24</f>
        <v>0</v>
      </c>
      <c r="AV24" s="6" t="n">
        <f aca="false">+AP24+AS24+AJ24+AM24</f>
        <v>125000</v>
      </c>
      <c r="AW24" s="6" t="n">
        <v>0</v>
      </c>
      <c r="AX24" s="6" t="n">
        <v>0</v>
      </c>
      <c r="AY24" s="6" t="n">
        <v>0</v>
      </c>
      <c r="AZ24" s="6" t="n">
        <v>0</v>
      </c>
      <c r="BA24" s="6" t="n">
        <v>0</v>
      </c>
      <c r="BB24" s="6" t="n">
        <v>0</v>
      </c>
      <c r="BC24" s="6" t="n">
        <v>0</v>
      </c>
      <c r="BD24" s="6" t="n">
        <v>0</v>
      </c>
      <c r="BE24" s="6" t="n">
        <v>0</v>
      </c>
      <c r="BF24" s="6" t="n">
        <v>0</v>
      </c>
      <c r="BG24" s="6" t="n">
        <v>0</v>
      </c>
      <c r="BH24" s="6" t="n">
        <v>0</v>
      </c>
      <c r="BI24" s="6" t="n">
        <f aca="false">+BC24+BF24+AW24+AZ24</f>
        <v>0</v>
      </c>
      <c r="BJ24" s="6" t="n">
        <f aca="false">+BD24+BG24+AX24+BA24</f>
        <v>0</v>
      </c>
      <c r="BK24" s="6" t="n">
        <f aca="false">+BE24+BH24+AY24+BB24</f>
        <v>0</v>
      </c>
      <c r="BL24" s="6" t="n">
        <v>0</v>
      </c>
      <c r="BM24" s="6" t="n">
        <v>0</v>
      </c>
      <c r="BN24" s="6" t="n">
        <v>0</v>
      </c>
      <c r="BO24" s="6" t="n">
        <v>0</v>
      </c>
      <c r="BP24" s="6" t="n">
        <v>0</v>
      </c>
      <c r="BQ24" s="6" t="n">
        <v>0</v>
      </c>
      <c r="BR24" s="6" t="n">
        <v>0</v>
      </c>
      <c r="BS24" s="6" t="n">
        <v>0</v>
      </c>
      <c r="BT24" s="6" t="n">
        <v>0</v>
      </c>
      <c r="BU24" s="6" t="n">
        <v>0</v>
      </c>
      <c r="BV24" s="6" t="n">
        <v>0</v>
      </c>
      <c r="BW24" s="6" t="n">
        <v>0</v>
      </c>
      <c r="BX24" s="6" t="n">
        <f aca="false">+BR24+BU24+BL24+BO24</f>
        <v>0</v>
      </c>
      <c r="BY24" s="6" t="n">
        <f aca="false">+BS24+BV24+BM24+BP24</f>
        <v>0</v>
      </c>
      <c r="BZ24" s="6" t="n">
        <f aca="false">+BT24+BW24+BN24+BQ24</f>
        <v>0</v>
      </c>
      <c r="CA24" s="6" t="n">
        <v>0</v>
      </c>
      <c r="CB24" s="6" t="n">
        <v>0</v>
      </c>
      <c r="CC24" s="6" t="n">
        <v>0</v>
      </c>
      <c r="CD24" s="6" t="n">
        <v>0</v>
      </c>
      <c r="CE24" s="6" t="n">
        <v>0</v>
      </c>
      <c r="CF24" s="6" t="n">
        <v>0</v>
      </c>
      <c r="CG24" s="6" t="n">
        <v>0</v>
      </c>
      <c r="CH24" s="6" t="n">
        <v>0</v>
      </c>
      <c r="CI24" s="6" t="n">
        <v>0</v>
      </c>
      <c r="CJ24" s="6" t="n">
        <v>0</v>
      </c>
      <c r="CK24" s="6" t="n">
        <v>0</v>
      </c>
      <c r="CL24" s="6" t="n">
        <v>0</v>
      </c>
      <c r="CM24" s="6" t="n">
        <f aca="false">+CG24+CJ24+CA24+CD24</f>
        <v>0</v>
      </c>
      <c r="CN24" s="6" t="n">
        <f aca="false">+CH24+CK24+CB24+CE24</f>
        <v>0</v>
      </c>
      <c r="CO24" s="6" t="n">
        <f aca="false">+CI24+CL24+CC24+CF24</f>
        <v>0</v>
      </c>
      <c r="CP24" s="6" t="n">
        <v>0</v>
      </c>
      <c r="CQ24" s="6" t="n">
        <v>0</v>
      </c>
      <c r="CR24" s="6" t="n">
        <v>0</v>
      </c>
      <c r="CS24" s="6" t="n">
        <v>0</v>
      </c>
      <c r="CT24" s="6" t="n">
        <v>0</v>
      </c>
      <c r="CU24" s="6" t="n">
        <v>0</v>
      </c>
      <c r="CV24" s="6" t="n">
        <v>0</v>
      </c>
      <c r="CW24" s="6" t="n">
        <v>0</v>
      </c>
      <c r="CX24" s="6" t="n">
        <v>0</v>
      </c>
      <c r="CY24" s="6" t="n">
        <v>0</v>
      </c>
      <c r="CZ24" s="6" t="n">
        <v>0</v>
      </c>
      <c r="DA24" s="6" t="n">
        <v>0</v>
      </c>
      <c r="DB24" s="6" t="n">
        <f aca="false">+CV24+CY24+CP24+CS24</f>
        <v>0</v>
      </c>
      <c r="DC24" s="6" t="n">
        <f aca="false">+CW24+CZ24+CQ24+CT24</f>
        <v>0</v>
      </c>
      <c r="DD24" s="6" t="n">
        <f aca="false">+CX24+DA24+CR24+CU24</f>
        <v>0</v>
      </c>
      <c r="DE24" s="6" t="n">
        <v>0</v>
      </c>
      <c r="DF24" s="6" t="n">
        <v>0</v>
      </c>
      <c r="DG24" s="6" t="n">
        <v>0</v>
      </c>
      <c r="DH24" s="6" t="n">
        <v>0</v>
      </c>
      <c r="DI24" s="6" t="n">
        <v>0</v>
      </c>
      <c r="DJ24" s="6" t="n">
        <v>0</v>
      </c>
      <c r="DK24" s="6" t="n">
        <v>0</v>
      </c>
      <c r="DL24" s="6" t="n">
        <v>0</v>
      </c>
      <c r="DM24" s="6" t="n">
        <v>0</v>
      </c>
      <c r="DN24" s="6" t="n">
        <v>0</v>
      </c>
      <c r="DO24" s="6" t="n">
        <v>0</v>
      </c>
      <c r="DP24" s="6" t="n">
        <v>0</v>
      </c>
      <c r="DQ24" s="6" t="n">
        <f aca="false">+DK24+DN24+DE24+DH24</f>
        <v>0</v>
      </c>
      <c r="DR24" s="6" t="n">
        <f aca="false">+DL24+DO24+DF24+DI24</f>
        <v>0</v>
      </c>
      <c r="DS24" s="6" t="n">
        <f aca="false">+DM24+DP24+DG24+DJ24</f>
        <v>0</v>
      </c>
      <c r="DT24" s="31" t="n">
        <f aca="false">+P24+AE24+AT24+BI24+BX24+CM24+DB24</f>
        <v>175000</v>
      </c>
      <c r="DU24" s="31" t="n">
        <f aca="false">+Q24+AF24+AU24+BJ24+BY24+CN24+DC24</f>
        <v>175000</v>
      </c>
      <c r="DV24" s="31" t="n">
        <f aca="false">+R24+AG24+AV24+BK24+BZ24+CO24+DD24</f>
        <v>175000</v>
      </c>
      <c r="DW24" s="31" t="n">
        <f aca="false">+DU24-DV24</f>
        <v>0</v>
      </c>
    </row>
    <row r="25" customFormat="false" ht="13.8" hidden="false" customHeight="false" outlineLevel="0" collapsed="false">
      <c r="A25" s="27" t="n">
        <v>44098</v>
      </c>
      <c r="B25" s="28" t="s">
        <v>164</v>
      </c>
      <c r="C25" s="28" t="s">
        <v>165</v>
      </c>
      <c r="D25" s="29" t="s">
        <v>166</v>
      </c>
      <c r="E25" s="28" t="s">
        <v>167</v>
      </c>
      <c r="F25" s="27" t="s">
        <v>168</v>
      </c>
      <c r="G25" s="27" t="s">
        <v>5</v>
      </c>
      <c r="H25" s="30" t="n">
        <v>5314000</v>
      </c>
      <c r="I25" s="30" t="n">
        <v>5314000</v>
      </c>
      <c r="J25" s="6" t="n">
        <v>0</v>
      </c>
      <c r="K25" s="6" t="n">
        <v>0</v>
      </c>
      <c r="L25" s="6" t="n">
        <v>0</v>
      </c>
      <c r="M25" s="6" t="n">
        <v>0</v>
      </c>
      <c r="N25" s="6" t="n">
        <v>0</v>
      </c>
      <c r="O25" s="6" t="n">
        <v>0</v>
      </c>
      <c r="P25" s="6" t="n">
        <f aca="false">+J25+M25</f>
        <v>0</v>
      </c>
      <c r="Q25" s="6" t="n">
        <f aca="false">+K25+N25</f>
        <v>0</v>
      </c>
      <c r="R25" s="6" t="n">
        <f aca="false">+L25+O25</f>
        <v>0</v>
      </c>
      <c r="S25" s="30" t="n">
        <v>5314000</v>
      </c>
      <c r="T25" s="30" t="n">
        <v>5314000</v>
      </c>
      <c r="U25" s="6" t="n">
        <v>0</v>
      </c>
      <c r="V25" s="6" t="n">
        <v>0</v>
      </c>
      <c r="W25" s="6" t="n">
        <v>0</v>
      </c>
      <c r="X25" s="6" t="n">
        <v>961000</v>
      </c>
      <c r="Y25" s="6" t="n">
        <v>0</v>
      </c>
      <c r="Z25" s="6" t="n">
        <v>0</v>
      </c>
      <c r="AA25" s="6" t="n">
        <v>0</v>
      </c>
      <c r="AB25" s="6" t="n">
        <v>0</v>
      </c>
      <c r="AC25" s="6" t="n">
        <v>0</v>
      </c>
      <c r="AD25" s="6" t="n">
        <v>1500000</v>
      </c>
      <c r="AE25" s="6" t="n">
        <f aca="false">+Y25+AB25+S25+V25</f>
        <v>5314000</v>
      </c>
      <c r="AF25" s="6" t="n">
        <f aca="false">+Z25+AC25+T25+W25</f>
        <v>5314000</v>
      </c>
      <c r="AG25" s="6" t="n">
        <f aca="false">+AA25+AD25+U25+X25</f>
        <v>2461000</v>
      </c>
      <c r="AH25" s="6" t="n">
        <v>0</v>
      </c>
      <c r="AI25" s="6" t="n">
        <v>0</v>
      </c>
      <c r="AJ25" s="6" t="n">
        <v>0</v>
      </c>
      <c r="AK25" s="6" t="n">
        <v>0</v>
      </c>
      <c r="AL25" s="6" t="n">
        <v>0</v>
      </c>
      <c r="AM25" s="6" t="n">
        <v>713250</v>
      </c>
      <c r="AN25" s="6" t="n">
        <v>0</v>
      </c>
      <c r="AO25" s="6" t="n">
        <v>0</v>
      </c>
      <c r="AP25" s="6" t="n">
        <v>0</v>
      </c>
      <c r="AQ25" s="6" t="n">
        <v>0</v>
      </c>
      <c r="AR25" s="6" t="n">
        <v>0</v>
      </c>
      <c r="AS25" s="6" t="n">
        <v>715000</v>
      </c>
      <c r="AT25" s="6" t="n">
        <f aca="false">+AN25+AQ25+AH25+AK25</f>
        <v>0</v>
      </c>
      <c r="AU25" s="6" t="n">
        <f aca="false">+AO25+AR25+AI25+AL25</f>
        <v>0</v>
      </c>
      <c r="AV25" s="6" t="n">
        <f aca="false">+AP25+AS25+AJ25+AM25</f>
        <v>1428250</v>
      </c>
      <c r="AW25" s="6" t="n">
        <v>0</v>
      </c>
      <c r="AX25" s="6" t="n">
        <v>0</v>
      </c>
      <c r="AY25" s="6" t="n">
        <v>712375</v>
      </c>
      <c r="AZ25" s="6" t="n">
        <v>0</v>
      </c>
      <c r="BA25" s="6" t="n">
        <v>0</v>
      </c>
      <c r="BB25" s="6" t="n">
        <v>712375</v>
      </c>
      <c r="BC25" s="6" t="n">
        <v>0</v>
      </c>
      <c r="BD25" s="6" t="n">
        <v>0</v>
      </c>
      <c r="BE25" s="6" t="n">
        <v>0</v>
      </c>
      <c r="BF25" s="6" t="n">
        <v>0</v>
      </c>
      <c r="BG25" s="6" t="n">
        <v>0</v>
      </c>
      <c r="BH25" s="6" t="n">
        <v>0</v>
      </c>
      <c r="BI25" s="6" t="n">
        <f aca="false">+BC25+BF25+AW25+AZ25</f>
        <v>0</v>
      </c>
      <c r="BJ25" s="6" t="n">
        <f aca="false">+BD25+BG25+AX25+BA25</f>
        <v>0</v>
      </c>
      <c r="BK25" s="6" t="n">
        <f aca="false">+BE25+BH25+AY25+BB25</f>
        <v>1424750</v>
      </c>
      <c r="BL25" s="6" t="n">
        <v>0</v>
      </c>
      <c r="BM25" s="6" t="n">
        <v>0</v>
      </c>
      <c r="BN25" s="6" t="n">
        <v>0</v>
      </c>
      <c r="BO25" s="6" t="n">
        <v>0</v>
      </c>
      <c r="BP25" s="6" t="n">
        <v>0</v>
      </c>
      <c r="BQ25" s="6" t="n">
        <v>0</v>
      </c>
      <c r="BR25" s="6" t="n">
        <v>0</v>
      </c>
      <c r="BS25" s="6" t="n">
        <v>0</v>
      </c>
      <c r="BT25" s="6" t="n">
        <v>0</v>
      </c>
      <c r="BU25" s="6" t="n">
        <v>0</v>
      </c>
      <c r="BV25" s="6" t="n">
        <v>0</v>
      </c>
      <c r="BW25" s="6" t="n">
        <v>0</v>
      </c>
      <c r="BX25" s="6" t="n">
        <f aca="false">+BR25+BU25+BL25+BO25</f>
        <v>0</v>
      </c>
      <c r="BY25" s="6" t="n">
        <f aca="false">+BS25+BV25+BM25+BP25</f>
        <v>0</v>
      </c>
      <c r="BZ25" s="6" t="n">
        <f aca="false">+BT25+BW25+BN25+BQ25</f>
        <v>0</v>
      </c>
      <c r="CA25" s="6" t="n">
        <v>0</v>
      </c>
      <c r="CB25" s="6" t="n">
        <v>0</v>
      </c>
      <c r="CC25" s="6" t="n">
        <v>0</v>
      </c>
      <c r="CD25" s="6" t="n">
        <v>0</v>
      </c>
      <c r="CE25" s="6" t="n">
        <v>0</v>
      </c>
      <c r="CF25" s="6" t="n">
        <v>0</v>
      </c>
      <c r="CG25" s="6" t="n">
        <v>0</v>
      </c>
      <c r="CH25" s="6" t="n">
        <v>0</v>
      </c>
      <c r="CI25" s="6" t="n">
        <v>0</v>
      </c>
      <c r="CJ25" s="6" t="n">
        <v>0</v>
      </c>
      <c r="CK25" s="6" t="n">
        <v>0</v>
      </c>
      <c r="CL25" s="6" t="n">
        <v>0</v>
      </c>
      <c r="CM25" s="6" t="n">
        <f aca="false">+CG25+CJ25+CA25+CD25</f>
        <v>0</v>
      </c>
      <c r="CN25" s="6" t="n">
        <f aca="false">+CH25+CK25+CB25+CE25</f>
        <v>0</v>
      </c>
      <c r="CO25" s="6" t="n">
        <f aca="false">+CI25+CL25+CC25+CF25</f>
        <v>0</v>
      </c>
      <c r="CP25" s="6" t="n">
        <v>0</v>
      </c>
      <c r="CQ25" s="6" t="n">
        <v>0</v>
      </c>
      <c r="CR25" s="6" t="n">
        <v>0</v>
      </c>
      <c r="CS25" s="6" t="n">
        <v>0</v>
      </c>
      <c r="CT25" s="6" t="n">
        <v>0</v>
      </c>
      <c r="CU25" s="6" t="n">
        <v>0</v>
      </c>
      <c r="CV25" s="6" t="n">
        <v>0</v>
      </c>
      <c r="CW25" s="6" t="n">
        <v>0</v>
      </c>
      <c r="CX25" s="6" t="n">
        <v>0</v>
      </c>
      <c r="CY25" s="6" t="n">
        <v>0</v>
      </c>
      <c r="CZ25" s="6" t="n">
        <v>0</v>
      </c>
      <c r="DA25" s="6" t="n">
        <v>0</v>
      </c>
      <c r="DB25" s="6" t="n">
        <f aca="false">+CV25+CY25+CP25+CS25</f>
        <v>0</v>
      </c>
      <c r="DC25" s="6" t="n">
        <f aca="false">+CW25+CZ25+CQ25+CT25</f>
        <v>0</v>
      </c>
      <c r="DD25" s="6" t="n">
        <f aca="false">+CX25+DA25+CR25+CU25</f>
        <v>0</v>
      </c>
      <c r="DE25" s="6" t="n">
        <v>0</v>
      </c>
      <c r="DF25" s="6" t="n">
        <v>0</v>
      </c>
      <c r="DG25" s="6" t="n">
        <v>0</v>
      </c>
      <c r="DH25" s="6" t="n">
        <v>0</v>
      </c>
      <c r="DI25" s="6" t="n">
        <v>0</v>
      </c>
      <c r="DJ25" s="6" t="n">
        <v>0</v>
      </c>
      <c r="DK25" s="6" t="n">
        <v>0</v>
      </c>
      <c r="DL25" s="6" t="n">
        <v>0</v>
      </c>
      <c r="DM25" s="6" t="n">
        <v>0</v>
      </c>
      <c r="DN25" s="6" t="n">
        <v>0</v>
      </c>
      <c r="DO25" s="6" t="n">
        <v>0</v>
      </c>
      <c r="DP25" s="6" t="n">
        <v>0</v>
      </c>
      <c r="DQ25" s="6" t="n">
        <f aca="false">+DK25+DN25+DE25+DH25</f>
        <v>0</v>
      </c>
      <c r="DR25" s="6" t="n">
        <f aca="false">+DL25+DO25+DF25+DI25</f>
        <v>0</v>
      </c>
      <c r="DS25" s="6" t="n">
        <f aca="false">+DM25+DP25+DG25+DJ25</f>
        <v>0</v>
      </c>
      <c r="DT25" s="31" t="n">
        <f aca="false">+P25+AE25+AT25+BI25+BX25+CM25+DB25</f>
        <v>5314000</v>
      </c>
      <c r="DU25" s="31" t="n">
        <f aca="false">+Q25+AF25+AU25+BJ25+BY25+CN25+DC25</f>
        <v>5314000</v>
      </c>
      <c r="DV25" s="31" t="n">
        <f aca="false">+R25+AG25+AV25+BK25+BZ25+CO25+DD25</f>
        <v>5314000</v>
      </c>
      <c r="DW25" s="31" t="n">
        <f aca="false">+DU25-DV25</f>
        <v>0</v>
      </c>
    </row>
    <row r="26" customFormat="false" ht="13.8" hidden="false" customHeight="false" outlineLevel="0" collapsed="false">
      <c r="A26" s="27" t="n">
        <v>44154</v>
      </c>
      <c r="B26" s="28" t="s">
        <v>169</v>
      </c>
      <c r="C26" s="28" t="s">
        <v>170</v>
      </c>
      <c r="D26" s="29" t="s">
        <v>171</v>
      </c>
      <c r="E26" s="28" t="s">
        <v>172</v>
      </c>
      <c r="F26" s="27" t="s">
        <v>173</v>
      </c>
      <c r="G26" s="27" t="s">
        <v>5</v>
      </c>
      <c r="H26" s="30" t="n">
        <v>1750000</v>
      </c>
      <c r="I26" s="30" t="n">
        <v>875000</v>
      </c>
      <c r="J26" s="6" t="n">
        <v>0</v>
      </c>
      <c r="K26" s="6" t="n">
        <v>0</v>
      </c>
      <c r="L26" s="6" t="n">
        <v>0</v>
      </c>
      <c r="M26" s="6" t="n">
        <v>0</v>
      </c>
      <c r="N26" s="6" t="n">
        <v>0</v>
      </c>
      <c r="O26" s="6" t="n">
        <v>0</v>
      </c>
      <c r="P26" s="6" t="n">
        <f aca="false">+J26+M26</f>
        <v>0</v>
      </c>
      <c r="Q26" s="6" t="n">
        <f aca="false">+K26+N26</f>
        <v>0</v>
      </c>
      <c r="R26" s="6" t="n">
        <f aca="false">+L26+O26</f>
        <v>0</v>
      </c>
      <c r="S26" s="30" t="n">
        <v>1750000</v>
      </c>
      <c r="T26" s="30" t="n">
        <v>875000</v>
      </c>
      <c r="U26" s="6" t="n">
        <v>0</v>
      </c>
      <c r="V26" s="6" t="n">
        <v>0</v>
      </c>
      <c r="W26" s="6" t="n">
        <v>0</v>
      </c>
      <c r="X26" s="6" t="n">
        <v>875000</v>
      </c>
      <c r="Y26" s="6" t="n">
        <v>0</v>
      </c>
      <c r="Z26" s="6" t="n">
        <v>0</v>
      </c>
      <c r="AA26" s="6" t="n">
        <v>0</v>
      </c>
      <c r="AB26" s="6" t="n">
        <v>0</v>
      </c>
      <c r="AC26" s="6" t="n">
        <v>0</v>
      </c>
      <c r="AD26" s="6" t="n">
        <v>0</v>
      </c>
      <c r="AE26" s="6" t="n">
        <f aca="false">+Y26+AB26+S26+V26</f>
        <v>1750000</v>
      </c>
      <c r="AF26" s="6" t="n">
        <f aca="false">+Z26+AC26+T26+W26</f>
        <v>875000</v>
      </c>
      <c r="AG26" s="6" t="n">
        <f aca="false">+AA26+AD26+U26+X26</f>
        <v>875000</v>
      </c>
      <c r="AH26" s="6" t="n">
        <v>0</v>
      </c>
      <c r="AI26" s="6" t="n">
        <v>0</v>
      </c>
      <c r="AJ26" s="6" t="n">
        <v>0</v>
      </c>
      <c r="AK26" s="6" t="n">
        <v>0</v>
      </c>
      <c r="AL26" s="6" t="n">
        <v>0</v>
      </c>
      <c r="AM26" s="6" t="n">
        <v>0</v>
      </c>
      <c r="AN26" s="6" t="n">
        <v>0</v>
      </c>
      <c r="AO26" s="6" t="n">
        <v>0</v>
      </c>
      <c r="AP26" s="6" t="n">
        <v>0</v>
      </c>
      <c r="AQ26" s="6" t="n">
        <v>0</v>
      </c>
      <c r="AR26" s="6" t="n">
        <v>0</v>
      </c>
      <c r="AS26" s="6" t="n">
        <v>0</v>
      </c>
      <c r="AT26" s="6" t="n">
        <f aca="false">+AN26+AQ26+AH26+AK26</f>
        <v>0</v>
      </c>
      <c r="AU26" s="6" t="n">
        <f aca="false">+AO26+AR26+AI26+AL26</f>
        <v>0</v>
      </c>
      <c r="AV26" s="6" t="n">
        <f aca="false">+AP26+AS26+AJ26+AM26</f>
        <v>0</v>
      </c>
      <c r="AW26" s="6" t="n">
        <v>0</v>
      </c>
      <c r="AX26" s="6" t="n">
        <v>0</v>
      </c>
      <c r="AY26" s="6" t="n">
        <v>0</v>
      </c>
      <c r="AZ26" s="6" t="n">
        <v>0</v>
      </c>
      <c r="BA26" s="6" t="n">
        <v>0</v>
      </c>
      <c r="BB26" s="6" t="n">
        <v>0</v>
      </c>
      <c r="BC26" s="6" t="n">
        <v>0</v>
      </c>
      <c r="BD26" s="6" t="n">
        <v>0</v>
      </c>
      <c r="BE26" s="6" t="n">
        <v>0</v>
      </c>
      <c r="BF26" s="6" t="n">
        <v>0</v>
      </c>
      <c r="BG26" s="6" t="n">
        <v>0</v>
      </c>
      <c r="BH26" s="6" t="n">
        <v>0</v>
      </c>
      <c r="BI26" s="6" t="n">
        <f aca="false">+BC26+BF26+AW26+AZ26</f>
        <v>0</v>
      </c>
      <c r="BJ26" s="6" t="n">
        <f aca="false">+BD26+BG26+AX26+BA26</f>
        <v>0</v>
      </c>
      <c r="BK26" s="6" t="n">
        <f aca="false">+BE26+BH26+AY26+BB26</f>
        <v>0</v>
      </c>
      <c r="BL26" s="6" t="n">
        <v>0</v>
      </c>
      <c r="BM26" s="6" t="n">
        <v>0</v>
      </c>
      <c r="BN26" s="6" t="n">
        <v>0</v>
      </c>
      <c r="BO26" s="6" t="n">
        <v>0</v>
      </c>
      <c r="BP26" s="6" t="n">
        <v>0</v>
      </c>
      <c r="BQ26" s="6" t="n">
        <v>0</v>
      </c>
      <c r="BR26" s="6" t="n">
        <v>0</v>
      </c>
      <c r="BS26" s="6" t="n">
        <v>0</v>
      </c>
      <c r="BT26" s="6" t="n">
        <v>0</v>
      </c>
      <c r="BU26" s="6" t="n">
        <v>0</v>
      </c>
      <c r="BV26" s="6" t="n">
        <v>0</v>
      </c>
      <c r="BW26" s="6" t="n">
        <v>0</v>
      </c>
      <c r="BX26" s="6" t="n">
        <f aca="false">+BR26+BU26+BL26+BO26</f>
        <v>0</v>
      </c>
      <c r="BY26" s="6" t="n">
        <f aca="false">+BS26+BV26+BM26+BP26</f>
        <v>0</v>
      </c>
      <c r="BZ26" s="6" t="n">
        <f aca="false">+BT26+BW26+BN26+BQ26</f>
        <v>0</v>
      </c>
      <c r="CA26" s="6" t="n">
        <v>0</v>
      </c>
      <c r="CB26" s="6" t="n">
        <v>0</v>
      </c>
      <c r="CC26" s="6" t="n">
        <v>0</v>
      </c>
      <c r="CD26" s="6" t="n">
        <v>0</v>
      </c>
      <c r="CE26" s="6" t="n">
        <v>0</v>
      </c>
      <c r="CF26" s="6" t="n">
        <v>0</v>
      </c>
      <c r="CG26" s="6" t="n">
        <v>0</v>
      </c>
      <c r="CH26" s="6" t="n">
        <v>0</v>
      </c>
      <c r="CI26" s="6" t="n">
        <v>0</v>
      </c>
      <c r="CJ26" s="6" t="n">
        <v>0</v>
      </c>
      <c r="CK26" s="6" t="n">
        <v>0</v>
      </c>
      <c r="CL26" s="6" t="n">
        <v>0</v>
      </c>
      <c r="CM26" s="6" t="n">
        <f aca="false">+CG26+CJ26+CA26+CD26</f>
        <v>0</v>
      </c>
      <c r="CN26" s="6" t="n">
        <f aca="false">+CH26+CK26+CB26+CE26</f>
        <v>0</v>
      </c>
      <c r="CO26" s="6" t="n">
        <f aca="false">+CI26+CL26+CC26+CF26</f>
        <v>0</v>
      </c>
      <c r="CP26" s="6" t="n">
        <v>0</v>
      </c>
      <c r="CQ26" s="6" t="n">
        <v>0</v>
      </c>
      <c r="CR26" s="6" t="n">
        <v>0</v>
      </c>
      <c r="CS26" s="6" t="n">
        <v>0</v>
      </c>
      <c r="CT26" s="6" t="n">
        <v>0</v>
      </c>
      <c r="CU26" s="6" t="n">
        <v>0</v>
      </c>
      <c r="CV26" s="6" t="n">
        <v>0</v>
      </c>
      <c r="CW26" s="6" t="n">
        <v>0</v>
      </c>
      <c r="CX26" s="6" t="n">
        <v>0</v>
      </c>
      <c r="CY26" s="6" t="n">
        <v>0</v>
      </c>
      <c r="CZ26" s="6" t="n">
        <v>0</v>
      </c>
      <c r="DA26" s="6" t="n">
        <v>0</v>
      </c>
      <c r="DB26" s="6" t="n">
        <f aca="false">+CV26+CY26+CP26+CS26</f>
        <v>0</v>
      </c>
      <c r="DC26" s="6" t="n">
        <f aca="false">+CW26+CZ26+CQ26+CT26</f>
        <v>0</v>
      </c>
      <c r="DD26" s="6" t="n">
        <f aca="false">+CX26+DA26+CR26+CU26</f>
        <v>0</v>
      </c>
      <c r="DE26" s="6" t="n">
        <v>0</v>
      </c>
      <c r="DF26" s="6" t="n">
        <v>0</v>
      </c>
      <c r="DG26" s="6" t="n">
        <v>0</v>
      </c>
      <c r="DH26" s="6" t="n">
        <v>0</v>
      </c>
      <c r="DI26" s="6" t="n">
        <v>0</v>
      </c>
      <c r="DJ26" s="6" t="n">
        <v>0</v>
      </c>
      <c r="DK26" s="6" t="n">
        <v>0</v>
      </c>
      <c r="DL26" s="6" t="n">
        <v>0</v>
      </c>
      <c r="DM26" s="6" t="n">
        <v>0</v>
      </c>
      <c r="DN26" s="6" t="n">
        <v>0</v>
      </c>
      <c r="DO26" s="6" t="n">
        <v>0</v>
      </c>
      <c r="DP26" s="6" t="n">
        <v>0</v>
      </c>
      <c r="DQ26" s="6" t="n">
        <f aca="false">+DK26+DN26+DE26+DH26</f>
        <v>0</v>
      </c>
      <c r="DR26" s="6" t="n">
        <f aca="false">+DL26+DO26+DF26+DI26</f>
        <v>0</v>
      </c>
      <c r="DS26" s="6" t="n">
        <f aca="false">+DM26+DP26+DG26+DJ26</f>
        <v>0</v>
      </c>
      <c r="DT26" s="31" t="n">
        <f aca="false">+P26+AE26+AT26+BI26+BX26+CM26+DB26</f>
        <v>1750000</v>
      </c>
      <c r="DU26" s="31" t="n">
        <f aca="false">+Q26+AF26+AU26+BJ26+BY26+CN26+DC26</f>
        <v>875000</v>
      </c>
      <c r="DV26" s="31" t="n">
        <f aca="false">+R26+AG26+AV26+BK26+BZ26+CO26+DD26</f>
        <v>875000</v>
      </c>
      <c r="DW26" s="31" t="n">
        <f aca="false">+DU26-DV26</f>
        <v>0</v>
      </c>
    </row>
    <row r="27" customFormat="false" ht="13.8" hidden="false" customHeight="false" outlineLevel="0" collapsed="false">
      <c r="A27" s="27" t="n">
        <v>44154</v>
      </c>
      <c r="B27" s="28" t="s">
        <v>169</v>
      </c>
      <c r="C27" s="28" t="s">
        <v>170</v>
      </c>
      <c r="D27" s="29" t="s">
        <v>171</v>
      </c>
      <c r="E27" s="28" t="s">
        <v>172</v>
      </c>
      <c r="F27" s="27" t="s">
        <v>173</v>
      </c>
      <c r="G27" s="27" t="s">
        <v>5</v>
      </c>
      <c r="H27" s="30"/>
      <c r="I27" s="30" t="n">
        <v>875000</v>
      </c>
      <c r="J27" s="6" t="n">
        <v>0</v>
      </c>
      <c r="K27" s="6" t="n">
        <v>0</v>
      </c>
      <c r="L27" s="6" t="n">
        <v>0</v>
      </c>
      <c r="M27" s="6" t="n">
        <v>0</v>
      </c>
      <c r="N27" s="6" t="n">
        <v>0</v>
      </c>
      <c r="O27" s="6" t="n">
        <v>0</v>
      </c>
      <c r="P27" s="6" t="n">
        <f aca="false">+J27+M27</f>
        <v>0</v>
      </c>
      <c r="Q27" s="6" t="n">
        <f aca="false">+K27+N27</f>
        <v>0</v>
      </c>
      <c r="R27" s="6" t="n">
        <f aca="false">+L27+O27</f>
        <v>0</v>
      </c>
      <c r="S27" s="30" t="n">
        <v>0</v>
      </c>
      <c r="T27" s="30" t="n">
        <v>875000</v>
      </c>
      <c r="U27" s="6" t="n">
        <v>0</v>
      </c>
      <c r="V27" s="6" t="n">
        <v>0</v>
      </c>
      <c r="W27" s="6" t="n">
        <v>0</v>
      </c>
      <c r="X27" s="6" t="n">
        <v>875000</v>
      </c>
      <c r="Y27" s="6" t="n">
        <v>0</v>
      </c>
      <c r="Z27" s="6" t="n">
        <v>0</v>
      </c>
      <c r="AA27" s="6" t="n">
        <v>0</v>
      </c>
      <c r="AB27" s="6" t="n">
        <v>0</v>
      </c>
      <c r="AC27" s="6" t="n">
        <v>0</v>
      </c>
      <c r="AD27" s="6" t="n">
        <v>0</v>
      </c>
      <c r="AE27" s="6" t="n">
        <f aca="false">+Y27+AB27+S27+V27</f>
        <v>0</v>
      </c>
      <c r="AF27" s="6" t="n">
        <f aca="false">+Z27+AC27+T27+W27</f>
        <v>875000</v>
      </c>
      <c r="AG27" s="6" t="n">
        <f aca="false">+AA27+AD27+U27+X27</f>
        <v>875000</v>
      </c>
      <c r="AH27" s="6" t="n">
        <v>0</v>
      </c>
      <c r="AI27" s="6" t="n">
        <v>0</v>
      </c>
      <c r="AJ27" s="6" t="n">
        <v>0</v>
      </c>
      <c r="AK27" s="6" t="n">
        <v>0</v>
      </c>
      <c r="AL27" s="6" t="n">
        <v>0</v>
      </c>
      <c r="AM27" s="6" t="n">
        <v>0</v>
      </c>
      <c r="AN27" s="6" t="n">
        <v>0</v>
      </c>
      <c r="AO27" s="6" t="n">
        <v>0</v>
      </c>
      <c r="AP27" s="6" t="n">
        <v>0</v>
      </c>
      <c r="AQ27" s="6" t="n">
        <v>0</v>
      </c>
      <c r="AR27" s="6" t="n">
        <v>0</v>
      </c>
      <c r="AS27" s="6" t="n">
        <v>0</v>
      </c>
      <c r="AT27" s="6" t="n">
        <f aca="false">+AN27+AQ27+AH27+AK27</f>
        <v>0</v>
      </c>
      <c r="AU27" s="6" t="n">
        <f aca="false">+AO27+AR27+AI27+AL27</f>
        <v>0</v>
      </c>
      <c r="AV27" s="6" t="n">
        <f aca="false">+AP27+AS27+AJ27+AM27</f>
        <v>0</v>
      </c>
      <c r="AW27" s="6" t="n">
        <v>0</v>
      </c>
      <c r="AX27" s="6" t="n">
        <v>0</v>
      </c>
      <c r="AY27" s="6" t="n">
        <v>0</v>
      </c>
      <c r="AZ27" s="6" t="n">
        <v>0</v>
      </c>
      <c r="BA27" s="6" t="n">
        <v>0</v>
      </c>
      <c r="BB27" s="6" t="n">
        <v>0</v>
      </c>
      <c r="BC27" s="6" t="n">
        <v>0</v>
      </c>
      <c r="BD27" s="6" t="n">
        <v>0</v>
      </c>
      <c r="BE27" s="6" t="n">
        <v>0</v>
      </c>
      <c r="BF27" s="6" t="n">
        <v>0</v>
      </c>
      <c r="BG27" s="6" t="n">
        <v>0</v>
      </c>
      <c r="BH27" s="6" t="n">
        <v>0</v>
      </c>
      <c r="BI27" s="6" t="n">
        <f aca="false">+BC27+BF27+AW27+AZ27</f>
        <v>0</v>
      </c>
      <c r="BJ27" s="6" t="n">
        <f aca="false">+BD27+BG27+AX27+BA27</f>
        <v>0</v>
      </c>
      <c r="BK27" s="6" t="n">
        <f aca="false">+BE27+BH27+AY27+BB27</f>
        <v>0</v>
      </c>
      <c r="BL27" s="6" t="n">
        <v>0</v>
      </c>
      <c r="BM27" s="6" t="n">
        <v>0</v>
      </c>
      <c r="BN27" s="6" t="n">
        <v>0</v>
      </c>
      <c r="BO27" s="6" t="n">
        <v>0</v>
      </c>
      <c r="BP27" s="6" t="n">
        <v>0</v>
      </c>
      <c r="BQ27" s="6" t="n">
        <v>0</v>
      </c>
      <c r="BR27" s="6" t="n">
        <v>0</v>
      </c>
      <c r="BS27" s="6" t="n">
        <v>0</v>
      </c>
      <c r="BT27" s="6" t="n">
        <v>0</v>
      </c>
      <c r="BU27" s="6" t="n">
        <v>0</v>
      </c>
      <c r="BV27" s="6" t="n">
        <v>0</v>
      </c>
      <c r="BW27" s="6" t="n">
        <v>0</v>
      </c>
      <c r="BX27" s="6" t="n">
        <f aca="false">+BR27+BU27+BL27+BO27</f>
        <v>0</v>
      </c>
      <c r="BY27" s="6" t="n">
        <f aca="false">+BS27+BV27+BM27+BP27</f>
        <v>0</v>
      </c>
      <c r="BZ27" s="6" t="n">
        <f aca="false">+BT27+BW27+BN27+BQ27</f>
        <v>0</v>
      </c>
      <c r="CA27" s="6" t="n">
        <v>0</v>
      </c>
      <c r="CB27" s="6" t="n">
        <v>0</v>
      </c>
      <c r="CC27" s="6" t="n">
        <v>0</v>
      </c>
      <c r="CD27" s="6" t="n">
        <v>0</v>
      </c>
      <c r="CE27" s="6" t="n">
        <v>0</v>
      </c>
      <c r="CF27" s="6" t="n">
        <v>0</v>
      </c>
      <c r="CG27" s="6" t="n">
        <v>0</v>
      </c>
      <c r="CH27" s="6" t="n">
        <v>0</v>
      </c>
      <c r="CI27" s="6" t="n">
        <v>0</v>
      </c>
      <c r="CJ27" s="6" t="n">
        <v>0</v>
      </c>
      <c r="CK27" s="6" t="n">
        <v>0</v>
      </c>
      <c r="CL27" s="6" t="n">
        <v>0</v>
      </c>
      <c r="CM27" s="6" t="n">
        <f aca="false">+CG27+CJ27+CA27+CD27</f>
        <v>0</v>
      </c>
      <c r="CN27" s="6" t="n">
        <f aca="false">+CH27+CK27+CB27+CE27</f>
        <v>0</v>
      </c>
      <c r="CO27" s="6" t="n">
        <f aca="false">+CI27+CL27+CC27+CF27</f>
        <v>0</v>
      </c>
      <c r="CP27" s="6" t="n">
        <v>0</v>
      </c>
      <c r="CQ27" s="6" t="n">
        <v>0</v>
      </c>
      <c r="CR27" s="6" t="n">
        <v>0</v>
      </c>
      <c r="CS27" s="6" t="n">
        <v>0</v>
      </c>
      <c r="CT27" s="6" t="n">
        <v>0</v>
      </c>
      <c r="CU27" s="6" t="n">
        <v>0</v>
      </c>
      <c r="CV27" s="6" t="n">
        <v>0</v>
      </c>
      <c r="CW27" s="6" t="n">
        <v>0</v>
      </c>
      <c r="CX27" s="6" t="n">
        <v>0</v>
      </c>
      <c r="CY27" s="6" t="n">
        <v>0</v>
      </c>
      <c r="CZ27" s="6" t="n">
        <v>0</v>
      </c>
      <c r="DA27" s="6" t="n">
        <v>0</v>
      </c>
      <c r="DB27" s="6" t="n">
        <f aca="false">+CV27+CY27+CP27+CS27</f>
        <v>0</v>
      </c>
      <c r="DC27" s="6" t="n">
        <f aca="false">+CW27+CZ27+CQ27+CT27</f>
        <v>0</v>
      </c>
      <c r="DD27" s="6" t="n">
        <f aca="false">+CX27+DA27+CR27+CU27</f>
        <v>0</v>
      </c>
      <c r="DE27" s="6" t="n">
        <v>0</v>
      </c>
      <c r="DF27" s="6" t="n">
        <v>0</v>
      </c>
      <c r="DG27" s="6" t="n">
        <v>0</v>
      </c>
      <c r="DH27" s="6" t="n">
        <v>0</v>
      </c>
      <c r="DI27" s="6" t="n">
        <v>0</v>
      </c>
      <c r="DJ27" s="6" t="n">
        <v>0</v>
      </c>
      <c r="DK27" s="6" t="n">
        <v>0</v>
      </c>
      <c r="DL27" s="6" t="n">
        <v>0</v>
      </c>
      <c r="DM27" s="6" t="n">
        <v>0</v>
      </c>
      <c r="DN27" s="6" t="n">
        <v>0</v>
      </c>
      <c r="DO27" s="6" t="n">
        <v>0</v>
      </c>
      <c r="DP27" s="6" t="n">
        <v>0</v>
      </c>
      <c r="DQ27" s="6" t="n">
        <f aca="false">+DK27+DN27+DE27+DH27</f>
        <v>0</v>
      </c>
      <c r="DR27" s="6" t="n">
        <f aca="false">+DL27+DO27+DF27+DI27</f>
        <v>0</v>
      </c>
      <c r="DS27" s="6" t="n">
        <f aca="false">+DM27+DP27+DG27+DJ27</f>
        <v>0</v>
      </c>
      <c r="DT27" s="31" t="n">
        <f aca="false">+P27+AE27+AT27+BI27+BX27+CM27+DB27</f>
        <v>0</v>
      </c>
      <c r="DU27" s="31" t="n">
        <f aca="false">+Q27+AF27+AU27+BJ27+BY27+CN27+DC27</f>
        <v>875000</v>
      </c>
      <c r="DV27" s="31" t="n">
        <f aca="false">+R27+AG27+AV27+BK27+BZ27+CO27+DD27</f>
        <v>875000</v>
      </c>
      <c r="DW27" s="31" t="n">
        <f aca="false">+DU27-DV27</f>
        <v>0</v>
      </c>
    </row>
    <row r="28" customFormat="false" ht="13.8" hidden="false" customHeight="false" outlineLevel="0" collapsed="false">
      <c r="A28" s="27" t="n">
        <v>44187</v>
      </c>
      <c r="B28" s="28" t="s">
        <v>174</v>
      </c>
      <c r="C28" s="28" t="s">
        <v>175</v>
      </c>
      <c r="D28" s="29" t="s">
        <v>176</v>
      </c>
      <c r="E28" s="28" t="s">
        <v>177</v>
      </c>
      <c r="F28" s="27" t="s">
        <v>178</v>
      </c>
      <c r="G28" s="27" t="s">
        <v>5</v>
      </c>
      <c r="H28" s="30" t="n">
        <v>596160</v>
      </c>
      <c r="I28" s="30" t="n">
        <v>596160</v>
      </c>
      <c r="J28" s="6" t="n">
        <v>0</v>
      </c>
      <c r="K28" s="6" t="n">
        <v>0</v>
      </c>
      <c r="L28" s="6" t="n">
        <v>0</v>
      </c>
      <c r="M28" s="6" t="n">
        <v>0</v>
      </c>
      <c r="N28" s="6" t="n">
        <v>0</v>
      </c>
      <c r="O28" s="6" t="n">
        <v>0</v>
      </c>
      <c r="P28" s="6" t="n">
        <f aca="false">+J28+M28</f>
        <v>0</v>
      </c>
      <c r="Q28" s="6" t="n">
        <f aca="false">+K28+N28</f>
        <v>0</v>
      </c>
      <c r="R28" s="6" t="n">
        <f aca="false">+L28+O28</f>
        <v>0</v>
      </c>
      <c r="S28" s="30" t="n">
        <v>596160</v>
      </c>
      <c r="T28" s="30" t="n">
        <v>596160</v>
      </c>
      <c r="U28" s="6" t="n">
        <v>0</v>
      </c>
      <c r="V28" s="6" t="n">
        <v>0</v>
      </c>
      <c r="W28" s="6" t="n">
        <v>0</v>
      </c>
      <c r="X28" s="6" t="n">
        <v>370000</v>
      </c>
      <c r="Y28" s="6" t="n">
        <v>0</v>
      </c>
      <c r="Z28" s="6" t="n">
        <v>0</v>
      </c>
      <c r="AA28" s="6" t="n">
        <v>0</v>
      </c>
      <c r="AB28" s="6" t="n">
        <v>0</v>
      </c>
      <c r="AC28" s="6" t="n">
        <v>0</v>
      </c>
      <c r="AD28" s="6" t="n">
        <v>226160</v>
      </c>
      <c r="AE28" s="6" t="n">
        <f aca="false">+Y28+AB28+S28+V28</f>
        <v>596160</v>
      </c>
      <c r="AF28" s="6" t="n">
        <f aca="false">+Z28+AC28+T28+W28</f>
        <v>596160</v>
      </c>
      <c r="AG28" s="6" t="n">
        <f aca="false">+AA28+AD28+U28+X28</f>
        <v>596160</v>
      </c>
      <c r="AH28" s="6" t="n">
        <v>0</v>
      </c>
      <c r="AI28" s="6" t="n">
        <v>0</v>
      </c>
      <c r="AJ28" s="6" t="n">
        <v>0</v>
      </c>
      <c r="AK28" s="6" t="n">
        <v>0</v>
      </c>
      <c r="AL28" s="6" t="n">
        <v>0</v>
      </c>
      <c r="AM28" s="6" t="n">
        <v>0</v>
      </c>
      <c r="AN28" s="6" t="n">
        <v>0</v>
      </c>
      <c r="AO28" s="6" t="n">
        <v>0</v>
      </c>
      <c r="AP28" s="6" t="n">
        <v>0</v>
      </c>
      <c r="AQ28" s="6" t="n">
        <v>0</v>
      </c>
      <c r="AR28" s="6" t="n">
        <v>0</v>
      </c>
      <c r="AS28" s="6" t="n">
        <v>0</v>
      </c>
      <c r="AT28" s="6" t="n">
        <f aca="false">+AN28+AQ28+AH28+AK28</f>
        <v>0</v>
      </c>
      <c r="AU28" s="6" t="n">
        <f aca="false">+AO28+AR28+AI28+AL28</f>
        <v>0</v>
      </c>
      <c r="AV28" s="6" t="n">
        <f aca="false">+AP28+AS28+AJ28+AM28</f>
        <v>0</v>
      </c>
      <c r="AW28" s="6" t="n">
        <v>0</v>
      </c>
      <c r="AX28" s="6" t="n">
        <v>0</v>
      </c>
      <c r="AY28" s="6" t="n">
        <v>0</v>
      </c>
      <c r="AZ28" s="6" t="n">
        <v>0</v>
      </c>
      <c r="BA28" s="6" t="n">
        <v>0</v>
      </c>
      <c r="BB28" s="6" t="n">
        <v>0</v>
      </c>
      <c r="BC28" s="6" t="n">
        <v>0</v>
      </c>
      <c r="BD28" s="6" t="n">
        <v>0</v>
      </c>
      <c r="BE28" s="6" t="n">
        <v>0</v>
      </c>
      <c r="BF28" s="6" t="n">
        <v>0</v>
      </c>
      <c r="BG28" s="6" t="n">
        <v>0</v>
      </c>
      <c r="BH28" s="6" t="n">
        <v>0</v>
      </c>
      <c r="BI28" s="6" t="n">
        <f aca="false">+BC28+BF28+AW28+AZ28</f>
        <v>0</v>
      </c>
      <c r="BJ28" s="6" t="n">
        <f aca="false">+BD28+BG28+AX28+BA28</f>
        <v>0</v>
      </c>
      <c r="BK28" s="6" t="n">
        <f aca="false">+BE28+BH28+AY28+BB28</f>
        <v>0</v>
      </c>
      <c r="BL28" s="6" t="n">
        <v>0</v>
      </c>
      <c r="BM28" s="6" t="n">
        <v>0</v>
      </c>
      <c r="BN28" s="6" t="n">
        <v>0</v>
      </c>
      <c r="BO28" s="6" t="n">
        <v>0</v>
      </c>
      <c r="BP28" s="6" t="n">
        <v>0</v>
      </c>
      <c r="BQ28" s="6" t="n">
        <v>0</v>
      </c>
      <c r="BR28" s="6" t="n">
        <v>0</v>
      </c>
      <c r="BS28" s="6" t="n">
        <v>0</v>
      </c>
      <c r="BT28" s="6" t="n">
        <v>0</v>
      </c>
      <c r="BU28" s="6" t="n">
        <v>0</v>
      </c>
      <c r="BV28" s="6" t="n">
        <v>0</v>
      </c>
      <c r="BW28" s="6" t="n">
        <v>0</v>
      </c>
      <c r="BX28" s="6" t="n">
        <f aca="false">+BR28+BU28+BL28+BO28</f>
        <v>0</v>
      </c>
      <c r="BY28" s="6" t="n">
        <f aca="false">+BS28+BV28+BM28+BP28</f>
        <v>0</v>
      </c>
      <c r="BZ28" s="6" t="n">
        <f aca="false">+BT28+BW28+BN28+BQ28</f>
        <v>0</v>
      </c>
      <c r="CA28" s="6" t="n">
        <v>0</v>
      </c>
      <c r="CB28" s="6" t="n">
        <v>0</v>
      </c>
      <c r="CC28" s="6" t="n">
        <v>0</v>
      </c>
      <c r="CD28" s="6" t="n">
        <v>0</v>
      </c>
      <c r="CE28" s="6" t="n">
        <v>0</v>
      </c>
      <c r="CF28" s="6" t="n">
        <v>0</v>
      </c>
      <c r="CG28" s="6" t="n">
        <v>0</v>
      </c>
      <c r="CH28" s="6" t="n">
        <v>0</v>
      </c>
      <c r="CI28" s="6" t="n">
        <v>0</v>
      </c>
      <c r="CJ28" s="6" t="n">
        <v>0</v>
      </c>
      <c r="CK28" s="6" t="n">
        <v>0</v>
      </c>
      <c r="CL28" s="6" t="n">
        <v>0</v>
      </c>
      <c r="CM28" s="6" t="n">
        <f aca="false">+CG28+CJ28+CA28+CD28</f>
        <v>0</v>
      </c>
      <c r="CN28" s="6" t="n">
        <f aca="false">+CH28+CK28+CB28+CE28</f>
        <v>0</v>
      </c>
      <c r="CO28" s="6" t="n">
        <f aca="false">+CI28+CL28+CC28+CF28</f>
        <v>0</v>
      </c>
      <c r="CP28" s="6" t="n">
        <v>0</v>
      </c>
      <c r="CQ28" s="6" t="n">
        <v>0</v>
      </c>
      <c r="CR28" s="6" t="n">
        <v>0</v>
      </c>
      <c r="CS28" s="6" t="n">
        <v>0</v>
      </c>
      <c r="CT28" s="6" t="n">
        <v>0</v>
      </c>
      <c r="CU28" s="6" t="n">
        <v>0</v>
      </c>
      <c r="CV28" s="6" t="n">
        <v>0</v>
      </c>
      <c r="CW28" s="6" t="n">
        <v>0</v>
      </c>
      <c r="CX28" s="6" t="n">
        <v>0</v>
      </c>
      <c r="CY28" s="6" t="n">
        <v>0</v>
      </c>
      <c r="CZ28" s="6" t="n">
        <v>0</v>
      </c>
      <c r="DA28" s="6" t="n">
        <v>0</v>
      </c>
      <c r="DB28" s="6" t="n">
        <f aca="false">+CV28+CY28+CP28+CS28</f>
        <v>0</v>
      </c>
      <c r="DC28" s="6" t="n">
        <f aca="false">+CW28+CZ28+CQ28+CT28</f>
        <v>0</v>
      </c>
      <c r="DD28" s="6" t="n">
        <f aca="false">+CX28+DA28+CR28+CU28</f>
        <v>0</v>
      </c>
      <c r="DE28" s="6" t="n">
        <v>0</v>
      </c>
      <c r="DF28" s="6" t="n">
        <v>0</v>
      </c>
      <c r="DG28" s="6" t="n">
        <v>0</v>
      </c>
      <c r="DH28" s="6" t="n">
        <v>0</v>
      </c>
      <c r="DI28" s="6" t="n">
        <v>0</v>
      </c>
      <c r="DJ28" s="6" t="n">
        <v>0</v>
      </c>
      <c r="DK28" s="6" t="n">
        <v>0</v>
      </c>
      <c r="DL28" s="6" t="n">
        <v>0</v>
      </c>
      <c r="DM28" s="6" t="n">
        <v>0</v>
      </c>
      <c r="DN28" s="6" t="n">
        <v>0</v>
      </c>
      <c r="DO28" s="6" t="n">
        <v>0</v>
      </c>
      <c r="DP28" s="6" t="n">
        <v>0</v>
      </c>
      <c r="DQ28" s="6" t="n">
        <f aca="false">+DK28+DN28+DE28+DH28</f>
        <v>0</v>
      </c>
      <c r="DR28" s="6" t="n">
        <f aca="false">+DL28+DO28+DF28+DI28</f>
        <v>0</v>
      </c>
      <c r="DS28" s="6" t="n">
        <f aca="false">+DM28+DP28+DG28+DJ28</f>
        <v>0</v>
      </c>
      <c r="DT28" s="31" t="n">
        <f aca="false">+P28+AE28+AT28+BI28+BX28+CM28+DB28</f>
        <v>596160</v>
      </c>
      <c r="DU28" s="31" t="n">
        <f aca="false">+Q28+AF28+AU28+BJ28+BY28+CN28+DC28</f>
        <v>596160</v>
      </c>
      <c r="DV28" s="31" t="n">
        <f aca="false">+R28+AG28+AV28+BK28+BZ28+CO28+DD28</f>
        <v>596160</v>
      </c>
      <c r="DW28" s="31" t="n">
        <f aca="false">+DU28-DV28</f>
        <v>0</v>
      </c>
    </row>
    <row r="29" customFormat="false" ht="13.8" hidden="false" customHeight="false" outlineLevel="0" collapsed="false">
      <c r="A29" s="27" t="n">
        <v>44237</v>
      </c>
      <c r="B29" s="28" t="s">
        <v>179</v>
      </c>
      <c r="C29" s="28" t="s">
        <v>180</v>
      </c>
      <c r="D29" s="29" t="s">
        <v>181</v>
      </c>
      <c r="E29" s="28" t="s">
        <v>182</v>
      </c>
      <c r="F29" s="27" t="s">
        <v>183</v>
      </c>
      <c r="G29" s="27" t="s">
        <v>6</v>
      </c>
      <c r="H29" s="30" t="n">
        <v>4388400</v>
      </c>
      <c r="I29" s="30" t="n">
        <v>4388400</v>
      </c>
      <c r="J29" s="6" t="n">
        <v>0</v>
      </c>
      <c r="K29" s="6" t="n">
        <v>0</v>
      </c>
      <c r="L29" s="6" t="n">
        <v>0</v>
      </c>
      <c r="M29" s="6" t="n">
        <v>0</v>
      </c>
      <c r="N29" s="6" t="n">
        <v>0</v>
      </c>
      <c r="O29" s="6" t="n">
        <v>0</v>
      </c>
      <c r="P29" s="6" t="n">
        <f aca="false">+J29+M29</f>
        <v>0</v>
      </c>
      <c r="Q29" s="6" t="n">
        <f aca="false">+K29+N29</f>
        <v>0</v>
      </c>
      <c r="R29" s="6" t="n">
        <f aca="false">+L29+O29</f>
        <v>0</v>
      </c>
      <c r="S29" s="6" t="n">
        <v>0</v>
      </c>
      <c r="T29" s="6" t="n">
        <v>0</v>
      </c>
      <c r="U29" s="6" t="n">
        <v>0</v>
      </c>
      <c r="V29" s="30" t="n">
        <v>4388400</v>
      </c>
      <c r="W29" s="30" t="n">
        <v>4388400</v>
      </c>
      <c r="X29" s="6" t="n">
        <v>100000</v>
      </c>
      <c r="Y29" s="6" t="n">
        <v>0</v>
      </c>
      <c r="Z29" s="6" t="n">
        <v>0</v>
      </c>
      <c r="AA29" s="6" t="n">
        <v>0</v>
      </c>
      <c r="AB29" s="6" t="n">
        <v>0</v>
      </c>
      <c r="AC29" s="6" t="n">
        <v>0</v>
      </c>
      <c r="AD29" s="6" t="n">
        <v>500000</v>
      </c>
      <c r="AE29" s="6" t="n">
        <f aca="false">+Y29+AB29+S29+V29</f>
        <v>4388400</v>
      </c>
      <c r="AF29" s="6" t="n">
        <f aca="false">+Z29+AC29+T29+W29</f>
        <v>4388400</v>
      </c>
      <c r="AG29" s="6" t="n">
        <f aca="false">+AA29+AD29+U29+X29</f>
        <v>600000</v>
      </c>
      <c r="AH29" s="6" t="n">
        <v>0</v>
      </c>
      <c r="AI29" s="6" t="n">
        <v>0</v>
      </c>
      <c r="AJ29" s="6" t="n">
        <v>150000</v>
      </c>
      <c r="AK29" s="6" t="n">
        <v>0</v>
      </c>
      <c r="AL29" s="6" t="n">
        <v>0</v>
      </c>
      <c r="AM29" s="6" t="n">
        <v>600000</v>
      </c>
      <c r="AN29" s="6" t="n">
        <v>0</v>
      </c>
      <c r="AO29" s="6" t="n">
        <v>0</v>
      </c>
      <c r="AP29" s="6" t="n">
        <v>0</v>
      </c>
      <c r="AQ29" s="6" t="n">
        <v>0</v>
      </c>
      <c r="AR29" s="6" t="n">
        <v>0</v>
      </c>
      <c r="AS29" s="6" t="n">
        <v>750000</v>
      </c>
      <c r="AT29" s="6" t="n">
        <f aca="false">+AN29+AQ29+AH29+AK29</f>
        <v>0</v>
      </c>
      <c r="AU29" s="6" t="n">
        <f aca="false">+AO29+AR29+AI29+AL29</f>
        <v>0</v>
      </c>
      <c r="AV29" s="6" t="n">
        <f aca="false">+AP29+AS29+AJ29+AM29</f>
        <v>1500000</v>
      </c>
      <c r="AW29" s="6" t="n">
        <v>0</v>
      </c>
      <c r="AX29" s="6" t="n">
        <v>0</v>
      </c>
      <c r="AY29" s="6" t="n">
        <v>0</v>
      </c>
      <c r="AZ29" s="6" t="n">
        <v>0</v>
      </c>
      <c r="BA29" s="6" t="n">
        <v>0</v>
      </c>
      <c r="BB29" s="6" t="n">
        <v>1525600</v>
      </c>
      <c r="BC29" s="6" t="n">
        <v>0</v>
      </c>
      <c r="BD29" s="6" t="n">
        <v>0</v>
      </c>
      <c r="BE29" s="6" t="n">
        <v>400000</v>
      </c>
      <c r="BF29" s="6" t="n">
        <v>0</v>
      </c>
      <c r="BG29" s="6" t="n">
        <v>0</v>
      </c>
      <c r="BH29" s="6" t="n">
        <v>362800</v>
      </c>
      <c r="BI29" s="6" t="n">
        <f aca="false">+BC29+BF29+AW29+AZ29</f>
        <v>0</v>
      </c>
      <c r="BJ29" s="6" t="n">
        <f aca="false">+BD29+BG29+AX29+BA29</f>
        <v>0</v>
      </c>
      <c r="BK29" s="6" t="n">
        <f aca="false">+BE29+BH29+AY29+BB29</f>
        <v>2288400</v>
      </c>
      <c r="BL29" s="6" t="n">
        <v>0</v>
      </c>
      <c r="BM29" s="6" t="n">
        <v>0</v>
      </c>
      <c r="BN29" s="6" t="n">
        <v>0</v>
      </c>
      <c r="BO29" s="6" t="n">
        <v>0</v>
      </c>
      <c r="BP29" s="6" t="n">
        <v>0</v>
      </c>
      <c r="BQ29" s="6" t="n">
        <v>0</v>
      </c>
      <c r="BR29" s="6" t="n">
        <v>0</v>
      </c>
      <c r="BS29" s="6" t="n">
        <v>0</v>
      </c>
      <c r="BT29" s="6" t="n">
        <v>0</v>
      </c>
      <c r="BU29" s="6" t="n">
        <v>0</v>
      </c>
      <c r="BV29" s="6" t="n">
        <v>0</v>
      </c>
      <c r="BW29" s="6" t="n">
        <v>0</v>
      </c>
      <c r="BX29" s="6" t="n">
        <f aca="false">+BR29+BU29+BL29+BO29</f>
        <v>0</v>
      </c>
      <c r="BY29" s="6" t="n">
        <f aca="false">+BS29+BV29+BM29+BP29</f>
        <v>0</v>
      </c>
      <c r="BZ29" s="6" t="n">
        <f aca="false">+BT29+BW29+BN29+BQ29</f>
        <v>0</v>
      </c>
      <c r="CA29" s="6" t="n">
        <v>0</v>
      </c>
      <c r="CB29" s="6" t="n">
        <v>0</v>
      </c>
      <c r="CC29" s="6" t="n">
        <v>0</v>
      </c>
      <c r="CD29" s="6" t="n">
        <v>0</v>
      </c>
      <c r="CE29" s="6" t="n">
        <v>0</v>
      </c>
      <c r="CF29" s="6" t="n">
        <v>0</v>
      </c>
      <c r="CG29" s="6" t="n">
        <v>0</v>
      </c>
      <c r="CH29" s="6" t="n">
        <v>0</v>
      </c>
      <c r="CI29" s="6" t="n">
        <v>0</v>
      </c>
      <c r="CJ29" s="6" t="n">
        <v>0</v>
      </c>
      <c r="CK29" s="6" t="n">
        <v>0</v>
      </c>
      <c r="CL29" s="6" t="n">
        <v>0</v>
      </c>
      <c r="CM29" s="6" t="n">
        <f aca="false">+CG29+CJ29+CA29+CD29</f>
        <v>0</v>
      </c>
      <c r="CN29" s="6" t="n">
        <f aca="false">+CH29+CK29+CB29+CE29</f>
        <v>0</v>
      </c>
      <c r="CO29" s="6" t="n">
        <f aca="false">+CI29+CL29+CC29+CF29</f>
        <v>0</v>
      </c>
      <c r="CP29" s="6" t="n">
        <v>0</v>
      </c>
      <c r="CQ29" s="6" t="n">
        <v>0</v>
      </c>
      <c r="CR29" s="6" t="n">
        <v>0</v>
      </c>
      <c r="CS29" s="6" t="n">
        <v>0</v>
      </c>
      <c r="CT29" s="6" t="n">
        <v>0</v>
      </c>
      <c r="CU29" s="6" t="n">
        <v>0</v>
      </c>
      <c r="CV29" s="6" t="n">
        <v>0</v>
      </c>
      <c r="CW29" s="6" t="n">
        <v>0</v>
      </c>
      <c r="CX29" s="6" t="n">
        <v>0</v>
      </c>
      <c r="CY29" s="6" t="n">
        <v>0</v>
      </c>
      <c r="CZ29" s="6" t="n">
        <v>0</v>
      </c>
      <c r="DA29" s="6" t="n">
        <v>0</v>
      </c>
      <c r="DB29" s="6" t="n">
        <f aca="false">+CV29+CY29+CP29+CS29</f>
        <v>0</v>
      </c>
      <c r="DC29" s="6" t="n">
        <f aca="false">+CW29+CZ29+CQ29+CT29</f>
        <v>0</v>
      </c>
      <c r="DD29" s="6" t="n">
        <f aca="false">+CX29+DA29+CR29+CU29</f>
        <v>0</v>
      </c>
      <c r="DE29" s="6" t="n">
        <v>0</v>
      </c>
      <c r="DF29" s="6" t="n">
        <v>0</v>
      </c>
      <c r="DG29" s="6" t="n">
        <v>0</v>
      </c>
      <c r="DH29" s="6" t="n">
        <v>0</v>
      </c>
      <c r="DI29" s="6" t="n">
        <v>0</v>
      </c>
      <c r="DJ29" s="6" t="n">
        <v>0</v>
      </c>
      <c r="DK29" s="6" t="n">
        <v>0</v>
      </c>
      <c r="DL29" s="6" t="n">
        <v>0</v>
      </c>
      <c r="DM29" s="6" t="n">
        <v>0</v>
      </c>
      <c r="DN29" s="6" t="n">
        <v>0</v>
      </c>
      <c r="DO29" s="6" t="n">
        <v>0</v>
      </c>
      <c r="DP29" s="6" t="n">
        <v>0</v>
      </c>
      <c r="DQ29" s="6" t="n">
        <f aca="false">+DK29+DN29+DE29+DH29</f>
        <v>0</v>
      </c>
      <c r="DR29" s="6" t="n">
        <f aca="false">+DL29+DO29+DF29+DI29</f>
        <v>0</v>
      </c>
      <c r="DS29" s="6" t="n">
        <f aca="false">+DM29+DP29+DG29+DJ29</f>
        <v>0</v>
      </c>
      <c r="DT29" s="31" t="n">
        <f aca="false">+P29+AE29+AT29+BI29+BX29+CM29+DB29</f>
        <v>4388400</v>
      </c>
      <c r="DU29" s="31" t="n">
        <f aca="false">+Q29+AF29+AU29+BJ29+BY29+CN29+DC29</f>
        <v>4388400</v>
      </c>
      <c r="DV29" s="31" t="n">
        <f aca="false">+R29+AG29+AV29+BK29+BZ29+CO29+DD29</f>
        <v>4388400</v>
      </c>
      <c r="DW29" s="31" t="n">
        <f aca="false">+DU29-DV29</f>
        <v>0</v>
      </c>
    </row>
    <row r="30" customFormat="false" ht="13.8" hidden="false" customHeight="false" outlineLevel="0" collapsed="false">
      <c r="A30" s="27" t="n">
        <v>44244</v>
      </c>
      <c r="B30" s="28" t="s">
        <v>184</v>
      </c>
      <c r="C30" s="28" t="s">
        <v>185</v>
      </c>
      <c r="D30" s="29" t="s">
        <v>186</v>
      </c>
      <c r="E30" s="28" t="s">
        <v>187</v>
      </c>
      <c r="F30" s="27" t="s">
        <v>188</v>
      </c>
      <c r="G30" s="27" t="s">
        <v>6</v>
      </c>
      <c r="H30" s="30" t="n">
        <v>700000</v>
      </c>
      <c r="I30" s="30" t="n">
        <v>700000</v>
      </c>
      <c r="J30" s="6" t="n">
        <v>0</v>
      </c>
      <c r="K30" s="6" t="n">
        <v>0</v>
      </c>
      <c r="L30" s="6" t="n">
        <v>0</v>
      </c>
      <c r="M30" s="6" t="n">
        <v>0</v>
      </c>
      <c r="N30" s="6" t="n">
        <v>0</v>
      </c>
      <c r="O30" s="6" t="n">
        <v>0</v>
      </c>
      <c r="P30" s="6" t="n">
        <f aca="false">+J30+M30</f>
        <v>0</v>
      </c>
      <c r="Q30" s="6" t="n">
        <f aca="false">+K30+N30</f>
        <v>0</v>
      </c>
      <c r="R30" s="6" t="n">
        <f aca="false">+L30+O30</f>
        <v>0</v>
      </c>
      <c r="S30" s="6" t="n">
        <v>0</v>
      </c>
      <c r="T30" s="6" t="n">
        <v>0</v>
      </c>
      <c r="U30" s="6" t="n">
        <v>0</v>
      </c>
      <c r="V30" s="30" t="n">
        <v>700000</v>
      </c>
      <c r="W30" s="30" t="n">
        <v>700000</v>
      </c>
      <c r="X30" s="6" t="n">
        <v>250000</v>
      </c>
      <c r="Y30" s="6" t="n">
        <v>0</v>
      </c>
      <c r="Z30" s="6" t="n">
        <v>0</v>
      </c>
      <c r="AA30" s="6" t="n">
        <v>0</v>
      </c>
      <c r="AB30" s="6" t="n">
        <v>0</v>
      </c>
      <c r="AC30" s="6" t="n">
        <v>0</v>
      </c>
      <c r="AD30" s="6" t="n">
        <v>100000</v>
      </c>
      <c r="AE30" s="6" t="n">
        <f aca="false">+Y30+AB30+S30+V30</f>
        <v>700000</v>
      </c>
      <c r="AF30" s="6" t="n">
        <f aca="false">+Z30+AC30+T30+W30</f>
        <v>700000</v>
      </c>
      <c r="AG30" s="6" t="n">
        <f aca="false">+AA30+AD30+U30+X30</f>
        <v>350000</v>
      </c>
      <c r="AH30" s="6" t="n">
        <v>0</v>
      </c>
      <c r="AI30" s="6" t="n">
        <v>0</v>
      </c>
      <c r="AJ30" s="6" t="n">
        <v>250000</v>
      </c>
      <c r="AK30" s="6" t="n">
        <v>0</v>
      </c>
      <c r="AL30" s="6" t="n">
        <v>0</v>
      </c>
      <c r="AM30" s="6" t="n">
        <v>33333.33</v>
      </c>
      <c r="AN30" s="6" t="n">
        <v>0</v>
      </c>
      <c r="AO30" s="6" t="n">
        <v>0</v>
      </c>
      <c r="AP30" s="6" t="n">
        <v>66666.67</v>
      </c>
      <c r="AQ30" s="6" t="n">
        <v>0</v>
      </c>
      <c r="AR30" s="6" t="n">
        <v>0</v>
      </c>
      <c r="AS30" s="6" t="n">
        <v>0</v>
      </c>
      <c r="AT30" s="6" t="n">
        <f aca="false">+AN30+AQ30+AH30+AK30</f>
        <v>0</v>
      </c>
      <c r="AU30" s="6" t="n">
        <f aca="false">+AO30+AR30+AI30+AL30</f>
        <v>0</v>
      </c>
      <c r="AV30" s="6" t="n">
        <f aca="false">+AP30+AS30+AJ30+AM30</f>
        <v>350000</v>
      </c>
      <c r="AW30" s="6" t="n">
        <v>0</v>
      </c>
      <c r="AX30" s="6" t="n">
        <v>0</v>
      </c>
      <c r="AY30" s="6" t="n">
        <v>0</v>
      </c>
      <c r="AZ30" s="6" t="n">
        <v>0</v>
      </c>
      <c r="BA30" s="6" t="n">
        <v>0</v>
      </c>
      <c r="BB30" s="6" t="n">
        <v>0</v>
      </c>
      <c r="BC30" s="6" t="n">
        <v>0</v>
      </c>
      <c r="BD30" s="6" t="n">
        <v>0</v>
      </c>
      <c r="BE30" s="6" t="n">
        <v>0</v>
      </c>
      <c r="BF30" s="6" t="n">
        <v>0</v>
      </c>
      <c r="BG30" s="6" t="n">
        <v>0</v>
      </c>
      <c r="BH30" s="6" t="n">
        <v>0</v>
      </c>
      <c r="BI30" s="6" t="n">
        <f aca="false">+BC30+BF30+AW30+AZ30</f>
        <v>0</v>
      </c>
      <c r="BJ30" s="6" t="n">
        <f aca="false">+BD30+BG30+AX30+BA30</f>
        <v>0</v>
      </c>
      <c r="BK30" s="6" t="n">
        <f aca="false">+BE30+BH30+AY30+BB30</f>
        <v>0</v>
      </c>
      <c r="BL30" s="6" t="n">
        <v>0</v>
      </c>
      <c r="BM30" s="6" t="n">
        <v>0</v>
      </c>
      <c r="BN30" s="6" t="n">
        <v>0</v>
      </c>
      <c r="BO30" s="6" t="n">
        <v>0</v>
      </c>
      <c r="BP30" s="6" t="n">
        <v>0</v>
      </c>
      <c r="BQ30" s="6" t="n">
        <v>0</v>
      </c>
      <c r="BR30" s="6" t="n">
        <v>0</v>
      </c>
      <c r="BS30" s="6" t="n">
        <v>0</v>
      </c>
      <c r="BT30" s="6" t="n">
        <v>0</v>
      </c>
      <c r="BU30" s="6" t="n">
        <v>0</v>
      </c>
      <c r="BV30" s="6" t="n">
        <v>0</v>
      </c>
      <c r="BW30" s="6" t="n">
        <v>0</v>
      </c>
      <c r="BX30" s="6" t="n">
        <f aca="false">+BR30+BU30+BL30+BO30</f>
        <v>0</v>
      </c>
      <c r="BY30" s="6" t="n">
        <f aca="false">+BS30+BV30+BM30+BP30</f>
        <v>0</v>
      </c>
      <c r="BZ30" s="6" t="n">
        <f aca="false">+BT30+BW30+BN30+BQ30</f>
        <v>0</v>
      </c>
      <c r="CA30" s="6" t="n">
        <v>0</v>
      </c>
      <c r="CB30" s="6" t="n">
        <v>0</v>
      </c>
      <c r="CC30" s="6" t="n">
        <v>0</v>
      </c>
      <c r="CD30" s="6" t="n">
        <v>0</v>
      </c>
      <c r="CE30" s="6" t="n">
        <v>0</v>
      </c>
      <c r="CF30" s="6" t="n">
        <v>0</v>
      </c>
      <c r="CG30" s="6" t="n">
        <v>0</v>
      </c>
      <c r="CH30" s="6" t="n">
        <v>0</v>
      </c>
      <c r="CI30" s="6" t="n">
        <v>0</v>
      </c>
      <c r="CJ30" s="6" t="n">
        <v>0</v>
      </c>
      <c r="CK30" s="6" t="n">
        <v>0</v>
      </c>
      <c r="CL30" s="6" t="n">
        <v>0</v>
      </c>
      <c r="CM30" s="6" t="n">
        <f aca="false">+CG30+CJ30+CA30+CD30</f>
        <v>0</v>
      </c>
      <c r="CN30" s="6" t="n">
        <f aca="false">+CH30+CK30+CB30+CE30</f>
        <v>0</v>
      </c>
      <c r="CO30" s="6" t="n">
        <f aca="false">+CI30+CL30+CC30+CF30</f>
        <v>0</v>
      </c>
      <c r="CP30" s="6" t="n">
        <v>0</v>
      </c>
      <c r="CQ30" s="6" t="n">
        <v>0</v>
      </c>
      <c r="CR30" s="6" t="n">
        <v>0</v>
      </c>
      <c r="CS30" s="6" t="n">
        <v>0</v>
      </c>
      <c r="CT30" s="6" t="n">
        <v>0</v>
      </c>
      <c r="CU30" s="6" t="n">
        <v>0</v>
      </c>
      <c r="CV30" s="6" t="n">
        <v>0</v>
      </c>
      <c r="CW30" s="6" t="n">
        <v>0</v>
      </c>
      <c r="CX30" s="6" t="n">
        <v>0</v>
      </c>
      <c r="CY30" s="6" t="n">
        <v>0</v>
      </c>
      <c r="CZ30" s="6" t="n">
        <v>0</v>
      </c>
      <c r="DA30" s="6" t="n">
        <v>0</v>
      </c>
      <c r="DB30" s="6" t="n">
        <f aca="false">+CV30+CY30+CP30+CS30</f>
        <v>0</v>
      </c>
      <c r="DC30" s="6" t="n">
        <f aca="false">+CW30+CZ30+CQ30+CT30</f>
        <v>0</v>
      </c>
      <c r="DD30" s="6" t="n">
        <f aca="false">+CX30+DA30+CR30+CU30</f>
        <v>0</v>
      </c>
      <c r="DE30" s="6" t="n">
        <v>0</v>
      </c>
      <c r="DF30" s="6" t="n">
        <v>0</v>
      </c>
      <c r="DG30" s="6" t="n">
        <v>0</v>
      </c>
      <c r="DH30" s="6" t="n">
        <v>0</v>
      </c>
      <c r="DI30" s="6" t="n">
        <v>0</v>
      </c>
      <c r="DJ30" s="6" t="n">
        <v>0</v>
      </c>
      <c r="DK30" s="6" t="n">
        <v>0</v>
      </c>
      <c r="DL30" s="6" t="n">
        <v>0</v>
      </c>
      <c r="DM30" s="6" t="n">
        <v>0</v>
      </c>
      <c r="DN30" s="6" t="n">
        <v>0</v>
      </c>
      <c r="DO30" s="6" t="n">
        <v>0</v>
      </c>
      <c r="DP30" s="6" t="n">
        <v>0</v>
      </c>
      <c r="DQ30" s="6" t="n">
        <f aca="false">+DK30+DN30+DE30+DH30</f>
        <v>0</v>
      </c>
      <c r="DR30" s="6" t="n">
        <f aca="false">+DL30+DO30+DF30+DI30</f>
        <v>0</v>
      </c>
      <c r="DS30" s="6" t="n">
        <f aca="false">+DM30+DP30+DG30+DJ30</f>
        <v>0</v>
      </c>
      <c r="DT30" s="31" t="n">
        <f aca="false">+P30+AE30+AT30+BI30+BX30+CM30+DB30</f>
        <v>700000</v>
      </c>
      <c r="DU30" s="31" t="n">
        <f aca="false">+Q30+AF30+AU30+BJ30+BY30+CN30+DC30</f>
        <v>700000</v>
      </c>
      <c r="DV30" s="31" t="n">
        <f aca="false">+R30+AG30+AV30+BK30+BZ30+CO30+DD30</f>
        <v>700000</v>
      </c>
      <c r="DW30" s="31" t="n">
        <f aca="false">+DU30-DV30</f>
        <v>0</v>
      </c>
    </row>
    <row r="31" customFormat="false" ht="13.8" hidden="false" customHeight="false" outlineLevel="0" collapsed="false">
      <c r="A31" s="27" t="n">
        <v>44264</v>
      </c>
      <c r="B31" s="28" t="s">
        <v>189</v>
      </c>
      <c r="C31" s="28" t="s">
        <v>190</v>
      </c>
      <c r="D31" s="29" t="s">
        <v>191</v>
      </c>
      <c r="E31" s="28" t="s">
        <v>192</v>
      </c>
      <c r="F31" s="27" t="s">
        <v>193</v>
      </c>
      <c r="G31" s="27" t="s">
        <v>6</v>
      </c>
      <c r="H31" s="30" t="n">
        <v>165000</v>
      </c>
      <c r="I31" s="30" t="n">
        <v>165000</v>
      </c>
      <c r="J31" s="6" t="n">
        <v>0</v>
      </c>
      <c r="K31" s="6" t="n">
        <v>0</v>
      </c>
      <c r="L31" s="6" t="n">
        <v>0</v>
      </c>
      <c r="M31" s="6" t="n">
        <v>0</v>
      </c>
      <c r="N31" s="6" t="n">
        <v>0</v>
      </c>
      <c r="O31" s="6" t="n">
        <v>0</v>
      </c>
      <c r="P31" s="6" t="n">
        <f aca="false">+J31+M31</f>
        <v>0</v>
      </c>
      <c r="Q31" s="6" t="n">
        <f aca="false">+K31+N31</f>
        <v>0</v>
      </c>
      <c r="R31" s="6" t="n">
        <f aca="false">+L31+O31</f>
        <v>0</v>
      </c>
      <c r="S31" s="6" t="n">
        <v>0</v>
      </c>
      <c r="T31" s="6" t="n">
        <v>0</v>
      </c>
      <c r="U31" s="6" t="n">
        <v>0</v>
      </c>
      <c r="V31" s="30" t="n">
        <v>165000</v>
      </c>
      <c r="W31" s="30" t="n">
        <v>165000</v>
      </c>
      <c r="X31" s="6" t="n">
        <v>0</v>
      </c>
      <c r="Y31" s="6" t="n">
        <v>0</v>
      </c>
      <c r="Z31" s="6" t="n">
        <v>0</v>
      </c>
      <c r="AA31" s="6" t="n">
        <v>0</v>
      </c>
      <c r="AB31" s="6" t="n">
        <v>0</v>
      </c>
      <c r="AC31" s="6" t="n">
        <v>0</v>
      </c>
      <c r="AD31" s="6" t="n">
        <v>165000</v>
      </c>
      <c r="AE31" s="6" t="n">
        <f aca="false">+Y31+AB31+S31+V31</f>
        <v>165000</v>
      </c>
      <c r="AF31" s="6" t="n">
        <f aca="false">+Z31+AC31+T31+W31</f>
        <v>165000</v>
      </c>
      <c r="AG31" s="6" t="n">
        <f aca="false">+AA31+AD31+U31+X31</f>
        <v>165000</v>
      </c>
      <c r="AH31" s="6" t="n">
        <v>0</v>
      </c>
      <c r="AI31" s="6" t="n">
        <v>0</v>
      </c>
      <c r="AJ31" s="6" t="n">
        <v>0</v>
      </c>
      <c r="AK31" s="6" t="n">
        <v>0</v>
      </c>
      <c r="AL31" s="6" t="n">
        <v>0</v>
      </c>
      <c r="AM31" s="6" t="n">
        <v>0</v>
      </c>
      <c r="AN31" s="6" t="n">
        <v>0</v>
      </c>
      <c r="AO31" s="6" t="n">
        <v>0</v>
      </c>
      <c r="AP31" s="6" t="n">
        <v>0</v>
      </c>
      <c r="AQ31" s="6" t="n">
        <v>0</v>
      </c>
      <c r="AR31" s="6" t="n">
        <v>0</v>
      </c>
      <c r="AS31" s="6" t="n">
        <v>0</v>
      </c>
      <c r="AT31" s="6" t="n">
        <f aca="false">+AN31+AQ31+AH31+AK31</f>
        <v>0</v>
      </c>
      <c r="AU31" s="6" t="n">
        <f aca="false">+AO31+AR31+AI31+AL31</f>
        <v>0</v>
      </c>
      <c r="AV31" s="6" t="n">
        <f aca="false">+AP31+AS31+AJ31+AM31</f>
        <v>0</v>
      </c>
      <c r="AW31" s="6" t="n">
        <v>0</v>
      </c>
      <c r="AX31" s="6" t="n">
        <v>0</v>
      </c>
      <c r="AY31" s="6" t="n">
        <v>0</v>
      </c>
      <c r="AZ31" s="6" t="n">
        <v>0</v>
      </c>
      <c r="BA31" s="6" t="n">
        <v>0</v>
      </c>
      <c r="BB31" s="6" t="n">
        <v>0</v>
      </c>
      <c r="BC31" s="6" t="n">
        <v>0</v>
      </c>
      <c r="BD31" s="6" t="n">
        <v>0</v>
      </c>
      <c r="BE31" s="6" t="n">
        <v>0</v>
      </c>
      <c r="BF31" s="6" t="n">
        <v>0</v>
      </c>
      <c r="BG31" s="6" t="n">
        <v>0</v>
      </c>
      <c r="BH31" s="6" t="n">
        <v>0</v>
      </c>
      <c r="BI31" s="6" t="n">
        <f aca="false">+BC31+BF31+AW31+AZ31</f>
        <v>0</v>
      </c>
      <c r="BJ31" s="6" t="n">
        <f aca="false">+BD31+BG31+AX31+BA31</f>
        <v>0</v>
      </c>
      <c r="BK31" s="6" t="n">
        <f aca="false">+BE31+BH31+AY31+BB31</f>
        <v>0</v>
      </c>
      <c r="BL31" s="6" t="n">
        <v>0</v>
      </c>
      <c r="BM31" s="6" t="n">
        <v>0</v>
      </c>
      <c r="BN31" s="6" t="n">
        <v>0</v>
      </c>
      <c r="BO31" s="6" t="n">
        <v>0</v>
      </c>
      <c r="BP31" s="6" t="n">
        <v>0</v>
      </c>
      <c r="BQ31" s="6" t="n">
        <v>0</v>
      </c>
      <c r="BR31" s="6" t="n">
        <v>0</v>
      </c>
      <c r="BS31" s="6" t="n">
        <v>0</v>
      </c>
      <c r="BT31" s="6" t="n">
        <v>0</v>
      </c>
      <c r="BU31" s="6" t="n">
        <v>0</v>
      </c>
      <c r="BV31" s="6" t="n">
        <v>0</v>
      </c>
      <c r="BW31" s="6" t="n">
        <v>0</v>
      </c>
      <c r="BX31" s="6" t="n">
        <f aca="false">+BR31+BU31+BL31+BO31</f>
        <v>0</v>
      </c>
      <c r="BY31" s="6" t="n">
        <f aca="false">+BS31+BV31+BM31+BP31</f>
        <v>0</v>
      </c>
      <c r="BZ31" s="6" t="n">
        <f aca="false">+BT31+BW31+BN31+BQ31</f>
        <v>0</v>
      </c>
      <c r="CA31" s="6" t="n">
        <v>0</v>
      </c>
      <c r="CB31" s="6" t="n">
        <v>0</v>
      </c>
      <c r="CC31" s="6" t="n">
        <v>0</v>
      </c>
      <c r="CD31" s="6" t="n">
        <v>0</v>
      </c>
      <c r="CE31" s="6" t="n">
        <v>0</v>
      </c>
      <c r="CF31" s="6" t="n">
        <v>0</v>
      </c>
      <c r="CG31" s="6" t="n">
        <v>0</v>
      </c>
      <c r="CH31" s="6" t="n">
        <v>0</v>
      </c>
      <c r="CI31" s="6" t="n">
        <v>0</v>
      </c>
      <c r="CJ31" s="6" t="n">
        <v>0</v>
      </c>
      <c r="CK31" s="6" t="n">
        <v>0</v>
      </c>
      <c r="CL31" s="6" t="n">
        <v>0</v>
      </c>
      <c r="CM31" s="6" t="n">
        <f aca="false">+CG31+CJ31+CA31+CD31</f>
        <v>0</v>
      </c>
      <c r="CN31" s="6" t="n">
        <f aca="false">+CH31+CK31+CB31+CE31</f>
        <v>0</v>
      </c>
      <c r="CO31" s="6" t="n">
        <f aca="false">+CI31+CL31+CC31+CF31</f>
        <v>0</v>
      </c>
      <c r="CP31" s="6" t="n">
        <v>0</v>
      </c>
      <c r="CQ31" s="6" t="n">
        <v>0</v>
      </c>
      <c r="CR31" s="6" t="n">
        <v>0</v>
      </c>
      <c r="CS31" s="6" t="n">
        <v>0</v>
      </c>
      <c r="CT31" s="6" t="n">
        <v>0</v>
      </c>
      <c r="CU31" s="6" t="n">
        <v>0</v>
      </c>
      <c r="CV31" s="6" t="n">
        <v>0</v>
      </c>
      <c r="CW31" s="6" t="n">
        <v>0</v>
      </c>
      <c r="CX31" s="6" t="n">
        <v>0</v>
      </c>
      <c r="CY31" s="6" t="n">
        <v>0</v>
      </c>
      <c r="CZ31" s="6" t="n">
        <v>0</v>
      </c>
      <c r="DA31" s="6" t="n">
        <v>0</v>
      </c>
      <c r="DB31" s="6" t="n">
        <f aca="false">+CV31+CY31+CP31+CS31</f>
        <v>0</v>
      </c>
      <c r="DC31" s="6" t="n">
        <f aca="false">+CW31+CZ31+CQ31+CT31</f>
        <v>0</v>
      </c>
      <c r="DD31" s="6" t="n">
        <f aca="false">+CX31+DA31+CR31+CU31</f>
        <v>0</v>
      </c>
      <c r="DE31" s="6" t="n">
        <v>0</v>
      </c>
      <c r="DF31" s="6" t="n">
        <v>0</v>
      </c>
      <c r="DG31" s="6" t="n">
        <v>0</v>
      </c>
      <c r="DH31" s="6" t="n">
        <v>0</v>
      </c>
      <c r="DI31" s="6" t="n">
        <v>0</v>
      </c>
      <c r="DJ31" s="6" t="n">
        <v>0</v>
      </c>
      <c r="DK31" s="6" t="n">
        <v>0</v>
      </c>
      <c r="DL31" s="6" t="n">
        <v>0</v>
      </c>
      <c r="DM31" s="6" t="n">
        <v>0</v>
      </c>
      <c r="DN31" s="6" t="n">
        <v>0</v>
      </c>
      <c r="DO31" s="6" t="n">
        <v>0</v>
      </c>
      <c r="DP31" s="6" t="n">
        <v>0</v>
      </c>
      <c r="DQ31" s="6" t="n">
        <f aca="false">+DK31+DN31+DE31+DH31</f>
        <v>0</v>
      </c>
      <c r="DR31" s="6" t="n">
        <f aca="false">+DL31+DO31+DF31+DI31</f>
        <v>0</v>
      </c>
      <c r="DS31" s="6" t="n">
        <f aca="false">+DM31+DP31+DG31+DJ31</f>
        <v>0</v>
      </c>
      <c r="DT31" s="31" t="n">
        <f aca="false">+P31+AE31+AT31+BI31+BX31+CM31+DB31</f>
        <v>165000</v>
      </c>
      <c r="DU31" s="31" t="n">
        <f aca="false">+Q31+AF31+AU31+BJ31+BY31+CN31+DC31</f>
        <v>165000</v>
      </c>
      <c r="DV31" s="31" t="n">
        <f aca="false">+R31+AG31+AV31+BK31+BZ31+CO31+DD31</f>
        <v>165000</v>
      </c>
      <c r="DW31" s="31" t="n">
        <f aca="false">+DU31-DV31</f>
        <v>0</v>
      </c>
    </row>
    <row r="32" customFormat="false" ht="13.8" hidden="false" customHeight="false" outlineLevel="0" collapsed="false">
      <c r="A32" s="27" t="n">
        <v>44294</v>
      </c>
      <c r="B32" s="28" t="s">
        <v>194</v>
      </c>
      <c r="C32" s="28" t="s">
        <v>195</v>
      </c>
      <c r="D32" s="29" t="s">
        <v>196</v>
      </c>
      <c r="E32" s="28" t="s">
        <v>197</v>
      </c>
      <c r="F32" s="27" t="s">
        <v>198</v>
      </c>
      <c r="G32" s="27" t="s">
        <v>7</v>
      </c>
      <c r="H32" s="30" t="n">
        <v>4125000</v>
      </c>
      <c r="I32" s="30" t="n">
        <v>4125000</v>
      </c>
      <c r="J32" s="6" t="n">
        <v>0</v>
      </c>
      <c r="K32" s="6" t="n">
        <v>0</v>
      </c>
      <c r="L32" s="6" t="n">
        <v>0</v>
      </c>
      <c r="M32" s="6" t="n">
        <v>0</v>
      </c>
      <c r="N32" s="6" t="n">
        <v>0</v>
      </c>
      <c r="O32" s="6" t="n">
        <v>0</v>
      </c>
      <c r="P32" s="6" t="n">
        <f aca="false">+J32+M32</f>
        <v>0</v>
      </c>
      <c r="Q32" s="6" t="n">
        <f aca="false">+K32+N32</f>
        <v>0</v>
      </c>
      <c r="R32" s="6" t="n">
        <f aca="false">+L32+O32</f>
        <v>0</v>
      </c>
      <c r="S32" s="6" t="n">
        <v>0</v>
      </c>
      <c r="T32" s="6" t="n">
        <v>0</v>
      </c>
      <c r="U32" s="6" t="n">
        <v>0</v>
      </c>
      <c r="V32" s="6" t="n">
        <v>0</v>
      </c>
      <c r="W32" s="6" t="n">
        <v>0</v>
      </c>
      <c r="X32" s="6" t="n">
        <v>0</v>
      </c>
      <c r="Y32" s="30" t="n">
        <v>4125000</v>
      </c>
      <c r="Z32" s="30" t="n">
        <v>4125000</v>
      </c>
      <c r="AA32" s="6" t="n">
        <v>0</v>
      </c>
      <c r="AB32" s="6" t="n">
        <v>0</v>
      </c>
      <c r="AC32" s="6" t="n">
        <v>0</v>
      </c>
      <c r="AD32" s="6" t="n">
        <v>4125000</v>
      </c>
      <c r="AE32" s="6" t="n">
        <f aca="false">+Y32+AB32+S32+V32</f>
        <v>4125000</v>
      </c>
      <c r="AF32" s="6" t="n">
        <f aca="false">+Z32+AC32+T32+W32</f>
        <v>4125000</v>
      </c>
      <c r="AG32" s="6" t="n">
        <f aca="false">+AA32+AD32+U32+X32</f>
        <v>4125000</v>
      </c>
      <c r="AH32" s="6" t="n">
        <v>0</v>
      </c>
      <c r="AI32" s="6" t="n">
        <v>0</v>
      </c>
      <c r="AJ32" s="6" t="n">
        <v>0</v>
      </c>
      <c r="AK32" s="6" t="n">
        <v>0</v>
      </c>
      <c r="AL32" s="6" t="n">
        <v>0</v>
      </c>
      <c r="AM32" s="6" t="n">
        <v>0</v>
      </c>
      <c r="AN32" s="6" t="n">
        <v>0</v>
      </c>
      <c r="AO32" s="6" t="n">
        <v>0</v>
      </c>
      <c r="AP32" s="6" t="n">
        <v>0</v>
      </c>
      <c r="AQ32" s="6" t="n">
        <v>0</v>
      </c>
      <c r="AR32" s="6" t="n">
        <v>0</v>
      </c>
      <c r="AS32" s="6" t="n">
        <v>0</v>
      </c>
      <c r="AT32" s="6" t="n">
        <f aca="false">+AN32+AQ32+AH32+AK32</f>
        <v>0</v>
      </c>
      <c r="AU32" s="6" t="n">
        <f aca="false">+AO32+AR32+AI32+AL32</f>
        <v>0</v>
      </c>
      <c r="AV32" s="6" t="n">
        <f aca="false">+AP32+AS32+AJ32+AM32</f>
        <v>0</v>
      </c>
      <c r="AW32" s="6" t="n">
        <v>0</v>
      </c>
      <c r="AX32" s="6" t="n">
        <v>0</v>
      </c>
      <c r="AY32" s="6" t="n">
        <v>0</v>
      </c>
      <c r="AZ32" s="6" t="n">
        <v>0</v>
      </c>
      <c r="BA32" s="6" t="n">
        <v>0</v>
      </c>
      <c r="BB32" s="6" t="n">
        <v>0</v>
      </c>
      <c r="BC32" s="6" t="n">
        <v>0</v>
      </c>
      <c r="BD32" s="6" t="n">
        <v>0</v>
      </c>
      <c r="BE32" s="6" t="n">
        <v>0</v>
      </c>
      <c r="BF32" s="6" t="n">
        <v>0</v>
      </c>
      <c r="BG32" s="6" t="n">
        <v>0</v>
      </c>
      <c r="BH32" s="6" t="n">
        <v>0</v>
      </c>
      <c r="BI32" s="6" t="n">
        <f aca="false">+BC32+BF32+AW32+AZ32</f>
        <v>0</v>
      </c>
      <c r="BJ32" s="6" t="n">
        <f aca="false">+BD32+BG32+AX32+BA32</f>
        <v>0</v>
      </c>
      <c r="BK32" s="6" t="n">
        <f aca="false">+BE32+BH32+AY32+BB32</f>
        <v>0</v>
      </c>
      <c r="BL32" s="6" t="n">
        <v>0</v>
      </c>
      <c r="BM32" s="6" t="n">
        <v>0</v>
      </c>
      <c r="BN32" s="6" t="n">
        <v>0</v>
      </c>
      <c r="BO32" s="6" t="n">
        <v>0</v>
      </c>
      <c r="BP32" s="6" t="n">
        <v>0</v>
      </c>
      <c r="BQ32" s="6" t="n">
        <v>0</v>
      </c>
      <c r="BR32" s="6" t="n">
        <v>0</v>
      </c>
      <c r="BS32" s="6" t="n">
        <v>0</v>
      </c>
      <c r="BT32" s="6" t="n">
        <v>0</v>
      </c>
      <c r="BU32" s="6" t="n">
        <v>0</v>
      </c>
      <c r="BV32" s="6" t="n">
        <v>0</v>
      </c>
      <c r="BW32" s="6" t="n">
        <v>0</v>
      </c>
      <c r="BX32" s="6" t="n">
        <f aca="false">+BR32+BU32+BL32+BO32</f>
        <v>0</v>
      </c>
      <c r="BY32" s="6" t="n">
        <f aca="false">+BS32+BV32+BM32+BP32</f>
        <v>0</v>
      </c>
      <c r="BZ32" s="6" t="n">
        <f aca="false">+BT32+BW32+BN32+BQ32</f>
        <v>0</v>
      </c>
      <c r="CA32" s="6" t="n">
        <v>0</v>
      </c>
      <c r="CB32" s="6" t="n">
        <v>0</v>
      </c>
      <c r="CC32" s="6" t="n">
        <v>0</v>
      </c>
      <c r="CD32" s="6" t="n">
        <v>0</v>
      </c>
      <c r="CE32" s="6" t="n">
        <v>0</v>
      </c>
      <c r="CF32" s="6" t="n">
        <v>0</v>
      </c>
      <c r="CG32" s="6" t="n">
        <v>0</v>
      </c>
      <c r="CH32" s="6" t="n">
        <v>0</v>
      </c>
      <c r="CI32" s="6" t="n">
        <v>0</v>
      </c>
      <c r="CJ32" s="6" t="n">
        <v>0</v>
      </c>
      <c r="CK32" s="6" t="n">
        <v>0</v>
      </c>
      <c r="CL32" s="6" t="n">
        <v>0</v>
      </c>
      <c r="CM32" s="6" t="n">
        <f aca="false">+CG32+CJ32+CA32+CD32</f>
        <v>0</v>
      </c>
      <c r="CN32" s="6" t="n">
        <f aca="false">+CH32+CK32+CB32+CE32</f>
        <v>0</v>
      </c>
      <c r="CO32" s="6" t="n">
        <f aca="false">+CI32+CL32+CC32+CF32</f>
        <v>0</v>
      </c>
      <c r="CP32" s="6" t="n">
        <v>0</v>
      </c>
      <c r="CQ32" s="6" t="n">
        <v>0</v>
      </c>
      <c r="CR32" s="6" t="n">
        <v>0</v>
      </c>
      <c r="CS32" s="6" t="n">
        <v>0</v>
      </c>
      <c r="CT32" s="6" t="n">
        <v>0</v>
      </c>
      <c r="CU32" s="6" t="n">
        <v>0</v>
      </c>
      <c r="CV32" s="6" t="n">
        <v>0</v>
      </c>
      <c r="CW32" s="6" t="n">
        <v>0</v>
      </c>
      <c r="CX32" s="6" t="n">
        <v>0</v>
      </c>
      <c r="CY32" s="6" t="n">
        <v>0</v>
      </c>
      <c r="CZ32" s="6" t="n">
        <v>0</v>
      </c>
      <c r="DA32" s="6" t="n">
        <v>0</v>
      </c>
      <c r="DB32" s="6" t="n">
        <f aca="false">+CV32+CY32+CP32+CS32</f>
        <v>0</v>
      </c>
      <c r="DC32" s="6" t="n">
        <f aca="false">+CW32+CZ32+CQ32+CT32</f>
        <v>0</v>
      </c>
      <c r="DD32" s="6" t="n">
        <f aca="false">+CX32+DA32+CR32+CU32</f>
        <v>0</v>
      </c>
      <c r="DE32" s="6" t="n">
        <v>0</v>
      </c>
      <c r="DF32" s="6" t="n">
        <v>0</v>
      </c>
      <c r="DG32" s="6" t="n">
        <v>0</v>
      </c>
      <c r="DH32" s="6" t="n">
        <v>0</v>
      </c>
      <c r="DI32" s="6" t="n">
        <v>0</v>
      </c>
      <c r="DJ32" s="6" t="n">
        <v>0</v>
      </c>
      <c r="DK32" s="6" t="n">
        <v>0</v>
      </c>
      <c r="DL32" s="6" t="n">
        <v>0</v>
      </c>
      <c r="DM32" s="6" t="n">
        <v>0</v>
      </c>
      <c r="DN32" s="6" t="n">
        <v>0</v>
      </c>
      <c r="DO32" s="6" t="n">
        <v>0</v>
      </c>
      <c r="DP32" s="6" t="n">
        <v>0</v>
      </c>
      <c r="DQ32" s="6" t="n">
        <f aca="false">+DK32+DN32+DE32+DH32</f>
        <v>0</v>
      </c>
      <c r="DR32" s="6" t="n">
        <f aca="false">+DL32+DO32+DF32+DI32</f>
        <v>0</v>
      </c>
      <c r="DS32" s="6" t="n">
        <f aca="false">+DM32+DP32+DG32+DJ32</f>
        <v>0</v>
      </c>
      <c r="DT32" s="31" t="n">
        <f aca="false">+P32+AE32+AT32+BI32+BX32+CM32+DB32</f>
        <v>4125000</v>
      </c>
      <c r="DU32" s="31" t="n">
        <f aca="false">+Q32+AF32+AU32+BJ32+BY32+CN32+DC32</f>
        <v>4125000</v>
      </c>
      <c r="DV32" s="31" t="n">
        <f aca="false">+R32+AG32+AV32+BK32+BZ32+CO32+DD32</f>
        <v>4125000</v>
      </c>
      <c r="DW32" s="31" t="n">
        <f aca="false">+DU32-DV32</f>
        <v>0</v>
      </c>
    </row>
    <row r="33" customFormat="false" ht="13.8" hidden="false" customHeight="false" outlineLevel="0" collapsed="false">
      <c r="A33" s="27" t="n">
        <v>44327</v>
      </c>
      <c r="B33" s="28" t="s">
        <v>199</v>
      </c>
      <c r="C33" s="28" t="s">
        <v>200</v>
      </c>
      <c r="D33" s="29" t="s">
        <v>201</v>
      </c>
      <c r="E33" s="28" t="s">
        <v>202</v>
      </c>
      <c r="F33" s="27" t="s">
        <v>203</v>
      </c>
      <c r="G33" s="27" t="s">
        <v>7</v>
      </c>
      <c r="H33" s="30" t="n">
        <v>630924.61</v>
      </c>
      <c r="I33" s="30" t="n">
        <v>630924.61</v>
      </c>
      <c r="J33" s="6" t="n">
        <v>0</v>
      </c>
      <c r="K33" s="6" t="n">
        <v>0</v>
      </c>
      <c r="L33" s="6" t="n">
        <v>0</v>
      </c>
      <c r="M33" s="6" t="n">
        <v>0</v>
      </c>
      <c r="N33" s="6" t="n">
        <v>0</v>
      </c>
      <c r="O33" s="6" t="n">
        <v>0</v>
      </c>
      <c r="P33" s="6" t="n">
        <f aca="false">+J33+M33</f>
        <v>0</v>
      </c>
      <c r="Q33" s="6" t="n">
        <f aca="false">+K33+N33</f>
        <v>0</v>
      </c>
      <c r="R33" s="6" t="n">
        <f aca="false">+L33+O33</f>
        <v>0</v>
      </c>
      <c r="S33" s="6" t="n">
        <v>0</v>
      </c>
      <c r="T33" s="6" t="n">
        <v>0</v>
      </c>
      <c r="U33" s="6" t="n">
        <v>0</v>
      </c>
      <c r="V33" s="6" t="n">
        <v>0</v>
      </c>
      <c r="W33" s="6" t="n">
        <v>0</v>
      </c>
      <c r="X33" s="6" t="n">
        <v>0</v>
      </c>
      <c r="Y33" s="30" t="n">
        <v>630924.61</v>
      </c>
      <c r="Z33" s="30" t="n">
        <v>630924.61</v>
      </c>
      <c r="AA33" s="6" t="n">
        <v>0</v>
      </c>
      <c r="AB33" s="6" t="n">
        <v>0</v>
      </c>
      <c r="AC33" s="6" t="n">
        <v>0</v>
      </c>
      <c r="AD33" s="6" t="n">
        <v>200000</v>
      </c>
      <c r="AE33" s="6" t="n">
        <f aca="false">+Y33+AB33+S33+V33</f>
        <v>630924.61</v>
      </c>
      <c r="AF33" s="6" t="n">
        <f aca="false">+Z33+AC33+T33+W33</f>
        <v>630924.61</v>
      </c>
      <c r="AG33" s="6" t="n">
        <f aca="false">+AA33+AD33+U33+X33</f>
        <v>200000</v>
      </c>
      <c r="AH33" s="6" t="n">
        <v>0</v>
      </c>
      <c r="AI33" s="6" t="n">
        <v>0</v>
      </c>
      <c r="AJ33" s="6" t="n">
        <v>100000</v>
      </c>
      <c r="AK33" s="6" t="n">
        <v>0</v>
      </c>
      <c r="AL33" s="6" t="n">
        <v>0</v>
      </c>
      <c r="AM33" s="6" t="n">
        <v>330924.61</v>
      </c>
      <c r="AN33" s="6" t="n">
        <v>0</v>
      </c>
      <c r="AO33" s="6" t="n">
        <v>0</v>
      </c>
      <c r="AP33" s="6" t="n">
        <v>0</v>
      </c>
      <c r="AQ33" s="6" t="n">
        <v>0</v>
      </c>
      <c r="AR33" s="6" t="n">
        <v>0</v>
      </c>
      <c r="AS33" s="6" t="n">
        <v>0</v>
      </c>
      <c r="AT33" s="6" t="n">
        <f aca="false">+AN33+AQ33+AH33+AK33</f>
        <v>0</v>
      </c>
      <c r="AU33" s="6" t="n">
        <f aca="false">+AO33+AR33+AI33+AL33</f>
        <v>0</v>
      </c>
      <c r="AV33" s="6" t="n">
        <f aca="false">+AP33+AS33+AJ33+AM33</f>
        <v>430924.61</v>
      </c>
      <c r="AW33" s="6" t="n">
        <v>0</v>
      </c>
      <c r="AX33" s="6" t="n">
        <v>0</v>
      </c>
      <c r="AY33" s="6" t="n">
        <v>0</v>
      </c>
      <c r="AZ33" s="6" t="n">
        <v>0</v>
      </c>
      <c r="BA33" s="6" t="n">
        <v>0</v>
      </c>
      <c r="BB33" s="6" t="n">
        <v>0</v>
      </c>
      <c r="BC33" s="6" t="n">
        <v>0</v>
      </c>
      <c r="BD33" s="6" t="n">
        <v>0</v>
      </c>
      <c r="BE33" s="6" t="n">
        <v>0</v>
      </c>
      <c r="BF33" s="6" t="n">
        <v>0</v>
      </c>
      <c r="BG33" s="6" t="n">
        <v>0</v>
      </c>
      <c r="BH33" s="6" t="n">
        <v>0</v>
      </c>
      <c r="BI33" s="6" t="n">
        <f aca="false">+BC33+BF33+AW33+AZ33</f>
        <v>0</v>
      </c>
      <c r="BJ33" s="6" t="n">
        <f aca="false">+BD33+BG33+AX33+BA33</f>
        <v>0</v>
      </c>
      <c r="BK33" s="6" t="n">
        <f aca="false">+BE33+BH33+AY33+BB33</f>
        <v>0</v>
      </c>
      <c r="BL33" s="6" t="n">
        <v>0</v>
      </c>
      <c r="BM33" s="6" t="n">
        <v>0</v>
      </c>
      <c r="BN33" s="6" t="n">
        <v>0</v>
      </c>
      <c r="BO33" s="6" t="n">
        <v>0</v>
      </c>
      <c r="BP33" s="6" t="n">
        <v>0</v>
      </c>
      <c r="BQ33" s="6" t="n">
        <v>0</v>
      </c>
      <c r="BR33" s="6" t="n">
        <v>0</v>
      </c>
      <c r="BS33" s="6" t="n">
        <v>0</v>
      </c>
      <c r="BT33" s="6" t="n">
        <v>0</v>
      </c>
      <c r="BU33" s="6" t="n">
        <v>0</v>
      </c>
      <c r="BV33" s="6" t="n">
        <v>0</v>
      </c>
      <c r="BW33" s="6" t="n">
        <v>0</v>
      </c>
      <c r="BX33" s="6" t="n">
        <f aca="false">+BR33+BU33+BL33+BO33</f>
        <v>0</v>
      </c>
      <c r="BY33" s="6" t="n">
        <f aca="false">+BS33+BV33+BM33+BP33</f>
        <v>0</v>
      </c>
      <c r="BZ33" s="6" t="n">
        <f aca="false">+BT33+BW33+BN33+BQ33</f>
        <v>0</v>
      </c>
      <c r="CA33" s="6" t="n">
        <v>0</v>
      </c>
      <c r="CB33" s="6" t="n">
        <v>0</v>
      </c>
      <c r="CC33" s="6" t="n">
        <v>0</v>
      </c>
      <c r="CD33" s="6" t="n">
        <v>0</v>
      </c>
      <c r="CE33" s="6" t="n">
        <v>0</v>
      </c>
      <c r="CF33" s="6" t="n">
        <v>0</v>
      </c>
      <c r="CG33" s="6" t="n">
        <v>0</v>
      </c>
      <c r="CH33" s="6" t="n">
        <v>0</v>
      </c>
      <c r="CI33" s="6" t="n">
        <v>0</v>
      </c>
      <c r="CJ33" s="6" t="n">
        <v>0</v>
      </c>
      <c r="CK33" s="6" t="n">
        <v>0</v>
      </c>
      <c r="CL33" s="6" t="n">
        <v>0</v>
      </c>
      <c r="CM33" s="6" t="n">
        <f aca="false">+CG33+CJ33+CA33+CD33</f>
        <v>0</v>
      </c>
      <c r="CN33" s="6" t="n">
        <f aca="false">+CH33+CK33+CB33+CE33</f>
        <v>0</v>
      </c>
      <c r="CO33" s="6" t="n">
        <f aca="false">+CI33+CL33+CC33+CF33</f>
        <v>0</v>
      </c>
      <c r="CP33" s="6" t="n">
        <v>0</v>
      </c>
      <c r="CQ33" s="6" t="n">
        <v>0</v>
      </c>
      <c r="CR33" s="6" t="n">
        <v>0</v>
      </c>
      <c r="CS33" s="6" t="n">
        <v>0</v>
      </c>
      <c r="CT33" s="6" t="n">
        <v>0</v>
      </c>
      <c r="CU33" s="6" t="n">
        <v>0</v>
      </c>
      <c r="CV33" s="6" t="n">
        <v>0</v>
      </c>
      <c r="CW33" s="6" t="n">
        <v>0</v>
      </c>
      <c r="CX33" s="6" t="n">
        <v>0</v>
      </c>
      <c r="CY33" s="6" t="n">
        <v>0</v>
      </c>
      <c r="CZ33" s="6" t="n">
        <v>0</v>
      </c>
      <c r="DA33" s="6" t="n">
        <v>0</v>
      </c>
      <c r="DB33" s="6" t="n">
        <f aca="false">+CV33+CY33+CP33+CS33</f>
        <v>0</v>
      </c>
      <c r="DC33" s="6" t="n">
        <f aca="false">+CW33+CZ33+CQ33+CT33</f>
        <v>0</v>
      </c>
      <c r="DD33" s="6" t="n">
        <f aca="false">+CX33+DA33+CR33+CU33</f>
        <v>0</v>
      </c>
      <c r="DE33" s="6" t="n">
        <v>0</v>
      </c>
      <c r="DF33" s="6" t="n">
        <v>0</v>
      </c>
      <c r="DG33" s="6" t="n">
        <v>0</v>
      </c>
      <c r="DH33" s="6" t="n">
        <v>0</v>
      </c>
      <c r="DI33" s="6" t="n">
        <v>0</v>
      </c>
      <c r="DJ33" s="6" t="n">
        <v>0</v>
      </c>
      <c r="DK33" s="6" t="n">
        <v>0</v>
      </c>
      <c r="DL33" s="6" t="n">
        <v>0</v>
      </c>
      <c r="DM33" s="6" t="n">
        <v>0</v>
      </c>
      <c r="DN33" s="6" t="n">
        <v>0</v>
      </c>
      <c r="DO33" s="6" t="n">
        <v>0</v>
      </c>
      <c r="DP33" s="6" t="n">
        <v>0</v>
      </c>
      <c r="DQ33" s="6" t="n">
        <f aca="false">+DK33+DN33+DE33+DH33</f>
        <v>0</v>
      </c>
      <c r="DR33" s="6" t="n">
        <f aca="false">+DL33+DO33+DF33+DI33</f>
        <v>0</v>
      </c>
      <c r="DS33" s="6" t="n">
        <f aca="false">+DM33+DP33+DG33+DJ33</f>
        <v>0</v>
      </c>
      <c r="DT33" s="31" t="n">
        <f aca="false">+P33+AE33+AT33+BI33+BX33+CM33+DB33</f>
        <v>630924.61</v>
      </c>
      <c r="DU33" s="31" t="n">
        <f aca="false">+Q33+AF33+AU33+BJ33+BY33+CN33+DC33</f>
        <v>630924.61</v>
      </c>
      <c r="DV33" s="31" t="n">
        <f aca="false">+R33+AG33+AV33+BK33+BZ33+CO33+DD33</f>
        <v>630924.61</v>
      </c>
      <c r="DW33" s="31" t="n">
        <f aca="false">+DU33-DV33</f>
        <v>0</v>
      </c>
    </row>
    <row r="34" customFormat="false" ht="13.8" hidden="false" customHeight="false" outlineLevel="0" collapsed="false">
      <c r="A34" s="27" t="n">
        <v>44316</v>
      </c>
      <c r="B34" s="28" t="s">
        <v>204</v>
      </c>
      <c r="C34" s="28" t="s">
        <v>205</v>
      </c>
      <c r="D34" s="29" t="s">
        <v>206</v>
      </c>
      <c r="E34" s="28" t="s">
        <v>207</v>
      </c>
      <c r="F34" s="27" t="s">
        <v>198</v>
      </c>
      <c r="G34" s="27" t="s">
        <v>7</v>
      </c>
      <c r="H34" s="30" t="n">
        <v>3788001.31</v>
      </c>
      <c r="I34" s="30" t="n">
        <v>3788001.31</v>
      </c>
      <c r="J34" s="6" t="n">
        <v>0</v>
      </c>
      <c r="K34" s="6" t="n">
        <v>0</v>
      </c>
      <c r="L34" s="6" t="n">
        <v>0</v>
      </c>
      <c r="M34" s="6" t="n">
        <v>0</v>
      </c>
      <c r="N34" s="6" t="n">
        <v>0</v>
      </c>
      <c r="O34" s="6" t="n">
        <v>0</v>
      </c>
      <c r="P34" s="6" t="n">
        <f aca="false">+J34+M34</f>
        <v>0</v>
      </c>
      <c r="Q34" s="6" t="n">
        <f aca="false">+K34+N34</f>
        <v>0</v>
      </c>
      <c r="R34" s="6" t="n">
        <f aca="false">+L34+O34</f>
        <v>0</v>
      </c>
      <c r="S34" s="6" t="n">
        <v>0</v>
      </c>
      <c r="T34" s="6" t="n">
        <v>0</v>
      </c>
      <c r="U34" s="6" t="n">
        <v>0</v>
      </c>
      <c r="V34" s="6" t="n">
        <v>0</v>
      </c>
      <c r="W34" s="6" t="n">
        <v>0</v>
      </c>
      <c r="X34" s="6" t="n">
        <v>0</v>
      </c>
      <c r="Y34" s="30" t="n">
        <v>3788001.31</v>
      </c>
      <c r="Z34" s="30" t="n">
        <v>3788001.31</v>
      </c>
      <c r="AA34" s="6" t="n">
        <v>0</v>
      </c>
      <c r="AB34" s="6" t="n">
        <v>0</v>
      </c>
      <c r="AC34" s="6" t="n">
        <v>0</v>
      </c>
      <c r="AD34" s="6" t="n">
        <v>1770000</v>
      </c>
      <c r="AE34" s="6" t="n">
        <f aca="false">+Y34+AB34+S34+V34</f>
        <v>3788001.31</v>
      </c>
      <c r="AF34" s="6" t="n">
        <f aca="false">+Z34+AC34+T34+W34</f>
        <v>3788001.31</v>
      </c>
      <c r="AG34" s="6" t="n">
        <f aca="false">+AA34+AD34+U34+X34</f>
        <v>1770000</v>
      </c>
      <c r="AH34" s="6" t="n">
        <v>0</v>
      </c>
      <c r="AI34" s="6" t="n">
        <v>0</v>
      </c>
      <c r="AJ34" s="6" t="n">
        <v>1500000</v>
      </c>
      <c r="AK34" s="6" t="n">
        <v>0</v>
      </c>
      <c r="AL34" s="6" t="n">
        <v>0</v>
      </c>
      <c r="AM34" s="6" t="n">
        <v>518001.31</v>
      </c>
      <c r="AN34" s="6" t="n">
        <v>0</v>
      </c>
      <c r="AO34" s="6" t="n">
        <v>0</v>
      </c>
      <c r="AP34" s="6" t="n">
        <v>0</v>
      </c>
      <c r="AQ34" s="6" t="n">
        <v>0</v>
      </c>
      <c r="AR34" s="6" t="n">
        <v>0</v>
      </c>
      <c r="AS34" s="6" t="n">
        <v>0</v>
      </c>
      <c r="AT34" s="6" t="n">
        <f aca="false">+AN34+AQ34+AH34+AK34</f>
        <v>0</v>
      </c>
      <c r="AU34" s="6" t="n">
        <f aca="false">+AO34+AR34+AI34+AL34</f>
        <v>0</v>
      </c>
      <c r="AV34" s="6" t="n">
        <f aca="false">+AP34+AS34+AJ34+AM34</f>
        <v>2018001.31</v>
      </c>
      <c r="AW34" s="6" t="n">
        <v>0</v>
      </c>
      <c r="AX34" s="6" t="n">
        <v>0</v>
      </c>
      <c r="AY34" s="6" t="n">
        <v>0</v>
      </c>
      <c r="AZ34" s="6" t="n">
        <v>0</v>
      </c>
      <c r="BA34" s="6" t="n">
        <v>0</v>
      </c>
      <c r="BB34" s="6" t="n">
        <v>0</v>
      </c>
      <c r="BC34" s="6" t="n">
        <v>0</v>
      </c>
      <c r="BD34" s="6" t="n">
        <v>0</v>
      </c>
      <c r="BE34" s="6" t="n">
        <v>0</v>
      </c>
      <c r="BF34" s="6" t="n">
        <v>0</v>
      </c>
      <c r="BG34" s="6" t="n">
        <v>0</v>
      </c>
      <c r="BH34" s="6" t="n">
        <v>0</v>
      </c>
      <c r="BI34" s="6" t="n">
        <f aca="false">+BC34+BF34+AW34+AZ34</f>
        <v>0</v>
      </c>
      <c r="BJ34" s="6" t="n">
        <f aca="false">+BD34+BG34+AX34+BA34</f>
        <v>0</v>
      </c>
      <c r="BK34" s="6" t="n">
        <f aca="false">+BE34+BH34+AY34+BB34</f>
        <v>0</v>
      </c>
      <c r="BL34" s="6" t="n">
        <v>0</v>
      </c>
      <c r="BM34" s="6" t="n">
        <v>0</v>
      </c>
      <c r="BN34" s="6" t="n">
        <v>0</v>
      </c>
      <c r="BO34" s="6" t="n">
        <v>0</v>
      </c>
      <c r="BP34" s="6" t="n">
        <v>0</v>
      </c>
      <c r="BQ34" s="6" t="n">
        <v>0</v>
      </c>
      <c r="BR34" s="6" t="n">
        <v>0</v>
      </c>
      <c r="BS34" s="6" t="n">
        <v>0</v>
      </c>
      <c r="BT34" s="6" t="n">
        <v>0</v>
      </c>
      <c r="BU34" s="6" t="n">
        <v>0</v>
      </c>
      <c r="BV34" s="6" t="n">
        <v>0</v>
      </c>
      <c r="BW34" s="6" t="n">
        <v>0</v>
      </c>
      <c r="BX34" s="6" t="n">
        <f aca="false">+BR34+BU34+BL34+BO34</f>
        <v>0</v>
      </c>
      <c r="BY34" s="6" t="n">
        <f aca="false">+BS34+BV34+BM34+BP34</f>
        <v>0</v>
      </c>
      <c r="BZ34" s="6" t="n">
        <f aca="false">+BT34+BW34+BN34+BQ34</f>
        <v>0</v>
      </c>
      <c r="CA34" s="6" t="n">
        <v>0</v>
      </c>
      <c r="CB34" s="6" t="n">
        <v>0</v>
      </c>
      <c r="CC34" s="6" t="n">
        <v>0</v>
      </c>
      <c r="CD34" s="6" t="n">
        <v>0</v>
      </c>
      <c r="CE34" s="6" t="n">
        <v>0</v>
      </c>
      <c r="CF34" s="6" t="n">
        <v>0</v>
      </c>
      <c r="CG34" s="6" t="n">
        <v>0</v>
      </c>
      <c r="CH34" s="6" t="n">
        <v>0</v>
      </c>
      <c r="CI34" s="6" t="n">
        <v>0</v>
      </c>
      <c r="CJ34" s="6" t="n">
        <v>0</v>
      </c>
      <c r="CK34" s="6" t="n">
        <v>0</v>
      </c>
      <c r="CL34" s="6" t="n">
        <v>0</v>
      </c>
      <c r="CM34" s="6" t="n">
        <f aca="false">+CG34+CJ34+CA34+CD34</f>
        <v>0</v>
      </c>
      <c r="CN34" s="6" t="n">
        <f aca="false">+CH34+CK34+CB34+CE34</f>
        <v>0</v>
      </c>
      <c r="CO34" s="6" t="n">
        <f aca="false">+CI34+CL34+CC34+CF34</f>
        <v>0</v>
      </c>
      <c r="CP34" s="6" t="n">
        <v>0</v>
      </c>
      <c r="CQ34" s="6" t="n">
        <v>0</v>
      </c>
      <c r="CR34" s="6" t="n">
        <v>0</v>
      </c>
      <c r="CS34" s="6" t="n">
        <v>0</v>
      </c>
      <c r="CT34" s="6" t="n">
        <v>0</v>
      </c>
      <c r="CU34" s="6" t="n">
        <v>0</v>
      </c>
      <c r="CV34" s="6" t="n">
        <v>0</v>
      </c>
      <c r="CW34" s="6" t="n">
        <v>0</v>
      </c>
      <c r="CX34" s="6" t="n">
        <v>0</v>
      </c>
      <c r="CY34" s="6" t="n">
        <v>0</v>
      </c>
      <c r="CZ34" s="6" t="n">
        <v>0</v>
      </c>
      <c r="DA34" s="6" t="n">
        <v>0</v>
      </c>
      <c r="DB34" s="6" t="n">
        <f aca="false">+CV34+CY34+CP34+CS34</f>
        <v>0</v>
      </c>
      <c r="DC34" s="6" t="n">
        <f aca="false">+CW34+CZ34+CQ34+CT34</f>
        <v>0</v>
      </c>
      <c r="DD34" s="6" t="n">
        <f aca="false">+CX34+DA34+CR34+CU34</f>
        <v>0</v>
      </c>
      <c r="DE34" s="6" t="n">
        <v>0</v>
      </c>
      <c r="DF34" s="6" t="n">
        <v>0</v>
      </c>
      <c r="DG34" s="6" t="n">
        <v>0</v>
      </c>
      <c r="DH34" s="6" t="n">
        <v>0</v>
      </c>
      <c r="DI34" s="6" t="n">
        <v>0</v>
      </c>
      <c r="DJ34" s="6" t="n">
        <v>0</v>
      </c>
      <c r="DK34" s="6" t="n">
        <v>0</v>
      </c>
      <c r="DL34" s="6" t="n">
        <v>0</v>
      </c>
      <c r="DM34" s="6" t="n">
        <v>0</v>
      </c>
      <c r="DN34" s="6" t="n">
        <v>0</v>
      </c>
      <c r="DO34" s="6" t="n">
        <v>0</v>
      </c>
      <c r="DP34" s="6" t="n">
        <v>0</v>
      </c>
      <c r="DQ34" s="6" t="n">
        <f aca="false">+DK34+DN34+DE34+DH34</f>
        <v>0</v>
      </c>
      <c r="DR34" s="6" t="n">
        <f aca="false">+DL34+DO34+DF34+DI34</f>
        <v>0</v>
      </c>
      <c r="DS34" s="6" t="n">
        <f aca="false">+DM34+DP34+DG34+DJ34</f>
        <v>0</v>
      </c>
      <c r="DT34" s="31" t="n">
        <f aca="false">+P34+AE34+AT34+BI34+BX34+CM34+DB34</f>
        <v>3788001.31</v>
      </c>
      <c r="DU34" s="31" t="n">
        <f aca="false">+Q34+AF34+AU34+BJ34+BY34+CN34+DC34</f>
        <v>3788001.31</v>
      </c>
      <c r="DV34" s="31" t="n">
        <f aca="false">+R34+AG34+AV34+BK34+BZ34+CO34+DD34</f>
        <v>3788001.31</v>
      </c>
      <c r="DW34" s="31" t="n">
        <f aca="false">+DU34-DV34</f>
        <v>0</v>
      </c>
    </row>
    <row r="35" customFormat="false" ht="13.8" hidden="false" customHeight="false" outlineLevel="0" collapsed="false">
      <c r="A35" s="27" t="n">
        <v>44335</v>
      </c>
      <c r="B35" s="28" t="s">
        <v>208</v>
      </c>
      <c r="C35" s="28" t="s">
        <v>209</v>
      </c>
      <c r="D35" s="29" t="s">
        <v>210</v>
      </c>
      <c r="E35" s="28" t="s">
        <v>211</v>
      </c>
      <c r="F35" s="27" t="s">
        <v>212</v>
      </c>
      <c r="G35" s="27" t="s">
        <v>7</v>
      </c>
      <c r="H35" s="30" t="n">
        <v>110000</v>
      </c>
      <c r="I35" s="30" t="n">
        <v>110000</v>
      </c>
      <c r="J35" s="6" t="n">
        <v>0</v>
      </c>
      <c r="K35" s="6" t="n">
        <v>0</v>
      </c>
      <c r="L35" s="6" t="n">
        <v>0</v>
      </c>
      <c r="M35" s="6" t="n">
        <v>0</v>
      </c>
      <c r="N35" s="6" t="n">
        <v>0</v>
      </c>
      <c r="O35" s="6" t="n">
        <v>0</v>
      </c>
      <c r="P35" s="6" t="n">
        <f aca="false">+J35+M35</f>
        <v>0</v>
      </c>
      <c r="Q35" s="6" t="n">
        <f aca="false">+K35+N35</f>
        <v>0</v>
      </c>
      <c r="R35" s="6" t="n">
        <f aca="false">+L35+O35</f>
        <v>0</v>
      </c>
      <c r="S35" s="6" t="n">
        <v>0</v>
      </c>
      <c r="T35" s="6" t="n">
        <v>0</v>
      </c>
      <c r="U35" s="6" t="n">
        <v>0</v>
      </c>
      <c r="V35" s="6" t="n">
        <v>0</v>
      </c>
      <c r="W35" s="6" t="n">
        <v>0</v>
      </c>
      <c r="X35" s="6" t="n">
        <v>0</v>
      </c>
      <c r="Y35" s="30" t="n">
        <v>110000</v>
      </c>
      <c r="Z35" s="30" t="n">
        <v>110000</v>
      </c>
      <c r="AA35" s="6" t="n">
        <v>0</v>
      </c>
      <c r="AB35" s="6" t="n">
        <v>0</v>
      </c>
      <c r="AC35" s="6" t="n">
        <v>0</v>
      </c>
      <c r="AD35" s="6" t="n">
        <v>90000</v>
      </c>
      <c r="AE35" s="6" t="n">
        <f aca="false">+Y35+AB35+S35+V35</f>
        <v>110000</v>
      </c>
      <c r="AF35" s="6" t="n">
        <f aca="false">+Z35+AC35+T35+W35</f>
        <v>110000</v>
      </c>
      <c r="AG35" s="6" t="n">
        <f aca="false">+AA35+AD35+U35+X35</f>
        <v>90000</v>
      </c>
      <c r="AH35" s="6" t="n">
        <v>0</v>
      </c>
      <c r="AI35" s="6" t="n">
        <v>0</v>
      </c>
      <c r="AJ35" s="6" t="n">
        <v>20000</v>
      </c>
      <c r="AK35" s="6" t="n">
        <v>0</v>
      </c>
      <c r="AL35" s="6" t="n">
        <v>0</v>
      </c>
      <c r="AM35" s="6" t="n">
        <v>0</v>
      </c>
      <c r="AN35" s="6" t="n">
        <v>0</v>
      </c>
      <c r="AO35" s="6" t="n">
        <v>0</v>
      </c>
      <c r="AP35" s="6" t="n">
        <v>0</v>
      </c>
      <c r="AQ35" s="6" t="n">
        <v>0</v>
      </c>
      <c r="AR35" s="6" t="n">
        <v>0</v>
      </c>
      <c r="AS35" s="6" t="n">
        <v>0</v>
      </c>
      <c r="AT35" s="6" t="n">
        <f aca="false">+AN35+AQ35+AH35+AK35</f>
        <v>0</v>
      </c>
      <c r="AU35" s="6" t="n">
        <f aca="false">+AO35+AR35+AI35+AL35</f>
        <v>0</v>
      </c>
      <c r="AV35" s="6" t="n">
        <f aca="false">+AP35+AS35+AJ35+AM35</f>
        <v>20000</v>
      </c>
      <c r="AW35" s="6" t="n">
        <v>0</v>
      </c>
      <c r="AX35" s="6" t="n">
        <v>0</v>
      </c>
      <c r="AY35" s="6" t="n">
        <v>0</v>
      </c>
      <c r="AZ35" s="6" t="n">
        <v>0</v>
      </c>
      <c r="BA35" s="6" t="n">
        <v>0</v>
      </c>
      <c r="BB35" s="6" t="n">
        <v>0</v>
      </c>
      <c r="BC35" s="6" t="n">
        <v>0</v>
      </c>
      <c r="BD35" s="6" t="n">
        <v>0</v>
      </c>
      <c r="BE35" s="6" t="n">
        <v>0</v>
      </c>
      <c r="BF35" s="6" t="n">
        <v>0</v>
      </c>
      <c r="BG35" s="6" t="n">
        <v>0</v>
      </c>
      <c r="BH35" s="6" t="n">
        <v>0</v>
      </c>
      <c r="BI35" s="6" t="n">
        <f aca="false">+BC35+BF35+AW35+AZ35</f>
        <v>0</v>
      </c>
      <c r="BJ35" s="6" t="n">
        <f aca="false">+BD35+BG35+AX35+BA35</f>
        <v>0</v>
      </c>
      <c r="BK35" s="6" t="n">
        <f aca="false">+BE35+BH35+AY35+BB35</f>
        <v>0</v>
      </c>
      <c r="BL35" s="6" t="n">
        <v>0</v>
      </c>
      <c r="BM35" s="6" t="n">
        <v>0</v>
      </c>
      <c r="BN35" s="6" t="n">
        <v>0</v>
      </c>
      <c r="BO35" s="6" t="n">
        <v>0</v>
      </c>
      <c r="BP35" s="6" t="n">
        <v>0</v>
      </c>
      <c r="BQ35" s="6" t="n">
        <v>0</v>
      </c>
      <c r="BR35" s="6" t="n">
        <v>0</v>
      </c>
      <c r="BS35" s="6" t="n">
        <v>0</v>
      </c>
      <c r="BT35" s="6" t="n">
        <v>0</v>
      </c>
      <c r="BU35" s="6" t="n">
        <v>0</v>
      </c>
      <c r="BV35" s="6" t="n">
        <v>0</v>
      </c>
      <c r="BW35" s="6" t="n">
        <v>0</v>
      </c>
      <c r="BX35" s="6" t="n">
        <f aca="false">+BR35+BU35+BL35+BO35</f>
        <v>0</v>
      </c>
      <c r="BY35" s="6" t="n">
        <f aca="false">+BS35+BV35+BM35+BP35</f>
        <v>0</v>
      </c>
      <c r="BZ35" s="6" t="n">
        <f aca="false">+BT35+BW35+BN35+BQ35</f>
        <v>0</v>
      </c>
      <c r="CA35" s="6" t="n">
        <v>0</v>
      </c>
      <c r="CB35" s="6" t="n">
        <v>0</v>
      </c>
      <c r="CC35" s="6" t="n">
        <v>0</v>
      </c>
      <c r="CD35" s="6" t="n">
        <v>0</v>
      </c>
      <c r="CE35" s="6" t="n">
        <v>0</v>
      </c>
      <c r="CF35" s="6" t="n">
        <v>0</v>
      </c>
      <c r="CG35" s="6" t="n">
        <v>0</v>
      </c>
      <c r="CH35" s="6" t="n">
        <v>0</v>
      </c>
      <c r="CI35" s="6" t="n">
        <v>0</v>
      </c>
      <c r="CJ35" s="6" t="n">
        <v>0</v>
      </c>
      <c r="CK35" s="6" t="n">
        <v>0</v>
      </c>
      <c r="CL35" s="6" t="n">
        <v>0</v>
      </c>
      <c r="CM35" s="6" t="n">
        <f aca="false">+CG35+CJ35+CA35+CD35</f>
        <v>0</v>
      </c>
      <c r="CN35" s="6" t="n">
        <f aca="false">+CH35+CK35+CB35+CE35</f>
        <v>0</v>
      </c>
      <c r="CO35" s="6" t="n">
        <f aca="false">+CI35+CL35+CC35+CF35</f>
        <v>0</v>
      </c>
      <c r="CP35" s="6" t="n">
        <v>0</v>
      </c>
      <c r="CQ35" s="6" t="n">
        <v>0</v>
      </c>
      <c r="CR35" s="6" t="n">
        <v>0</v>
      </c>
      <c r="CS35" s="6" t="n">
        <v>0</v>
      </c>
      <c r="CT35" s="6" t="n">
        <v>0</v>
      </c>
      <c r="CU35" s="6" t="n">
        <v>0</v>
      </c>
      <c r="CV35" s="6" t="n">
        <v>0</v>
      </c>
      <c r="CW35" s="6" t="n">
        <v>0</v>
      </c>
      <c r="CX35" s="6" t="n">
        <v>0</v>
      </c>
      <c r="CY35" s="6" t="n">
        <v>0</v>
      </c>
      <c r="CZ35" s="6" t="n">
        <v>0</v>
      </c>
      <c r="DA35" s="6" t="n">
        <v>0</v>
      </c>
      <c r="DB35" s="6" t="n">
        <f aca="false">+CV35+CY35+CP35+CS35</f>
        <v>0</v>
      </c>
      <c r="DC35" s="6" t="n">
        <f aca="false">+CW35+CZ35+CQ35+CT35</f>
        <v>0</v>
      </c>
      <c r="DD35" s="6" t="n">
        <f aca="false">+CX35+DA35+CR35+CU35</f>
        <v>0</v>
      </c>
      <c r="DE35" s="6" t="n">
        <v>0</v>
      </c>
      <c r="DF35" s="6" t="n">
        <v>0</v>
      </c>
      <c r="DG35" s="6" t="n">
        <v>0</v>
      </c>
      <c r="DH35" s="6" t="n">
        <v>0</v>
      </c>
      <c r="DI35" s="6" t="n">
        <v>0</v>
      </c>
      <c r="DJ35" s="6" t="n">
        <v>0</v>
      </c>
      <c r="DK35" s="6" t="n">
        <v>0</v>
      </c>
      <c r="DL35" s="6" t="n">
        <v>0</v>
      </c>
      <c r="DM35" s="6" t="n">
        <v>0</v>
      </c>
      <c r="DN35" s="6" t="n">
        <v>0</v>
      </c>
      <c r="DO35" s="6" t="n">
        <v>0</v>
      </c>
      <c r="DP35" s="6" t="n">
        <v>0</v>
      </c>
      <c r="DQ35" s="6" t="n">
        <f aca="false">+DK35+DN35+DE35+DH35</f>
        <v>0</v>
      </c>
      <c r="DR35" s="6" t="n">
        <f aca="false">+DL35+DO35+DF35+DI35</f>
        <v>0</v>
      </c>
      <c r="DS35" s="6" t="n">
        <f aca="false">+DM35+DP35+DG35+DJ35</f>
        <v>0</v>
      </c>
      <c r="DT35" s="31" t="n">
        <f aca="false">+P35+AE35+AT35+BI35+BX35+CM35+DB35</f>
        <v>110000</v>
      </c>
      <c r="DU35" s="31" t="n">
        <f aca="false">+Q35+AF35+AU35+BJ35+BY35+CN35+DC35</f>
        <v>110000</v>
      </c>
      <c r="DV35" s="31" t="n">
        <f aca="false">+R35+AG35+AV35+BK35+BZ35+CO35+DD35</f>
        <v>110000</v>
      </c>
      <c r="DW35" s="31" t="n">
        <f aca="false">+DU35-DV35</f>
        <v>0</v>
      </c>
    </row>
    <row r="36" customFormat="false" ht="13.8" hidden="false" customHeight="false" outlineLevel="0" collapsed="false">
      <c r="A36" s="27" t="n">
        <v>44377</v>
      </c>
      <c r="B36" s="28" t="s">
        <v>213</v>
      </c>
      <c r="C36" s="28" t="s">
        <v>214</v>
      </c>
      <c r="D36" s="29" t="s">
        <v>215</v>
      </c>
      <c r="E36" s="28" t="s">
        <v>216</v>
      </c>
      <c r="F36" s="27" t="s">
        <v>217</v>
      </c>
      <c r="G36" s="27" t="s">
        <v>7</v>
      </c>
      <c r="H36" s="30" t="n">
        <v>750000</v>
      </c>
      <c r="I36" s="30" t="n">
        <v>750000</v>
      </c>
      <c r="J36" s="6" t="n">
        <v>0</v>
      </c>
      <c r="K36" s="6" t="n">
        <v>0</v>
      </c>
      <c r="L36" s="6" t="n">
        <v>0</v>
      </c>
      <c r="M36" s="6" t="n">
        <v>0</v>
      </c>
      <c r="N36" s="6" t="n">
        <v>0</v>
      </c>
      <c r="O36" s="6" t="n">
        <v>0</v>
      </c>
      <c r="P36" s="6" t="n">
        <f aca="false">+J36+M36</f>
        <v>0</v>
      </c>
      <c r="Q36" s="6" t="n">
        <f aca="false">+K36+N36</f>
        <v>0</v>
      </c>
      <c r="R36" s="6" t="n">
        <f aca="false">+L36+O36</f>
        <v>0</v>
      </c>
      <c r="S36" s="6" t="n">
        <v>0</v>
      </c>
      <c r="T36" s="6" t="n">
        <v>0</v>
      </c>
      <c r="U36" s="6" t="n">
        <v>0</v>
      </c>
      <c r="V36" s="6" t="n">
        <v>0</v>
      </c>
      <c r="W36" s="6" t="n">
        <v>0</v>
      </c>
      <c r="X36" s="6" t="n">
        <v>0</v>
      </c>
      <c r="Y36" s="30" t="n">
        <v>750000</v>
      </c>
      <c r="Z36" s="30" t="n">
        <v>750000</v>
      </c>
      <c r="AA36" s="6" t="n">
        <v>0</v>
      </c>
      <c r="AB36" s="6" t="n">
        <v>0</v>
      </c>
      <c r="AC36" s="6" t="n">
        <v>0</v>
      </c>
      <c r="AD36" s="6" t="n">
        <v>0</v>
      </c>
      <c r="AE36" s="6" t="n">
        <f aca="false">+Y36+AB36+S36+V36</f>
        <v>750000</v>
      </c>
      <c r="AF36" s="6" t="n">
        <f aca="false">+Z36+AC36+T36+W36</f>
        <v>750000</v>
      </c>
      <c r="AG36" s="6" t="n">
        <f aca="false">+AA36+AD36+U36+X36</f>
        <v>0</v>
      </c>
      <c r="AH36" s="6" t="n">
        <v>0</v>
      </c>
      <c r="AI36" s="6" t="n">
        <v>0</v>
      </c>
      <c r="AJ36" s="6" t="n">
        <v>600000</v>
      </c>
      <c r="AK36" s="6" t="n">
        <v>0</v>
      </c>
      <c r="AL36" s="6" t="n">
        <v>0</v>
      </c>
      <c r="AM36" s="6" t="n">
        <v>150000</v>
      </c>
      <c r="AN36" s="6" t="n">
        <v>0</v>
      </c>
      <c r="AO36" s="6" t="n">
        <v>0</v>
      </c>
      <c r="AP36" s="6" t="n">
        <v>0</v>
      </c>
      <c r="AQ36" s="6" t="n">
        <v>0</v>
      </c>
      <c r="AR36" s="6" t="n">
        <v>0</v>
      </c>
      <c r="AS36" s="6" t="n">
        <v>0</v>
      </c>
      <c r="AT36" s="6" t="n">
        <f aca="false">+AN36+AQ36+AH36+AK36</f>
        <v>0</v>
      </c>
      <c r="AU36" s="6" t="n">
        <f aca="false">+AO36+AR36+AI36+AL36</f>
        <v>0</v>
      </c>
      <c r="AV36" s="6" t="n">
        <f aca="false">+AP36+AS36+AJ36+AM36</f>
        <v>750000</v>
      </c>
      <c r="AW36" s="6" t="n">
        <v>0</v>
      </c>
      <c r="AX36" s="6" t="n">
        <v>0</v>
      </c>
      <c r="AY36" s="6" t="n">
        <v>0</v>
      </c>
      <c r="AZ36" s="6" t="n">
        <v>0</v>
      </c>
      <c r="BA36" s="6" t="n">
        <v>0</v>
      </c>
      <c r="BB36" s="6" t="n">
        <v>0</v>
      </c>
      <c r="BC36" s="6" t="n">
        <v>0</v>
      </c>
      <c r="BD36" s="6" t="n">
        <v>0</v>
      </c>
      <c r="BE36" s="6" t="n">
        <v>0</v>
      </c>
      <c r="BF36" s="6" t="n">
        <v>0</v>
      </c>
      <c r="BG36" s="6" t="n">
        <v>0</v>
      </c>
      <c r="BH36" s="6" t="n">
        <v>0</v>
      </c>
      <c r="BI36" s="6" t="n">
        <f aca="false">+BC36+BF36+AW36+AZ36</f>
        <v>0</v>
      </c>
      <c r="BJ36" s="6" t="n">
        <f aca="false">+BD36+BG36+AX36+BA36</f>
        <v>0</v>
      </c>
      <c r="BK36" s="6" t="n">
        <f aca="false">+BE36+BH36+AY36+BB36</f>
        <v>0</v>
      </c>
      <c r="BL36" s="6" t="n">
        <v>0</v>
      </c>
      <c r="BM36" s="6" t="n">
        <v>0</v>
      </c>
      <c r="BN36" s="6" t="n">
        <v>0</v>
      </c>
      <c r="BO36" s="6" t="n">
        <v>0</v>
      </c>
      <c r="BP36" s="6" t="n">
        <v>0</v>
      </c>
      <c r="BQ36" s="6" t="n">
        <v>0</v>
      </c>
      <c r="BR36" s="6" t="n">
        <v>0</v>
      </c>
      <c r="BS36" s="6" t="n">
        <v>0</v>
      </c>
      <c r="BT36" s="6" t="n">
        <v>0</v>
      </c>
      <c r="BU36" s="6" t="n">
        <v>0</v>
      </c>
      <c r="BV36" s="6" t="n">
        <v>0</v>
      </c>
      <c r="BW36" s="6" t="n">
        <v>0</v>
      </c>
      <c r="BX36" s="6" t="n">
        <f aca="false">+BR36+BU36+BL36+BO36</f>
        <v>0</v>
      </c>
      <c r="BY36" s="6" t="n">
        <f aca="false">+BS36+BV36+BM36+BP36</f>
        <v>0</v>
      </c>
      <c r="BZ36" s="6" t="n">
        <f aca="false">+BT36+BW36+BN36+BQ36</f>
        <v>0</v>
      </c>
      <c r="CA36" s="6" t="n">
        <v>0</v>
      </c>
      <c r="CB36" s="6" t="n">
        <v>0</v>
      </c>
      <c r="CC36" s="6" t="n">
        <v>0</v>
      </c>
      <c r="CD36" s="6" t="n">
        <v>0</v>
      </c>
      <c r="CE36" s="6" t="n">
        <v>0</v>
      </c>
      <c r="CF36" s="6" t="n">
        <v>0</v>
      </c>
      <c r="CG36" s="6" t="n">
        <v>0</v>
      </c>
      <c r="CH36" s="6" t="n">
        <v>0</v>
      </c>
      <c r="CI36" s="6" t="n">
        <v>0</v>
      </c>
      <c r="CJ36" s="6" t="n">
        <v>0</v>
      </c>
      <c r="CK36" s="6" t="n">
        <v>0</v>
      </c>
      <c r="CL36" s="6" t="n">
        <v>0</v>
      </c>
      <c r="CM36" s="6" t="n">
        <f aca="false">+CG36+CJ36+CA36+CD36</f>
        <v>0</v>
      </c>
      <c r="CN36" s="6" t="n">
        <f aca="false">+CH36+CK36+CB36+CE36</f>
        <v>0</v>
      </c>
      <c r="CO36" s="6" t="n">
        <f aca="false">+CI36+CL36+CC36+CF36</f>
        <v>0</v>
      </c>
      <c r="CP36" s="6" t="n">
        <v>0</v>
      </c>
      <c r="CQ36" s="6" t="n">
        <v>0</v>
      </c>
      <c r="CR36" s="6" t="n">
        <v>0</v>
      </c>
      <c r="CS36" s="6" t="n">
        <v>0</v>
      </c>
      <c r="CT36" s="6" t="n">
        <v>0</v>
      </c>
      <c r="CU36" s="6" t="n">
        <v>0</v>
      </c>
      <c r="CV36" s="6" t="n">
        <v>0</v>
      </c>
      <c r="CW36" s="6" t="n">
        <v>0</v>
      </c>
      <c r="CX36" s="6" t="n">
        <v>0</v>
      </c>
      <c r="CY36" s="6" t="n">
        <v>0</v>
      </c>
      <c r="CZ36" s="6" t="n">
        <v>0</v>
      </c>
      <c r="DA36" s="6" t="n">
        <v>0</v>
      </c>
      <c r="DB36" s="6" t="n">
        <f aca="false">+CV36+CY36+CP36+CS36</f>
        <v>0</v>
      </c>
      <c r="DC36" s="6" t="n">
        <f aca="false">+CW36+CZ36+CQ36+CT36</f>
        <v>0</v>
      </c>
      <c r="DD36" s="6" t="n">
        <f aca="false">+CX36+DA36+CR36+CU36</f>
        <v>0</v>
      </c>
      <c r="DE36" s="6" t="n">
        <v>0</v>
      </c>
      <c r="DF36" s="6" t="n">
        <v>0</v>
      </c>
      <c r="DG36" s="6" t="n">
        <v>0</v>
      </c>
      <c r="DH36" s="6" t="n">
        <v>0</v>
      </c>
      <c r="DI36" s="6" t="n">
        <v>0</v>
      </c>
      <c r="DJ36" s="6" t="n">
        <v>0</v>
      </c>
      <c r="DK36" s="6" t="n">
        <v>0</v>
      </c>
      <c r="DL36" s="6" t="n">
        <v>0</v>
      </c>
      <c r="DM36" s="6" t="n">
        <v>0</v>
      </c>
      <c r="DN36" s="6" t="n">
        <v>0</v>
      </c>
      <c r="DO36" s="6" t="n">
        <v>0</v>
      </c>
      <c r="DP36" s="6" t="n">
        <v>0</v>
      </c>
      <c r="DQ36" s="6" t="n">
        <f aca="false">+DK36+DN36+DE36+DH36</f>
        <v>0</v>
      </c>
      <c r="DR36" s="6" t="n">
        <f aca="false">+DL36+DO36+DF36+DI36</f>
        <v>0</v>
      </c>
      <c r="DS36" s="6" t="n">
        <f aca="false">+DM36+DP36+DG36+DJ36</f>
        <v>0</v>
      </c>
      <c r="DT36" s="31" t="n">
        <f aca="false">+P36+AE36+AT36+BI36+BX36+CM36+DB36</f>
        <v>750000</v>
      </c>
      <c r="DU36" s="31" t="n">
        <f aca="false">+Q36+AF36+AU36+BJ36+BY36+CN36+DC36</f>
        <v>750000</v>
      </c>
      <c r="DV36" s="31" t="n">
        <f aca="false">+R36+AG36+AV36+BK36+BZ36+CO36+DD36</f>
        <v>750000</v>
      </c>
      <c r="DW36" s="31" t="n">
        <f aca="false">+DU36-DV36</f>
        <v>0</v>
      </c>
    </row>
    <row r="37" customFormat="false" ht="13.8" hidden="false" customHeight="false" outlineLevel="0" collapsed="false">
      <c r="A37" s="27" t="n">
        <v>44355</v>
      </c>
      <c r="B37" s="28" t="s">
        <v>218</v>
      </c>
      <c r="C37" s="28" t="s">
        <v>219</v>
      </c>
      <c r="D37" s="29" t="s">
        <v>220</v>
      </c>
      <c r="E37" s="28" t="s">
        <v>221</v>
      </c>
      <c r="F37" s="27" t="s">
        <v>222</v>
      </c>
      <c r="G37" s="27" t="s">
        <v>5</v>
      </c>
      <c r="H37" s="30" t="n">
        <v>100000</v>
      </c>
      <c r="I37" s="30" t="n">
        <v>100000</v>
      </c>
      <c r="J37" s="6" t="n">
        <v>0</v>
      </c>
      <c r="K37" s="6" t="n">
        <v>0</v>
      </c>
      <c r="L37" s="6" t="n">
        <v>0</v>
      </c>
      <c r="M37" s="6" t="n">
        <v>0</v>
      </c>
      <c r="N37" s="6" t="n">
        <v>0</v>
      </c>
      <c r="O37" s="6" t="n">
        <v>0</v>
      </c>
      <c r="P37" s="6" t="n">
        <f aca="false">+J37+M37</f>
        <v>0</v>
      </c>
      <c r="Q37" s="6" t="n">
        <f aca="false">+K37+N37</f>
        <v>0</v>
      </c>
      <c r="R37" s="6" t="n">
        <f aca="false">+L37+O37</f>
        <v>0</v>
      </c>
      <c r="S37" s="30" t="n">
        <v>100000</v>
      </c>
      <c r="T37" s="30" t="n">
        <v>100000</v>
      </c>
      <c r="U37" s="6" t="n">
        <v>0</v>
      </c>
      <c r="V37" s="6" t="n">
        <v>0</v>
      </c>
      <c r="W37" s="6" t="n">
        <v>0</v>
      </c>
      <c r="X37" s="6" t="n">
        <v>0</v>
      </c>
      <c r="Y37" s="6" t="n">
        <v>0</v>
      </c>
      <c r="Z37" s="6" t="n">
        <v>0</v>
      </c>
      <c r="AA37" s="6" t="n">
        <v>0</v>
      </c>
      <c r="AB37" s="6" t="n">
        <v>0</v>
      </c>
      <c r="AC37" s="6" t="n">
        <v>0</v>
      </c>
      <c r="AD37" s="6" t="n">
        <v>50000</v>
      </c>
      <c r="AE37" s="6" t="n">
        <f aca="false">+Y37+AB37+S37+V37</f>
        <v>100000</v>
      </c>
      <c r="AF37" s="6" t="n">
        <f aca="false">+Z37+AC37+T37+W37</f>
        <v>100000</v>
      </c>
      <c r="AG37" s="6" t="n">
        <f aca="false">+AA37+AD37+U37+X37</f>
        <v>50000</v>
      </c>
      <c r="AH37" s="6" t="n">
        <v>0</v>
      </c>
      <c r="AI37" s="6" t="n">
        <v>0</v>
      </c>
      <c r="AJ37" s="6" t="n">
        <v>50000</v>
      </c>
      <c r="AK37" s="6" t="n">
        <v>0</v>
      </c>
      <c r="AL37" s="6" t="n">
        <v>0</v>
      </c>
      <c r="AM37" s="6" t="n">
        <v>0</v>
      </c>
      <c r="AN37" s="6" t="n">
        <v>0</v>
      </c>
      <c r="AO37" s="6" t="n">
        <v>0</v>
      </c>
      <c r="AP37" s="6" t="n">
        <v>0</v>
      </c>
      <c r="AQ37" s="6" t="n">
        <v>0</v>
      </c>
      <c r="AR37" s="6" t="n">
        <v>0</v>
      </c>
      <c r="AS37" s="6" t="n">
        <v>0</v>
      </c>
      <c r="AT37" s="6" t="n">
        <f aca="false">+AN37+AQ37+AH37+AK37</f>
        <v>0</v>
      </c>
      <c r="AU37" s="6" t="n">
        <f aca="false">+AO37+AR37+AI37+AL37</f>
        <v>0</v>
      </c>
      <c r="AV37" s="6" t="n">
        <f aca="false">+AP37+AS37+AJ37+AM37</f>
        <v>50000</v>
      </c>
      <c r="AW37" s="6" t="n">
        <v>0</v>
      </c>
      <c r="AX37" s="6" t="n">
        <v>0</v>
      </c>
      <c r="AY37" s="6" t="n">
        <v>0</v>
      </c>
      <c r="AZ37" s="6" t="n">
        <v>0</v>
      </c>
      <c r="BA37" s="6" t="n">
        <v>0</v>
      </c>
      <c r="BB37" s="6" t="n">
        <v>0</v>
      </c>
      <c r="BC37" s="6" t="n">
        <v>0</v>
      </c>
      <c r="BD37" s="6" t="n">
        <v>0</v>
      </c>
      <c r="BE37" s="6" t="n">
        <v>0</v>
      </c>
      <c r="BF37" s="6" t="n">
        <v>0</v>
      </c>
      <c r="BG37" s="6" t="n">
        <v>0</v>
      </c>
      <c r="BH37" s="6" t="n">
        <v>0</v>
      </c>
      <c r="BI37" s="6" t="n">
        <f aca="false">+BC37+BF37+AW37+AZ37</f>
        <v>0</v>
      </c>
      <c r="BJ37" s="6" t="n">
        <f aca="false">+BD37+BG37+AX37+BA37</f>
        <v>0</v>
      </c>
      <c r="BK37" s="6" t="n">
        <f aca="false">+BE37+BH37+AY37+BB37</f>
        <v>0</v>
      </c>
      <c r="BL37" s="6" t="n">
        <v>0</v>
      </c>
      <c r="BM37" s="6" t="n">
        <v>0</v>
      </c>
      <c r="BN37" s="6" t="n">
        <v>0</v>
      </c>
      <c r="BO37" s="6" t="n">
        <v>0</v>
      </c>
      <c r="BP37" s="6" t="n">
        <v>0</v>
      </c>
      <c r="BQ37" s="6" t="n">
        <v>0</v>
      </c>
      <c r="BR37" s="6" t="n">
        <v>0</v>
      </c>
      <c r="BS37" s="6" t="n">
        <v>0</v>
      </c>
      <c r="BT37" s="6" t="n">
        <v>0</v>
      </c>
      <c r="BU37" s="6" t="n">
        <v>0</v>
      </c>
      <c r="BV37" s="6" t="n">
        <v>0</v>
      </c>
      <c r="BW37" s="6" t="n">
        <v>0</v>
      </c>
      <c r="BX37" s="6" t="n">
        <f aca="false">+BR37+BU37+BL37+BO37</f>
        <v>0</v>
      </c>
      <c r="BY37" s="6" t="n">
        <f aca="false">+BS37+BV37+BM37+BP37</f>
        <v>0</v>
      </c>
      <c r="BZ37" s="6" t="n">
        <f aca="false">+BT37+BW37+BN37+BQ37</f>
        <v>0</v>
      </c>
      <c r="CA37" s="6" t="n">
        <v>0</v>
      </c>
      <c r="CB37" s="6" t="n">
        <v>0</v>
      </c>
      <c r="CC37" s="6" t="n">
        <v>0</v>
      </c>
      <c r="CD37" s="6" t="n">
        <v>0</v>
      </c>
      <c r="CE37" s="6" t="n">
        <v>0</v>
      </c>
      <c r="CF37" s="6" t="n">
        <v>0</v>
      </c>
      <c r="CG37" s="6" t="n">
        <v>0</v>
      </c>
      <c r="CH37" s="6" t="n">
        <v>0</v>
      </c>
      <c r="CI37" s="6" t="n">
        <v>0</v>
      </c>
      <c r="CJ37" s="6" t="n">
        <v>0</v>
      </c>
      <c r="CK37" s="6" t="n">
        <v>0</v>
      </c>
      <c r="CL37" s="6" t="n">
        <v>0</v>
      </c>
      <c r="CM37" s="6" t="n">
        <f aca="false">+CG37+CJ37+CA37+CD37</f>
        <v>0</v>
      </c>
      <c r="CN37" s="6" t="n">
        <f aca="false">+CH37+CK37+CB37+CE37</f>
        <v>0</v>
      </c>
      <c r="CO37" s="6" t="n">
        <f aca="false">+CI37+CL37+CC37+CF37</f>
        <v>0</v>
      </c>
      <c r="CP37" s="6" t="n">
        <v>0</v>
      </c>
      <c r="CQ37" s="6" t="n">
        <v>0</v>
      </c>
      <c r="CR37" s="6" t="n">
        <v>0</v>
      </c>
      <c r="CS37" s="6" t="n">
        <v>0</v>
      </c>
      <c r="CT37" s="6" t="n">
        <v>0</v>
      </c>
      <c r="CU37" s="6" t="n">
        <v>0</v>
      </c>
      <c r="CV37" s="6" t="n">
        <v>0</v>
      </c>
      <c r="CW37" s="6" t="n">
        <v>0</v>
      </c>
      <c r="CX37" s="6" t="n">
        <v>0</v>
      </c>
      <c r="CY37" s="6" t="n">
        <v>0</v>
      </c>
      <c r="CZ37" s="6" t="n">
        <v>0</v>
      </c>
      <c r="DA37" s="6" t="n">
        <v>0</v>
      </c>
      <c r="DB37" s="6" t="n">
        <f aca="false">+CV37+CY37+CP37+CS37</f>
        <v>0</v>
      </c>
      <c r="DC37" s="6" t="n">
        <f aca="false">+CW37+CZ37+CQ37+CT37</f>
        <v>0</v>
      </c>
      <c r="DD37" s="6" t="n">
        <f aca="false">+CX37+DA37+CR37+CU37</f>
        <v>0</v>
      </c>
      <c r="DE37" s="6" t="n">
        <v>0</v>
      </c>
      <c r="DF37" s="6" t="n">
        <v>0</v>
      </c>
      <c r="DG37" s="6" t="n">
        <v>0</v>
      </c>
      <c r="DH37" s="6" t="n">
        <v>0</v>
      </c>
      <c r="DI37" s="6" t="n">
        <v>0</v>
      </c>
      <c r="DJ37" s="6" t="n">
        <v>0</v>
      </c>
      <c r="DK37" s="6" t="n">
        <v>0</v>
      </c>
      <c r="DL37" s="6" t="n">
        <v>0</v>
      </c>
      <c r="DM37" s="6" t="n">
        <v>0</v>
      </c>
      <c r="DN37" s="6" t="n">
        <v>0</v>
      </c>
      <c r="DO37" s="6" t="n">
        <v>0</v>
      </c>
      <c r="DP37" s="6" t="n">
        <v>0</v>
      </c>
      <c r="DQ37" s="6" t="n">
        <f aca="false">+DK37+DN37+DE37+DH37</f>
        <v>0</v>
      </c>
      <c r="DR37" s="6" t="n">
        <f aca="false">+DL37+DO37+DF37+DI37</f>
        <v>0</v>
      </c>
      <c r="DS37" s="6" t="n">
        <f aca="false">+DM37+DP37+DG37+DJ37</f>
        <v>0</v>
      </c>
      <c r="DT37" s="31" t="n">
        <f aca="false">+P37+AE37+AT37+BI37+BX37+CM37+DB37</f>
        <v>100000</v>
      </c>
      <c r="DU37" s="31" t="n">
        <f aca="false">+Q37+AF37+AU37+BJ37+BY37+CN37+DC37</f>
        <v>100000</v>
      </c>
      <c r="DV37" s="31" t="n">
        <f aca="false">+R37+AG37+AV37+BK37+BZ37+CO37+DD37</f>
        <v>100000</v>
      </c>
      <c r="DW37" s="31" t="n">
        <f aca="false">+DU37-DV37</f>
        <v>0</v>
      </c>
    </row>
    <row r="38" customFormat="false" ht="13.8" hidden="false" customHeight="false" outlineLevel="0" collapsed="false">
      <c r="A38" s="27" t="n">
        <v>44390</v>
      </c>
      <c r="B38" s="28" t="s">
        <v>223</v>
      </c>
      <c r="C38" s="28" t="s">
        <v>224</v>
      </c>
      <c r="D38" s="29" t="s">
        <v>225</v>
      </c>
      <c r="E38" s="28" t="s">
        <v>226</v>
      </c>
      <c r="F38" s="27" t="s">
        <v>227</v>
      </c>
      <c r="G38" s="27" t="s">
        <v>8</v>
      </c>
      <c r="H38" s="30" t="n">
        <v>192000</v>
      </c>
      <c r="I38" s="30" t="n">
        <v>192000</v>
      </c>
      <c r="J38" s="6" t="n">
        <v>0</v>
      </c>
      <c r="K38" s="6" t="n">
        <v>0</v>
      </c>
      <c r="L38" s="6" t="n">
        <v>0</v>
      </c>
      <c r="M38" s="6" t="n">
        <v>0</v>
      </c>
      <c r="N38" s="6" t="n">
        <v>0</v>
      </c>
      <c r="O38" s="6" t="n">
        <v>0</v>
      </c>
      <c r="P38" s="6" t="n">
        <f aca="false">+J38+M38</f>
        <v>0</v>
      </c>
      <c r="Q38" s="6" t="n">
        <f aca="false">+K38+N38</f>
        <v>0</v>
      </c>
      <c r="R38" s="6" t="n">
        <f aca="false">+L38+O38</f>
        <v>0</v>
      </c>
      <c r="S38" s="6" t="n">
        <v>0</v>
      </c>
      <c r="T38" s="6" t="n">
        <v>0</v>
      </c>
      <c r="U38" s="6" t="n">
        <v>0</v>
      </c>
      <c r="V38" s="6" t="n">
        <v>0</v>
      </c>
      <c r="W38" s="6" t="n">
        <v>0</v>
      </c>
      <c r="X38" s="6" t="n">
        <v>0</v>
      </c>
      <c r="Y38" s="6" t="n">
        <v>0</v>
      </c>
      <c r="Z38" s="6" t="n">
        <v>0</v>
      </c>
      <c r="AA38" s="6" t="n">
        <v>0</v>
      </c>
      <c r="AB38" s="30" t="n">
        <v>192000</v>
      </c>
      <c r="AC38" s="30" t="n">
        <v>192000</v>
      </c>
      <c r="AD38" s="6" t="n">
        <v>0</v>
      </c>
      <c r="AE38" s="6" t="n">
        <f aca="false">+Y38+AB38+S38+V38</f>
        <v>192000</v>
      </c>
      <c r="AF38" s="6" t="n">
        <f aca="false">+Z38+AC38+T38+W38</f>
        <v>192000</v>
      </c>
      <c r="AG38" s="6" t="n">
        <f aca="false">+AA38+AD38+U38+X38</f>
        <v>0</v>
      </c>
      <c r="AH38" s="6" t="n">
        <v>0</v>
      </c>
      <c r="AI38" s="6" t="n">
        <v>0</v>
      </c>
      <c r="AJ38" s="6" t="n">
        <v>90000</v>
      </c>
      <c r="AK38" s="6" t="n">
        <v>0</v>
      </c>
      <c r="AL38" s="6" t="n">
        <v>0</v>
      </c>
      <c r="AM38" s="6" t="n">
        <v>102000</v>
      </c>
      <c r="AN38" s="6" t="n">
        <v>0</v>
      </c>
      <c r="AO38" s="6" t="n">
        <v>0</v>
      </c>
      <c r="AP38" s="6" t="n">
        <v>0</v>
      </c>
      <c r="AQ38" s="6" t="n">
        <v>0</v>
      </c>
      <c r="AR38" s="6" t="n">
        <v>0</v>
      </c>
      <c r="AS38" s="6" t="n">
        <v>0</v>
      </c>
      <c r="AT38" s="6" t="n">
        <f aca="false">+AN38+AQ38+AH38+AK38</f>
        <v>0</v>
      </c>
      <c r="AU38" s="6" t="n">
        <f aca="false">+AO38+AR38+AI38+AL38</f>
        <v>0</v>
      </c>
      <c r="AV38" s="6" t="n">
        <f aca="false">+AP38+AS38+AJ38+AM38</f>
        <v>192000</v>
      </c>
      <c r="AW38" s="6" t="n">
        <v>0</v>
      </c>
      <c r="AX38" s="6" t="n">
        <v>0</v>
      </c>
      <c r="AY38" s="6" t="n">
        <v>0</v>
      </c>
      <c r="AZ38" s="6" t="n">
        <v>0</v>
      </c>
      <c r="BA38" s="6" t="n">
        <v>0</v>
      </c>
      <c r="BB38" s="6" t="n">
        <v>0</v>
      </c>
      <c r="BC38" s="6" t="n">
        <v>0</v>
      </c>
      <c r="BD38" s="6" t="n">
        <v>0</v>
      </c>
      <c r="BE38" s="6" t="n">
        <v>0</v>
      </c>
      <c r="BF38" s="6" t="n">
        <v>0</v>
      </c>
      <c r="BG38" s="6" t="n">
        <v>0</v>
      </c>
      <c r="BH38" s="6" t="n">
        <v>0</v>
      </c>
      <c r="BI38" s="6" t="n">
        <f aca="false">+BC38+BF38+AW38+AZ38</f>
        <v>0</v>
      </c>
      <c r="BJ38" s="6" t="n">
        <f aca="false">+BD38+BG38+AX38+BA38</f>
        <v>0</v>
      </c>
      <c r="BK38" s="6" t="n">
        <f aca="false">+BE38+BH38+AY38+BB38</f>
        <v>0</v>
      </c>
      <c r="BL38" s="6" t="n">
        <v>0</v>
      </c>
      <c r="BM38" s="6" t="n">
        <v>0</v>
      </c>
      <c r="BN38" s="6" t="n">
        <v>0</v>
      </c>
      <c r="BO38" s="6" t="n">
        <v>0</v>
      </c>
      <c r="BP38" s="6" t="n">
        <v>0</v>
      </c>
      <c r="BQ38" s="6" t="n">
        <v>0</v>
      </c>
      <c r="BR38" s="6" t="n">
        <v>0</v>
      </c>
      <c r="BS38" s="6" t="n">
        <v>0</v>
      </c>
      <c r="BT38" s="6" t="n">
        <v>0</v>
      </c>
      <c r="BU38" s="6" t="n">
        <v>0</v>
      </c>
      <c r="BV38" s="6" t="n">
        <v>0</v>
      </c>
      <c r="BW38" s="6" t="n">
        <v>0</v>
      </c>
      <c r="BX38" s="6" t="n">
        <f aca="false">+BR38+BU38+BL38+BO38</f>
        <v>0</v>
      </c>
      <c r="BY38" s="6" t="n">
        <f aca="false">+BS38+BV38+BM38+BP38</f>
        <v>0</v>
      </c>
      <c r="BZ38" s="6" t="n">
        <f aca="false">+BT38+BW38+BN38+BQ38</f>
        <v>0</v>
      </c>
      <c r="CA38" s="6" t="n">
        <v>0</v>
      </c>
      <c r="CB38" s="6" t="n">
        <v>0</v>
      </c>
      <c r="CC38" s="6" t="n">
        <v>0</v>
      </c>
      <c r="CD38" s="6" t="n">
        <v>0</v>
      </c>
      <c r="CE38" s="6" t="n">
        <v>0</v>
      </c>
      <c r="CF38" s="6" t="n">
        <v>0</v>
      </c>
      <c r="CG38" s="6" t="n">
        <v>0</v>
      </c>
      <c r="CH38" s="6" t="n">
        <v>0</v>
      </c>
      <c r="CI38" s="6" t="n">
        <v>0</v>
      </c>
      <c r="CJ38" s="6" t="n">
        <v>0</v>
      </c>
      <c r="CK38" s="6" t="n">
        <v>0</v>
      </c>
      <c r="CL38" s="6" t="n">
        <v>0</v>
      </c>
      <c r="CM38" s="6" t="n">
        <f aca="false">+CG38+CJ38+CA38+CD38</f>
        <v>0</v>
      </c>
      <c r="CN38" s="6" t="n">
        <f aca="false">+CH38+CK38+CB38+CE38</f>
        <v>0</v>
      </c>
      <c r="CO38" s="6" t="n">
        <f aca="false">+CI38+CL38+CC38+CF38</f>
        <v>0</v>
      </c>
      <c r="CP38" s="6" t="n">
        <v>0</v>
      </c>
      <c r="CQ38" s="6" t="n">
        <v>0</v>
      </c>
      <c r="CR38" s="6" t="n">
        <v>0</v>
      </c>
      <c r="CS38" s="6" t="n">
        <v>0</v>
      </c>
      <c r="CT38" s="6" t="n">
        <v>0</v>
      </c>
      <c r="CU38" s="6" t="n">
        <v>0</v>
      </c>
      <c r="CV38" s="6" t="n">
        <v>0</v>
      </c>
      <c r="CW38" s="6" t="n">
        <v>0</v>
      </c>
      <c r="CX38" s="6" t="n">
        <v>0</v>
      </c>
      <c r="CY38" s="6" t="n">
        <v>0</v>
      </c>
      <c r="CZ38" s="6" t="n">
        <v>0</v>
      </c>
      <c r="DA38" s="6" t="n">
        <v>0</v>
      </c>
      <c r="DB38" s="6" t="n">
        <f aca="false">+CV38+CY38+CP38+CS38</f>
        <v>0</v>
      </c>
      <c r="DC38" s="6" t="n">
        <f aca="false">+CW38+CZ38+CQ38+CT38</f>
        <v>0</v>
      </c>
      <c r="DD38" s="6" t="n">
        <f aca="false">+CX38+DA38+CR38+CU38</f>
        <v>0</v>
      </c>
      <c r="DE38" s="6" t="n">
        <v>0</v>
      </c>
      <c r="DF38" s="6" t="n">
        <v>0</v>
      </c>
      <c r="DG38" s="6" t="n">
        <v>0</v>
      </c>
      <c r="DH38" s="6" t="n">
        <v>0</v>
      </c>
      <c r="DI38" s="6" t="n">
        <v>0</v>
      </c>
      <c r="DJ38" s="6" t="n">
        <v>0</v>
      </c>
      <c r="DK38" s="6" t="n">
        <v>0</v>
      </c>
      <c r="DL38" s="6" t="n">
        <v>0</v>
      </c>
      <c r="DM38" s="6" t="n">
        <v>0</v>
      </c>
      <c r="DN38" s="6" t="n">
        <v>0</v>
      </c>
      <c r="DO38" s="6" t="n">
        <v>0</v>
      </c>
      <c r="DP38" s="6" t="n">
        <v>0</v>
      </c>
      <c r="DQ38" s="6" t="n">
        <f aca="false">+DK38+DN38+DE38+DH38</f>
        <v>0</v>
      </c>
      <c r="DR38" s="6" t="n">
        <f aca="false">+DL38+DO38+DF38+DI38</f>
        <v>0</v>
      </c>
      <c r="DS38" s="6" t="n">
        <f aca="false">+DM38+DP38+DG38+DJ38</f>
        <v>0</v>
      </c>
      <c r="DT38" s="31" t="n">
        <f aca="false">+P38+AE38+AT38+BI38+BX38+CM38+DB38</f>
        <v>192000</v>
      </c>
      <c r="DU38" s="31" t="n">
        <f aca="false">+Q38+AF38+AU38+BJ38+BY38+CN38+DC38</f>
        <v>192000</v>
      </c>
      <c r="DV38" s="31" t="n">
        <f aca="false">+R38+AG38+AV38+BK38+BZ38+CO38+DD38</f>
        <v>192000</v>
      </c>
      <c r="DW38" s="31" t="n">
        <f aca="false">+DU38-DV38</f>
        <v>0</v>
      </c>
    </row>
    <row r="39" customFormat="false" ht="13.8" hidden="false" customHeight="false" outlineLevel="0" collapsed="false">
      <c r="A39" s="27" t="n">
        <v>44427</v>
      </c>
      <c r="B39" s="28" t="s">
        <v>228</v>
      </c>
      <c r="C39" s="28" t="s">
        <v>229</v>
      </c>
      <c r="D39" s="29" t="s">
        <v>230</v>
      </c>
      <c r="E39" s="28" t="s">
        <v>231</v>
      </c>
      <c r="F39" s="27" t="s">
        <v>232</v>
      </c>
      <c r="G39" s="27" t="s">
        <v>8</v>
      </c>
      <c r="H39" s="30" t="n">
        <v>15000</v>
      </c>
      <c r="I39" s="30" t="n">
        <v>15000</v>
      </c>
      <c r="J39" s="6" t="n">
        <v>0</v>
      </c>
      <c r="K39" s="6" t="n">
        <v>0</v>
      </c>
      <c r="L39" s="6" t="n">
        <v>0</v>
      </c>
      <c r="M39" s="6" t="n">
        <v>0</v>
      </c>
      <c r="N39" s="6" t="n">
        <v>0</v>
      </c>
      <c r="O39" s="6" t="n">
        <v>0</v>
      </c>
      <c r="P39" s="6" t="n">
        <f aca="false">+J39+M39</f>
        <v>0</v>
      </c>
      <c r="Q39" s="6" t="n">
        <f aca="false">+K39+N39</f>
        <v>0</v>
      </c>
      <c r="R39" s="6" t="n">
        <f aca="false">+L39+O39</f>
        <v>0</v>
      </c>
      <c r="S39" s="6" t="n">
        <v>0</v>
      </c>
      <c r="T39" s="6" t="n">
        <v>0</v>
      </c>
      <c r="U39" s="6" t="n">
        <v>0</v>
      </c>
      <c r="V39" s="6" t="n">
        <v>0</v>
      </c>
      <c r="W39" s="6" t="n">
        <v>0</v>
      </c>
      <c r="X39" s="6" t="n">
        <v>0</v>
      </c>
      <c r="Y39" s="6" t="n">
        <v>0</v>
      </c>
      <c r="Z39" s="6" t="n">
        <v>0</v>
      </c>
      <c r="AA39" s="6" t="n">
        <v>0</v>
      </c>
      <c r="AB39" s="30" t="n">
        <v>15000</v>
      </c>
      <c r="AC39" s="30" t="n">
        <v>15000</v>
      </c>
      <c r="AD39" s="6" t="n">
        <v>0</v>
      </c>
      <c r="AE39" s="6" t="n">
        <f aca="false">+Y39+AB39+S39+V39</f>
        <v>15000</v>
      </c>
      <c r="AF39" s="6" t="n">
        <f aca="false">+Z39+AC39+T39+W39</f>
        <v>15000</v>
      </c>
      <c r="AG39" s="6" t="n">
        <f aca="false">+AA39+AD39+U39+X39</f>
        <v>0</v>
      </c>
      <c r="AH39" s="6" t="n">
        <v>0</v>
      </c>
      <c r="AI39" s="6" t="n">
        <v>0</v>
      </c>
      <c r="AJ39" s="6" t="n">
        <v>0</v>
      </c>
      <c r="AK39" s="6" t="n">
        <v>0</v>
      </c>
      <c r="AL39" s="6" t="n">
        <v>0</v>
      </c>
      <c r="AM39" s="6" t="n">
        <v>0</v>
      </c>
      <c r="AN39" s="6" t="n">
        <v>0</v>
      </c>
      <c r="AO39" s="6" t="n">
        <v>0</v>
      </c>
      <c r="AP39" s="6" t="n">
        <v>0</v>
      </c>
      <c r="AQ39" s="6" t="n">
        <v>0</v>
      </c>
      <c r="AR39" s="6" t="n">
        <v>0</v>
      </c>
      <c r="AS39" s="6" t="n">
        <v>100000</v>
      </c>
      <c r="AT39" s="6" t="n">
        <f aca="false">+AN39+AQ39+AH39+AK39</f>
        <v>0</v>
      </c>
      <c r="AU39" s="6" t="n">
        <f aca="false">+AO39+AR39+AI39+AL39</f>
        <v>0</v>
      </c>
      <c r="AV39" s="6" t="n">
        <f aca="false">+AP39+AS39+AJ39+AM39</f>
        <v>100000</v>
      </c>
      <c r="AW39" s="6" t="n">
        <v>0</v>
      </c>
      <c r="AX39" s="6" t="n">
        <v>0</v>
      </c>
      <c r="AY39" s="6" t="n">
        <v>-85000</v>
      </c>
      <c r="AZ39" s="6" t="n">
        <v>0</v>
      </c>
      <c r="BA39" s="6" t="n">
        <v>0</v>
      </c>
      <c r="BB39" s="6" t="n">
        <v>0</v>
      </c>
      <c r="BC39" s="6" t="n">
        <v>0</v>
      </c>
      <c r="BD39" s="6" t="n">
        <v>0</v>
      </c>
      <c r="BE39" s="6" t="n">
        <v>0</v>
      </c>
      <c r="BF39" s="6" t="n">
        <v>0</v>
      </c>
      <c r="BG39" s="6" t="n">
        <v>0</v>
      </c>
      <c r="BH39" s="6" t="n">
        <v>0</v>
      </c>
      <c r="BI39" s="6" t="n">
        <f aca="false">+BC39+BF39+AW39+AZ39</f>
        <v>0</v>
      </c>
      <c r="BJ39" s="6" t="n">
        <f aca="false">+BD39+BG39+AX39+BA39</f>
        <v>0</v>
      </c>
      <c r="BK39" s="6" t="n">
        <f aca="false">+BE39+BH39+AY39+BB39</f>
        <v>-85000</v>
      </c>
      <c r="BL39" s="6" t="n">
        <v>0</v>
      </c>
      <c r="BM39" s="6" t="n">
        <v>0</v>
      </c>
      <c r="BN39" s="6" t="n">
        <v>0</v>
      </c>
      <c r="BO39" s="6" t="n">
        <v>0</v>
      </c>
      <c r="BP39" s="6" t="n">
        <v>0</v>
      </c>
      <c r="BQ39" s="6" t="n">
        <v>0</v>
      </c>
      <c r="BR39" s="6" t="n">
        <v>0</v>
      </c>
      <c r="BS39" s="6" t="n">
        <v>0</v>
      </c>
      <c r="BT39" s="6" t="n">
        <v>0</v>
      </c>
      <c r="BU39" s="6" t="n">
        <v>0</v>
      </c>
      <c r="BV39" s="6" t="n">
        <v>0</v>
      </c>
      <c r="BW39" s="6" t="n">
        <v>0</v>
      </c>
      <c r="BX39" s="6" t="n">
        <f aca="false">+BR39+BU39+BL39+BO39</f>
        <v>0</v>
      </c>
      <c r="BY39" s="6" t="n">
        <f aca="false">+BS39+BV39+BM39+BP39</f>
        <v>0</v>
      </c>
      <c r="BZ39" s="6" t="n">
        <f aca="false">+BT39+BW39+BN39+BQ39</f>
        <v>0</v>
      </c>
      <c r="CA39" s="6" t="n">
        <v>0</v>
      </c>
      <c r="CB39" s="6" t="n">
        <v>0</v>
      </c>
      <c r="CC39" s="6" t="n">
        <v>0</v>
      </c>
      <c r="CD39" s="6" t="n">
        <v>0</v>
      </c>
      <c r="CE39" s="6" t="n">
        <v>0</v>
      </c>
      <c r="CF39" s="6" t="n">
        <v>0</v>
      </c>
      <c r="CG39" s="6" t="n">
        <v>0</v>
      </c>
      <c r="CH39" s="6" t="n">
        <v>0</v>
      </c>
      <c r="CI39" s="6" t="n">
        <v>0</v>
      </c>
      <c r="CJ39" s="6" t="n">
        <v>0</v>
      </c>
      <c r="CK39" s="6" t="n">
        <v>0</v>
      </c>
      <c r="CL39" s="6" t="n">
        <v>0</v>
      </c>
      <c r="CM39" s="6" t="n">
        <f aca="false">+CG39+CJ39+CA39+CD39</f>
        <v>0</v>
      </c>
      <c r="CN39" s="6" t="n">
        <f aca="false">+CH39+CK39+CB39+CE39</f>
        <v>0</v>
      </c>
      <c r="CO39" s="6" t="n">
        <f aca="false">+CI39+CL39+CC39+CF39</f>
        <v>0</v>
      </c>
      <c r="CP39" s="6" t="n">
        <v>0</v>
      </c>
      <c r="CQ39" s="6" t="n">
        <v>0</v>
      </c>
      <c r="CR39" s="6" t="n">
        <v>0</v>
      </c>
      <c r="CS39" s="6" t="n">
        <v>0</v>
      </c>
      <c r="CT39" s="6" t="n">
        <v>0</v>
      </c>
      <c r="CU39" s="6" t="n">
        <v>0</v>
      </c>
      <c r="CV39" s="6" t="n">
        <v>0</v>
      </c>
      <c r="CW39" s="6" t="n">
        <v>0</v>
      </c>
      <c r="CX39" s="6" t="n">
        <v>0</v>
      </c>
      <c r="CY39" s="6" t="n">
        <v>0</v>
      </c>
      <c r="CZ39" s="6" t="n">
        <v>0</v>
      </c>
      <c r="DA39" s="6" t="n">
        <v>0</v>
      </c>
      <c r="DB39" s="6" t="n">
        <f aca="false">+CV39+CY39+CP39+CS39</f>
        <v>0</v>
      </c>
      <c r="DC39" s="6" t="n">
        <f aca="false">+CW39+CZ39+CQ39+CT39</f>
        <v>0</v>
      </c>
      <c r="DD39" s="6" t="n">
        <f aca="false">+CX39+DA39+CR39+CU39</f>
        <v>0</v>
      </c>
      <c r="DE39" s="6" t="n">
        <v>0</v>
      </c>
      <c r="DF39" s="6" t="n">
        <v>0</v>
      </c>
      <c r="DG39" s="6" t="n">
        <v>0</v>
      </c>
      <c r="DH39" s="6" t="n">
        <v>0</v>
      </c>
      <c r="DI39" s="6" t="n">
        <v>0</v>
      </c>
      <c r="DJ39" s="6" t="n">
        <v>0</v>
      </c>
      <c r="DK39" s="6" t="n">
        <v>0</v>
      </c>
      <c r="DL39" s="6" t="n">
        <v>0</v>
      </c>
      <c r="DM39" s="6" t="n">
        <v>0</v>
      </c>
      <c r="DN39" s="6" t="n">
        <v>0</v>
      </c>
      <c r="DO39" s="6" t="n">
        <v>0</v>
      </c>
      <c r="DP39" s="6" t="n">
        <v>0</v>
      </c>
      <c r="DQ39" s="6" t="n">
        <f aca="false">+DK39+DN39+DE39+DH39</f>
        <v>0</v>
      </c>
      <c r="DR39" s="6" t="n">
        <f aca="false">+DL39+DO39+DF39+DI39</f>
        <v>0</v>
      </c>
      <c r="DS39" s="6" t="n">
        <f aca="false">+DM39+DP39+DG39+DJ39</f>
        <v>0</v>
      </c>
      <c r="DT39" s="31" t="n">
        <f aca="false">+P39+AE39+AT39+BI39+BX39+CM39+DB39</f>
        <v>15000</v>
      </c>
      <c r="DU39" s="31" t="n">
        <f aca="false">+Q39+AF39+AU39+BJ39+BY39+CN39+DC39</f>
        <v>15000</v>
      </c>
      <c r="DV39" s="31" t="n">
        <f aca="false">+R39+AG39+AV39+BK39+BZ39+CO39+DD39</f>
        <v>15000</v>
      </c>
      <c r="DW39" s="31" t="n">
        <f aca="false">+DU39-DV39</f>
        <v>0</v>
      </c>
    </row>
    <row r="40" customFormat="false" ht="13.8" hidden="false" customHeight="false" outlineLevel="0" collapsed="false">
      <c r="A40" s="27" t="n">
        <v>44427</v>
      </c>
      <c r="B40" s="28" t="s">
        <v>228</v>
      </c>
      <c r="C40" s="28" t="s">
        <v>229</v>
      </c>
      <c r="D40" s="29" t="s">
        <v>230</v>
      </c>
      <c r="E40" s="28" t="s">
        <v>231</v>
      </c>
      <c r="F40" s="27" t="s">
        <v>232</v>
      </c>
      <c r="G40" s="27" t="s">
        <v>8</v>
      </c>
      <c r="H40" s="30" t="n">
        <v>3500000</v>
      </c>
      <c r="I40" s="30" t="n">
        <v>3500000</v>
      </c>
      <c r="J40" s="6" t="n">
        <v>0</v>
      </c>
      <c r="K40" s="6" t="n">
        <v>0</v>
      </c>
      <c r="L40" s="6" t="n">
        <v>0</v>
      </c>
      <c r="M40" s="6" t="n">
        <v>0</v>
      </c>
      <c r="N40" s="6" t="n">
        <v>0</v>
      </c>
      <c r="O40" s="6" t="n">
        <v>0</v>
      </c>
      <c r="P40" s="6" t="n">
        <f aca="false">+J40+M40</f>
        <v>0</v>
      </c>
      <c r="Q40" s="6" t="n">
        <f aca="false">+K40+N40</f>
        <v>0</v>
      </c>
      <c r="R40" s="6" t="n">
        <f aca="false">+L40+O40</f>
        <v>0</v>
      </c>
      <c r="S40" s="6" t="n">
        <v>0</v>
      </c>
      <c r="T40" s="6" t="n">
        <v>0</v>
      </c>
      <c r="U40" s="6" t="n">
        <v>0</v>
      </c>
      <c r="V40" s="6" t="n">
        <v>0</v>
      </c>
      <c r="W40" s="6" t="n">
        <v>0</v>
      </c>
      <c r="X40" s="6" t="n">
        <v>0</v>
      </c>
      <c r="Y40" s="6" t="n">
        <v>0</v>
      </c>
      <c r="Z40" s="6" t="n">
        <v>0</v>
      </c>
      <c r="AA40" s="6" t="n">
        <v>0</v>
      </c>
      <c r="AB40" s="30" t="n">
        <v>3500000</v>
      </c>
      <c r="AC40" s="30" t="n">
        <v>3500000</v>
      </c>
      <c r="AD40" s="6" t="n">
        <v>0</v>
      </c>
      <c r="AE40" s="6" t="n">
        <f aca="false">+Y40+AB40+S40+V40</f>
        <v>3500000</v>
      </c>
      <c r="AF40" s="6" t="n">
        <f aca="false">+Z40+AC40+T40+W40</f>
        <v>3500000</v>
      </c>
      <c r="AG40" s="6" t="n">
        <f aca="false">+AA40+AD40+U40+X40</f>
        <v>0</v>
      </c>
      <c r="AH40" s="6" t="n">
        <v>0</v>
      </c>
      <c r="AI40" s="6" t="n">
        <v>0</v>
      </c>
      <c r="AJ40" s="6" t="n">
        <v>2500000</v>
      </c>
      <c r="AK40" s="6" t="n">
        <v>0</v>
      </c>
      <c r="AL40" s="6" t="n">
        <v>0</v>
      </c>
      <c r="AM40" s="6" t="n">
        <v>200000</v>
      </c>
      <c r="AN40" s="6" t="n">
        <v>0</v>
      </c>
      <c r="AO40" s="6" t="n">
        <v>0</v>
      </c>
      <c r="AP40" s="6" t="n">
        <v>0</v>
      </c>
      <c r="AQ40" s="6" t="n">
        <v>0</v>
      </c>
      <c r="AR40" s="6" t="n">
        <v>0</v>
      </c>
      <c r="AS40" s="6" t="n">
        <v>100000</v>
      </c>
      <c r="AT40" s="6" t="n">
        <f aca="false">+AN40+AQ40+AH40+AK40</f>
        <v>0</v>
      </c>
      <c r="AU40" s="6" t="n">
        <f aca="false">+AO40+AR40+AI40+AL40</f>
        <v>0</v>
      </c>
      <c r="AV40" s="6" t="n">
        <f aca="false">+AP40+AS40+AJ40+AM40</f>
        <v>2800000</v>
      </c>
      <c r="AW40" s="6" t="n">
        <v>0</v>
      </c>
      <c r="AX40" s="6" t="n">
        <v>0</v>
      </c>
      <c r="AY40" s="6" t="n">
        <v>238750</v>
      </c>
      <c r="AZ40" s="6" t="n">
        <v>0</v>
      </c>
      <c r="BA40" s="6" t="n">
        <v>0</v>
      </c>
      <c r="BB40" s="6" t="n">
        <v>200000</v>
      </c>
      <c r="BC40" s="6" t="n">
        <v>0</v>
      </c>
      <c r="BD40" s="6" t="n">
        <v>0</v>
      </c>
      <c r="BE40" s="6" t="n">
        <v>261250</v>
      </c>
      <c r="BF40" s="6" t="n">
        <v>0</v>
      </c>
      <c r="BG40" s="6" t="n">
        <v>0</v>
      </c>
      <c r="BH40" s="6" t="n">
        <v>0</v>
      </c>
      <c r="BI40" s="6" t="n">
        <f aca="false">+BC40+BF40+AW40+AZ40</f>
        <v>0</v>
      </c>
      <c r="BJ40" s="6" t="n">
        <f aca="false">+BD40+BG40+AX40+BA40</f>
        <v>0</v>
      </c>
      <c r="BK40" s="6" t="n">
        <f aca="false">+BE40+BH40+AY40+BB40</f>
        <v>700000</v>
      </c>
      <c r="BL40" s="6" t="n">
        <v>0</v>
      </c>
      <c r="BM40" s="6" t="n">
        <v>0</v>
      </c>
      <c r="BN40" s="6" t="n">
        <v>-85000</v>
      </c>
      <c r="BO40" s="6" t="n">
        <v>0</v>
      </c>
      <c r="BP40" s="6" t="n">
        <v>0</v>
      </c>
      <c r="BQ40" s="6" t="n">
        <v>85000</v>
      </c>
      <c r="BR40" s="6" t="n">
        <v>0</v>
      </c>
      <c r="BS40" s="6" t="n">
        <v>0</v>
      </c>
      <c r="BT40" s="6" t="n">
        <v>0</v>
      </c>
      <c r="BU40" s="6" t="n">
        <v>0</v>
      </c>
      <c r="BV40" s="6" t="n">
        <v>0</v>
      </c>
      <c r="BW40" s="6" t="n">
        <v>0</v>
      </c>
      <c r="BX40" s="6" t="n">
        <f aca="false">+BR40+BU40+BL40+BO40</f>
        <v>0</v>
      </c>
      <c r="BY40" s="6" t="n">
        <f aca="false">+BS40+BV40+BM40+BP40</f>
        <v>0</v>
      </c>
      <c r="BZ40" s="6" t="n">
        <f aca="false">+BT40+BW40+BN40+BQ40</f>
        <v>0</v>
      </c>
      <c r="CA40" s="6" t="n">
        <v>0</v>
      </c>
      <c r="CB40" s="6" t="n">
        <v>0</v>
      </c>
      <c r="CC40" s="6" t="n">
        <v>0</v>
      </c>
      <c r="CD40" s="6" t="n">
        <v>0</v>
      </c>
      <c r="CE40" s="6" t="n">
        <v>0</v>
      </c>
      <c r="CF40" s="6" t="n">
        <v>0</v>
      </c>
      <c r="CG40" s="6" t="n">
        <v>0</v>
      </c>
      <c r="CH40" s="6" t="n">
        <v>0</v>
      </c>
      <c r="CI40" s="6" t="n">
        <v>0</v>
      </c>
      <c r="CJ40" s="6" t="n">
        <v>0</v>
      </c>
      <c r="CK40" s="6" t="n">
        <v>0</v>
      </c>
      <c r="CL40" s="6" t="n">
        <v>0</v>
      </c>
      <c r="CM40" s="6" t="n">
        <f aca="false">+CG40+CJ40+CA40+CD40</f>
        <v>0</v>
      </c>
      <c r="CN40" s="6" t="n">
        <f aca="false">+CH40+CK40+CB40+CE40</f>
        <v>0</v>
      </c>
      <c r="CO40" s="6" t="n">
        <f aca="false">+CI40+CL40+CC40+CF40</f>
        <v>0</v>
      </c>
      <c r="CP40" s="6" t="n">
        <v>0</v>
      </c>
      <c r="CQ40" s="6" t="n">
        <v>0</v>
      </c>
      <c r="CR40" s="6" t="n">
        <v>0</v>
      </c>
      <c r="CS40" s="6" t="n">
        <v>0</v>
      </c>
      <c r="CT40" s="6" t="n">
        <v>0</v>
      </c>
      <c r="CU40" s="6" t="n">
        <v>0</v>
      </c>
      <c r="CV40" s="6" t="n">
        <v>0</v>
      </c>
      <c r="CW40" s="6" t="n">
        <v>0</v>
      </c>
      <c r="CX40" s="6" t="n">
        <v>0</v>
      </c>
      <c r="CY40" s="6" t="n">
        <v>0</v>
      </c>
      <c r="CZ40" s="6" t="n">
        <v>0</v>
      </c>
      <c r="DA40" s="6" t="n">
        <v>0</v>
      </c>
      <c r="DB40" s="6" t="n">
        <f aca="false">+CV40+CY40+CP40+CS40</f>
        <v>0</v>
      </c>
      <c r="DC40" s="6" t="n">
        <f aca="false">+CW40+CZ40+CQ40+CT40</f>
        <v>0</v>
      </c>
      <c r="DD40" s="6" t="n">
        <f aca="false">+CX40+DA40+CR40+CU40</f>
        <v>0</v>
      </c>
      <c r="DE40" s="6" t="n">
        <v>0</v>
      </c>
      <c r="DF40" s="6" t="n">
        <v>0</v>
      </c>
      <c r="DG40" s="6" t="n">
        <v>0</v>
      </c>
      <c r="DH40" s="6" t="n">
        <v>0</v>
      </c>
      <c r="DI40" s="6" t="n">
        <v>0</v>
      </c>
      <c r="DJ40" s="6" t="n">
        <v>0</v>
      </c>
      <c r="DK40" s="6" t="n">
        <v>0</v>
      </c>
      <c r="DL40" s="6" t="n">
        <v>0</v>
      </c>
      <c r="DM40" s="6" t="n">
        <v>0</v>
      </c>
      <c r="DN40" s="6" t="n">
        <v>0</v>
      </c>
      <c r="DO40" s="6" t="n">
        <v>0</v>
      </c>
      <c r="DP40" s="6" t="n">
        <v>0</v>
      </c>
      <c r="DQ40" s="6" t="n">
        <f aca="false">+DK40+DN40+DE40+DH40</f>
        <v>0</v>
      </c>
      <c r="DR40" s="6" t="n">
        <f aca="false">+DL40+DO40+DF40+DI40</f>
        <v>0</v>
      </c>
      <c r="DS40" s="6" t="n">
        <f aca="false">+DM40+DP40+DG40+DJ40</f>
        <v>0</v>
      </c>
      <c r="DT40" s="31" t="n">
        <f aca="false">+P40+AE40+AT40+BI40+BX40+CM40+DB40</f>
        <v>3500000</v>
      </c>
      <c r="DU40" s="31" t="n">
        <f aca="false">+Q40+AF40+AU40+BJ40+BY40+CN40+DC40</f>
        <v>3500000</v>
      </c>
      <c r="DV40" s="31" t="n">
        <f aca="false">+R40+AG40+AV40+BK40+BZ40+CO40+DD40</f>
        <v>3500000</v>
      </c>
      <c r="DW40" s="31" t="n">
        <f aca="false">+DU40-DV40</f>
        <v>0</v>
      </c>
    </row>
    <row r="41" customFormat="false" ht="13.8" hidden="false" customHeight="false" outlineLevel="0" collapsed="false">
      <c r="A41" s="27" t="n">
        <v>44396</v>
      </c>
      <c r="B41" s="28" t="s">
        <v>233</v>
      </c>
      <c r="C41" s="28" t="s">
        <v>234</v>
      </c>
      <c r="D41" s="29" t="s">
        <v>235</v>
      </c>
      <c r="E41" s="28" t="s">
        <v>236</v>
      </c>
      <c r="F41" s="27" t="s">
        <v>237</v>
      </c>
      <c r="G41" s="27" t="s">
        <v>8</v>
      </c>
      <c r="H41" s="30" t="n">
        <v>653000</v>
      </c>
      <c r="I41" s="30" t="n">
        <v>653000</v>
      </c>
      <c r="J41" s="6" t="n">
        <v>0</v>
      </c>
      <c r="K41" s="6" t="n">
        <v>0</v>
      </c>
      <c r="L41" s="6" t="n">
        <v>0</v>
      </c>
      <c r="M41" s="6" t="n">
        <v>0</v>
      </c>
      <c r="N41" s="6" t="n">
        <v>0</v>
      </c>
      <c r="O41" s="6" t="n">
        <v>0</v>
      </c>
      <c r="P41" s="6" t="n">
        <f aca="false">+J41+M41</f>
        <v>0</v>
      </c>
      <c r="Q41" s="6" t="n">
        <f aca="false">+K41+N41</f>
        <v>0</v>
      </c>
      <c r="R41" s="6" t="n">
        <f aca="false">+L41+O41</f>
        <v>0</v>
      </c>
      <c r="S41" s="6" t="n">
        <v>0</v>
      </c>
      <c r="T41" s="6" t="n">
        <v>0</v>
      </c>
      <c r="U41" s="6" t="n">
        <v>0</v>
      </c>
      <c r="V41" s="6" t="n">
        <v>0</v>
      </c>
      <c r="W41" s="6" t="n">
        <v>0</v>
      </c>
      <c r="X41" s="6" t="n">
        <v>0</v>
      </c>
      <c r="Y41" s="6" t="n">
        <v>0</v>
      </c>
      <c r="Z41" s="6" t="n">
        <v>0</v>
      </c>
      <c r="AA41" s="6" t="n">
        <v>0</v>
      </c>
      <c r="AB41" s="30" t="n">
        <v>653000</v>
      </c>
      <c r="AC41" s="30" t="n">
        <v>653000</v>
      </c>
      <c r="AD41" s="6" t="n">
        <v>0</v>
      </c>
      <c r="AE41" s="6" t="n">
        <f aca="false">+Y41+AB41+S41+V41</f>
        <v>653000</v>
      </c>
      <c r="AF41" s="6" t="n">
        <f aca="false">+Z41+AC41+T41+W41</f>
        <v>653000</v>
      </c>
      <c r="AG41" s="6" t="n">
        <f aca="false">+AA41+AD41+U41+X41</f>
        <v>0</v>
      </c>
      <c r="AH41" s="6" t="n">
        <v>0</v>
      </c>
      <c r="AI41" s="6" t="n">
        <v>0</v>
      </c>
      <c r="AJ41" s="6" t="n">
        <v>325000</v>
      </c>
      <c r="AK41" s="6" t="n">
        <v>0</v>
      </c>
      <c r="AL41" s="6" t="n">
        <v>0</v>
      </c>
      <c r="AM41" s="6" t="n">
        <v>164000</v>
      </c>
      <c r="AN41" s="6" t="n">
        <v>0</v>
      </c>
      <c r="AO41" s="6" t="n">
        <v>0</v>
      </c>
      <c r="AP41" s="6" t="n">
        <v>164000</v>
      </c>
      <c r="AQ41" s="6" t="n">
        <v>0</v>
      </c>
      <c r="AR41" s="6" t="n">
        <v>0</v>
      </c>
      <c r="AS41" s="6" t="n">
        <v>0</v>
      </c>
      <c r="AT41" s="6" t="n">
        <f aca="false">+AN41+AQ41+AH41+AK41</f>
        <v>0</v>
      </c>
      <c r="AU41" s="6" t="n">
        <f aca="false">+AO41+AR41+AI41+AL41</f>
        <v>0</v>
      </c>
      <c r="AV41" s="6" t="n">
        <f aca="false">+AP41+AS41+AJ41+AM41</f>
        <v>653000</v>
      </c>
      <c r="AW41" s="6" t="n">
        <v>0</v>
      </c>
      <c r="AX41" s="6" t="n">
        <v>0</v>
      </c>
      <c r="AY41" s="6" t="n">
        <v>0</v>
      </c>
      <c r="AZ41" s="6" t="n">
        <v>0</v>
      </c>
      <c r="BA41" s="6" t="n">
        <v>0</v>
      </c>
      <c r="BB41" s="6" t="n">
        <v>0</v>
      </c>
      <c r="BC41" s="6" t="n">
        <v>0</v>
      </c>
      <c r="BD41" s="6" t="n">
        <v>0</v>
      </c>
      <c r="BE41" s="6" t="n">
        <v>0</v>
      </c>
      <c r="BF41" s="6" t="n">
        <v>0</v>
      </c>
      <c r="BG41" s="6" t="n">
        <v>0</v>
      </c>
      <c r="BH41" s="6" t="n">
        <v>0</v>
      </c>
      <c r="BI41" s="6" t="n">
        <f aca="false">+BC41+BF41+AW41+AZ41</f>
        <v>0</v>
      </c>
      <c r="BJ41" s="6" t="n">
        <f aca="false">+BD41+BG41+AX41+BA41</f>
        <v>0</v>
      </c>
      <c r="BK41" s="6" t="n">
        <f aca="false">+BE41+BH41+AY41+BB41</f>
        <v>0</v>
      </c>
      <c r="BL41" s="6" t="n">
        <v>0</v>
      </c>
      <c r="BM41" s="6" t="n">
        <v>0</v>
      </c>
      <c r="BN41" s="6" t="n">
        <v>0</v>
      </c>
      <c r="BO41" s="6" t="n">
        <v>0</v>
      </c>
      <c r="BP41" s="6" t="n">
        <v>0</v>
      </c>
      <c r="BQ41" s="6" t="n">
        <v>0</v>
      </c>
      <c r="BR41" s="6" t="n">
        <v>0</v>
      </c>
      <c r="BS41" s="6" t="n">
        <v>0</v>
      </c>
      <c r="BT41" s="6" t="n">
        <v>0</v>
      </c>
      <c r="BU41" s="6" t="n">
        <v>0</v>
      </c>
      <c r="BV41" s="6" t="n">
        <v>0</v>
      </c>
      <c r="BW41" s="6" t="n">
        <v>0</v>
      </c>
      <c r="BX41" s="6" t="n">
        <f aca="false">+BR41+BU41+BL41+BO41</f>
        <v>0</v>
      </c>
      <c r="BY41" s="6" t="n">
        <f aca="false">+BS41+BV41+BM41+BP41</f>
        <v>0</v>
      </c>
      <c r="BZ41" s="6" t="n">
        <f aca="false">+BT41+BW41+BN41+BQ41</f>
        <v>0</v>
      </c>
      <c r="CA41" s="6" t="n">
        <v>0</v>
      </c>
      <c r="CB41" s="6" t="n">
        <v>0</v>
      </c>
      <c r="CC41" s="6" t="n">
        <v>0</v>
      </c>
      <c r="CD41" s="6" t="n">
        <v>0</v>
      </c>
      <c r="CE41" s="6" t="n">
        <v>0</v>
      </c>
      <c r="CF41" s="6" t="n">
        <v>0</v>
      </c>
      <c r="CG41" s="6" t="n">
        <v>0</v>
      </c>
      <c r="CH41" s="6" t="n">
        <v>0</v>
      </c>
      <c r="CI41" s="6" t="n">
        <v>0</v>
      </c>
      <c r="CJ41" s="6" t="n">
        <v>0</v>
      </c>
      <c r="CK41" s="6" t="n">
        <v>0</v>
      </c>
      <c r="CL41" s="6" t="n">
        <v>0</v>
      </c>
      <c r="CM41" s="6" t="n">
        <f aca="false">+CG41+CJ41+CA41+CD41</f>
        <v>0</v>
      </c>
      <c r="CN41" s="6" t="n">
        <f aca="false">+CH41+CK41+CB41+CE41</f>
        <v>0</v>
      </c>
      <c r="CO41" s="6" t="n">
        <f aca="false">+CI41+CL41+CC41+CF41</f>
        <v>0</v>
      </c>
      <c r="CP41" s="6" t="n">
        <v>0</v>
      </c>
      <c r="CQ41" s="6" t="n">
        <v>0</v>
      </c>
      <c r="CR41" s="6" t="n">
        <v>0</v>
      </c>
      <c r="CS41" s="6" t="n">
        <v>0</v>
      </c>
      <c r="CT41" s="6" t="n">
        <v>0</v>
      </c>
      <c r="CU41" s="6" t="n">
        <v>0</v>
      </c>
      <c r="CV41" s="6" t="n">
        <v>0</v>
      </c>
      <c r="CW41" s="6" t="n">
        <v>0</v>
      </c>
      <c r="CX41" s="6" t="n">
        <v>0</v>
      </c>
      <c r="CY41" s="6" t="n">
        <v>0</v>
      </c>
      <c r="CZ41" s="6" t="n">
        <v>0</v>
      </c>
      <c r="DA41" s="6" t="n">
        <v>0</v>
      </c>
      <c r="DB41" s="6" t="n">
        <f aca="false">+CV41+CY41+CP41+CS41</f>
        <v>0</v>
      </c>
      <c r="DC41" s="6" t="n">
        <f aca="false">+CW41+CZ41+CQ41+CT41</f>
        <v>0</v>
      </c>
      <c r="DD41" s="6" t="n">
        <f aca="false">+CX41+DA41+CR41+CU41</f>
        <v>0</v>
      </c>
      <c r="DE41" s="6" t="n">
        <v>0</v>
      </c>
      <c r="DF41" s="6" t="n">
        <v>0</v>
      </c>
      <c r="DG41" s="6" t="n">
        <v>0</v>
      </c>
      <c r="DH41" s="6" t="n">
        <v>0</v>
      </c>
      <c r="DI41" s="6" t="n">
        <v>0</v>
      </c>
      <c r="DJ41" s="6" t="n">
        <v>0</v>
      </c>
      <c r="DK41" s="6" t="n">
        <v>0</v>
      </c>
      <c r="DL41" s="6" t="n">
        <v>0</v>
      </c>
      <c r="DM41" s="6" t="n">
        <v>0</v>
      </c>
      <c r="DN41" s="6" t="n">
        <v>0</v>
      </c>
      <c r="DO41" s="6" t="n">
        <v>0</v>
      </c>
      <c r="DP41" s="6" t="n">
        <v>0</v>
      </c>
      <c r="DQ41" s="6" t="n">
        <f aca="false">+DK41+DN41+DE41+DH41</f>
        <v>0</v>
      </c>
      <c r="DR41" s="6" t="n">
        <f aca="false">+DL41+DO41+DF41+DI41</f>
        <v>0</v>
      </c>
      <c r="DS41" s="6" t="n">
        <f aca="false">+DM41+DP41+DG41+DJ41</f>
        <v>0</v>
      </c>
      <c r="DT41" s="31" t="n">
        <f aca="false">+P41+AE41+AT41+BI41+BX41+CM41+DB41</f>
        <v>653000</v>
      </c>
      <c r="DU41" s="31" t="n">
        <f aca="false">+Q41+AF41+AU41+BJ41+BY41+CN41+DC41</f>
        <v>653000</v>
      </c>
      <c r="DV41" s="31" t="n">
        <f aca="false">+R41+AG41+AV41+BK41+BZ41+CO41+DD41</f>
        <v>653000</v>
      </c>
      <c r="DW41" s="31" t="n">
        <f aca="false">+DU41-DV41</f>
        <v>0</v>
      </c>
    </row>
    <row r="42" customFormat="false" ht="13.8" hidden="false" customHeight="false" outlineLevel="0" collapsed="false">
      <c r="A42" s="27" t="n">
        <v>44418</v>
      </c>
      <c r="B42" s="28" t="s">
        <v>238</v>
      </c>
      <c r="C42" s="28" t="s">
        <v>239</v>
      </c>
      <c r="D42" s="29" t="s">
        <v>240</v>
      </c>
      <c r="E42" s="28" t="s">
        <v>241</v>
      </c>
      <c r="F42" s="27" t="s">
        <v>242</v>
      </c>
      <c r="G42" s="27" t="s">
        <v>8</v>
      </c>
      <c r="H42" s="30" t="n">
        <v>36400</v>
      </c>
      <c r="I42" s="30" t="n">
        <v>36400</v>
      </c>
      <c r="J42" s="6" t="n">
        <v>0</v>
      </c>
      <c r="K42" s="6" t="n">
        <v>0</v>
      </c>
      <c r="L42" s="6" t="n">
        <v>0</v>
      </c>
      <c r="M42" s="6" t="n">
        <v>0</v>
      </c>
      <c r="N42" s="6" t="n">
        <v>0</v>
      </c>
      <c r="O42" s="6" t="n">
        <v>0</v>
      </c>
      <c r="P42" s="6" t="n">
        <f aca="false">+J42+M42</f>
        <v>0</v>
      </c>
      <c r="Q42" s="6" t="n">
        <f aca="false">+K42+N42</f>
        <v>0</v>
      </c>
      <c r="R42" s="6" t="n">
        <f aca="false">+L42+O42</f>
        <v>0</v>
      </c>
      <c r="S42" s="6" t="n">
        <v>0</v>
      </c>
      <c r="T42" s="6" t="n">
        <v>0</v>
      </c>
      <c r="U42" s="6" t="n">
        <v>0</v>
      </c>
      <c r="V42" s="6" t="n">
        <v>0</v>
      </c>
      <c r="W42" s="6" t="n">
        <v>0</v>
      </c>
      <c r="X42" s="6" t="n">
        <v>0</v>
      </c>
      <c r="Y42" s="6" t="n">
        <v>0</v>
      </c>
      <c r="Z42" s="6" t="n">
        <v>0</v>
      </c>
      <c r="AA42" s="6" t="n">
        <v>0</v>
      </c>
      <c r="AB42" s="30" t="n">
        <v>36400</v>
      </c>
      <c r="AC42" s="30" t="n">
        <v>36400</v>
      </c>
      <c r="AD42" s="6" t="n">
        <v>0</v>
      </c>
      <c r="AE42" s="6" t="n">
        <f aca="false">+Y42+AB42+S42+V42</f>
        <v>36400</v>
      </c>
      <c r="AF42" s="6" t="n">
        <f aca="false">+Z42+AC42+T42+W42</f>
        <v>36400</v>
      </c>
      <c r="AG42" s="6" t="n">
        <f aca="false">+AA42+AD42+U42+X42</f>
        <v>0</v>
      </c>
      <c r="AH42" s="6" t="n">
        <v>0</v>
      </c>
      <c r="AI42" s="6" t="n">
        <v>0</v>
      </c>
      <c r="AJ42" s="6" t="n">
        <v>0</v>
      </c>
      <c r="AK42" s="6" t="n">
        <v>0</v>
      </c>
      <c r="AL42" s="6" t="n">
        <v>0</v>
      </c>
      <c r="AM42" s="6" t="n">
        <v>0</v>
      </c>
      <c r="AN42" s="6" t="n">
        <v>0</v>
      </c>
      <c r="AO42" s="6" t="n">
        <v>0</v>
      </c>
      <c r="AP42" s="6" t="n">
        <v>0</v>
      </c>
      <c r="AQ42" s="6" t="n">
        <v>0</v>
      </c>
      <c r="AR42" s="6" t="n">
        <v>0</v>
      </c>
      <c r="AS42" s="6" t="n">
        <v>36400</v>
      </c>
      <c r="AT42" s="6" t="n">
        <f aca="false">+AN42+AQ42+AH42+AK42</f>
        <v>0</v>
      </c>
      <c r="AU42" s="6" t="n">
        <f aca="false">+AO42+AR42+AI42+AL42</f>
        <v>0</v>
      </c>
      <c r="AV42" s="6" t="n">
        <f aca="false">+AP42+AS42+AJ42+AM42</f>
        <v>36400</v>
      </c>
      <c r="AW42" s="6" t="n">
        <v>0</v>
      </c>
      <c r="AX42" s="6" t="n">
        <v>0</v>
      </c>
      <c r="AY42" s="6" t="n">
        <v>0</v>
      </c>
      <c r="AZ42" s="6" t="n">
        <v>0</v>
      </c>
      <c r="BA42" s="6" t="n">
        <v>0</v>
      </c>
      <c r="BB42" s="6" t="n">
        <v>0</v>
      </c>
      <c r="BC42" s="6" t="n">
        <v>0</v>
      </c>
      <c r="BD42" s="6" t="n">
        <v>0</v>
      </c>
      <c r="BE42" s="6" t="n">
        <v>0</v>
      </c>
      <c r="BF42" s="6" t="n">
        <v>0</v>
      </c>
      <c r="BG42" s="6" t="n">
        <v>0</v>
      </c>
      <c r="BH42" s="6" t="n">
        <v>0</v>
      </c>
      <c r="BI42" s="6" t="n">
        <f aca="false">+BC42+BF42+AW42+AZ42</f>
        <v>0</v>
      </c>
      <c r="BJ42" s="6" t="n">
        <f aca="false">+BD42+BG42+AX42+BA42</f>
        <v>0</v>
      </c>
      <c r="BK42" s="6" t="n">
        <f aca="false">+BE42+BH42+AY42+BB42</f>
        <v>0</v>
      </c>
      <c r="BL42" s="6" t="n">
        <v>0</v>
      </c>
      <c r="BM42" s="6" t="n">
        <v>0</v>
      </c>
      <c r="BN42" s="6" t="n">
        <v>0</v>
      </c>
      <c r="BO42" s="6" t="n">
        <v>0</v>
      </c>
      <c r="BP42" s="6" t="n">
        <v>0</v>
      </c>
      <c r="BQ42" s="6" t="n">
        <v>0</v>
      </c>
      <c r="BR42" s="6" t="n">
        <v>0</v>
      </c>
      <c r="BS42" s="6" t="n">
        <v>0</v>
      </c>
      <c r="BT42" s="6" t="n">
        <v>0</v>
      </c>
      <c r="BU42" s="6" t="n">
        <v>0</v>
      </c>
      <c r="BV42" s="6" t="n">
        <v>0</v>
      </c>
      <c r="BW42" s="6" t="n">
        <v>0</v>
      </c>
      <c r="BX42" s="6" t="n">
        <f aca="false">+BR42+BU42+BL42+BO42</f>
        <v>0</v>
      </c>
      <c r="BY42" s="6" t="n">
        <f aca="false">+BS42+BV42+BM42+BP42</f>
        <v>0</v>
      </c>
      <c r="BZ42" s="6" t="n">
        <f aca="false">+BT42+BW42+BN42+BQ42</f>
        <v>0</v>
      </c>
      <c r="CA42" s="6" t="n">
        <v>0</v>
      </c>
      <c r="CB42" s="6" t="n">
        <v>0</v>
      </c>
      <c r="CC42" s="6" t="n">
        <v>0</v>
      </c>
      <c r="CD42" s="6" t="n">
        <v>0</v>
      </c>
      <c r="CE42" s="6" t="n">
        <v>0</v>
      </c>
      <c r="CF42" s="6" t="n">
        <v>0</v>
      </c>
      <c r="CG42" s="6" t="n">
        <v>0</v>
      </c>
      <c r="CH42" s="6" t="n">
        <v>0</v>
      </c>
      <c r="CI42" s="6" t="n">
        <v>0</v>
      </c>
      <c r="CJ42" s="6" t="n">
        <v>0</v>
      </c>
      <c r="CK42" s="6" t="n">
        <v>0</v>
      </c>
      <c r="CL42" s="6" t="n">
        <v>0</v>
      </c>
      <c r="CM42" s="6" t="n">
        <f aca="false">+CG42+CJ42+CA42+CD42</f>
        <v>0</v>
      </c>
      <c r="CN42" s="6" t="n">
        <f aca="false">+CH42+CK42+CB42+CE42</f>
        <v>0</v>
      </c>
      <c r="CO42" s="6" t="n">
        <f aca="false">+CI42+CL42+CC42+CF42</f>
        <v>0</v>
      </c>
      <c r="CP42" s="6" t="n">
        <v>0</v>
      </c>
      <c r="CQ42" s="6" t="n">
        <v>0</v>
      </c>
      <c r="CR42" s="6" t="n">
        <v>0</v>
      </c>
      <c r="CS42" s="6" t="n">
        <v>0</v>
      </c>
      <c r="CT42" s="6" t="n">
        <v>0</v>
      </c>
      <c r="CU42" s="6" t="n">
        <v>0</v>
      </c>
      <c r="CV42" s="6" t="n">
        <v>0</v>
      </c>
      <c r="CW42" s="6" t="n">
        <v>0</v>
      </c>
      <c r="CX42" s="6" t="n">
        <v>0</v>
      </c>
      <c r="CY42" s="6" t="n">
        <v>0</v>
      </c>
      <c r="CZ42" s="6" t="n">
        <v>0</v>
      </c>
      <c r="DA42" s="6" t="n">
        <v>0</v>
      </c>
      <c r="DB42" s="6" t="n">
        <f aca="false">+CV42+CY42+CP42+CS42</f>
        <v>0</v>
      </c>
      <c r="DC42" s="6" t="n">
        <f aca="false">+CW42+CZ42+CQ42+CT42</f>
        <v>0</v>
      </c>
      <c r="DD42" s="6" t="n">
        <f aca="false">+CX42+DA42+CR42+CU42</f>
        <v>0</v>
      </c>
      <c r="DE42" s="6" t="n">
        <v>0</v>
      </c>
      <c r="DF42" s="6" t="n">
        <v>0</v>
      </c>
      <c r="DG42" s="6" t="n">
        <v>0</v>
      </c>
      <c r="DH42" s="6" t="n">
        <v>0</v>
      </c>
      <c r="DI42" s="6" t="n">
        <v>0</v>
      </c>
      <c r="DJ42" s="6" t="n">
        <v>0</v>
      </c>
      <c r="DK42" s="6" t="n">
        <v>0</v>
      </c>
      <c r="DL42" s="6" t="n">
        <v>0</v>
      </c>
      <c r="DM42" s="6" t="n">
        <v>0</v>
      </c>
      <c r="DN42" s="6" t="n">
        <v>0</v>
      </c>
      <c r="DO42" s="6" t="n">
        <v>0</v>
      </c>
      <c r="DP42" s="6" t="n">
        <v>0</v>
      </c>
      <c r="DQ42" s="6" t="n">
        <f aca="false">+DK42+DN42+DE42+DH42</f>
        <v>0</v>
      </c>
      <c r="DR42" s="6" t="n">
        <f aca="false">+DL42+DO42+DF42+DI42</f>
        <v>0</v>
      </c>
      <c r="DS42" s="6" t="n">
        <f aca="false">+DM42+DP42+DG42+DJ42</f>
        <v>0</v>
      </c>
      <c r="DT42" s="31" t="n">
        <f aca="false">+P42+AE42+AT42+BI42+BX42+CM42+DB42</f>
        <v>36400</v>
      </c>
      <c r="DU42" s="31" t="n">
        <f aca="false">+Q42+AF42+AU42+BJ42+BY42+CN42+DC42</f>
        <v>36400</v>
      </c>
      <c r="DV42" s="31" t="n">
        <f aca="false">+R42+AG42+AV42+BK42+BZ42+CO42+DD42</f>
        <v>36400</v>
      </c>
      <c r="DW42" s="31" t="n">
        <f aca="false">+DU42-DV42</f>
        <v>0</v>
      </c>
    </row>
    <row r="43" customFormat="false" ht="13.8" hidden="false" customHeight="false" outlineLevel="0" collapsed="false">
      <c r="A43" s="27" t="n">
        <v>44418</v>
      </c>
      <c r="B43" s="28" t="s">
        <v>238</v>
      </c>
      <c r="C43" s="28" t="s">
        <v>239</v>
      </c>
      <c r="D43" s="29" t="s">
        <v>240</v>
      </c>
      <c r="E43" s="28" t="s">
        <v>241</v>
      </c>
      <c r="F43" s="27" t="s">
        <v>243</v>
      </c>
      <c r="G43" s="27" t="s">
        <v>8</v>
      </c>
      <c r="H43" s="30" t="n">
        <v>733600</v>
      </c>
      <c r="I43" s="30" t="n">
        <v>733600</v>
      </c>
      <c r="J43" s="6" t="n">
        <v>0</v>
      </c>
      <c r="K43" s="6" t="n">
        <v>0</v>
      </c>
      <c r="L43" s="6" t="n">
        <v>0</v>
      </c>
      <c r="M43" s="6" t="n">
        <v>0</v>
      </c>
      <c r="N43" s="6" t="n">
        <v>0</v>
      </c>
      <c r="O43" s="6" t="n">
        <v>0</v>
      </c>
      <c r="P43" s="6" t="n">
        <f aca="false">+J43+M43</f>
        <v>0</v>
      </c>
      <c r="Q43" s="6" t="n">
        <f aca="false">+K43+N43</f>
        <v>0</v>
      </c>
      <c r="R43" s="6" t="n">
        <f aca="false">+L43+O43</f>
        <v>0</v>
      </c>
      <c r="S43" s="6" t="n">
        <v>0</v>
      </c>
      <c r="T43" s="6" t="n">
        <v>0</v>
      </c>
      <c r="U43" s="6" t="n">
        <v>0</v>
      </c>
      <c r="V43" s="6" t="n">
        <v>0</v>
      </c>
      <c r="W43" s="6" t="n">
        <v>0</v>
      </c>
      <c r="X43" s="6" t="n">
        <v>0</v>
      </c>
      <c r="Y43" s="6" t="n">
        <v>0</v>
      </c>
      <c r="Z43" s="6" t="n">
        <v>0</v>
      </c>
      <c r="AA43" s="6" t="n">
        <v>0</v>
      </c>
      <c r="AB43" s="30" t="n">
        <v>733600</v>
      </c>
      <c r="AC43" s="30" t="n">
        <v>733600</v>
      </c>
      <c r="AD43" s="6" t="n">
        <v>0</v>
      </c>
      <c r="AE43" s="6" t="n">
        <f aca="false">+Y43+AB43+S43+V43</f>
        <v>733600</v>
      </c>
      <c r="AF43" s="6" t="n">
        <f aca="false">+Z43+AC43+T43+W43</f>
        <v>733600</v>
      </c>
      <c r="AG43" s="6" t="n">
        <f aca="false">+AA43+AD43+U43+X43</f>
        <v>0</v>
      </c>
      <c r="AH43" s="6" t="n">
        <v>0</v>
      </c>
      <c r="AI43" s="6" t="n">
        <v>0</v>
      </c>
      <c r="AJ43" s="6" t="n">
        <v>225000</v>
      </c>
      <c r="AK43" s="6" t="n">
        <v>0</v>
      </c>
      <c r="AL43" s="6" t="n">
        <v>0</v>
      </c>
      <c r="AM43" s="6" t="n">
        <v>200000</v>
      </c>
      <c r="AN43" s="6" t="n">
        <v>0</v>
      </c>
      <c r="AO43" s="6" t="n">
        <v>0</v>
      </c>
      <c r="AP43" s="6" t="n">
        <v>0</v>
      </c>
      <c r="AQ43" s="6" t="n">
        <v>0</v>
      </c>
      <c r="AR43" s="6" t="n">
        <v>0</v>
      </c>
      <c r="AS43" s="6" t="n">
        <v>154300</v>
      </c>
      <c r="AT43" s="6" t="n">
        <f aca="false">+AN43+AQ43+AH43+AK43</f>
        <v>0</v>
      </c>
      <c r="AU43" s="6" t="n">
        <f aca="false">+AO43+AR43+AI43+AL43</f>
        <v>0</v>
      </c>
      <c r="AV43" s="6" t="n">
        <f aca="false">+AP43+AS43+AJ43+AM43</f>
        <v>579300</v>
      </c>
      <c r="AW43" s="6" t="n">
        <v>0</v>
      </c>
      <c r="AX43" s="6" t="n">
        <v>0</v>
      </c>
      <c r="AY43" s="6" t="n">
        <v>154300</v>
      </c>
      <c r="AZ43" s="6" t="n">
        <v>0</v>
      </c>
      <c r="BA43" s="6" t="n">
        <v>0</v>
      </c>
      <c r="BB43" s="6" t="n">
        <v>0</v>
      </c>
      <c r="BC43" s="6" t="n">
        <v>0</v>
      </c>
      <c r="BD43" s="6" t="n">
        <v>0</v>
      </c>
      <c r="BE43" s="6" t="n">
        <v>0</v>
      </c>
      <c r="BF43" s="6" t="n">
        <v>0</v>
      </c>
      <c r="BG43" s="6" t="n">
        <v>0</v>
      </c>
      <c r="BH43" s="6" t="n">
        <v>0</v>
      </c>
      <c r="BI43" s="6" t="n">
        <f aca="false">+BC43+BF43+AW43+AZ43</f>
        <v>0</v>
      </c>
      <c r="BJ43" s="6" t="n">
        <f aca="false">+BD43+BG43+AX43+BA43</f>
        <v>0</v>
      </c>
      <c r="BK43" s="6" t="n">
        <f aca="false">+BE43+BH43+AY43+BB43</f>
        <v>154300</v>
      </c>
      <c r="BL43" s="6" t="n">
        <v>0</v>
      </c>
      <c r="BM43" s="6" t="n">
        <v>0</v>
      </c>
      <c r="BN43" s="6" t="n">
        <v>0</v>
      </c>
      <c r="BO43" s="6" t="n">
        <v>0</v>
      </c>
      <c r="BP43" s="6" t="n">
        <v>0</v>
      </c>
      <c r="BQ43" s="6" t="n">
        <v>0</v>
      </c>
      <c r="BR43" s="6" t="n">
        <v>0</v>
      </c>
      <c r="BS43" s="6" t="n">
        <v>0</v>
      </c>
      <c r="BT43" s="6" t="n">
        <v>0</v>
      </c>
      <c r="BU43" s="6" t="n">
        <v>0</v>
      </c>
      <c r="BV43" s="6" t="n">
        <v>0</v>
      </c>
      <c r="BW43" s="6" t="n">
        <v>0</v>
      </c>
      <c r="BX43" s="6" t="n">
        <f aca="false">+BR43+BU43+BL43+BO43</f>
        <v>0</v>
      </c>
      <c r="BY43" s="6" t="n">
        <f aca="false">+BS43+BV43+BM43+BP43</f>
        <v>0</v>
      </c>
      <c r="BZ43" s="6" t="n">
        <f aca="false">+BT43+BW43+BN43+BQ43</f>
        <v>0</v>
      </c>
      <c r="CA43" s="6" t="n">
        <v>0</v>
      </c>
      <c r="CB43" s="6" t="n">
        <v>0</v>
      </c>
      <c r="CC43" s="6" t="n">
        <v>0</v>
      </c>
      <c r="CD43" s="6" t="n">
        <v>0</v>
      </c>
      <c r="CE43" s="6" t="n">
        <v>0</v>
      </c>
      <c r="CF43" s="6" t="n">
        <v>0</v>
      </c>
      <c r="CG43" s="6" t="n">
        <v>0</v>
      </c>
      <c r="CH43" s="6" t="n">
        <v>0</v>
      </c>
      <c r="CI43" s="6" t="n">
        <v>0</v>
      </c>
      <c r="CJ43" s="6" t="n">
        <v>0</v>
      </c>
      <c r="CK43" s="6" t="n">
        <v>0</v>
      </c>
      <c r="CL43" s="6" t="n">
        <v>0</v>
      </c>
      <c r="CM43" s="6" t="n">
        <f aca="false">+CG43+CJ43+CA43+CD43</f>
        <v>0</v>
      </c>
      <c r="CN43" s="6" t="n">
        <f aca="false">+CH43+CK43+CB43+CE43</f>
        <v>0</v>
      </c>
      <c r="CO43" s="6" t="n">
        <f aca="false">+CI43+CL43+CC43+CF43</f>
        <v>0</v>
      </c>
      <c r="CP43" s="6" t="n">
        <v>0</v>
      </c>
      <c r="CQ43" s="6" t="n">
        <v>0</v>
      </c>
      <c r="CR43" s="6" t="n">
        <v>0</v>
      </c>
      <c r="CS43" s="6" t="n">
        <v>0</v>
      </c>
      <c r="CT43" s="6" t="n">
        <v>0</v>
      </c>
      <c r="CU43" s="6" t="n">
        <v>0</v>
      </c>
      <c r="CV43" s="6" t="n">
        <v>0</v>
      </c>
      <c r="CW43" s="6" t="n">
        <v>0</v>
      </c>
      <c r="CX43" s="6" t="n">
        <v>0</v>
      </c>
      <c r="CY43" s="6" t="n">
        <v>0</v>
      </c>
      <c r="CZ43" s="6" t="n">
        <v>0</v>
      </c>
      <c r="DA43" s="6" t="n">
        <v>0</v>
      </c>
      <c r="DB43" s="6" t="n">
        <f aca="false">+CV43+CY43+CP43+CS43</f>
        <v>0</v>
      </c>
      <c r="DC43" s="6" t="n">
        <f aca="false">+CW43+CZ43+CQ43+CT43</f>
        <v>0</v>
      </c>
      <c r="DD43" s="6" t="n">
        <f aca="false">+CX43+DA43+CR43+CU43</f>
        <v>0</v>
      </c>
      <c r="DE43" s="6" t="n">
        <v>0</v>
      </c>
      <c r="DF43" s="6" t="n">
        <v>0</v>
      </c>
      <c r="DG43" s="6" t="n">
        <v>0</v>
      </c>
      <c r="DH43" s="6" t="n">
        <v>0</v>
      </c>
      <c r="DI43" s="6" t="n">
        <v>0</v>
      </c>
      <c r="DJ43" s="6" t="n">
        <v>0</v>
      </c>
      <c r="DK43" s="6" t="n">
        <v>0</v>
      </c>
      <c r="DL43" s="6" t="n">
        <v>0</v>
      </c>
      <c r="DM43" s="6" t="n">
        <v>0</v>
      </c>
      <c r="DN43" s="6" t="n">
        <v>0</v>
      </c>
      <c r="DO43" s="6" t="n">
        <v>0</v>
      </c>
      <c r="DP43" s="6" t="n">
        <v>0</v>
      </c>
      <c r="DQ43" s="6" t="n">
        <f aca="false">+DK43+DN43+DE43+DH43</f>
        <v>0</v>
      </c>
      <c r="DR43" s="6" t="n">
        <f aca="false">+DL43+DO43+DF43+DI43</f>
        <v>0</v>
      </c>
      <c r="DS43" s="6" t="n">
        <f aca="false">+DM43+DP43+DG43+DJ43</f>
        <v>0</v>
      </c>
      <c r="DT43" s="31" t="n">
        <f aca="false">+P43+AE43+AT43+BI43+BX43+CM43+DB43</f>
        <v>733600</v>
      </c>
      <c r="DU43" s="31" t="n">
        <f aca="false">+Q43+AF43+AU43+BJ43+BY43+CN43+DC43</f>
        <v>733600</v>
      </c>
      <c r="DV43" s="31" t="n">
        <f aca="false">+R43+AG43+AV43+BK43+BZ43+CO43+DD43</f>
        <v>733600</v>
      </c>
      <c r="DW43" s="31" t="n">
        <f aca="false">+DU43-DV43</f>
        <v>0</v>
      </c>
    </row>
    <row r="44" customFormat="false" ht="13.8" hidden="false" customHeight="false" outlineLevel="0" collapsed="false">
      <c r="A44" s="27" t="n">
        <v>44455</v>
      </c>
      <c r="B44" s="28" t="s">
        <v>244</v>
      </c>
      <c r="C44" s="28" t="s">
        <v>245</v>
      </c>
      <c r="D44" s="29" t="s">
        <v>246</v>
      </c>
      <c r="E44" s="28" t="s">
        <v>247</v>
      </c>
      <c r="F44" s="27" t="s">
        <v>248</v>
      </c>
      <c r="G44" s="27" t="s">
        <v>9</v>
      </c>
      <c r="H44" s="30" t="n">
        <v>484700</v>
      </c>
      <c r="I44" s="30" t="n">
        <v>484700</v>
      </c>
      <c r="J44" s="6" t="n">
        <v>0</v>
      </c>
      <c r="K44" s="6" t="n">
        <v>0</v>
      </c>
      <c r="L44" s="6" t="n">
        <v>0</v>
      </c>
      <c r="M44" s="6" t="n">
        <v>0</v>
      </c>
      <c r="N44" s="6" t="n">
        <v>0</v>
      </c>
      <c r="O44" s="6" t="n">
        <v>0</v>
      </c>
      <c r="P44" s="6" t="n">
        <f aca="false">+J44+M44</f>
        <v>0</v>
      </c>
      <c r="Q44" s="6" t="n">
        <f aca="false">+K44+N44</f>
        <v>0</v>
      </c>
      <c r="R44" s="6" t="n">
        <f aca="false">+L44+O44</f>
        <v>0</v>
      </c>
      <c r="S44" s="6" t="n">
        <v>0</v>
      </c>
      <c r="T44" s="6" t="n">
        <v>0</v>
      </c>
      <c r="U44" s="6" t="n">
        <v>0</v>
      </c>
      <c r="V44" s="6" t="n">
        <v>0</v>
      </c>
      <c r="W44" s="6" t="n">
        <v>0</v>
      </c>
      <c r="X44" s="6" t="n">
        <v>0</v>
      </c>
      <c r="Y44" s="6" t="n">
        <v>0</v>
      </c>
      <c r="Z44" s="6" t="n">
        <v>0</v>
      </c>
      <c r="AA44" s="6" t="n">
        <v>0</v>
      </c>
      <c r="AB44" s="6" t="n">
        <v>0</v>
      </c>
      <c r="AC44" s="6" t="n">
        <v>0</v>
      </c>
      <c r="AD44" s="6" t="n">
        <v>0</v>
      </c>
      <c r="AE44" s="6" t="n">
        <f aca="false">+Y44+AB44+S44+V44</f>
        <v>0</v>
      </c>
      <c r="AF44" s="6" t="n">
        <f aca="false">+Z44+AC44+T44+W44</f>
        <v>0</v>
      </c>
      <c r="AG44" s="6" t="n">
        <f aca="false">+AA44+AD44+U44+X44</f>
        <v>0</v>
      </c>
      <c r="AH44" s="30" t="n">
        <v>484700</v>
      </c>
      <c r="AI44" s="30" t="n">
        <v>484700</v>
      </c>
      <c r="AJ44" s="6" t="n">
        <v>100000</v>
      </c>
      <c r="AK44" s="6" t="n">
        <v>0</v>
      </c>
      <c r="AL44" s="6" t="n">
        <v>0</v>
      </c>
      <c r="AM44" s="6" t="n">
        <v>320000</v>
      </c>
      <c r="AN44" s="6" t="n">
        <v>0</v>
      </c>
      <c r="AO44" s="6" t="n">
        <v>0</v>
      </c>
      <c r="AP44" s="6" t="n">
        <v>250000</v>
      </c>
      <c r="AQ44" s="6" t="n">
        <v>0</v>
      </c>
      <c r="AR44" s="6" t="n">
        <v>0</v>
      </c>
      <c r="AS44" s="6" t="n">
        <v>1000000</v>
      </c>
      <c r="AT44" s="6" t="n">
        <f aca="false">+AN44+AQ44+AH44+AK44</f>
        <v>484700</v>
      </c>
      <c r="AU44" s="6" t="n">
        <f aca="false">+AO44+AR44+AI44+AL44</f>
        <v>484700</v>
      </c>
      <c r="AV44" s="6" t="n">
        <f aca="false">+AP44+AS44+AJ44+AM44</f>
        <v>1670000</v>
      </c>
      <c r="AW44" s="6" t="n">
        <v>0</v>
      </c>
      <c r="AX44" s="6" t="n">
        <v>0</v>
      </c>
      <c r="AY44" s="6" t="n">
        <v>1922291.5</v>
      </c>
      <c r="AZ44" s="6" t="n">
        <v>0</v>
      </c>
      <c r="BA44" s="6" t="n">
        <v>0</v>
      </c>
      <c r="BB44" s="6" t="n">
        <v>2000000</v>
      </c>
      <c r="BC44" s="6" t="n">
        <v>0</v>
      </c>
      <c r="BD44" s="6" t="n">
        <v>0</v>
      </c>
      <c r="BE44" s="6" t="n">
        <v>750000</v>
      </c>
      <c r="BF44" s="6" t="n">
        <v>0</v>
      </c>
      <c r="BG44" s="6" t="n">
        <v>0</v>
      </c>
      <c r="BH44" s="6" t="n">
        <v>750000</v>
      </c>
      <c r="BI44" s="6" t="n">
        <f aca="false">+BC44+BF44+AW44+AZ44</f>
        <v>0</v>
      </c>
      <c r="BJ44" s="6" t="n">
        <f aca="false">+BD44+BG44+AX44+BA44</f>
        <v>0</v>
      </c>
      <c r="BK44" s="6" t="n">
        <f aca="false">+BE44+BH44+AY44+BB44</f>
        <v>5422291.5</v>
      </c>
      <c r="BL44" s="6" t="n">
        <v>0</v>
      </c>
      <c r="BM44" s="6" t="n">
        <v>0</v>
      </c>
      <c r="BN44" s="6" t="n">
        <v>0</v>
      </c>
      <c r="BO44" s="6" t="n">
        <v>0</v>
      </c>
      <c r="BP44" s="6" t="n">
        <v>0</v>
      </c>
      <c r="BQ44" s="6" t="n">
        <v>1200000</v>
      </c>
      <c r="BR44" s="6" t="n">
        <v>0</v>
      </c>
      <c r="BS44" s="6" t="n">
        <v>0</v>
      </c>
      <c r="BT44" s="6" t="n">
        <v>115300</v>
      </c>
      <c r="BU44" s="6" t="n">
        <v>0</v>
      </c>
      <c r="BV44" s="6" t="n">
        <v>0</v>
      </c>
      <c r="BW44" s="6" t="n">
        <v>0</v>
      </c>
      <c r="BX44" s="6" t="n">
        <f aca="false">+BR44+BU44+BL44+BO44</f>
        <v>0</v>
      </c>
      <c r="BY44" s="6" t="n">
        <f aca="false">+BS44+BV44+BM44+BP44</f>
        <v>0</v>
      </c>
      <c r="BZ44" s="6" t="n">
        <f aca="false">+BT44+BW44+BN44+BQ44</f>
        <v>1315300</v>
      </c>
      <c r="CA44" s="6" t="n">
        <v>0</v>
      </c>
      <c r="CB44" s="6" t="n">
        <v>0</v>
      </c>
      <c r="CC44" s="6" t="n">
        <v>466874.5</v>
      </c>
      <c r="CD44" s="6" t="n">
        <v>0</v>
      </c>
      <c r="CE44" s="6" t="n">
        <v>0</v>
      </c>
      <c r="CF44" s="6" t="n">
        <v>0</v>
      </c>
      <c r="CG44" s="6" t="n">
        <v>0</v>
      </c>
      <c r="CH44" s="6" t="n">
        <v>0</v>
      </c>
      <c r="CI44" s="6" t="n">
        <v>0</v>
      </c>
      <c r="CJ44" s="6" t="n">
        <v>0</v>
      </c>
      <c r="CK44" s="6" t="n">
        <v>0</v>
      </c>
      <c r="CL44" s="6" t="n">
        <v>0</v>
      </c>
      <c r="CM44" s="6" t="n">
        <f aca="false">+CG44+CJ44+CA44+CD44</f>
        <v>0</v>
      </c>
      <c r="CN44" s="6" t="n">
        <f aca="false">+CH44+CK44+CB44+CE44</f>
        <v>0</v>
      </c>
      <c r="CO44" s="6" t="n">
        <f aca="false">+CI44+CL44+CC44+CF44</f>
        <v>466874.5</v>
      </c>
      <c r="CP44" s="6" t="n">
        <v>0</v>
      </c>
      <c r="CQ44" s="6" t="n">
        <v>0</v>
      </c>
      <c r="CR44" s="6" t="n">
        <v>0</v>
      </c>
      <c r="CS44" s="6" t="n">
        <v>0</v>
      </c>
      <c r="CT44" s="6" t="n">
        <v>0</v>
      </c>
      <c r="CU44" s="6" t="n">
        <v>0</v>
      </c>
      <c r="CV44" s="6" t="n">
        <v>0</v>
      </c>
      <c r="CW44" s="6" t="n">
        <v>0</v>
      </c>
      <c r="CX44" s="6" t="n">
        <v>0</v>
      </c>
      <c r="CY44" s="6" t="n">
        <v>0</v>
      </c>
      <c r="CZ44" s="6" t="n">
        <v>0</v>
      </c>
      <c r="DA44" s="6" t="n">
        <v>0</v>
      </c>
      <c r="DB44" s="6" t="n">
        <f aca="false">+CV44+CY44+CP44+CS44</f>
        <v>0</v>
      </c>
      <c r="DC44" s="6" t="n">
        <f aca="false">+CW44+CZ44+CQ44+CT44</f>
        <v>0</v>
      </c>
      <c r="DD44" s="6" t="n">
        <f aca="false">+CX44+DA44+CR44+CU44</f>
        <v>0</v>
      </c>
      <c r="DE44" s="6" t="n">
        <v>0</v>
      </c>
      <c r="DF44" s="6" t="n">
        <v>0</v>
      </c>
      <c r="DG44" s="6" t="n">
        <v>0</v>
      </c>
      <c r="DH44" s="6" t="n">
        <v>0</v>
      </c>
      <c r="DI44" s="6" t="n">
        <v>0</v>
      </c>
      <c r="DJ44" s="6" t="n">
        <v>0</v>
      </c>
      <c r="DK44" s="6" t="n">
        <v>0</v>
      </c>
      <c r="DL44" s="6" t="n">
        <v>0</v>
      </c>
      <c r="DM44" s="6" t="n">
        <v>0</v>
      </c>
      <c r="DN44" s="6" t="n">
        <v>0</v>
      </c>
      <c r="DO44" s="6" t="n">
        <v>0</v>
      </c>
      <c r="DP44" s="6" t="n">
        <v>0</v>
      </c>
      <c r="DQ44" s="6" t="n">
        <f aca="false">+DK44+DN44+DE44+DH44</f>
        <v>0</v>
      </c>
      <c r="DR44" s="6" t="n">
        <f aca="false">+DL44+DO44+DF44+DI44</f>
        <v>0</v>
      </c>
      <c r="DS44" s="6" t="n">
        <f aca="false">+DM44+DP44+DG44+DJ44</f>
        <v>0</v>
      </c>
      <c r="DT44" s="31" t="n">
        <f aca="false">+P44+AE44+AT44+BI44+BX44+CM44+DB44</f>
        <v>484700</v>
      </c>
      <c r="DU44" s="31" t="n">
        <f aca="false">+Q44+AF44+AU44+BJ44+BY44+CN44+DC44</f>
        <v>484700</v>
      </c>
      <c r="DV44" s="31" t="n">
        <f aca="false">+R44+AG44+AV44+BK44+BZ44+CO44+DD44</f>
        <v>8874466</v>
      </c>
      <c r="DW44" s="31" t="n">
        <f aca="false">+DU44-DV44</f>
        <v>-8389766</v>
      </c>
    </row>
    <row r="45" customFormat="false" ht="13.8" hidden="false" customHeight="false" outlineLevel="0" collapsed="false">
      <c r="A45" s="27" t="n">
        <v>44455</v>
      </c>
      <c r="B45" s="28" t="s">
        <v>244</v>
      </c>
      <c r="C45" s="28" t="s">
        <v>245</v>
      </c>
      <c r="D45" s="29" t="s">
        <v>246</v>
      </c>
      <c r="E45" s="28" t="s">
        <v>247</v>
      </c>
      <c r="F45" s="27" t="s">
        <v>249</v>
      </c>
      <c r="G45" s="27" t="s">
        <v>9</v>
      </c>
      <c r="H45" s="30" t="n">
        <v>8874466</v>
      </c>
      <c r="I45" s="30" t="n">
        <v>8874466</v>
      </c>
      <c r="J45" s="6" t="n">
        <v>0</v>
      </c>
      <c r="K45" s="6" t="n">
        <v>0</v>
      </c>
      <c r="L45" s="6" t="n">
        <v>0</v>
      </c>
      <c r="M45" s="6" t="n">
        <v>0</v>
      </c>
      <c r="N45" s="6" t="n">
        <v>0</v>
      </c>
      <c r="O45" s="6" t="n">
        <v>0</v>
      </c>
      <c r="P45" s="6" t="n">
        <f aca="false">+J45+M45</f>
        <v>0</v>
      </c>
      <c r="Q45" s="6" t="n">
        <f aca="false">+K45+N45</f>
        <v>0</v>
      </c>
      <c r="R45" s="6" t="n">
        <f aca="false">+L45+O45</f>
        <v>0</v>
      </c>
      <c r="S45" s="6" t="n">
        <v>0</v>
      </c>
      <c r="T45" s="6" t="n">
        <v>0</v>
      </c>
      <c r="U45" s="6" t="n">
        <v>0</v>
      </c>
      <c r="V45" s="6" t="n">
        <v>0</v>
      </c>
      <c r="W45" s="6" t="n">
        <v>0</v>
      </c>
      <c r="X45" s="6" t="n">
        <v>0</v>
      </c>
      <c r="Y45" s="6" t="n">
        <v>0</v>
      </c>
      <c r="Z45" s="6" t="n">
        <v>0</v>
      </c>
      <c r="AA45" s="6" t="n">
        <v>0</v>
      </c>
      <c r="AB45" s="6" t="n">
        <v>0</v>
      </c>
      <c r="AC45" s="6" t="n">
        <v>0</v>
      </c>
      <c r="AD45" s="6" t="n">
        <v>0</v>
      </c>
      <c r="AE45" s="6" t="n">
        <f aca="false">+Y45+AB45+S45+V45</f>
        <v>0</v>
      </c>
      <c r="AF45" s="6" t="n">
        <f aca="false">+Z45+AC45+T45+W45</f>
        <v>0</v>
      </c>
      <c r="AG45" s="6" t="n">
        <f aca="false">+AA45+AD45+U45+X45</f>
        <v>0</v>
      </c>
      <c r="AH45" s="30" t="n">
        <v>8874466</v>
      </c>
      <c r="AI45" s="30" t="n">
        <v>8874466</v>
      </c>
      <c r="AJ45" s="6" t="n">
        <v>0</v>
      </c>
      <c r="AK45" s="6" t="n">
        <v>0</v>
      </c>
      <c r="AL45" s="6" t="n">
        <v>0</v>
      </c>
      <c r="AM45" s="6" t="n">
        <v>0</v>
      </c>
      <c r="AN45" s="6" t="n">
        <v>0</v>
      </c>
      <c r="AO45" s="6" t="n">
        <v>0</v>
      </c>
      <c r="AP45" s="6" t="n">
        <v>0</v>
      </c>
      <c r="AQ45" s="6" t="n">
        <v>0</v>
      </c>
      <c r="AR45" s="6" t="n">
        <v>0</v>
      </c>
      <c r="AS45" s="6" t="n">
        <v>0</v>
      </c>
      <c r="AT45" s="6" t="n">
        <f aca="false">+AN45+AQ45+AH45+AK45</f>
        <v>8874466</v>
      </c>
      <c r="AU45" s="6" t="n">
        <f aca="false">+AO45+AR45+AI45+AL45</f>
        <v>8874466</v>
      </c>
      <c r="AV45" s="6" t="n">
        <f aca="false">+AP45+AS45+AJ45+AM45</f>
        <v>0</v>
      </c>
      <c r="AW45" s="6" t="n">
        <v>0</v>
      </c>
      <c r="AX45" s="6" t="n">
        <v>0</v>
      </c>
      <c r="AY45" s="6" t="n">
        <v>0</v>
      </c>
      <c r="AZ45" s="6" t="n">
        <v>0</v>
      </c>
      <c r="BA45" s="6" t="n">
        <v>0</v>
      </c>
      <c r="BB45" s="6" t="n">
        <v>0</v>
      </c>
      <c r="BC45" s="6" t="n">
        <v>0</v>
      </c>
      <c r="BD45" s="6" t="n">
        <v>0</v>
      </c>
      <c r="BE45" s="6" t="n">
        <v>0</v>
      </c>
      <c r="BF45" s="6" t="n">
        <v>0</v>
      </c>
      <c r="BG45" s="6" t="n">
        <v>0</v>
      </c>
      <c r="BH45" s="6" t="n">
        <v>0</v>
      </c>
      <c r="BI45" s="6" t="n">
        <f aca="false">+BC45+BF45+AW45+AZ45</f>
        <v>0</v>
      </c>
      <c r="BJ45" s="6" t="n">
        <f aca="false">+BD45+BG45+AX45+BA45</f>
        <v>0</v>
      </c>
      <c r="BK45" s="6" t="n">
        <f aca="false">+BE45+BH45+AY45+BB45</f>
        <v>0</v>
      </c>
      <c r="BL45" s="6" t="n">
        <v>0</v>
      </c>
      <c r="BM45" s="6" t="n">
        <v>0</v>
      </c>
      <c r="BN45" s="6" t="n">
        <v>0</v>
      </c>
      <c r="BO45" s="6" t="n">
        <v>0</v>
      </c>
      <c r="BP45" s="6" t="n">
        <v>0</v>
      </c>
      <c r="BQ45" s="6" t="n">
        <v>0</v>
      </c>
      <c r="BR45" s="6" t="n">
        <v>0</v>
      </c>
      <c r="BS45" s="6" t="n">
        <v>0</v>
      </c>
      <c r="BT45" s="6" t="n">
        <v>184700</v>
      </c>
      <c r="BU45" s="6" t="n">
        <v>0</v>
      </c>
      <c r="BV45" s="6" t="n">
        <v>0</v>
      </c>
      <c r="BW45" s="6" t="n">
        <v>300000</v>
      </c>
      <c r="BX45" s="6" t="n">
        <f aca="false">+BR45+BU45+BL45+BO45</f>
        <v>0</v>
      </c>
      <c r="BY45" s="6" t="n">
        <f aca="false">+BS45+BV45+BM45+BP45</f>
        <v>0</v>
      </c>
      <c r="BZ45" s="6" t="n">
        <f aca="false">+BT45+BW45+BN45+BQ45</f>
        <v>484700</v>
      </c>
      <c r="CA45" s="6" t="n">
        <v>0</v>
      </c>
      <c r="CB45" s="6" t="n">
        <v>0</v>
      </c>
      <c r="CC45" s="6" t="n">
        <v>0</v>
      </c>
      <c r="CD45" s="6" t="n">
        <v>0</v>
      </c>
      <c r="CE45" s="6" t="n">
        <v>0</v>
      </c>
      <c r="CF45" s="6" t="n">
        <v>0</v>
      </c>
      <c r="CG45" s="6" t="n">
        <v>0</v>
      </c>
      <c r="CH45" s="6" t="n">
        <v>0</v>
      </c>
      <c r="CI45" s="6" t="n">
        <v>0</v>
      </c>
      <c r="CJ45" s="6" t="n">
        <v>0</v>
      </c>
      <c r="CK45" s="6" t="n">
        <v>0</v>
      </c>
      <c r="CL45" s="6" t="n">
        <v>0</v>
      </c>
      <c r="CM45" s="6" t="n">
        <f aca="false">+CG45+CJ45+CA45+CD45</f>
        <v>0</v>
      </c>
      <c r="CN45" s="6" t="n">
        <f aca="false">+CH45+CK45+CB45+CE45</f>
        <v>0</v>
      </c>
      <c r="CO45" s="6" t="n">
        <f aca="false">+CI45+CL45+CC45+CF45</f>
        <v>0</v>
      </c>
      <c r="CP45" s="6" t="n">
        <v>0</v>
      </c>
      <c r="CQ45" s="6" t="n">
        <v>0</v>
      </c>
      <c r="CR45" s="6" t="n">
        <v>0</v>
      </c>
      <c r="CS45" s="6" t="n">
        <v>0</v>
      </c>
      <c r="CT45" s="6" t="n">
        <v>0</v>
      </c>
      <c r="CU45" s="6" t="n">
        <v>0</v>
      </c>
      <c r="CV45" s="6" t="n">
        <v>0</v>
      </c>
      <c r="CW45" s="6" t="n">
        <v>0</v>
      </c>
      <c r="CX45" s="6" t="n">
        <v>0</v>
      </c>
      <c r="CY45" s="6" t="n">
        <v>0</v>
      </c>
      <c r="CZ45" s="6" t="n">
        <v>0</v>
      </c>
      <c r="DA45" s="6" t="n">
        <v>0</v>
      </c>
      <c r="DB45" s="6" t="n">
        <f aca="false">+CV45+CY45+CP45+CS45</f>
        <v>0</v>
      </c>
      <c r="DC45" s="6" t="n">
        <f aca="false">+CW45+CZ45+CQ45+CT45</f>
        <v>0</v>
      </c>
      <c r="DD45" s="6" t="n">
        <f aca="false">+CX45+DA45+CR45+CU45</f>
        <v>0</v>
      </c>
      <c r="DE45" s="6" t="n">
        <v>0</v>
      </c>
      <c r="DF45" s="6" t="n">
        <v>0</v>
      </c>
      <c r="DG45" s="6" t="n">
        <v>0</v>
      </c>
      <c r="DH45" s="6" t="n">
        <v>0</v>
      </c>
      <c r="DI45" s="6" t="n">
        <v>0</v>
      </c>
      <c r="DJ45" s="6" t="n">
        <v>0</v>
      </c>
      <c r="DK45" s="6" t="n">
        <v>0</v>
      </c>
      <c r="DL45" s="6" t="n">
        <v>0</v>
      </c>
      <c r="DM45" s="6" t="n">
        <v>0</v>
      </c>
      <c r="DN45" s="6" t="n">
        <v>0</v>
      </c>
      <c r="DO45" s="6" t="n">
        <v>0</v>
      </c>
      <c r="DP45" s="6" t="n">
        <v>0</v>
      </c>
      <c r="DQ45" s="6" t="n">
        <f aca="false">+DK45+DN45+DE45+DH45</f>
        <v>0</v>
      </c>
      <c r="DR45" s="6" t="n">
        <f aca="false">+DL45+DO45+DF45+DI45</f>
        <v>0</v>
      </c>
      <c r="DS45" s="6" t="n">
        <f aca="false">+DM45+DP45+DG45+DJ45</f>
        <v>0</v>
      </c>
      <c r="DT45" s="31" t="n">
        <f aca="false">+P45+AE45+AT45+BI45+BX45+CM45+DB45</f>
        <v>8874466</v>
      </c>
      <c r="DU45" s="31" t="n">
        <f aca="false">+Q45+AF45+AU45+BJ45+BY45+CN45+DC45</f>
        <v>8874466</v>
      </c>
      <c r="DV45" s="31" t="n">
        <f aca="false">+R45+AG45+AV45+BK45+BZ45+CO45+DD45</f>
        <v>484700</v>
      </c>
      <c r="DW45" s="31" t="n">
        <f aca="false">+DU45-DV45</f>
        <v>8389766</v>
      </c>
    </row>
    <row r="46" customFormat="false" ht="13.8" hidden="false" customHeight="false" outlineLevel="0" collapsed="false">
      <c r="A46" s="27" t="n">
        <v>44453</v>
      </c>
      <c r="B46" s="28" t="s">
        <v>250</v>
      </c>
      <c r="C46" s="28" t="s">
        <v>251</v>
      </c>
      <c r="D46" s="29" t="s">
        <v>252</v>
      </c>
      <c r="E46" s="28" t="s">
        <v>253</v>
      </c>
      <c r="F46" s="27" t="s">
        <v>254</v>
      </c>
      <c r="G46" s="27" t="s">
        <v>8</v>
      </c>
      <c r="H46" s="30" t="n">
        <v>4128000</v>
      </c>
      <c r="I46" s="30" t="n">
        <v>4128000</v>
      </c>
      <c r="J46" s="6" t="n">
        <v>0</v>
      </c>
      <c r="K46" s="6" t="n">
        <v>0</v>
      </c>
      <c r="L46" s="6" t="n">
        <v>0</v>
      </c>
      <c r="M46" s="6" t="n">
        <v>0</v>
      </c>
      <c r="N46" s="6" t="n">
        <v>0</v>
      </c>
      <c r="O46" s="6" t="n">
        <v>0</v>
      </c>
      <c r="P46" s="6" t="n">
        <f aca="false">+J46+M46</f>
        <v>0</v>
      </c>
      <c r="Q46" s="6" t="n">
        <f aca="false">+K46+N46</f>
        <v>0</v>
      </c>
      <c r="R46" s="6" t="n">
        <f aca="false">+L46+O46</f>
        <v>0</v>
      </c>
      <c r="S46" s="6" t="n">
        <v>0</v>
      </c>
      <c r="T46" s="6" t="n">
        <v>0</v>
      </c>
      <c r="U46" s="6" t="n">
        <v>0</v>
      </c>
      <c r="V46" s="6" t="n">
        <v>0</v>
      </c>
      <c r="W46" s="6" t="n">
        <v>0</v>
      </c>
      <c r="X46" s="6" t="n">
        <v>0</v>
      </c>
      <c r="Y46" s="6" t="n">
        <v>0</v>
      </c>
      <c r="Z46" s="6" t="n">
        <v>0</v>
      </c>
      <c r="AA46" s="6" t="n">
        <v>0</v>
      </c>
      <c r="AB46" s="30" t="n">
        <v>4128000</v>
      </c>
      <c r="AC46" s="30" t="n">
        <v>4128000</v>
      </c>
      <c r="AD46" s="6" t="n">
        <v>0</v>
      </c>
      <c r="AE46" s="6" t="n">
        <f aca="false">+Y46+AB46+S46+V46</f>
        <v>4128000</v>
      </c>
      <c r="AF46" s="6" t="n">
        <f aca="false">+Z46+AC46+T46+W46</f>
        <v>4128000</v>
      </c>
      <c r="AG46" s="6" t="n">
        <f aca="false">+AA46+AD46+U46+X46</f>
        <v>0</v>
      </c>
      <c r="AH46" s="6" t="n">
        <v>0</v>
      </c>
      <c r="AI46" s="6" t="n">
        <v>0</v>
      </c>
      <c r="AJ46" s="6" t="n">
        <v>100000</v>
      </c>
      <c r="AK46" s="6" t="n">
        <v>0</v>
      </c>
      <c r="AL46" s="6" t="n">
        <v>0</v>
      </c>
      <c r="AM46" s="6" t="n">
        <v>200000</v>
      </c>
      <c r="AN46" s="6" t="n">
        <v>0</v>
      </c>
      <c r="AO46" s="6" t="n">
        <v>0</v>
      </c>
      <c r="AP46" s="6" t="n">
        <v>0</v>
      </c>
      <c r="AQ46" s="6" t="n">
        <v>0</v>
      </c>
      <c r="AR46" s="6" t="n">
        <v>0</v>
      </c>
      <c r="AS46" s="6" t="n">
        <v>1500000</v>
      </c>
      <c r="AT46" s="6" t="n">
        <f aca="false">+AN46+AQ46+AH46+AK46</f>
        <v>0</v>
      </c>
      <c r="AU46" s="6" t="n">
        <f aca="false">+AO46+AR46+AI46+AL46</f>
        <v>0</v>
      </c>
      <c r="AV46" s="6" t="n">
        <f aca="false">+AP46+AS46+AJ46+AM46</f>
        <v>1800000</v>
      </c>
      <c r="AW46" s="6" t="n">
        <v>0</v>
      </c>
      <c r="AX46" s="6" t="n">
        <v>0</v>
      </c>
      <c r="AY46" s="6" t="n">
        <v>900000</v>
      </c>
      <c r="AZ46" s="6" t="n">
        <v>0</v>
      </c>
      <c r="BA46" s="6" t="n">
        <v>0</v>
      </c>
      <c r="BB46" s="6" t="n">
        <v>1428000</v>
      </c>
      <c r="BC46" s="6" t="n">
        <v>0</v>
      </c>
      <c r="BD46" s="6" t="n">
        <v>0</v>
      </c>
      <c r="BE46" s="6" t="n">
        <v>0</v>
      </c>
      <c r="BF46" s="6" t="n">
        <v>0</v>
      </c>
      <c r="BG46" s="6" t="n">
        <v>0</v>
      </c>
      <c r="BH46" s="6" t="n">
        <v>0</v>
      </c>
      <c r="BI46" s="6" t="n">
        <f aca="false">+BC46+BF46+AW46+AZ46</f>
        <v>0</v>
      </c>
      <c r="BJ46" s="6" t="n">
        <f aca="false">+BD46+BG46+AX46+BA46</f>
        <v>0</v>
      </c>
      <c r="BK46" s="6" t="n">
        <f aca="false">+BE46+BH46+AY46+BB46</f>
        <v>2328000</v>
      </c>
      <c r="BL46" s="6" t="n">
        <v>0</v>
      </c>
      <c r="BM46" s="6" t="n">
        <v>0</v>
      </c>
      <c r="BN46" s="6" t="n">
        <v>0</v>
      </c>
      <c r="BO46" s="6" t="n">
        <v>0</v>
      </c>
      <c r="BP46" s="6" t="n">
        <v>0</v>
      </c>
      <c r="BQ46" s="6" t="n">
        <v>0</v>
      </c>
      <c r="BR46" s="6" t="n">
        <v>0</v>
      </c>
      <c r="BS46" s="6" t="n">
        <v>0</v>
      </c>
      <c r="BT46" s="6" t="n">
        <v>0</v>
      </c>
      <c r="BU46" s="6" t="n">
        <v>0</v>
      </c>
      <c r="BV46" s="6" t="n">
        <v>0</v>
      </c>
      <c r="BW46" s="6" t="n">
        <v>0</v>
      </c>
      <c r="BX46" s="6" t="n">
        <f aca="false">+BR46+BU46+BL46+BO46</f>
        <v>0</v>
      </c>
      <c r="BY46" s="6" t="n">
        <f aca="false">+BS46+BV46+BM46+BP46</f>
        <v>0</v>
      </c>
      <c r="BZ46" s="6" t="n">
        <f aca="false">+BT46+BW46+BN46+BQ46</f>
        <v>0</v>
      </c>
      <c r="CA46" s="6" t="n">
        <v>0</v>
      </c>
      <c r="CB46" s="6" t="n">
        <v>0</v>
      </c>
      <c r="CC46" s="6" t="n">
        <v>0</v>
      </c>
      <c r="CD46" s="6" t="n">
        <v>0</v>
      </c>
      <c r="CE46" s="6" t="n">
        <v>0</v>
      </c>
      <c r="CF46" s="6" t="n">
        <v>0</v>
      </c>
      <c r="CG46" s="6" t="n">
        <v>0</v>
      </c>
      <c r="CH46" s="6" t="n">
        <v>0</v>
      </c>
      <c r="CI46" s="6" t="n">
        <v>0</v>
      </c>
      <c r="CJ46" s="6" t="n">
        <v>0</v>
      </c>
      <c r="CK46" s="6" t="n">
        <v>0</v>
      </c>
      <c r="CL46" s="6" t="n">
        <v>0</v>
      </c>
      <c r="CM46" s="6" t="n">
        <f aca="false">+CG46+CJ46+CA46+CD46</f>
        <v>0</v>
      </c>
      <c r="CN46" s="6" t="n">
        <f aca="false">+CH46+CK46+CB46+CE46</f>
        <v>0</v>
      </c>
      <c r="CO46" s="6" t="n">
        <f aca="false">+CI46+CL46+CC46+CF46</f>
        <v>0</v>
      </c>
      <c r="CP46" s="6" t="n">
        <v>0</v>
      </c>
      <c r="CQ46" s="6" t="n">
        <v>0</v>
      </c>
      <c r="CR46" s="6" t="n">
        <v>0</v>
      </c>
      <c r="CS46" s="6" t="n">
        <v>0</v>
      </c>
      <c r="CT46" s="6" t="n">
        <v>0</v>
      </c>
      <c r="CU46" s="6" t="n">
        <v>0</v>
      </c>
      <c r="CV46" s="6" t="n">
        <v>0</v>
      </c>
      <c r="CW46" s="6" t="n">
        <v>0</v>
      </c>
      <c r="CX46" s="6" t="n">
        <v>0</v>
      </c>
      <c r="CY46" s="6" t="n">
        <v>0</v>
      </c>
      <c r="CZ46" s="6" t="n">
        <v>0</v>
      </c>
      <c r="DA46" s="6" t="n">
        <v>0</v>
      </c>
      <c r="DB46" s="6" t="n">
        <f aca="false">+CV46+CY46+CP46+CS46</f>
        <v>0</v>
      </c>
      <c r="DC46" s="6" t="n">
        <f aca="false">+CW46+CZ46+CQ46+CT46</f>
        <v>0</v>
      </c>
      <c r="DD46" s="6" t="n">
        <f aca="false">+CX46+DA46+CR46+CU46</f>
        <v>0</v>
      </c>
      <c r="DE46" s="6" t="n">
        <v>0</v>
      </c>
      <c r="DF46" s="6" t="n">
        <v>0</v>
      </c>
      <c r="DG46" s="6" t="n">
        <v>0</v>
      </c>
      <c r="DH46" s="6" t="n">
        <v>0</v>
      </c>
      <c r="DI46" s="6" t="n">
        <v>0</v>
      </c>
      <c r="DJ46" s="6" t="n">
        <v>0</v>
      </c>
      <c r="DK46" s="6" t="n">
        <v>0</v>
      </c>
      <c r="DL46" s="6" t="n">
        <v>0</v>
      </c>
      <c r="DM46" s="6" t="n">
        <v>0</v>
      </c>
      <c r="DN46" s="6" t="n">
        <v>0</v>
      </c>
      <c r="DO46" s="6" t="n">
        <v>0</v>
      </c>
      <c r="DP46" s="6" t="n">
        <v>0</v>
      </c>
      <c r="DQ46" s="6" t="n">
        <f aca="false">+DK46+DN46+DE46+DH46</f>
        <v>0</v>
      </c>
      <c r="DR46" s="6" t="n">
        <f aca="false">+DL46+DO46+DF46+DI46</f>
        <v>0</v>
      </c>
      <c r="DS46" s="6" t="n">
        <f aca="false">+DM46+DP46+DG46+DJ46</f>
        <v>0</v>
      </c>
      <c r="DT46" s="31" t="n">
        <f aca="false">+P46+AE46+AT46+BI46+BX46+CM46+DB46</f>
        <v>4128000</v>
      </c>
      <c r="DU46" s="31" t="n">
        <f aca="false">+Q46+AF46+AU46+BJ46+BY46+CN46+DC46</f>
        <v>4128000</v>
      </c>
      <c r="DV46" s="31" t="n">
        <f aca="false">+R46+AG46+AV46+BK46+BZ46+CO46+DD46</f>
        <v>4128000</v>
      </c>
      <c r="DW46" s="31" t="n">
        <f aca="false">+DU46-DV46</f>
        <v>0</v>
      </c>
    </row>
    <row r="47" customFormat="false" ht="13.8" hidden="false" customHeight="false" outlineLevel="0" collapsed="false">
      <c r="A47" s="27" t="n">
        <v>44524</v>
      </c>
      <c r="B47" s="28" t="s">
        <v>255</v>
      </c>
      <c r="C47" s="28" t="s">
        <v>256</v>
      </c>
      <c r="D47" s="29" t="s">
        <v>257</v>
      </c>
      <c r="E47" s="28" t="s">
        <v>258</v>
      </c>
      <c r="F47" s="27" t="s">
        <v>259</v>
      </c>
      <c r="G47" s="27" t="s">
        <v>7</v>
      </c>
      <c r="H47" s="30" t="n">
        <v>2715649</v>
      </c>
      <c r="I47" s="30" t="n">
        <v>2715649</v>
      </c>
      <c r="J47" s="6" t="n">
        <v>0</v>
      </c>
      <c r="K47" s="6" t="n">
        <v>0</v>
      </c>
      <c r="L47" s="6" t="n">
        <v>0</v>
      </c>
      <c r="M47" s="6" t="n">
        <v>0</v>
      </c>
      <c r="N47" s="6" t="n">
        <v>0</v>
      </c>
      <c r="O47" s="6" t="n">
        <v>0</v>
      </c>
      <c r="P47" s="6" t="n">
        <f aca="false">+J47+M47</f>
        <v>0</v>
      </c>
      <c r="Q47" s="6" t="n">
        <f aca="false">+K47+N47</f>
        <v>0</v>
      </c>
      <c r="R47" s="6" t="n">
        <f aca="false">+L47+O47</f>
        <v>0</v>
      </c>
      <c r="S47" s="6" t="n">
        <v>0</v>
      </c>
      <c r="T47" s="6" t="n">
        <v>0</v>
      </c>
      <c r="U47" s="6" t="n">
        <v>0</v>
      </c>
      <c r="V47" s="6" t="n">
        <v>0</v>
      </c>
      <c r="W47" s="6" t="n">
        <v>0</v>
      </c>
      <c r="X47" s="6" t="n">
        <v>0</v>
      </c>
      <c r="Y47" s="30" t="n">
        <v>2715649</v>
      </c>
      <c r="Z47" s="30" t="n">
        <v>2715649</v>
      </c>
      <c r="AA47" s="6" t="n">
        <v>0</v>
      </c>
      <c r="AB47" s="6" t="n">
        <v>0</v>
      </c>
      <c r="AC47" s="6" t="n">
        <v>0</v>
      </c>
      <c r="AD47" s="6" t="n">
        <v>0</v>
      </c>
      <c r="AE47" s="6" t="n">
        <f aca="false">+Y47+AB47+S47+V47</f>
        <v>2715649</v>
      </c>
      <c r="AF47" s="6" t="n">
        <f aca="false">+Z47+AC47+T47+W47</f>
        <v>2715649</v>
      </c>
      <c r="AG47" s="6" t="n">
        <f aca="false">+AA47+AD47+U47+X47</f>
        <v>0</v>
      </c>
      <c r="AH47" s="6" t="n">
        <v>0</v>
      </c>
      <c r="AI47" s="6" t="n">
        <v>0</v>
      </c>
      <c r="AJ47" s="6" t="n">
        <v>0</v>
      </c>
      <c r="AK47" s="6" t="n">
        <v>0</v>
      </c>
      <c r="AL47" s="6" t="n">
        <v>0</v>
      </c>
      <c r="AM47" s="6" t="n">
        <v>450000</v>
      </c>
      <c r="AN47" s="6" t="n">
        <v>0</v>
      </c>
      <c r="AO47" s="6" t="n">
        <v>0</v>
      </c>
      <c r="AP47" s="6" t="n">
        <v>500000</v>
      </c>
      <c r="AQ47" s="6" t="n">
        <v>0</v>
      </c>
      <c r="AR47" s="6" t="n">
        <v>0</v>
      </c>
      <c r="AS47" s="6" t="n">
        <v>588550</v>
      </c>
      <c r="AT47" s="6" t="n">
        <f aca="false">+AN47+AQ47+AH47+AK47</f>
        <v>0</v>
      </c>
      <c r="AU47" s="6" t="n">
        <f aca="false">+AO47+AR47+AI47+AL47</f>
        <v>0</v>
      </c>
      <c r="AV47" s="6" t="n">
        <f aca="false">+AP47+AS47+AJ47+AM47</f>
        <v>1538550</v>
      </c>
      <c r="AW47" s="6" t="n">
        <v>0</v>
      </c>
      <c r="AX47" s="6" t="n">
        <v>0</v>
      </c>
      <c r="AY47" s="6" t="n">
        <v>588549.5</v>
      </c>
      <c r="AZ47" s="6" t="n">
        <v>0</v>
      </c>
      <c r="BA47" s="6" t="n">
        <v>0</v>
      </c>
      <c r="BB47" s="6" t="n">
        <v>588549.5</v>
      </c>
      <c r="BC47" s="6" t="n">
        <v>0</v>
      </c>
      <c r="BD47" s="6" t="n">
        <v>0</v>
      </c>
      <c r="BE47" s="6" t="n">
        <v>0</v>
      </c>
      <c r="BF47" s="6" t="n">
        <v>0</v>
      </c>
      <c r="BG47" s="6" t="n">
        <v>0</v>
      </c>
      <c r="BH47" s="6" t="n">
        <v>0</v>
      </c>
      <c r="BI47" s="6" t="n">
        <f aca="false">+BC47+BF47+AW47+AZ47</f>
        <v>0</v>
      </c>
      <c r="BJ47" s="6" t="n">
        <f aca="false">+BD47+BG47+AX47+BA47</f>
        <v>0</v>
      </c>
      <c r="BK47" s="6" t="n">
        <f aca="false">+BE47+BH47+AY47+BB47</f>
        <v>1177099</v>
      </c>
      <c r="BL47" s="6" t="n">
        <v>0</v>
      </c>
      <c r="BM47" s="6" t="n">
        <v>0</v>
      </c>
      <c r="BN47" s="6" t="n">
        <v>0</v>
      </c>
      <c r="BO47" s="6" t="n">
        <v>0</v>
      </c>
      <c r="BP47" s="6" t="n">
        <v>0</v>
      </c>
      <c r="BQ47" s="6" t="n">
        <v>0</v>
      </c>
      <c r="BR47" s="6" t="n">
        <v>0</v>
      </c>
      <c r="BS47" s="6" t="n">
        <v>0</v>
      </c>
      <c r="BT47" s="6" t="n">
        <v>0</v>
      </c>
      <c r="BU47" s="6" t="n">
        <v>0</v>
      </c>
      <c r="BV47" s="6" t="n">
        <v>0</v>
      </c>
      <c r="BW47" s="6" t="n">
        <v>0</v>
      </c>
      <c r="BX47" s="6" t="n">
        <f aca="false">+BR47+BU47+BL47+BO47</f>
        <v>0</v>
      </c>
      <c r="BY47" s="6" t="n">
        <f aca="false">+BS47+BV47+BM47+BP47</f>
        <v>0</v>
      </c>
      <c r="BZ47" s="6" t="n">
        <f aca="false">+BT47+BW47+BN47+BQ47</f>
        <v>0</v>
      </c>
      <c r="CA47" s="6" t="n">
        <v>0</v>
      </c>
      <c r="CB47" s="6" t="n">
        <v>0</v>
      </c>
      <c r="CC47" s="6" t="n">
        <v>0</v>
      </c>
      <c r="CD47" s="6" t="n">
        <v>0</v>
      </c>
      <c r="CE47" s="6" t="n">
        <v>0</v>
      </c>
      <c r="CF47" s="6" t="n">
        <v>0</v>
      </c>
      <c r="CG47" s="6" t="n">
        <v>0</v>
      </c>
      <c r="CH47" s="6" t="n">
        <v>0</v>
      </c>
      <c r="CI47" s="6" t="n">
        <v>0</v>
      </c>
      <c r="CJ47" s="6" t="n">
        <v>0</v>
      </c>
      <c r="CK47" s="6" t="n">
        <v>0</v>
      </c>
      <c r="CL47" s="6" t="n">
        <v>0</v>
      </c>
      <c r="CM47" s="6" t="n">
        <f aca="false">+CG47+CJ47+CA47+CD47</f>
        <v>0</v>
      </c>
      <c r="CN47" s="6" t="n">
        <f aca="false">+CH47+CK47+CB47+CE47</f>
        <v>0</v>
      </c>
      <c r="CO47" s="6" t="n">
        <f aca="false">+CI47+CL47+CC47+CF47</f>
        <v>0</v>
      </c>
      <c r="CP47" s="6" t="n">
        <v>0</v>
      </c>
      <c r="CQ47" s="6" t="n">
        <v>0</v>
      </c>
      <c r="CR47" s="6" t="n">
        <v>0</v>
      </c>
      <c r="CS47" s="6" t="n">
        <v>0</v>
      </c>
      <c r="CT47" s="6" t="n">
        <v>0</v>
      </c>
      <c r="CU47" s="6" t="n">
        <v>0</v>
      </c>
      <c r="CV47" s="6" t="n">
        <v>0</v>
      </c>
      <c r="CW47" s="6" t="n">
        <v>0</v>
      </c>
      <c r="CX47" s="6" t="n">
        <v>0</v>
      </c>
      <c r="CY47" s="6" t="n">
        <v>0</v>
      </c>
      <c r="CZ47" s="6" t="n">
        <v>0</v>
      </c>
      <c r="DA47" s="6" t="n">
        <v>0</v>
      </c>
      <c r="DB47" s="6" t="n">
        <f aca="false">+CV47+CY47+CP47+CS47</f>
        <v>0</v>
      </c>
      <c r="DC47" s="6" t="n">
        <f aca="false">+CW47+CZ47+CQ47+CT47</f>
        <v>0</v>
      </c>
      <c r="DD47" s="6" t="n">
        <f aca="false">+CX47+DA47+CR47+CU47</f>
        <v>0</v>
      </c>
      <c r="DE47" s="6" t="n">
        <v>0</v>
      </c>
      <c r="DF47" s="6" t="n">
        <v>0</v>
      </c>
      <c r="DG47" s="6" t="n">
        <v>0</v>
      </c>
      <c r="DH47" s="6" t="n">
        <v>0</v>
      </c>
      <c r="DI47" s="6" t="n">
        <v>0</v>
      </c>
      <c r="DJ47" s="6" t="n">
        <v>0</v>
      </c>
      <c r="DK47" s="6" t="n">
        <v>0</v>
      </c>
      <c r="DL47" s="6" t="n">
        <v>0</v>
      </c>
      <c r="DM47" s="6" t="n">
        <v>0</v>
      </c>
      <c r="DN47" s="6" t="n">
        <v>0</v>
      </c>
      <c r="DO47" s="6" t="n">
        <v>0</v>
      </c>
      <c r="DP47" s="6" t="n">
        <v>0</v>
      </c>
      <c r="DQ47" s="6" t="n">
        <f aca="false">+DK47+DN47+DE47+DH47</f>
        <v>0</v>
      </c>
      <c r="DR47" s="6" t="n">
        <f aca="false">+DL47+DO47+DF47+DI47</f>
        <v>0</v>
      </c>
      <c r="DS47" s="6" t="n">
        <f aca="false">+DM47+DP47+DG47+DJ47</f>
        <v>0</v>
      </c>
      <c r="DT47" s="31" t="n">
        <f aca="false">+P47+AE47+AT47+BI47+BX47+CM47+DB47</f>
        <v>2715649</v>
      </c>
      <c r="DU47" s="31" t="n">
        <f aca="false">+Q47+AF47+AU47+BJ47+BY47+CN47+DC47</f>
        <v>2715649</v>
      </c>
      <c r="DV47" s="31" t="n">
        <f aca="false">+R47+AG47+AV47+BK47+BZ47+CO47+DD47</f>
        <v>2715649</v>
      </c>
      <c r="DW47" s="31" t="n">
        <f aca="false">+DU47-DV47</f>
        <v>0</v>
      </c>
    </row>
    <row r="48" customFormat="false" ht="13.8" hidden="false" customHeight="false" outlineLevel="0" collapsed="false">
      <c r="A48" s="27" t="n">
        <v>44442</v>
      </c>
      <c r="B48" s="28" t="s">
        <v>260</v>
      </c>
      <c r="C48" s="28" t="s">
        <v>261</v>
      </c>
      <c r="D48" s="29" t="s">
        <v>262</v>
      </c>
      <c r="E48" s="28" t="s">
        <v>263</v>
      </c>
      <c r="F48" s="27" t="s">
        <v>264</v>
      </c>
      <c r="G48" s="27" t="s">
        <v>9</v>
      </c>
      <c r="H48" s="30" t="n">
        <v>100000</v>
      </c>
      <c r="I48" s="30" t="n">
        <v>100000</v>
      </c>
      <c r="J48" s="6" t="n">
        <v>0</v>
      </c>
      <c r="K48" s="6" t="n">
        <v>0</v>
      </c>
      <c r="L48" s="6" t="n">
        <v>0</v>
      </c>
      <c r="M48" s="6" t="n">
        <v>0</v>
      </c>
      <c r="N48" s="6" t="n">
        <v>0</v>
      </c>
      <c r="O48" s="6" t="n">
        <v>0</v>
      </c>
      <c r="P48" s="6" t="n">
        <f aca="false">+J48+M48</f>
        <v>0</v>
      </c>
      <c r="Q48" s="6" t="n">
        <f aca="false">+K48+N48</f>
        <v>0</v>
      </c>
      <c r="R48" s="6" t="n">
        <f aca="false">+L48+O48</f>
        <v>0</v>
      </c>
      <c r="S48" s="6" t="n">
        <v>0</v>
      </c>
      <c r="T48" s="6" t="n">
        <v>0</v>
      </c>
      <c r="U48" s="6" t="n">
        <v>0</v>
      </c>
      <c r="V48" s="6" t="n">
        <v>0</v>
      </c>
      <c r="W48" s="6" t="n">
        <v>0</v>
      </c>
      <c r="X48" s="6" t="n">
        <v>0</v>
      </c>
      <c r="Y48" s="6" t="n">
        <v>0</v>
      </c>
      <c r="Z48" s="6" t="n">
        <v>0</v>
      </c>
      <c r="AA48" s="6" t="n">
        <v>0</v>
      </c>
      <c r="AB48" s="6" t="n">
        <v>0</v>
      </c>
      <c r="AC48" s="6" t="n">
        <v>0</v>
      </c>
      <c r="AD48" s="6" t="n">
        <v>0</v>
      </c>
      <c r="AE48" s="6" t="n">
        <f aca="false">+Y48+AB48+S48+V48</f>
        <v>0</v>
      </c>
      <c r="AF48" s="6" t="n">
        <f aca="false">+Z48+AC48+T48+W48</f>
        <v>0</v>
      </c>
      <c r="AG48" s="6" t="n">
        <f aca="false">+AA48+AD48+U48+X48</f>
        <v>0</v>
      </c>
      <c r="AH48" s="30" t="n">
        <v>100000</v>
      </c>
      <c r="AI48" s="30" t="n">
        <v>100000</v>
      </c>
      <c r="AJ48" s="6" t="n">
        <v>100000</v>
      </c>
      <c r="AK48" s="6" t="n">
        <v>0</v>
      </c>
      <c r="AL48" s="6" t="n">
        <v>0</v>
      </c>
      <c r="AM48" s="6" t="n">
        <v>0</v>
      </c>
      <c r="AN48" s="6" t="n">
        <v>0</v>
      </c>
      <c r="AO48" s="6" t="n">
        <v>0</v>
      </c>
      <c r="AP48" s="6" t="n">
        <v>0</v>
      </c>
      <c r="AQ48" s="6" t="n">
        <v>0</v>
      </c>
      <c r="AR48" s="6" t="n">
        <v>0</v>
      </c>
      <c r="AS48" s="6" t="n">
        <v>0</v>
      </c>
      <c r="AT48" s="6" t="n">
        <f aca="false">+AN48+AQ48+AH48+AK48</f>
        <v>100000</v>
      </c>
      <c r="AU48" s="6" t="n">
        <f aca="false">+AO48+AR48+AI48+AL48</f>
        <v>100000</v>
      </c>
      <c r="AV48" s="6" t="n">
        <f aca="false">+AP48+AS48+AJ48+AM48</f>
        <v>100000</v>
      </c>
      <c r="AW48" s="6" t="n">
        <v>0</v>
      </c>
      <c r="AX48" s="6" t="n">
        <v>0</v>
      </c>
      <c r="AY48" s="6" t="n">
        <v>0</v>
      </c>
      <c r="AZ48" s="6" t="n">
        <v>0</v>
      </c>
      <c r="BA48" s="6" t="n">
        <v>0</v>
      </c>
      <c r="BB48" s="6" t="n">
        <v>0</v>
      </c>
      <c r="BC48" s="6" t="n">
        <v>0</v>
      </c>
      <c r="BD48" s="6" t="n">
        <v>0</v>
      </c>
      <c r="BE48" s="6" t="n">
        <v>0</v>
      </c>
      <c r="BF48" s="6" t="n">
        <v>0</v>
      </c>
      <c r="BG48" s="6" t="n">
        <v>0</v>
      </c>
      <c r="BH48" s="6" t="n">
        <v>0</v>
      </c>
      <c r="BI48" s="6" t="n">
        <f aca="false">+BC48+BF48+AW48+AZ48</f>
        <v>0</v>
      </c>
      <c r="BJ48" s="6" t="n">
        <f aca="false">+BD48+BG48+AX48+BA48</f>
        <v>0</v>
      </c>
      <c r="BK48" s="6" t="n">
        <f aca="false">+BE48+BH48+AY48+BB48</f>
        <v>0</v>
      </c>
      <c r="BL48" s="6" t="n">
        <v>0</v>
      </c>
      <c r="BM48" s="6" t="n">
        <v>0</v>
      </c>
      <c r="BN48" s="6" t="n">
        <v>0</v>
      </c>
      <c r="BO48" s="6" t="n">
        <v>0</v>
      </c>
      <c r="BP48" s="6" t="n">
        <v>0</v>
      </c>
      <c r="BQ48" s="6" t="n">
        <v>0</v>
      </c>
      <c r="BR48" s="6" t="n">
        <v>0</v>
      </c>
      <c r="BS48" s="6" t="n">
        <v>0</v>
      </c>
      <c r="BT48" s="6" t="n">
        <v>0</v>
      </c>
      <c r="BU48" s="6" t="n">
        <v>0</v>
      </c>
      <c r="BV48" s="6" t="n">
        <v>0</v>
      </c>
      <c r="BW48" s="6" t="n">
        <v>0</v>
      </c>
      <c r="BX48" s="6" t="n">
        <f aca="false">+BR48+BU48+BL48+BO48</f>
        <v>0</v>
      </c>
      <c r="BY48" s="6" t="n">
        <f aca="false">+BS48+BV48+BM48+BP48</f>
        <v>0</v>
      </c>
      <c r="BZ48" s="6" t="n">
        <f aca="false">+BT48+BW48+BN48+BQ48</f>
        <v>0</v>
      </c>
      <c r="CA48" s="6" t="n">
        <v>0</v>
      </c>
      <c r="CB48" s="6" t="n">
        <v>0</v>
      </c>
      <c r="CC48" s="6" t="n">
        <v>0</v>
      </c>
      <c r="CD48" s="6" t="n">
        <v>0</v>
      </c>
      <c r="CE48" s="6" t="n">
        <v>0</v>
      </c>
      <c r="CF48" s="6" t="n">
        <v>0</v>
      </c>
      <c r="CG48" s="6" t="n">
        <v>0</v>
      </c>
      <c r="CH48" s="6" t="n">
        <v>0</v>
      </c>
      <c r="CI48" s="6" t="n">
        <v>0</v>
      </c>
      <c r="CJ48" s="6" t="n">
        <v>0</v>
      </c>
      <c r="CK48" s="6" t="n">
        <v>0</v>
      </c>
      <c r="CL48" s="6" t="n">
        <v>0</v>
      </c>
      <c r="CM48" s="6" t="n">
        <f aca="false">+CG48+CJ48+CA48+CD48</f>
        <v>0</v>
      </c>
      <c r="CN48" s="6" t="n">
        <f aca="false">+CH48+CK48+CB48+CE48</f>
        <v>0</v>
      </c>
      <c r="CO48" s="6" t="n">
        <f aca="false">+CI48+CL48+CC48+CF48</f>
        <v>0</v>
      </c>
      <c r="CP48" s="6" t="n">
        <v>0</v>
      </c>
      <c r="CQ48" s="6" t="n">
        <v>0</v>
      </c>
      <c r="CR48" s="6" t="n">
        <v>0</v>
      </c>
      <c r="CS48" s="6" t="n">
        <v>0</v>
      </c>
      <c r="CT48" s="6" t="n">
        <v>0</v>
      </c>
      <c r="CU48" s="6" t="n">
        <v>0</v>
      </c>
      <c r="CV48" s="6" t="n">
        <v>0</v>
      </c>
      <c r="CW48" s="6" t="n">
        <v>0</v>
      </c>
      <c r="CX48" s="6" t="n">
        <v>0</v>
      </c>
      <c r="CY48" s="6" t="n">
        <v>0</v>
      </c>
      <c r="CZ48" s="6" t="n">
        <v>0</v>
      </c>
      <c r="DA48" s="6" t="n">
        <v>0</v>
      </c>
      <c r="DB48" s="6" t="n">
        <f aca="false">+CV48+CY48+CP48+CS48</f>
        <v>0</v>
      </c>
      <c r="DC48" s="6" t="n">
        <f aca="false">+CW48+CZ48+CQ48+CT48</f>
        <v>0</v>
      </c>
      <c r="DD48" s="6" t="n">
        <f aca="false">+CX48+DA48+CR48+CU48</f>
        <v>0</v>
      </c>
      <c r="DE48" s="6" t="n">
        <v>0</v>
      </c>
      <c r="DF48" s="6" t="n">
        <v>0</v>
      </c>
      <c r="DG48" s="6" t="n">
        <v>0</v>
      </c>
      <c r="DH48" s="6" t="n">
        <v>0</v>
      </c>
      <c r="DI48" s="6" t="n">
        <v>0</v>
      </c>
      <c r="DJ48" s="6" t="n">
        <v>0</v>
      </c>
      <c r="DK48" s="6" t="n">
        <v>0</v>
      </c>
      <c r="DL48" s="6" t="n">
        <v>0</v>
      </c>
      <c r="DM48" s="6" t="n">
        <v>0</v>
      </c>
      <c r="DN48" s="6" t="n">
        <v>0</v>
      </c>
      <c r="DO48" s="6" t="n">
        <v>0</v>
      </c>
      <c r="DP48" s="6" t="n">
        <v>0</v>
      </c>
      <c r="DQ48" s="6" t="n">
        <f aca="false">+DK48+DN48+DE48+DH48</f>
        <v>0</v>
      </c>
      <c r="DR48" s="6" t="n">
        <f aca="false">+DL48+DO48+DF48+DI48</f>
        <v>0</v>
      </c>
      <c r="DS48" s="6" t="n">
        <f aca="false">+DM48+DP48+DG48+DJ48</f>
        <v>0</v>
      </c>
      <c r="DT48" s="31" t="n">
        <f aca="false">+P48+AE48+AT48+BI48+BX48+CM48+DB48</f>
        <v>100000</v>
      </c>
      <c r="DU48" s="31" t="n">
        <f aca="false">+Q48+AF48+AU48+BJ48+BY48+CN48+DC48</f>
        <v>100000</v>
      </c>
      <c r="DV48" s="31" t="n">
        <f aca="false">+R48+AG48+AV48+BK48+BZ48+CO48+DD48</f>
        <v>100000</v>
      </c>
      <c r="DW48" s="31" t="n">
        <f aca="false">+DU48-DV48</f>
        <v>0</v>
      </c>
    </row>
    <row r="49" customFormat="false" ht="13.8" hidden="false" customHeight="false" outlineLevel="0" collapsed="false">
      <c r="A49" s="27" t="n">
        <v>44509</v>
      </c>
      <c r="B49" s="28" t="s">
        <v>265</v>
      </c>
      <c r="C49" s="28" t="s">
        <v>266</v>
      </c>
      <c r="D49" s="29" t="s">
        <v>267</v>
      </c>
      <c r="E49" s="28" t="s">
        <v>268</v>
      </c>
      <c r="F49" s="27" t="s">
        <v>269</v>
      </c>
      <c r="G49" s="27" t="s">
        <v>9</v>
      </c>
      <c r="H49" s="30" t="n">
        <v>2160000</v>
      </c>
      <c r="I49" s="30" t="n">
        <v>2160000</v>
      </c>
      <c r="J49" s="6" t="n">
        <v>0</v>
      </c>
      <c r="K49" s="6" t="n">
        <v>0</v>
      </c>
      <c r="L49" s="6" t="n">
        <v>0</v>
      </c>
      <c r="M49" s="6" t="n">
        <v>0</v>
      </c>
      <c r="N49" s="6" t="n">
        <v>0</v>
      </c>
      <c r="O49" s="6" t="n">
        <v>0</v>
      </c>
      <c r="P49" s="6" t="n">
        <f aca="false">+J49+M49</f>
        <v>0</v>
      </c>
      <c r="Q49" s="6" t="n">
        <f aca="false">+K49+N49</f>
        <v>0</v>
      </c>
      <c r="R49" s="6" t="n">
        <f aca="false">+L49+O49</f>
        <v>0</v>
      </c>
      <c r="S49" s="6" t="n">
        <v>0</v>
      </c>
      <c r="T49" s="6" t="n">
        <v>0</v>
      </c>
      <c r="U49" s="6" t="n">
        <v>0</v>
      </c>
      <c r="V49" s="6" t="n">
        <v>0</v>
      </c>
      <c r="W49" s="6" t="n">
        <v>0</v>
      </c>
      <c r="X49" s="6" t="n">
        <v>0</v>
      </c>
      <c r="Y49" s="6" t="n">
        <v>0</v>
      </c>
      <c r="Z49" s="6" t="n">
        <v>0</v>
      </c>
      <c r="AA49" s="6" t="n">
        <v>0</v>
      </c>
      <c r="AB49" s="6" t="n">
        <v>0</v>
      </c>
      <c r="AC49" s="6" t="n">
        <v>0</v>
      </c>
      <c r="AD49" s="6" t="n">
        <v>0</v>
      </c>
      <c r="AE49" s="6" t="n">
        <f aca="false">+Y49+AB49+S49+V49</f>
        <v>0</v>
      </c>
      <c r="AF49" s="6" t="n">
        <f aca="false">+Z49+AC49+T49+W49</f>
        <v>0</v>
      </c>
      <c r="AG49" s="6" t="n">
        <f aca="false">+AA49+AD49+U49+X49</f>
        <v>0</v>
      </c>
      <c r="AH49" s="30" t="n">
        <v>2160000</v>
      </c>
      <c r="AI49" s="30" t="n">
        <v>2160000</v>
      </c>
      <c r="AJ49" s="6" t="n">
        <v>0</v>
      </c>
      <c r="AK49" s="6" t="n">
        <v>0</v>
      </c>
      <c r="AL49" s="6" t="n">
        <v>0</v>
      </c>
      <c r="AM49" s="6" t="n">
        <v>1600000</v>
      </c>
      <c r="AN49" s="6" t="n">
        <v>0</v>
      </c>
      <c r="AO49" s="6" t="n">
        <v>0</v>
      </c>
      <c r="AP49" s="6" t="n">
        <v>560000</v>
      </c>
      <c r="AQ49" s="6" t="n">
        <v>0</v>
      </c>
      <c r="AR49" s="6" t="n">
        <v>0</v>
      </c>
      <c r="AS49" s="6" t="n">
        <v>0</v>
      </c>
      <c r="AT49" s="6" t="n">
        <f aca="false">+AN49+AQ49+AH49+AK49</f>
        <v>2160000</v>
      </c>
      <c r="AU49" s="6" t="n">
        <f aca="false">+AO49+AR49+AI49+AL49</f>
        <v>2160000</v>
      </c>
      <c r="AV49" s="6" t="n">
        <f aca="false">+AP49+AS49+AJ49+AM49</f>
        <v>2160000</v>
      </c>
      <c r="AW49" s="6" t="n">
        <v>0</v>
      </c>
      <c r="AX49" s="6" t="n">
        <v>0</v>
      </c>
      <c r="AY49" s="6" t="n">
        <v>0</v>
      </c>
      <c r="AZ49" s="6" t="n">
        <v>0</v>
      </c>
      <c r="BA49" s="6" t="n">
        <v>0</v>
      </c>
      <c r="BB49" s="6" t="n">
        <v>0</v>
      </c>
      <c r="BC49" s="6" t="n">
        <v>0</v>
      </c>
      <c r="BD49" s="6" t="n">
        <v>0</v>
      </c>
      <c r="BE49" s="6" t="n">
        <v>0</v>
      </c>
      <c r="BF49" s="6" t="n">
        <v>0</v>
      </c>
      <c r="BG49" s="6" t="n">
        <v>0</v>
      </c>
      <c r="BH49" s="6" t="n">
        <v>0</v>
      </c>
      <c r="BI49" s="6" t="n">
        <f aca="false">+BC49+BF49+AW49+AZ49</f>
        <v>0</v>
      </c>
      <c r="BJ49" s="6" t="n">
        <f aca="false">+BD49+BG49+AX49+BA49</f>
        <v>0</v>
      </c>
      <c r="BK49" s="6" t="n">
        <f aca="false">+BE49+BH49+AY49+BB49</f>
        <v>0</v>
      </c>
      <c r="BL49" s="6" t="n">
        <v>0</v>
      </c>
      <c r="BM49" s="6" t="n">
        <v>0</v>
      </c>
      <c r="BN49" s="6" t="n">
        <v>0</v>
      </c>
      <c r="BO49" s="6" t="n">
        <v>0</v>
      </c>
      <c r="BP49" s="6" t="n">
        <v>0</v>
      </c>
      <c r="BQ49" s="6" t="n">
        <v>0</v>
      </c>
      <c r="BR49" s="6" t="n">
        <v>0</v>
      </c>
      <c r="BS49" s="6" t="n">
        <v>0</v>
      </c>
      <c r="BT49" s="6" t="n">
        <v>0</v>
      </c>
      <c r="BU49" s="6" t="n">
        <v>0</v>
      </c>
      <c r="BV49" s="6" t="n">
        <v>0</v>
      </c>
      <c r="BW49" s="6" t="n">
        <v>0</v>
      </c>
      <c r="BX49" s="6" t="n">
        <f aca="false">+BR49+BU49+BL49+BO49</f>
        <v>0</v>
      </c>
      <c r="BY49" s="6" t="n">
        <f aca="false">+BS49+BV49+BM49+BP49</f>
        <v>0</v>
      </c>
      <c r="BZ49" s="6" t="n">
        <f aca="false">+BT49+BW49+BN49+BQ49</f>
        <v>0</v>
      </c>
      <c r="CA49" s="6" t="n">
        <v>0</v>
      </c>
      <c r="CB49" s="6" t="n">
        <v>0</v>
      </c>
      <c r="CC49" s="6" t="n">
        <v>0</v>
      </c>
      <c r="CD49" s="6" t="n">
        <v>0</v>
      </c>
      <c r="CE49" s="6" t="n">
        <v>0</v>
      </c>
      <c r="CF49" s="6" t="n">
        <v>0</v>
      </c>
      <c r="CG49" s="6" t="n">
        <v>0</v>
      </c>
      <c r="CH49" s="6" t="n">
        <v>0</v>
      </c>
      <c r="CI49" s="6" t="n">
        <v>0</v>
      </c>
      <c r="CJ49" s="6" t="n">
        <v>0</v>
      </c>
      <c r="CK49" s="6" t="n">
        <v>0</v>
      </c>
      <c r="CL49" s="6" t="n">
        <v>0</v>
      </c>
      <c r="CM49" s="6" t="n">
        <f aca="false">+CG49+CJ49+CA49+CD49</f>
        <v>0</v>
      </c>
      <c r="CN49" s="6" t="n">
        <f aca="false">+CH49+CK49+CB49+CE49</f>
        <v>0</v>
      </c>
      <c r="CO49" s="6" t="n">
        <f aca="false">+CI49+CL49+CC49+CF49</f>
        <v>0</v>
      </c>
      <c r="CP49" s="6" t="n">
        <v>0</v>
      </c>
      <c r="CQ49" s="6" t="n">
        <v>0</v>
      </c>
      <c r="CR49" s="6" t="n">
        <v>0</v>
      </c>
      <c r="CS49" s="6" t="n">
        <v>0</v>
      </c>
      <c r="CT49" s="6" t="n">
        <v>0</v>
      </c>
      <c r="CU49" s="6" t="n">
        <v>0</v>
      </c>
      <c r="CV49" s="6" t="n">
        <v>0</v>
      </c>
      <c r="CW49" s="6" t="n">
        <v>0</v>
      </c>
      <c r="CX49" s="6" t="n">
        <v>0</v>
      </c>
      <c r="CY49" s="6" t="n">
        <v>0</v>
      </c>
      <c r="CZ49" s="6" t="n">
        <v>0</v>
      </c>
      <c r="DA49" s="6" t="n">
        <v>0</v>
      </c>
      <c r="DB49" s="6" t="n">
        <f aca="false">+CV49+CY49+CP49+CS49</f>
        <v>0</v>
      </c>
      <c r="DC49" s="6" t="n">
        <f aca="false">+CW49+CZ49+CQ49+CT49</f>
        <v>0</v>
      </c>
      <c r="DD49" s="6" t="n">
        <f aca="false">+CX49+DA49+CR49+CU49</f>
        <v>0</v>
      </c>
      <c r="DE49" s="6" t="n">
        <v>0</v>
      </c>
      <c r="DF49" s="6" t="n">
        <v>0</v>
      </c>
      <c r="DG49" s="6" t="n">
        <v>0</v>
      </c>
      <c r="DH49" s="6" t="n">
        <v>0</v>
      </c>
      <c r="DI49" s="6" t="n">
        <v>0</v>
      </c>
      <c r="DJ49" s="6" t="n">
        <v>0</v>
      </c>
      <c r="DK49" s="6" t="n">
        <v>0</v>
      </c>
      <c r="DL49" s="6" t="n">
        <v>0</v>
      </c>
      <c r="DM49" s="6" t="n">
        <v>0</v>
      </c>
      <c r="DN49" s="6" t="n">
        <v>0</v>
      </c>
      <c r="DO49" s="6" t="n">
        <v>0</v>
      </c>
      <c r="DP49" s="6" t="n">
        <v>0</v>
      </c>
      <c r="DQ49" s="6" t="n">
        <f aca="false">+DK49+DN49+DE49+DH49</f>
        <v>0</v>
      </c>
      <c r="DR49" s="6" t="n">
        <f aca="false">+DL49+DO49+DF49+DI49</f>
        <v>0</v>
      </c>
      <c r="DS49" s="6" t="n">
        <f aca="false">+DM49+DP49+DG49+DJ49</f>
        <v>0</v>
      </c>
      <c r="DT49" s="31" t="n">
        <f aca="false">+P49+AE49+AT49+BI49+BX49+CM49+DB49</f>
        <v>2160000</v>
      </c>
      <c r="DU49" s="31" t="n">
        <f aca="false">+Q49+AF49+AU49+BJ49+BY49+CN49+DC49</f>
        <v>2160000</v>
      </c>
      <c r="DV49" s="31" t="n">
        <f aca="false">+R49+AG49+AV49+BK49+BZ49+CO49+DD49</f>
        <v>2160000</v>
      </c>
      <c r="DW49" s="31" t="n">
        <f aca="false">+DU49-DV49</f>
        <v>0</v>
      </c>
    </row>
    <row r="50" customFormat="false" ht="13.8" hidden="false" customHeight="false" outlineLevel="0" collapsed="false">
      <c r="A50" s="27" t="n">
        <v>44547</v>
      </c>
      <c r="B50" s="28" t="s">
        <v>270</v>
      </c>
      <c r="C50" s="28" t="s">
        <v>271</v>
      </c>
      <c r="D50" s="29" t="s">
        <v>272</v>
      </c>
      <c r="E50" s="28" t="s">
        <v>273</v>
      </c>
      <c r="F50" s="27" t="s">
        <v>274</v>
      </c>
      <c r="G50" s="27" t="s">
        <v>10</v>
      </c>
      <c r="H50" s="30" t="n">
        <v>750000</v>
      </c>
      <c r="I50" s="30" t="n">
        <v>750000</v>
      </c>
      <c r="J50" s="6" t="n">
        <v>0</v>
      </c>
      <c r="K50" s="6" t="n">
        <v>0</v>
      </c>
      <c r="L50" s="6" t="n">
        <v>0</v>
      </c>
      <c r="M50" s="6" t="n">
        <v>0</v>
      </c>
      <c r="N50" s="6" t="n">
        <v>0</v>
      </c>
      <c r="O50" s="6" t="n">
        <v>0</v>
      </c>
      <c r="P50" s="6" t="n">
        <f aca="false">+J50+M50</f>
        <v>0</v>
      </c>
      <c r="Q50" s="6" t="n">
        <f aca="false">+K50+N50</f>
        <v>0</v>
      </c>
      <c r="R50" s="6" t="n">
        <f aca="false">+L50+O50</f>
        <v>0</v>
      </c>
      <c r="S50" s="6" t="n">
        <v>0</v>
      </c>
      <c r="T50" s="6" t="n">
        <v>0</v>
      </c>
      <c r="U50" s="6" t="n">
        <v>0</v>
      </c>
      <c r="V50" s="6" t="n">
        <v>0</v>
      </c>
      <c r="W50" s="6" t="n">
        <v>0</v>
      </c>
      <c r="X50" s="6" t="n">
        <v>0</v>
      </c>
      <c r="Y50" s="6" t="n">
        <v>0</v>
      </c>
      <c r="Z50" s="6" t="n">
        <v>0</v>
      </c>
      <c r="AA50" s="6" t="n">
        <v>0</v>
      </c>
      <c r="AB50" s="6" t="n">
        <v>0</v>
      </c>
      <c r="AC50" s="6" t="n">
        <v>0</v>
      </c>
      <c r="AD50" s="6" t="n">
        <v>0</v>
      </c>
      <c r="AE50" s="6" t="n">
        <f aca="false">+Y50+AB50+S50+V50</f>
        <v>0</v>
      </c>
      <c r="AF50" s="6" t="n">
        <f aca="false">+Z50+AC50+T50+W50</f>
        <v>0</v>
      </c>
      <c r="AG50" s="6" t="n">
        <f aca="false">+AA50+AD50+U50+X50</f>
        <v>0</v>
      </c>
      <c r="AH50" s="6" t="n">
        <v>0</v>
      </c>
      <c r="AI50" s="6" t="n">
        <v>0</v>
      </c>
      <c r="AJ50" s="6" t="n">
        <v>0</v>
      </c>
      <c r="AK50" s="30" t="n">
        <v>750000</v>
      </c>
      <c r="AL50" s="30" t="n">
        <v>750000</v>
      </c>
      <c r="AM50" s="6" t="n">
        <v>136000</v>
      </c>
      <c r="AN50" s="6" t="n">
        <v>0</v>
      </c>
      <c r="AO50" s="6" t="n">
        <v>0</v>
      </c>
      <c r="AP50" s="6" t="n">
        <v>60000</v>
      </c>
      <c r="AQ50" s="6" t="n">
        <v>0</v>
      </c>
      <c r="AR50" s="6" t="n">
        <v>0</v>
      </c>
      <c r="AS50" s="6" t="n">
        <v>138500</v>
      </c>
      <c r="AT50" s="6" t="n">
        <f aca="false">+AN50+AQ50+AH50+AK50</f>
        <v>750000</v>
      </c>
      <c r="AU50" s="6" t="n">
        <f aca="false">+AO50+AR50+AI50+AL50</f>
        <v>750000</v>
      </c>
      <c r="AV50" s="6" t="n">
        <f aca="false">+AP50+AS50+AJ50+AM50</f>
        <v>334500</v>
      </c>
      <c r="AW50" s="6" t="n">
        <v>0</v>
      </c>
      <c r="AX50" s="6" t="n">
        <v>0</v>
      </c>
      <c r="AY50" s="6" t="n">
        <v>138500</v>
      </c>
      <c r="AZ50" s="6" t="n">
        <v>0</v>
      </c>
      <c r="BA50" s="6" t="n">
        <v>0</v>
      </c>
      <c r="BB50" s="6" t="n">
        <v>277000</v>
      </c>
      <c r="BC50" s="6" t="n">
        <v>0</v>
      </c>
      <c r="BD50" s="6" t="n">
        <v>0</v>
      </c>
      <c r="BE50" s="6" t="n">
        <v>0</v>
      </c>
      <c r="BF50" s="6" t="n">
        <v>0</v>
      </c>
      <c r="BG50" s="6" t="n">
        <v>0</v>
      </c>
      <c r="BH50" s="6" t="n">
        <v>0</v>
      </c>
      <c r="BI50" s="6" t="n">
        <f aca="false">+BC50+BF50+AW50+AZ50</f>
        <v>0</v>
      </c>
      <c r="BJ50" s="6" t="n">
        <f aca="false">+BD50+BG50+AX50+BA50</f>
        <v>0</v>
      </c>
      <c r="BK50" s="6" t="n">
        <f aca="false">+BE50+BH50+AY50+BB50</f>
        <v>415500</v>
      </c>
      <c r="BL50" s="6" t="n">
        <v>0</v>
      </c>
      <c r="BM50" s="6" t="n">
        <v>0</v>
      </c>
      <c r="BN50" s="6" t="n">
        <v>0</v>
      </c>
      <c r="BO50" s="6" t="n">
        <v>0</v>
      </c>
      <c r="BP50" s="6" t="n">
        <v>0</v>
      </c>
      <c r="BQ50" s="6" t="n">
        <v>0</v>
      </c>
      <c r="BR50" s="6" t="n">
        <v>0</v>
      </c>
      <c r="BS50" s="6" t="n">
        <v>0</v>
      </c>
      <c r="BT50" s="6" t="n">
        <v>0</v>
      </c>
      <c r="BU50" s="6" t="n">
        <v>0</v>
      </c>
      <c r="BV50" s="6" t="n">
        <v>0</v>
      </c>
      <c r="BW50" s="6" t="n">
        <v>0</v>
      </c>
      <c r="BX50" s="6" t="n">
        <f aca="false">+BR50+BU50+BL50+BO50</f>
        <v>0</v>
      </c>
      <c r="BY50" s="6" t="n">
        <f aca="false">+BS50+BV50+BM50+BP50</f>
        <v>0</v>
      </c>
      <c r="BZ50" s="6" t="n">
        <f aca="false">+BT50+BW50+BN50+BQ50</f>
        <v>0</v>
      </c>
      <c r="CA50" s="6" t="n">
        <v>0</v>
      </c>
      <c r="CB50" s="6" t="n">
        <v>0</v>
      </c>
      <c r="CC50" s="6" t="n">
        <v>0</v>
      </c>
      <c r="CD50" s="6" t="n">
        <v>0</v>
      </c>
      <c r="CE50" s="6" t="n">
        <v>0</v>
      </c>
      <c r="CF50" s="6" t="n">
        <v>0</v>
      </c>
      <c r="CG50" s="6" t="n">
        <v>0</v>
      </c>
      <c r="CH50" s="6" t="n">
        <v>0</v>
      </c>
      <c r="CI50" s="6" t="n">
        <v>0</v>
      </c>
      <c r="CJ50" s="6" t="n">
        <v>0</v>
      </c>
      <c r="CK50" s="6" t="n">
        <v>0</v>
      </c>
      <c r="CL50" s="6" t="n">
        <v>0</v>
      </c>
      <c r="CM50" s="6" t="n">
        <f aca="false">+CG50+CJ50+CA50+CD50</f>
        <v>0</v>
      </c>
      <c r="CN50" s="6" t="n">
        <f aca="false">+CH50+CK50+CB50+CE50</f>
        <v>0</v>
      </c>
      <c r="CO50" s="6" t="n">
        <f aca="false">+CI50+CL50+CC50+CF50</f>
        <v>0</v>
      </c>
      <c r="CP50" s="6" t="n">
        <v>0</v>
      </c>
      <c r="CQ50" s="6" t="n">
        <v>0</v>
      </c>
      <c r="CR50" s="6" t="n">
        <v>0</v>
      </c>
      <c r="CS50" s="6" t="n">
        <v>0</v>
      </c>
      <c r="CT50" s="6" t="n">
        <v>0</v>
      </c>
      <c r="CU50" s="6" t="n">
        <v>0</v>
      </c>
      <c r="CV50" s="6" t="n">
        <v>0</v>
      </c>
      <c r="CW50" s="6" t="n">
        <v>0</v>
      </c>
      <c r="CX50" s="6" t="n">
        <v>0</v>
      </c>
      <c r="CY50" s="6" t="n">
        <v>0</v>
      </c>
      <c r="CZ50" s="6" t="n">
        <v>0</v>
      </c>
      <c r="DA50" s="6" t="n">
        <v>0</v>
      </c>
      <c r="DB50" s="6" t="n">
        <f aca="false">+CV50+CY50+CP50+CS50</f>
        <v>0</v>
      </c>
      <c r="DC50" s="6" t="n">
        <f aca="false">+CW50+CZ50+CQ50+CT50</f>
        <v>0</v>
      </c>
      <c r="DD50" s="6" t="n">
        <f aca="false">+CX50+DA50+CR50+CU50</f>
        <v>0</v>
      </c>
      <c r="DE50" s="6" t="n">
        <v>0</v>
      </c>
      <c r="DF50" s="6" t="n">
        <v>0</v>
      </c>
      <c r="DG50" s="6" t="n">
        <v>0</v>
      </c>
      <c r="DH50" s="6" t="n">
        <v>0</v>
      </c>
      <c r="DI50" s="6" t="n">
        <v>0</v>
      </c>
      <c r="DJ50" s="6" t="n">
        <v>0</v>
      </c>
      <c r="DK50" s="6" t="n">
        <v>0</v>
      </c>
      <c r="DL50" s="6" t="n">
        <v>0</v>
      </c>
      <c r="DM50" s="6" t="n">
        <v>0</v>
      </c>
      <c r="DN50" s="6" t="n">
        <v>0</v>
      </c>
      <c r="DO50" s="6" t="n">
        <v>0</v>
      </c>
      <c r="DP50" s="6" t="n">
        <v>0</v>
      </c>
      <c r="DQ50" s="6" t="n">
        <f aca="false">+DK50+DN50+DE50+DH50</f>
        <v>0</v>
      </c>
      <c r="DR50" s="6" t="n">
        <f aca="false">+DL50+DO50+DF50+DI50</f>
        <v>0</v>
      </c>
      <c r="DS50" s="6" t="n">
        <f aca="false">+DM50+DP50+DG50+DJ50</f>
        <v>0</v>
      </c>
      <c r="DT50" s="31" t="n">
        <f aca="false">+P50+AE50+AT50+BI50+BX50+CM50+DB50</f>
        <v>750000</v>
      </c>
      <c r="DU50" s="31" t="n">
        <f aca="false">+Q50+AF50+AU50+BJ50+BY50+CN50+DC50</f>
        <v>750000</v>
      </c>
      <c r="DV50" s="31" t="n">
        <f aca="false">+R50+AG50+AV50+BK50+BZ50+CO50+DD50</f>
        <v>750000</v>
      </c>
      <c r="DW50" s="31" t="n">
        <f aca="false">+DU50-DV50</f>
        <v>0</v>
      </c>
    </row>
    <row r="51" customFormat="false" ht="13.8" hidden="false" customHeight="false" outlineLevel="0" collapsed="false">
      <c r="A51" s="27" t="n">
        <v>44547</v>
      </c>
      <c r="B51" s="28" t="s">
        <v>270</v>
      </c>
      <c r="C51" s="28" t="s">
        <v>271</v>
      </c>
      <c r="D51" s="29" t="s">
        <v>272</v>
      </c>
      <c r="E51" s="28" t="s">
        <v>273</v>
      </c>
      <c r="F51" s="27" t="s">
        <v>274</v>
      </c>
      <c r="G51" s="27" t="s">
        <v>10</v>
      </c>
      <c r="H51" s="30" t="n">
        <v>83000</v>
      </c>
      <c r="I51" s="30" t="n">
        <v>83000</v>
      </c>
      <c r="J51" s="6" t="n">
        <v>0</v>
      </c>
      <c r="K51" s="6" t="n">
        <v>0</v>
      </c>
      <c r="L51" s="6" t="n">
        <v>0</v>
      </c>
      <c r="M51" s="6" t="n">
        <v>0</v>
      </c>
      <c r="N51" s="6" t="n">
        <v>0</v>
      </c>
      <c r="O51" s="6" t="n">
        <v>0</v>
      </c>
      <c r="P51" s="6" t="n">
        <f aca="false">+J51+M51</f>
        <v>0</v>
      </c>
      <c r="Q51" s="6" t="n">
        <f aca="false">+K51+N51</f>
        <v>0</v>
      </c>
      <c r="R51" s="6" t="n">
        <f aca="false">+L51+O51</f>
        <v>0</v>
      </c>
      <c r="S51" s="6" t="n">
        <v>0</v>
      </c>
      <c r="T51" s="6" t="n">
        <v>0</v>
      </c>
      <c r="U51" s="6" t="n">
        <v>0</v>
      </c>
      <c r="V51" s="6" t="n">
        <v>0</v>
      </c>
      <c r="W51" s="6" t="n">
        <v>0</v>
      </c>
      <c r="X51" s="6" t="n">
        <v>0</v>
      </c>
      <c r="Y51" s="6" t="n">
        <v>0</v>
      </c>
      <c r="Z51" s="6" t="n">
        <v>0</v>
      </c>
      <c r="AA51" s="6" t="n">
        <v>0</v>
      </c>
      <c r="AB51" s="6" t="n">
        <v>0</v>
      </c>
      <c r="AC51" s="6" t="n">
        <v>0</v>
      </c>
      <c r="AD51" s="6" t="n">
        <v>0</v>
      </c>
      <c r="AE51" s="6" t="n">
        <f aca="false">+Y51+AB51+S51+V51</f>
        <v>0</v>
      </c>
      <c r="AF51" s="6" t="n">
        <f aca="false">+Z51+AC51+T51+W51</f>
        <v>0</v>
      </c>
      <c r="AG51" s="6" t="n">
        <f aca="false">+AA51+AD51+U51+X51</f>
        <v>0</v>
      </c>
      <c r="AH51" s="6" t="n">
        <v>0</v>
      </c>
      <c r="AI51" s="6" t="n">
        <v>0</v>
      </c>
      <c r="AJ51" s="6" t="n">
        <v>0</v>
      </c>
      <c r="AK51" s="30" t="n">
        <v>83000</v>
      </c>
      <c r="AL51" s="30" t="n">
        <v>83000</v>
      </c>
      <c r="AM51" s="6" t="n">
        <v>0</v>
      </c>
      <c r="AN51" s="6" t="n">
        <v>0</v>
      </c>
      <c r="AO51" s="6" t="n">
        <v>0</v>
      </c>
      <c r="AP51" s="6" t="n">
        <v>0</v>
      </c>
      <c r="AQ51" s="6" t="n">
        <v>0</v>
      </c>
      <c r="AR51" s="6" t="n">
        <v>0</v>
      </c>
      <c r="AS51" s="6" t="n">
        <v>20750</v>
      </c>
      <c r="AT51" s="6" t="n">
        <f aca="false">+AN51+AQ51+AH51+AK51</f>
        <v>83000</v>
      </c>
      <c r="AU51" s="6" t="n">
        <f aca="false">+AO51+AR51+AI51+AL51</f>
        <v>83000</v>
      </c>
      <c r="AV51" s="6" t="n">
        <f aca="false">+AP51+AS51+AJ51+AM51</f>
        <v>20750</v>
      </c>
      <c r="AW51" s="6" t="n">
        <v>0</v>
      </c>
      <c r="AX51" s="6" t="n">
        <v>0</v>
      </c>
      <c r="AY51" s="6" t="n">
        <v>20750</v>
      </c>
      <c r="AZ51" s="6" t="n">
        <v>0</v>
      </c>
      <c r="BA51" s="6" t="n">
        <v>0</v>
      </c>
      <c r="BB51" s="6" t="n">
        <v>41500</v>
      </c>
      <c r="BC51" s="6" t="n">
        <v>0</v>
      </c>
      <c r="BD51" s="6" t="n">
        <v>0</v>
      </c>
      <c r="BE51" s="6" t="n">
        <v>0</v>
      </c>
      <c r="BF51" s="6" t="n">
        <v>0</v>
      </c>
      <c r="BG51" s="6" t="n">
        <v>0</v>
      </c>
      <c r="BH51" s="6" t="n">
        <v>0</v>
      </c>
      <c r="BI51" s="6" t="n">
        <f aca="false">+BC51+BF51+AW51+AZ51</f>
        <v>0</v>
      </c>
      <c r="BJ51" s="6" t="n">
        <f aca="false">+BD51+BG51+AX51+BA51</f>
        <v>0</v>
      </c>
      <c r="BK51" s="6" t="n">
        <f aca="false">+BE51+BH51+AY51+BB51</f>
        <v>62250</v>
      </c>
      <c r="BL51" s="6" t="n">
        <v>0</v>
      </c>
      <c r="BM51" s="6" t="n">
        <v>0</v>
      </c>
      <c r="BN51" s="6" t="n">
        <v>0</v>
      </c>
      <c r="BO51" s="6" t="n">
        <v>0</v>
      </c>
      <c r="BP51" s="6" t="n">
        <v>0</v>
      </c>
      <c r="BQ51" s="6" t="n">
        <v>0</v>
      </c>
      <c r="BR51" s="6" t="n">
        <v>0</v>
      </c>
      <c r="BS51" s="6" t="n">
        <v>0</v>
      </c>
      <c r="BT51" s="6" t="n">
        <v>0</v>
      </c>
      <c r="BU51" s="6" t="n">
        <v>0</v>
      </c>
      <c r="BV51" s="6" t="n">
        <v>0</v>
      </c>
      <c r="BW51" s="6" t="n">
        <v>0</v>
      </c>
      <c r="BX51" s="6" t="n">
        <f aca="false">+BR51+BU51+BL51+BO51</f>
        <v>0</v>
      </c>
      <c r="BY51" s="6" t="n">
        <f aca="false">+BS51+BV51+BM51+BP51</f>
        <v>0</v>
      </c>
      <c r="BZ51" s="6" t="n">
        <f aca="false">+BT51+BW51+BN51+BQ51</f>
        <v>0</v>
      </c>
      <c r="CA51" s="6" t="n">
        <v>0</v>
      </c>
      <c r="CB51" s="6" t="n">
        <v>0</v>
      </c>
      <c r="CC51" s="6" t="n">
        <v>0</v>
      </c>
      <c r="CD51" s="6" t="n">
        <v>0</v>
      </c>
      <c r="CE51" s="6" t="n">
        <v>0</v>
      </c>
      <c r="CF51" s="6" t="n">
        <v>0</v>
      </c>
      <c r="CG51" s="6" t="n">
        <v>0</v>
      </c>
      <c r="CH51" s="6" t="n">
        <v>0</v>
      </c>
      <c r="CI51" s="6" t="n">
        <v>0</v>
      </c>
      <c r="CJ51" s="6" t="n">
        <v>0</v>
      </c>
      <c r="CK51" s="6" t="n">
        <v>0</v>
      </c>
      <c r="CL51" s="6" t="n">
        <v>0</v>
      </c>
      <c r="CM51" s="6" t="n">
        <f aca="false">+CG51+CJ51+CA51+CD51</f>
        <v>0</v>
      </c>
      <c r="CN51" s="6" t="n">
        <f aca="false">+CH51+CK51+CB51+CE51</f>
        <v>0</v>
      </c>
      <c r="CO51" s="6" t="n">
        <f aca="false">+CI51+CL51+CC51+CF51</f>
        <v>0</v>
      </c>
      <c r="CP51" s="6" t="n">
        <v>0</v>
      </c>
      <c r="CQ51" s="6" t="n">
        <v>0</v>
      </c>
      <c r="CR51" s="6" t="n">
        <v>0</v>
      </c>
      <c r="CS51" s="6" t="n">
        <v>0</v>
      </c>
      <c r="CT51" s="6" t="n">
        <v>0</v>
      </c>
      <c r="CU51" s="6" t="n">
        <v>0</v>
      </c>
      <c r="CV51" s="6" t="n">
        <v>0</v>
      </c>
      <c r="CW51" s="6" t="n">
        <v>0</v>
      </c>
      <c r="CX51" s="6" t="n">
        <v>0</v>
      </c>
      <c r="CY51" s="6" t="n">
        <v>0</v>
      </c>
      <c r="CZ51" s="6" t="n">
        <v>0</v>
      </c>
      <c r="DA51" s="6" t="n">
        <v>0</v>
      </c>
      <c r="DB51" s="6" t="n">
        <f aca="false">+CV51+CY51+CP51+CS51</f>
        <v>0</v>
      </c>
      <c r="DC51" s="6" t="n">
        <f aca="false">+CW51+CZ51+CQ51+CT51</f>
        <v>0</v>
      </c>
      <c r="DD51" s="6" t="n">
        <f aca="false">+CX51+DA51+CR51+CU51</f>
        <v>0</v>
      </c>
      <c r="DE51" s="6" t="n">
        <v>0</v>
      </c>
      <c r="DF51" s="6" t="n">
        <v>0</v>
      </c>
      <c r="DG51" s="6" t="n">
        <v>0</v>
      </c>
      <c r="DH51" s="6" t="n">
        <v>0</v>
      </c>
      <c r="DI51" s="6" t="n">
        <v>0</v>
      </c>
      <c r="DJ51" s="6" t="n">
        <v>0</v>
      </c>
      <c r="DK51" s="6" t="n">
        <v>0</v>
      </c>
      <c r="DL51" s="6" t="n">
        <v>0</v>
      </c>
      <c r="DM51" s="6" t="n">
        <v>0</v>
      </c>
      <c r="DN51" s="6" t="n">
        <v>0</v>
      </c>
      <c r="DO51" s="6" t="n">
        <v>0</v>
      </c>
      <c r="DP51" s="6" t="n">
        <v>0</v>
      </c>
      <c r="DQ51" s="6" t="n">
        <f aca="false">+DK51+DN51+DE51+DH51</f>
        <v>0</v>
      </c>
      <c r="DR51" s="6" t="n">
        <f aca="false">+DL51+DO51+DF51+DI51</f>
        <v>0</v>
      </c>
      <c r="DS51" s="6" t="n">
        <f aca="false">+DM51+DP51+DG51+DJ51</f>
        <v>0</v>
      </c>
      <c r="DT51" s="31" t="n">
        <f aca="false">+P51+AE51+AT51+BI51+BX51+CM51+DB51</f>
        <v>83000</v>
      </c>
      <c r="DU51" s="31" t="n">
        <f aca="false">+Q51+AF51+AU51+BJ51+BY51+CN51+DC51</f>
        <v>83000</v>
      </c>
      <c r="DV51" s="31" t="n">
        <f aca="false">+R51+AG51+AV51+BK51+BZ51+CO51+DD51</f>
        <v>83000</v>
      </c>
      <c r="DW51" s="31" t="n">
        <f aca="false">+DU51-DV51</f>
        <v>0</v>
      </c>
    </row>
    <row r="52" customFormat="false" ht="13.8" hidden="false" customHeight="false" outlineLevel="0" collapsed="false">
      <c r="A52" s="27" t="n">
        <v>44631</v>
      </c>
      <c r="B52" s="28" t="s">
        <v>275</v>
      </c>
      <c r="C52" s="28" t="s">
        <v>276</v>
      </c>
      <c r="D52" s="29" t="s">
        <v>277</v>
      </c>
      <c r="E52" s="28" t="s">
        <v>278</v>
      </c>
      <c r="F52" s="27" t="s">
        <v>279</v>
      </c>
      <c r="G52" s="27" t="s">
        <v>6</v>
      </c>
      <c r="H52" s="30" t="n">
        <v>105000</v>
      </c>
      <c r="I52" s="30" t="n">
        <v>105000</v>
      </c>
      <c r="J52" s="6" t="n">
        <v>0</v>
      </c>
      <c r="K52" s="6" t="n">
        <v>0</v>
      </c>
      <c r="L52" s="6" t="n">
        <v>0</v>
      </c>
      <c r="M52" s="6" t="n">
        <v>0</v>
      </c>
      <c r="N52" s="6" t="n">
        <v>0</v>
      </c>
      <c r="O52" s="6" t="n">
        <v>0</v>
      </c>
      <c r="P52" s="6" t="n">
        <f aca="false">+J52+M52</f>
        <v>0</v>
      </c>
      <c r="Q52" s="6" t="n">
        <f aca="false">+K52+N52</f>
        <v>0</v>
      </c>
      <c r="R52" s="6" t="n">
        <f aca="false">+L52+O52</f>
        <v>0</v>
      </c>
      <c r="S52" s="6" t="n">
        <v>0</v>
      </c>
      <c r="T52" s="6" t="n">
        <v>0</v>
      </c>
      <c r="U52" s="6" t="n">
        <v>0</v>
      </c>
      <c r="V52" s="30" t="n">
        <v>105000</v>
      </c>
      <c r="W52" s="30" t="n">
        <v>105000</v>
      </c>
      <c r="X52" s="6" t="n">
        <v>0</v>
      </c>
      <c r="Y52" s="6" t="n">
        <v>0</v>
      </c>
      <c r="Z52" s="6" t="n">
        <v>0</v>
      </c>
      <c r="AA52" s="6" t="n">
        <v>0</v>
      </c>
      <c r="AB52" s="6" t="n">
        <v>0</v>
      </c>
      <c r="AC52" s="6" t="n">
        <v>0</v>
      </c>
      <c r="AD52" s="6" t="n">
        <v>0</v>
      </c>
      <c r="AE52" s="6" t="n">
        <f aca="false">+Y52+AB52+S52+V52</f>
        <v>105000</v>
      </c>
      <c r="AF52" s="6" t="n">
        <f aca="false">+Z52+AC52+T52+W52</f>
        <v>105000</v>
      </c>
      <c r="AG52" s="6" t="n">
        <f aca="false">+AA52+AD52+U52+X52</f>
        <v>0</v>
      </c>
      <c r="AH52" s="6" t="n">
        <v>0</v>
      </c>
      <c r="AI52" s="6" t="n">
        <v>0</v>
      </c>
      <c r="AJ52" s="6" t="n">
        <v>0</v>
      </c>
      <c r="AK52" s="6" t="n">
        <v>0</v>
      </c>
      <c r="AL52" s="6" t="n">
        <v>0</v>
      </c>
      <c r="AM52" s="6" t="n">
        <v>0</v>
      </c>
      <c r="AN52" s="6" t="n">
        <v>0</v>
      </c>
      <c r="AO52" s="6" t="n">
        <v>0</v>
      </c>
      <c r="AP52" s="6" t="n">
        <v>60000</v>
      </c>
      <c r="AQ52" s="6" t="n">
        <v>0</v>
      </c>
      <c r="AR52" s="6" t="n">
        <v>0</v>
      </c>
      <c r="AS52" s="6" t="n">
        <v>45000</v>
      </c>
      <c r="AT52" s="6" t="n">
        <f aca="false">+AN52+AQ52+AH52+AK52</f>
        <v>0</v>
      </c>
      <c r="AU52" s="6" t="n">
        <f aca="false">+AO52+AR52+AI52+AL52</f>
        <v>0</v>
      </c>
      <c r="AV52" s="6" t="n">
        <f aca="false">+AP52+AS52+AJ52+AM52</f>
        <v>105000</v>
      </c>
      <c r="AW52" s="6" t="n">
        <v>0</v>
      </c>
      <c r="AX52" s="6" t="n">
        <v>0</v>
      </c>
      <c r="AY52" s="6" t="n">
        <v>0</v>
      </c>
      <c r="AZ52" s="6" t="n">
        <v>0</v>
      </c>
      <c r="BA52" s="6" t="n">
        <v>0</v>
      </c>
      <c r="BB52" s="6" t="n">
        <v>0</v>
      </c>
      <c r="BC52" s="6" t="n">
        <v>0</v>
      </c>
      <c r="BD52" s="6" t="n">
        <v>0</v>
      </c>
      <c r="BE52" s="6" t="n">
        <v>0</v>
      </c>
      <c r="BF52" s="6" t="n">
        <v>0</v>
      </c>
      <c r="BG52" s="6" t="n">
        <v>0</v>
      </c>
      <c r="BH52" s="6" t="n">
        <v>0</v>
      </c>
      <c r="BI52" s="6" t="n">
        <f aca="false">+BC52+BF52+AW52+AZ52</f>
        <v>0</v>
      </c>
      <c r="BJ52" s="6" t="n">
        <f aca="false">+BD52+BG52+AX52+BA52</f>
        <v>0</v>
      </c>
      <c r="BK52" s="6" t="n">
        <f aca="false">+BE52+BH52+AY52+BB52</f>
        <v>0</v>
      </c>
      <c r="BL52" s="6" t="n">
        <v>0</v>
      </c>
      <c r="BM52" s="6" t="n">
        <v>0</v>
      </c>
      <c r="BN52" s="6" t="n">
        <v>0</v>
      </c>
      <c r="BO52" s="6" t="n">
        <v>0</v>
      </c>
      <c r="BP52" s="6" t="n">
        <v>0</v>
      </c>
      <c r="BQ52" s="6" t="n">
        <v>0</v>
      </c>
      <c r="BR52" s="6" t="n">
        <v>0</v>
      </c>
      <c r="BS52" s="6" t="n">
        <v>0</v>
      </c>
      <c r="BT52" s="6" t="n">
        <v>0</v>
      </c>
      <c r="BU52" s="6" t="n">
        <v>0</v>
      </c>
      <c r="BV52" s="6" t="n">
        <v>0</v>
      </c>
      <c r="BW52" s="6" t="n">
        <v>0</v>
      </c>
      <c r="BX52" s="6" t="n">
        <f aca="false">+BR52+BU52+BL52+BO52</f>
        <v>0</v>
      </c>
      <c r="BY52" s="6" t="n">
        <f aca="false">+BS52+BV52+BM52+BP52</f>
        <v>0</v>
      </c>
      <c r="BZ52" s="6" t="n">
        <f aca="false">+BT52+BW52+BN52+BQ52</f>
        <v>0</v>
      </c>
      <c r="CA52" s="6" t="n">
        <v>0</v>
      </c>
      <c r="CB52" s="6" t="n">
        <v>0</v>
      </c>
      <c r="CC52" s="6" t="n">
        <v>0</v>
      </c>
      <c r="CD52" s="6" t="n">
        <v>0</v>
      </c>
      <c r="CE52" s="6" t="n">
        <v>0</v>
      </c>
      <c r="CF52" s="6" t="n">
        <v>0</v>
      </c>
      <c r="CG52" s="6" t="n">
        <v>0</v>
      </c>
      <c r="CH52" s="6" t="n">
        <v>0</v>
      </c>
      <c r="CI52" s="6" t="n">
        <v>0</v>
      </c>
      <c r="CJ52" s="6" t="n">
        <v>0</v>
      </c>
      <c r="CK52" s="6" t="n">
        <v>0</v>
      </c>
      <c r="CL52" s="6" t="n">
        <v>0</v>
      </c>
      <c r="CM52" s="6" t="n">
        <f aca="false">+CG52+CJ52+CA52+CD52</f>
        <v>0</v>
      </c>
      <c r="CN52" s="6" t="n">
        <f aca="false">+CH52+CK52+CB52+CE52</f>
        <v>0</v>
      </c>
      <c r="CO52" s="6" t="n">
        <f aca="false">+CI52+CL52+CC52+CF52</f>
        <v>0</v>
      </c>
      <c r="CP52" s="6" t="n">
        <v>0</v>
      </c>
      <c r="CQ52" s="6" t="n">
        <v>0</v>
      </c>
      <c r="CR52" s="6" t="n">
        <v>0</v>
      </c>
      <c r="CS52" s="6" t="n">
        <v>0</v>
      </c>
      <c r="CT52" s="6" t="n">
        <v>0</v>
      </c>
      <c r="CU52" s="6" t="n">
        <v>0</v>
      </c>
      <c r="CV52" s="6" t="n">
        <v>0</v>
      </c>
      <c r="CW52" s="6" t="n">
        <v>0</v>
      </c>
      <c r="CX52" s="6" t="n">
        <v>0</v>
      </c>
      <c r="CY52" s="6" t="n">
        <v>0</v>
      </c>
      <c r="CZ52" s="6" t="n">
        <v>0</v>
      </c>
      <c r="DA52" s="6" t="n">
        <v>0</v>
      </c>
      <c r="DB52" s="6" t="n">
        <f aca="false">+CV52+CY52+CP52+CS52</f>
        <v>0</v>
      </c>
      <c r="DC52" s="6" t="n">
        <f aca="false">+CW52+CZ52+CQ52+CT52</f>
        <v>0</v>
      </c>
      <c r="DD52" s="6" t="n">
        <f aca="false">+CX52+DA52+CR52+CU52</f>
        <v>0</v>
      </c>
      <c r="DE52" s="6" t="n">
        <v>0</v>
      </c>
      <c r="DF52" s="6" t="n">
        <v>0</v>
      </c>
      <c r="DG52" s="6" t="n">
        <v>0</v>
      </c>
      <c r="DH52" s="6" t="n">
        <v>0</v>
      </c>
      <c r="DI52" s="6" t="n">
        <v>0</v>
      </c>
      <c r="DJ52" s="6" t="n">
        <v>0</v>
      </c>
      <c r="DK52" s="6" t="n">
        <v>0</v>
      </c>
      <c r="DL52" s="6" t="n">
        <v>0</v>
      </c>
      <c r="DM52" s="6" t="n">
        <v>0</v>
      </c>
      <c r="DN52" s="6" t="n">
        <v>0</v>
      </c>
      <c r="DO52" s="6" t="n">
        <v>0</v>
      </c>
      <c r="DP52" s="6" t="n">
        <v>0</v>
      </c>
      <c r="DQ52" s="6" t="n">
        <f aca="false">+DK52+DN52+DE52+DH52</f>
        <v>0</v>
      </c>
      <c r="DR52" s="6" t="n">
        <f aca="false">+DL52+DO52+DF52+DI52</f>
        <v>0</v>
      </c>
      <c r="DS52" s="6" t="n">
        <f aca="false">+DM52+DP52+DG52+DJ52</f>
        <v>0</v>
      </c>
      <c r="DT52" s="31" t="n">
        <f aca="false">+P52+AE52+AT52+BI52+BX52+CM52+DB52</f>
        <v>105000</v>
      </c>
      <c r="DU52" s="31" t="n">
        <f aca="false">+Q52+AF52+AU52+BJ52+BY52+CN52+DC52</f>
        <v>105000</v>
      </c>
      <c r="DV52" s="31" t="n">
        <f aca="false">+R52+AG52+AV52+BK52+BZ52+CO52+DD52</f>
        <v>105000</v>
      </c>
      <c r="DW52" s="31" t="n">
        <f aca="false">+DU52-DV52</f>
        <v>0</v>
      </c>
    </row>
    <row r="53" customFormat="false" ht="13.8" hidden="false" customHeight="false" outlineLevel="0" collapsed="false">
      <c r="A53" s="27" t="n">
        <v>44631</v>
      </c>
      <c r="B53" s="28" t="s">
        <v>275</v>
      </c>
      <c r="C53" s="28" t="s">
        <v>276</v>
      </c>
      <c r="D53" s="29" t="s">
        <v>277</v>
      </c>
      <c r="E53" s="28" t="s">
        <v>278</v>
      </c>
      <c r="F53" s="27" t="s">
        <v>279</v>
      </c>
      <c r="G53" s="27" t="s">
        <v>6</v>
      </c>
      <c r="H53" s="30" t="n">
        <v>8400</v>
      </c>
      <c r="I53" s="30" t="n">
        <v>8400</v>
      </c>
      <c r="J53" s="6" t="n">
        <v>0</v>
      </c>
      <c r="K53" s="6" t="n">
        <v>0</v>
      </c>
      <c r="L53" s="6" t="n">
        <v>0</v>
      </c>
      <c r="M53" s="6" t="n">
        <v>0</v>
      </c>
      <c r="N53" s="6" t="n">
        <v>0</v>
      </c>
      <c r="O53" s="6" t="n">
        <v>0</v>
      </c>
      <c r="P53" s="6" t="n">
        <f aca="false">+J53+M53</f>
        <v>0</v>
      </c>
      <c r="Q53" s="6" t="n">
        <f aca="false">+K53+N53</f>
        <v>0</v>
      </c>
      <c r="R53" s="6" t="n">
        <f aca="false">+L53+O53</f>
        <v>0</v>
      </c>
      <c r="S53" s="6" t="n">
        <v>0</v>
      </c>
      <c r="T53" s="6" t="n">
        <v>0</v>
      </c>
      <c r="U53" s="6" t="n">
        <v>0</v>
      </c>
      <c r="V53" s="30" t="n">
        <v>8400</v>
      </c>
      <c r="W53" s="30" t="n">
        <v>8400</v>
      </c>
      <c r="X53" s="6" t="n">
        <v>0</v>
      </c>
      <c r="Y53" s="6" t="n">
        <v>0</v>
      </c>
      <c r="Z53" s="6" t="n">
        <v>0</v>
      </c>
      <c r="AA53" s="6" t="n">
        <v>0</v>
      </c>
      <c r="AB53" s="6" t="n">
        <v>0</v>
      </c>
      <c r="AC53" s="6" t="n">
        <v>0</v>
      </c>
      <c r="AD53" s="6" t="n">
        <v>0</v>
      </c>
      <c r="AE53" s="6" t="n">
        <f aca="false">+Y53+AB53+S53+V53</f>
        <v>8400</v>
      </c>
      <c r="AF53" s="6" t="n">
        <f aca="false">+Z53+AC53+T53+W53</f>
        <v>8400</v>
      </c>
      <c r="AG53" s="6" t="n">
        <f aca="false">+AA53+AD53+U53+X53</f>
        <v>0</v>
      </c>
      <c r="AH53" s="6" t="n">
        <v>0</v>
      </c>
      <c r="AI53" s="6" t="n">
        <v>0</v>
      </c>
      <c r="AJ53" s="6" t="n">
        <v>0</v>
      </c>
      <c r="AK53" s="6" t="n">
        <v>0</v>
      </c>
      <c r="AL53" s="6" t="n">
        <v>0</v>
      </c>
      <c r="AM53" s="6" t="n">
        <v>0</v>
      </c>
      <c r="AN53" s="6" t="n">
        <v>0</v>
      </c>
      <c r="AO53" s="6" t="n">
        <v>0</v>
      </c>
      <c r="AP53" s="6" t="n">
        <v>0</v>
      </c>
      <c r="AQ53" s="6" t="n">
        <v>0</v>
      </c>
      <c r="AR53" s="6" t="n">
        <v>0</v>
      </c>
      <c r="AS53" s="6" t="n">
        <v>8400</v>
      </c>
      <c r="AT53" s="6" t="n">
        <f aca="false">+AN53+AQ53+AH53+AK53</f>
        <v>0</v>
      </c>
      <c r="AU53" s="6" t="n">
        <f aca="false">+AO53+AR53+AI53+AL53</f>
        <v>0</v>
      </c>
      <c r="AV53" s="6" t="n">
        <f aca="false">+AP53+AS53+AJ53+AM53</f>
        <v>8400</v>
      </c>
      <c r="AW53" s="6" t="n">
        <v>0</v>
      </c>
      <c r="AX53" s="6" t="n">
        <v>0</v>
      </c>
      <c r="AY53" s="6" t="n">
        <v>0</v>
      </c>
      <c r="AZ53" s="6" t="n">
        <v>0</v>
      </c>
      <c r="BA53" s="6" t="n">
        <v>0</v>
      </c>
      <c r="BB53" s="6" t="n">
        <v>0</v>
      </c>
      <c r="BC53" s="6" t="n">
        <v>0</v>
      </c>
      <c r="BD53" s="6" t="n">
        <v>0</v>
      </c>
      <c r="BE53" s="6" t="n">
        <v>0</v>
      </c>
      <c r="BF53" s="6" t="n">
        <v>0</v>
      </c>
      <c r="BG53" s="6" t="n">
        <v>0</v>
      </c>
      <c r="BH53" s="6" t="n">
        <v>0</v>
      </c>
      <c r="BI53" s="6" t="n">
        <f aca="false">+BC53+BF53+AW53+AZ53</f>
        <v>0</v>
      </c>
      <c r="BJ53" s="6" t="n">
        <f aca="false">+BD53+BG53+AX53+BA53</f>
        <v>0</v>
      </c>
      <c r="BK53" s="6" t="n">
        <f aca="false">+BE53+BH53+AY53+BB53</f>
        <v>0</v>
      </c>
      <c r="BL53" s="6" t="n">
        <v>0</v>
      </c>
      <c r="BM53" s="6" t="n">
        <v>0</v>
      </c>
      <c r="BN53" s="6" t="n">
        <v>0</v>
      </c>
      <c r="BO53" s="6" t="n">
        <v>0</v>
      </c>
      <c r="BP53" s="6" t="n">
        <v>0</v>
      </c>
      <c r="BQ53" s="6" t="n">
        <v>0</v>
      </c>
      <c r="BR53" s="6" t="n">
        <v>0</v>
      </c>
      <c r="BS53" s="6" t="n">
        <v>0</v>
      </c>
      <c r="BT53" s="6" t="n">
        <v>0</v>
      </c>
      <c r="BU53" s="6" t="n">
        <v>0</v>
      </c>
      <c r="BV53" s="6" t="n">
        <v>0</v>
      </c>
      <c r="BW53" s="6" t="n">
        <v>0</v>
      </c>
      <c r="BX53" s="6" t="n">
        <f aca="false">+BR53+BU53+BL53+BO53</f>
        <v>0</v>
      </c>
      <c r="BY53" s="6" t="n">
        <f aca="false">+BS53+BV53+BM53+BP53</f>
        <v>0</v>
      </c>
      <c r="BZ53" s="6" t="n">
        <f aca="false">+BT53+BW53+BN53+BQ53</f>
        <v>0</v>
      </c>
      <c r="CA53" s="6" t="n">
        <v>0</v>
      </c>
      <c r="CB53" s="6" t="n">
        <v>0</v>
      </c>
      <c r="CC53" s="6" t="n">
        <v>0</v>
      </c>
      <c r="CD53" s="6" t="n">
        <v>0</v>
      </c>
      <c r="CE53" s="6" t="n">
        <v>0</v>
      </c>
      <c r="CF53" s="6" t="n">
        <v>0</v>
      </c>
      <c r="CG53" s="6" t="n">
        <v>0</v>
      </c>
      <c r="CH53" s="6" t="n">
        <v>0</v>
      </c>
      <c r="CI53" s="6" t="n">
        <v>0</v>
      </c>
      <c r="CJ53" s="6" t="n">
        <v>0</v>
      </c>
      <c r="CK53" s="6" t="n">
        <v>0</v>
      </c>
      <c r="CL53" s="6" t="n">
        <v>0</v>
      </c>
      <c r="CM53" s="6" t="n">
        <f aca="false">+CG53+CJ53+CA53+CD53</f>
        <v>0</v>
      </c>
      <c r="CN53" s="6" t="n">
        <f aca="false">+CH53+CK53+CB53+CE53</f>
        <v>0</v>
      </c>
      <c r="CO53" s="6" t="n">
        <f aca="false">+CI53+CL53+CC53+CF53</f>
        <v>0</v>
      </c>
      <c r="CP53" s="6" t="n">
        <v>0</v>
      </c>
      <c r="CQ53" s="6" t="n">
        <v>0</v>
      </c>
      <c r="CR53" s="6" t="n">
        <v>0</v>
      </c>
      <c r="CS53" s="6" t="n">
        <v>0</v>
      </c>
      <c r="CT53" s="6" t="n">
        <v>0</v>
      </c>
      <c r="CU53" s="6" t="n">
        <v>0</v>
      </c>
      <c r="CV53" s="6" t="n">
        <v>0</v>
      </c>
      <c r="CW53" s="6" t="n">
        <v>0</v>
      </c>
      <c r="CX53" s="6" t="n">
        <v>0</v>
      </c>
      <c r="CY53" s="6" t="n">
        <v>0</v>
      </c>
      <c r="CZ53" s="6" t="n">
        <v>0</v>
      </c>
      <c r="DA53" s="6" t="n">
        <v>0</v>
      </c>
      <c r="DB53" s="6" t="n">
        <f aca="false">+CV53+CY53+CP53+CS53</f>
        <v>0</v>
      </c>
      <c r="DC53" s="6" t="n">
        <f aca="false">+CW53+CZ53+CQ53+CT53</f>
        <v>0</v>
      </c>
      <c r="DD53" s="6" t="n">
        <f aca="false">+CX53+DA53+CR53+CU53</f>
        <v>0</v>
      </c>
      <c r="DE53" s="6" t="n">
        <v>0</v>
      </c>
      <c r="DF53" s="6" t="n">
        <v>0</v>
      </c>
      <c r="DG53" s="6" t="n">
        <v>0</v>
      </c>
      <c r="DH53" s="6" t="n">
        <v>0</v>
      </c>
      <c r="DI53" s="6" t="n">
        <v>0</v>
      </c>
      <c r="DJ53" s="6" t="n">
        <v>0</v>
      </c>
      <c r="DK53" s="6" t="n">
        <v>0</v>
      </c>
      <c r="DL53" s="6" t="n">
        <v>0</v>
      </c>
      <c r="DM53" s="6" t="n">
        <v>0</v>
      </c>
      <c r="DN53" s="6" t="n">
        <v>0</v>
      </c>
      <c r="DO53" s="6" t="n">
        <v>0</v>
      </c>
      <c r="DP53" s="6" t="n">
        <v>0</v>
      </c>
      <c r="DQ53" s="6" t="n">
        <f aca="false">+DK53+DN53+DE53+DH53</f>
        <v>0</v>
      </c>
      <c r="DR53" s="6" t="n">
        <f aca="false">+DL53+DO53+DF53+DI53</f>
        <v>0</v>
      </c>
      <c r="DS53" s="6" t="n">
        <f aca="false">+DM53+DP53+DG53+DJ53</f>
        <v>0</v>
      </c>
      <c r="DT53" s="31" t="n">
        <f aca="false">+P53+AE53+AT53+BI53+BX53+CM53+DB53</f>
        <v>8400</v>
      </c>
      <c r="DU53" s="31" t="n">
        <f aca="false">+Q53+AF53+AU53+BJ53+BY53+CN53+DC53</f>
        <v>8400</v>
      </c>
      <c r="DV53" s="31" t="n">
        <f aca="false">+R53+AG53+AV53+BK53+BZ53+CO53+DD53</f>
        <v>8400</v>
      </c>
      <c r="DW53" s="31" t="n">
        <f aca="false">+DU53-DV53</f>
        <v>0</v>
      </c>
    </row>
    <row r="54" customFormat="false" ht="13.8" hidden="false" customHeight="false" outlineLevel="0" collapsed="false">
      <c r="A54" s="27" t="n">
        <v>44643</v>
      </c>
      <c r="B54" s="28" t="s">
        <v>280</v>
      </c>
      <c r="C54" s="28" t="s">
        <v>281</v>
      </c>
      <c r="D54" s="29" t="s">
        <v>282</v>
      </c>
      <c r="E54" s="28" t="s">
        <v>283</v>
      </c>
      <c r="F54" s="27" t="s">
        <v>284</v>
      </c>
      <c r="G54" s="27" t="s">
        <v>11</v>
      </c>
      <c r="H54" s="30" t="n">
        <v>1000000</v>
      </c>
      <c r="I54" s="30" t="n">
        <v>1000000</v>
      </c>
      <c r="J54" s="6" t="n">
        <v>0</v>
      </c>
      <c r="K54" s="6" t="n">
        <v>0</v>
      </c>
      <c r="L54" s="6" t="n">
        <v>0</v>
      </c>
      <c r="M54" s="6" t="n">
        <v>0</v>
      </c>
      <c r="N54" s="6" t="n">
        <v>0</v>
      </c>
      <c r="O54" s="6" t="n">
        <v>0</v>
      </c>
      <c r="P54" s="6" t="n">
        <f aca="false">+J54+M54</f>
        <v>0</v>
      </c>
      <c r="Q54" s="6" t="n">
        <f aca="false">+K54+N54</f>
        <v>0</v>
      </c>
      <c r="R54" s="6" t="n">
        <f aca="false">+L54+O54</f>
        <v>0</v>
      </c>
      <c r="S54" s="6" t="n">
        <v>0</v>
      </c>
      <c r="T54" s="6" t="n">
        <v>0</v>
      </c>
      <c r="U54" s="6" t="n">
        <v>0</v>
      </c>
      <c r="V54" s="6" t="n">
        <v>0</v>
      </c>
      <c r="W54" s="6" t="n">
        <v>0</v>
      </c>
      <c r="X54" s="6" t="n">
        <v>0</v>
      </c>
      <c r="Y54" s="6" t="n">
        <v>0</v>
      </c>
      <c r="Z54" s="6" t="n">
        <v>0</v>
      </c>
      <c r="AA54" s="6" t="n">
        <v>0</v>
      </c>
      <c r="AB54" s="6" t="n">
        <v>0</v>
      </c>
      <c r="AC54" s="6" t="n">
        <v>0</v>
      </c>
      <c r="AD54" s="6" t="n">
        <v>0</v>
      </c>
      <c r="AE54" s="6" t="n">
        <f aca="false">+Y54+AB54+S54+V54</f>
        <v>0</v>
      </c>
      <c r="AF54" s="6" t="n">
        <f aca="false">+Z54+AC54+T54+W54</f>
        <v>0</v>
      </c>
      <c r="AG54" s="6" t="n">
        <f aca="false">+AA54+AD54+U54+X54</f>
        <v>0</v>
      </c>
      <c r="AH54" s="6" t="n">
        <v>0</v>
      </c>
      <c r="AI54" s="6" t="n">
        <v>0</v>
      </c>
      <c r="AJ54" s="6" t="n">
        <v>0</v>
      </c>
      <c r="AK54" s="6" t="n">
        <v>0</v>
      </c>
      <c r="AL54" s="6" t="n">
        <v>0</v>
      </c>
      <c r="AM54" s="6" t="n">
        <v>0</v>
      </c>
      <c r="AN54" s="30" t="n">
        <v>1000000</v>
      </c>
      <c r="AO54" s="30" t="n">
        <v>1000000</v>
      </c>
      <c r="AP54" s="6" t="n">
        <v>0</v>
      </c>
      <c r="AQ54" s="6" t="n">
        <v>0</v>
      </c>
      <c r="AR54" s="6" t="n">
        <v>0</v>
      </c>
      <c r="AS54" s="6" t="n">
        <v>500000</v>
      </c>
      <c r="AT54" s="6" t="n">
        <f aca="false">+AN54+AQ54+AH54+AK54</f>
        <v>1000000</v>
      </c>
      <c r="AU54" s="6" t="n">
        <f aca="false">+AO54+AR54+AI54+AL54</f>
        <v>1000000</v>
      </c>
      <c r="AV54" s="6" t="n">
        <f aca="false">+AP54+AS54+AJ54+AM54</f>
        <v>500000</v>
      </c>
      <c r="AW54" s="6" t="n">
        <v>0</v>
      </c>
      <c r="AX54" s="6" t="n">
        <v>0</v>
      </c>
      <c r="AY54" s="6" t="n">
        <v>300000</v>
      </c>
      <c r="AZ54" s="6" t="n">
        <v>0</v>
      </c>
      <c r="BA54" s="6" t="n">
        <v>0</v>
      </c>
      <c r="BB54" s="6" t="n">
        <v>200000</v>
      </c>
      <c r="BC54" s="6" t="n">
        <v>0</v>
      </c>
      <c r="BD54" s="6" t="n">
        <v>0</v>
      </c>
      <c r="BE54" s="6" t="n">
        <v>0</v>
      </c>
      <c r="BF54" s="6" t="n">
        <v>0</v>
      </c>
      <c r="BG54" s="6" t="n">
        <v>0</v>
      </c>
      <c r="BH54" s="6" t="n">
        <v>0</v>
      </c>
      <c r="BI54" s="6" t="n">
        <f aca="false">+BC54+BF54+AW54+AZ54</f>
        <v>0</v>
      </c>
      <c r="BJ54" s="6" t="n">
        <f aca="false">+BD54+BG54+AX54+BA54</f>
        <v>0</v>
      </c>
      <c r="BK54" s="6" t="n">
        <f aca="false">+BE54+BH54+AY54+BB54</f>
        <v>500000</v>
      </c>
      <c r="BL54" s="6" t="n">
        <v>0</v>
      </c>
      <c r="BM54" s="6" t="n">
        <v>0</v>
      </c>
      <c r="BN54" s="6" t="n">
        <v>0</v>
      </c>
      <c r="BO54" s="6" t="n">
        <v>0</v>
      </c>
      <c r="BP54" s="6" t="n">
        <v>0</v>
      </c>
      <c r="BQ54" s="6" t="n">
        <v>0</v>
      </c>
      <c r="BR54" s="6" t="n">
        <v>0</v>
      </c>
      <c r="BS54" s="6" t="n">
        <v>0</v>
      </c>
      <c r="BT54" s="6" t="n">
        <v>0</v>
      </c>
      <c r="BU54" s="6" t="n">
        <v>0</v>
      </c>
      <c r="BV54" s="6" t="n">
        <v>0</v>
      </c>
      <c r="BW54" s="6" t="n">
        <v>0</v>
      </c>
      <c r="BX54" s="6" t="n">
        <f aca="false">+BR54+BU54+BL54+BO54</f>
        <v>0</v>
      </c>
      <c r="BY54" s="6" t="n">
        <f aca="false">+BS54+BV54+BM54+BP54</f>
        <v>0</v>
      </c>
      <c r="BZ54" s="6" t="n">
        <f aca="false">+BT54+BW54+BN54+BQ54</f>
        <v>0</v>
      </c>
      <c r="CA54" s="6" t="n">
        <v>0</v>
      </c>
      <c r="CB54" s="6" t="n">
        <v>0</v>
      </c>
      <c r="CC54" s="6" t="n">
        <v>0</v>
      </c>
      <c r="CD54" s="6" t="n">
        <v>0</v>
      </c>
      <c r="CE54" s="6" t="n">
        <v>0</v>
      </c>
      <c r="CF54" s="6" t="n">
        <v>0</v>
      </c>
      <c r="CG54" s="6" t="n">
        <v>0</v>
      </c>
      <c r="CH54" s="6" t="n">
        <v>0</v>
      </c>
      <c r="CI54" s="6" t="n">
        <v>0</v>
      </c>
      <c r="CJ54" s="6" t="n">
        <v>0</v>
      </c>
      <c r="CK54" s="6" t="n">
        <v>0</v>
      </c>
      <c r="CL54" s="6" t="n">
        <v>0</v>
      </c>
      <c r="CM54" s="6" t="n">
        <f aca="false">+CG54+CJ54+CA54+CD54</f>
        <v>0</v>
      </c>
      <c r="CN54" s="6" t="n">
        <f aca="false">+CH54+CK54+CB54+CE54</f>
        <v>0</v>
      </c>
      <c r="CO54" s="6" t="n">
        <f aca="false">+CI54+CL54+CC54+CF54</f>
        <v>0</v>
      </c>
      <c r="CP54" s="6" t="n">
        <v>0</v>
      </c>
      <c r="CQ54" s="6" t="n">
        <v>0</v>
      </c>
      <c r="CR54" s="6" t="n">
        <v>0</v>
      </c>
      <c r="CS54" s="6" t="n">
        <v>0</v>
      </c>
      <c r="CT54" s="6" t="n">
        <v>0</v>
      </c>
      <c r="CU54" s="6" t="n">
        <v>0</v>
      </c>
      <c r="CV54" s="6" t="n">
        <v>0</v>
      </c>
      <c r="CW54" s="6" t="n">
        <v>0</v>
      </c>
      <c r="CX54" s="6" t="n">
        <v>0</v>
      </c>
      <c r="CY54" s="6" t="n">
        <v>0</v>
      </c>
      <c r="CZ54" s="6" t="n">
        <v>0</v>
      </c>
      <c r="DA54" s="6" t="n">
        <v>0</v>
      </c>
      <c r="DB54" s="6" t="n">
        <f aca="false">+CV54+CY54+CP54+CS54</f>
        <v>0</v>
      </c>
      <c r="DC54" s="6" t="n">
        <f aca="false">+CW54+CZ54+CQ54+CT54</f>
        <v>0</v>
      </c>
      <c r="DD54" s="6" t="n">
        <f aca="false">+CX54+DA54+CR54+CU54</f>
        <v>0</v>
      </c>
      <c r="DE54" s="6" t="n">
        <v>0</v>
      </c>
      <c r="DF54" s="6" t="n">
        <v>0</v>
      </c>
      <c r="DG54" s="6" t="n">
        <v>0</v>
      </c>
      <c r="DH54" s="6" t="n">
        <v>0</v>
      </c>
      <c r="DI54" s="6" t="n">
        <v>0</v>
      </c>
      <c r="DJ54" s="6" t="n">
        <v>0</v>
      </c>
      <c r="DK54" s="6" t="n">
        <v>0</v>
      </c>
      <c r="DL54" s="6" t="n">
        <v>0</v>
      </c>
      <c r="DM54" s="6" t="n">
        <v>0</v>
      </c>
      <c r="DN54" s="6" t="n">
        <v>0</v>
      </c>
      <c r="DO54" s="6" t="n">
        <v>0</v>
      </c>
      <c r="DP54" s="6" t="n">
        <v>0</v>
      </c>
      <c r="DQ54" s="6" t="n">
        <f aca="false">+DK54+DN54+DE54+DH54</f>
        <v>0</v>
      </c>
      <c r="DR54" s="6" t="n">
        <f aca="false">+DL54+DO54+DF54+DI54</f>
        <v>0</v>
      </c>
      <c r="DS54" s="6" t="n">
        <f aca="false">+DM54+DP54+DG54+DJ54</f>
        <v>0</v>
      </c>
      <c r="DT54" s="31" t="n">
        <f aca="false">+P54+AE54+AT54+BI54+BX54+CM54+DB54</f>
        <v>1000000</v>
      </c>
      <c r="DU54" s="31" t="n">
        <f aca="false">+Q54+AF54+AU54+BJ54+BY54+CN54+DC54</f>
        <v>1000000</v>
      </c>
      <c r="DV54" s="31" t="n">
        <f aca="false">+R54+AG54+AV54+BK54+BZ54+CO54+DD54</f>
        <v>1000000</v>
      </c>
      <c r="DW54" s="31" t="n">
        <f aca="false">+DU54-DV54</f>
        <v>0</v>
      </c>
    </row>
    <row r="55" customFormat="false" ht="13.8" hidden="false" customHeight="false" outlineLevel="0" collapsed="false">
      <c r="A55" s="27" t="n">
        <v>44679</v>
      </c>
      <c r="B55" s="28" t="s">
        <v>285</v>
      </c>
      <c r="C55" s="28" t="s">
        <v>286</v>
      </c>
      <c r="D55" s="29" t="s">
        <v>287</v>
      </c>
      <c r="E55" s="28" t="s">
        <v>288</v>
      </c>
      <c r="F55" s="27" t="s">
        <v>289</v>
      </c>
      <c r="G55" s="27" t="s">
        <v>11</v>
      </c>
      <c r="H55" s="30" t="n">
        <v>903000</v>
      </c>
      <c r="I55" s="30" t="n">
        <v>903000</v>
      </c>
      <c r="J55" s="6" t="n">
        <v>0</v>
      </c>
      <c r="K55" s="6" t="n">
        <v>0</v>
      </c>
      <c r="L55" s="6" t="n">
        <v>0</v>
      </c>
      <c r="M55" s="6" t="n">
        <v>0</v>
      </c>
      <c r="N55" s="6" t="n">
        <v>0</v>
      </c>
      <c r="O55" s="6" t="n">
        <v>0</v>
      </c>
      <c r="P55" s="6" t="n">
        <f aca="false">+J55+M55</f>
        <v>0</v>
      </c>
      <c r="Q55" s="6" t="n">
        <f aca="false">+K55+N55</f>
        <v>0</v>
      </c>
      <c r="R55" s="6" t="n">
        <f aca="false">+L55+O55</f>
        <v>0</v>
      </c>
      <c r="S55" s="6" t="n">
        <v>0</v>
      </c>
      <c r="T55" s="6" t="n">
        <v>0</v>
      </c>
      <c r="U55" s="6" t="n">
        <v>0</v>
      </c>
      <c r="V55" s="6" t="n">
        <v>0</v>
      </c>
      <c r="W55" s="6" t="n">
        <v>0</v>
      </c>
      <c r="X55" s="6" t="n">
        <v>0</v>
      </c>
      <c r="Y55" s="6" t="n">
        <v>0</v>
      </c>
      <c r="Z55" s="6" t="n">
        <v>0</v>
      </c>
      <c r="AA55" s="6" t="n">
        <v>0</v>
      </c>
      <c r="AB55" s="6" t="n">
        <v>0</v>
      </c>
      <c r="AC55" s="6" t="n">
        <v>0</v>
      </c>
      <c r="AD55" s="6" t="n">
        <v>0</v>
      </c>
      <c r="AE55" s="6" t="n">
        <f aca="false">+Y55+AB55+S55+V55</f>
        <v>0</v>
      </c>
      <c r="AF55" s="6" t="n">
        <f aca="false">+Z55+AC55+T55+W55</f>
        <v>0</v>
      </c>
      <c r="AG55" s="6" t="n">
        <f aca="false">+AA55+AD55+U55+X55</f>
        <v>0</v>
      </c>
      <c r="AH55" s="6" t="n">
        <v>0</v>
      </c>
      <c r="AI55" s="6" t="n">
        <v>0</v>
      </c>
      <c r="AJ55" s="6" t="n">
        <v>0</v>
      </c>
      <c r="AK55" s="6" t="n">
        <v>0</v>
      </c>
      <c r="AL55" s="6" t="n">
        <v>0</v>
      </c>
      <c r="AM55" s="6" t="n">
        <v>0</v>
      </c>
      <c r="AN55" s="30" t="n">
        <v>903000</v>
      </c>
      <c r="AO55" s="30" t="n">
        <v>903000</v>
      </c>
      <c r="AP55" s="6" t="n">
        <v>0</v>
      </c>
      <c r="AQ55" s="6" t="n">
        <v>0</v>
      </c>
      <c r="AR55" s="6" t="n">
        <v>0</v>
      </c>
      <c r="AS55" s="6" t="n">
        <v>800000</v>
      </c>
      <c r="AT55" s="6" t="n">
        <f aca="false">+AN55+AQ55+AH55+AK55</f>
        <v>903000</v>
      </c>
      <c r="AU55" s="6" t="n">
        <f aca="false">+AO55+AR55+AI55+AL55</f>
        <v>903000</v>
      </c>
      <c r="AV55" s="6" t="n">
        <f aca="false">+AP55+AS55+AJ55+AM55</f>
        <v>800000</v>
      </c>
      <c r="AW55" s="6" t="n">
        <v>0</v>
      </c>
      <c r="AX55" s="6" t="n">
        <v>0</v>
      </c>
      <c r="AY55" s="6" t="n">
        <v>25750</v>
      </c>
      <c r="AZ55" s="6" t="n">
        <v>0</v>
      </c>
      <c r="BA55" s="6" t="n">
        <v>0</v>
      </c>
      <c r="BB55" s="6" t="n">
        <v>35000</v>
      </c>
      <c r="BC55" s="6" t="n">
        <v>0</v>
      </c>
      <c r="BD55" s="6" t="n">
        <v>0</v>
      </c>
      <c r="BE55" s="6" t="n">
        <v>42250</v>
      </c>
      <c r="BF55" s="6" t="n">
        <v>0</v>
      </c>
      <c r="BG55" s="6" t="n">
        <v>0</v>
      </c>
      <c r="BH55" s="6" t="n">
        <v>0</v>
      </c>
      <c r="BI55" s="6" t="n">
        <f aca="false">+BC55+BF55+AW55+AZ55</f>
        <v>0</v>
      </c>
      <c r="BJ55" s="6" t="n">
        <f aca="false">+BD55+BG55+AX55+BA55</f>
        <v>0</v>
      </c>
      <c r="BK55" s="6" t="n">
        <f aca="false">+BE55+BH55+AY55+BB55</f>
        <v>103000</v>
      </c>
      <c r="BL55" s="6" t="n">
        <v>0</v>
      </c>
      <c r="BM55" s="6" t="n">
        <v>0</v>
      </c>
      <c r="BN55" s="6" t="n">
        <v>0</v>
      </c>
      <c r="BO55" s="6" t="n">
        <v>0</v>
      </c>
      <c r="BP55" s="6" t="n">
        <v>0</v>
      </c>
      <c r="BQ55" s="6" t="n">
        <v>0</v>
      </c>
      <c r="BR55" s="6" t="n">
        <v>0</v>
      </c>
      <c r="BS55" s="6" t="n">
        <v>0</v>
      </c>
      <c r="BT55" s="6" t="n">
        <v>0</v>
      </c>
      <c r="BU55" s="6" t="n">
        <v>0</v>
      </c>
      <c r="BV55" s="6" t="n">
        <v>0</v>
      </c>
      <c r="BW55" s="6" t="n">
        <v>0</v>
      </c>
      <c r="BX55" s="6" t="n">
        <f aca="false">+BR55+BU55+BL55+BO55</f>
        <v>0</v>
      </c>
      <c r="BY55" s="6" t="n">
        <f aca="false">+BS55+BV55+BM55+BP55</f>
        <v>0</v>
      </c>
      <c r="BZ55" s="6" t="n">
        <f aca="false">+BT55+BW55+BN55+BQ55</f>
        <v>0</v>
      </c>
      <c r="CA55" s="6" t="n">
        <v>0</v>
      </c>
      <c r="CB55" s="6" t="n">
        <v>0</v>
      </c>
      <c r="CC55" s="6" t="n">
        <v>0</v>
      </c>
      <c r="CD55" s="6" t="n">
        <v>0</v>
      </c>
      <c r="CE55" s="6" t="n">
        <v>0</v>
      </c>
      <c r="CF55" s="6" t="n">
        <v>0</v>
      </c>
      <c r="CG55" s="6" t="n">
        <v>0</v>
      </c>
      <c r="CH55" s="6" t="n">
        <v>0</v>
      </c>
      <c r="CI55" s="6" t="n">
        <v>0</v>
      </c>
      <c r="CJ55" s="6" t="n">
        <v>0</v>
      </c>
      <c r="CK55" s="6" t="n">
        <v>0</v>
      </c>
      <c r="CL55" s="6" t="n">
        <v>0</v>
      </c>
      <c r="CM55" s="6" t="n">
        <f aca="false">+CG55+CJ55+CA55+CD55</f>
        <v>0</v>
      </c>
      <c r="CN55" s="6" t="n">
        <f aca="false">+CH55+CK55+CB55+CE55</f>
        <v>0</v>
      </c>
      <c r="CO55" s="6" t="n">
        <f aca="false">+CI55+CL55+CC55+CF55</f>
        <v>0</v>
      </c>
      <c r="CP55" s="6" t="n">
        <v>0</v>
      </c>
      <c r="CQ55" s="6" t="n">
        <v>0</v>
      </c>
      <c r="CR55" s="6" t="n">
        <v>0</v>
      </c>
      <c r="CS55" s="6" t="n">
        <v>0</v>
      </c>
      <c r="CT55" s="6" t="n">
        <v>0</v>
      </c>
      <c r="CU55" s="6" t="n">
        <v>0</v>
      </c>
      <c r="CV55" s="6" t="n">
        <v>0</v>
      </c>
      <c r="CW55" s="6" t="n">
        <v>0</v>
      </c>
      <c r="CX55" s="6" t="n">
        <v>0</v>
      </c>
      <c r="CY55" s="6" t="n">
        <v>0</v>
      </c>
      <c r="CZ55" s="6" t="n">
        <v>0</v>
      </c>
      <c r="DA55" s="6" t="n">
        <v>0</v>
      </c>
      <c r="DB55" s="6" t="n">
        <f aca="false">+CV55+CY55+CP55+CS55</f>
        <v>0</v>
      </c>
      <c r="DC55" s="6" t="n">
        <f aca="false">+CW55+CZ55+CQ55+CT55</f>
        <v>0</v>
      </c>
      <c r="DD55" s="6" t="n">
        <f aca="false">+CX55+DA55+CR55+CU55</f>
        <v>0</v>
      </c>
      <c r="DE55" s="6" t="n">
        <v>0</v>
      </c>
      <c r="DF55" s="6" t="n">
        <v>0</v>
      </c>
      <c r="DG55" s="6" t="n">
        <v>0</v>
      </c>
      <c r="DH55" s="6" t="n">
        <v>0</v>
      </c>
      <c r="DI55" s="6" t="n">
        <v>0</v>
      </c>
      <c r="DJ55" s="6" t="n">
        <v>0</v>
      </c>
      <c r="DK55" s="6" t="n">
        <v>0</v>
      </c>
      <c r="DL55" s="6" t="n">
        <v>0</v>
      </c>
      <c r="DM55" s="6" t="n">
        <v>0</v>
      </c>
      <c r="DN55" s="6" t="n">
        <v>0</v>
      </c>
      <c r="DO55" s="6" t="n">
        <v>0</v>
      </c>
      <c r="DP55" s="6" t="n">
        <v>0</v>
      </c>
      <c r="DQ55" s="6" t="n">
        <f aca="false">+DK55+DN55+DE55+DH55</f>
        <v>0</v>
      </c>
      <c r="DR55" s="6" t="n">
        <f aca="false">+DL55+DO55+DF55+DI55</f>
        <v>0</v>
      </c>
      <c r="DS55" s="6" t="n">
        <f aca="false">+DM55+DP55+DG55+DJ55</f>
        <v>0</v>
      </c>
      <c r="DT55" s="31" t="n">
        <f aca="false">+P55+AE55+AT55+BI55+BX55+CM55+DB55</f>
        <v>903000</v>
      </c>
      <c r="DU55" s="31" t="n">
        <f aca="false">+Q55+AF55+AU55+BJ55+BY55+CN55+DC55</f>
        <v>903000</v>
      </c>
      <c r="DV55" s="31" t="n">
        <f aca="false">+R55+AG55+AV55+BK55+BZ55+CO55+DD55</f>
        <v>903000</v>
      </c>
      <c r="DW55" s="31" t="n">
        <f aca="false">+DU55-DV55</f>
        <v>0</v>
      </c>
    </row>
    <row r="56" customFormat="false" ht="13.8" hidden="false" customHeight="false" outlineLevel="0" collapsed="false">
      <c r="A56" s="27" t="n">
        <v>44680</v>
      </c>
      <c r="B56" s="28" t="s">
        <v>290</v>
      </c>
      <c r="C56" s="28" t="s">
        <v>291</v>
      </c>
      <c r="D56" s="29" t="s">
        <v>292</v>
      </c>
      <c r="E56" s="28" t="s">
        <v>293</v>
      </c>
      <c r="F56" s="27" t="s">
        <v>294</v>
      </c>
      <c r="G56" s="27" t="s">
        <v>11</v>
      </c>
      <c r="H56" s="30" t="n">
        <v>700000</v>
      </c>
      <c r="I56" s="30" t="n">
        <v>700000</v>
      </c>
      <c r="J56" s="6" t="n">
        <v>0</v>
      </c>
      <c r="K56" s="6" t="n">
        <v>0</v>
      </c>
      <c r="L56" s="6" t="n">
        <v>0</v>
      </c>
      <c r="M56" s="6" t="n">
        <v>0</v>
      </c>
      <c r="N56" s="6" t="n">
        <v>0</v>
      </c>
      <c r="O56" s="6" t="n">
        <v>0</v>
      </c>
      <c r="P56" s="6" t="n">
        <f aca="false">+J56+M56</f>
        <v>0</v>
      </c>
      <c r="Q56" s="6" t="n">
        <f aca="false">+K56+N56</f>
        <v>0</v>
      </c>
      <c r="R56" s="6" t="n">
        <f aca="false">+L56+O56</f>
        <v>0</v>
      </c>
      <c r="S56" s="6" t="n">
        <v>0</v>
      </c>
      <c r="T56" s="6" t="n">
        <v>0</v>
      </c>
      <c r="U56" s="6" t="n">
        <v>0</v>
      </c>
      <c r="V56" s="6" t="n">
        <v>0</v>
      </c>
      <c r="W56" s="6" t="n">
        <v>0</v>
      </c>
      <c r="X56" s="6" t="n">
        <v>0</v>
      </c>
      <c r="Y56" s="6" t="n">
        <v>0</v>
      </c>
      <c r="Z56" s="6" t="n">
        <v>0</v>
      </c>
      <c r="AA56" s="6" t="n">
        <v>0</v>
      </c>
      <c r="AB56" s="6" t="n">
        <v>0</v>
      </c>
      <c r="AC56" s="6" t="n">
        <v>0</v>
      </c>
      <c r="AD56" s="6" t="n">
        <v>0</v>
      </c>
      <c r="AE56" s="6" t="n">
        <f aca="false">+Y56+AB56+S56+V56</f>
        <v>0</v>
      </c>
      <c r="AF56" s="6" t="n">
        <f aca="false">+Z56+AC56+T56+W56</f>
        <v>0</v>
      </c>
      <c r="AG56" s="6" t="n">
        <f aca="false">+AA56+AD56+U56+X56</f>
        <v>0</v>
      </c>
      <c r="AH56" s="6" t="n">
        <v>0</v>
      </c>
      <c r="AI56" s="6" t="n">
        <v>0</v>
      </c>
      <c r="AJ56" s="6" t="n">
        <v>0</v>
      </c>
      <c r="AK56" s="6" t="n">
        <v>0</v>
      </c>
      <c r="AL56" s="6" t="n">
        <v>0</v>
      </c>
      <c r="AM56" s="6" t="n">
        <v>0</v>
      </c>
      <c r="AN56" s="30" t="n">
        <v>700000</v>
      </c>
      <c r="AO56" s="30" t="n">
        <v>700000</v>
      </c>
      <c r="AP56" s="6" t="n">
        <v>0</v>
      </c>
      <c r="AQ56" s="6" t="n">
        <v>0</v>
      </c>
      <c r="AR56" s="6" t="n">
        <v>0</v>
      </c>
      <c r="AS56" s="6" t="n">
        <v>600000</v>
      </c>
      <c r="AT56" s="6" t="n">
        <f aca="false">+AN56+AQ56+AH56+AK56</f>
        <v>700000</v>
      </c>
      <c r="AU56" s="6" t="n">
        <f aca="false">+AO56+AR56+AI56+AL56</f>
        <v>700000</v>
      </c>
      <c r="AV56" s="6" t="n">
        <f aca="false">+AP56+AS56+AJ56+AM56</f>
        <v>600000</v>
      </c>
      <c r="AW56" s="6" t="n">
        <v>0</v>
      </c>
      <c r="AX56" s="6" t="n">
        <v>0</v>
      </c>
      <c r="AY56" s="6" t="n">
        <v>100000</v>
      </c>
      <c r="AZ56" s="6" t="n">
        <v>0</v>
      </c>
      <c r="BA56" s="6" t="n">
        <v>0</v>
      </c>
      <c r="BB56" s="6" t="n">
        <v>0</v>
      </c>
      <c r="BC56" s="6" t="n">
        <v>0</v>
      </c>
      <c r="BD56" s="6" t="n">
        <v>0</v>
      </c>
      <c r="BE56" s="6" t="n">
        <v>0</v>
      </c>
      <c r="BF56" s="6" t="n">
        <v>0</v>
      </c>
      <c r="BG56" s="6" t="n">
        <v>0</v>
      </c>
      <c r="BH56" s="6" t="n">
        <v>0</v>
      </c>
      <c r="BI56" s="6" t="n">
        <f aca="false">+BC56+BF56+AW56+AZ56</f>
        <v>0</v>
      </c>
      <c r="BJ56" s="6" t="n">
        <f aca="false">+BD56+BG56+AX56+BA56</f>
        <v>0</v>
      </c>
      <c r="BK56" s="6" t="n">
        <f aca="false">+BE56+BH56+AY56+BB56</f>
        <v>100000</v>
      </c>
      <c r="BL56" s="6" t="n">
        <v>0</v>
      </c>
      <c r="BM56" s="6" t="n">
        <v>0</v>
      </c>
      <c r="BN56" s="6" t="n">
        <v>0</v>
      </c>
      <c r="BO56" s="6" t="n">
        <v>0</v>
      </c>
      <c r="BP56" s="6" t="n">
        <v>0</v>
      </c>
      <c r="BQ56" s="6" t="n">
        <v>0</v>
      </c>
      <c r="BR56" s="6" t="n">
        <v>0</v>
      </c>
      <c r="BS56" s="6" t="n">
        <v>0</v>
      </c>
      <c r="BT56" s="6" t="n">
        <v>0</v>
      </c>
      <c r="BU56" s="6" t="n">
        <v>0</v>
      </c>
      <c r="BV56" s="6" t="n">
        <v>0</v>
      </c>
      <c r="BW56" s="6" t="n">
        <v>0</v>
      </c>
      <c r="BX56" s="6" t="n">
        <f aca="false">+BR56+BU56+BL56+BO56</f>
        <v>0</v>
      </c>
      <c r="BY56" s="6" t="n">
        <f aca="false">+BS56+BV56+BM56+BP56</f>
        <v>0</v>
      </c>
      <c r="BZ56" s="6" t="n">
        <f aca="false">+BT56+BW56+BN56+BQ56</f>
        <v>0</v>
      </c>
      <c r="CA56" s="6" t="n">
        <v>0</v>
      </c>
      <c r="CB56" s="6" t="n">
        <v>0</v>
      </c>
      <c r="CC56" s="6" t="n">
        <v>0</v>
      </c>
      <c r="CD56" s="6" t="n">
        <v>0</v>
      </c>
      <c r="CE56" s="6" t="n">
        <v>0</v>
      </c>
      <c r="CF56" s="6" t="n">
        <v>0</v>
      </c>
      <c r="CG56" s="6" t="n">
        <v>0</v>
      </c>
      <c r="CH56" s="6" t="n">
        <v>0</v>
      </c>
      <c r="CI56" s="6" t="n">
        <v>0</v>
      </c>
      <c r="CJ56" s="6" t="n">
        <v>0</v>
      </c>
      <c r="CK56" s="6" t="n">
        <v>0</v>
      </c>
      <c r="CL56" s="6" t="n">
        <v>0</v>
      </c>
      <c r="CM56" s="6" t="n">
        <f aca="false">+CG56+CJ56+CA56+CD56</f>
        <v>0</v>
      </c>
      <c r="CN56" s="6" t="n">
        <f aca="false">+CH56+CK56+CB56+CE56</f>
        <v>0</v>
      </c>
      <c r="CO56" s="6" t="n">
        <f aca="false">+CI56+CL56+CC56+CF56</f>
        <v>0</v>
      </c>
      <c r="CP56" s="6" t="n">
        <v>0</v>
      </c>
      <c r="CQ56" s="6" t="n">
        <v>0</v>
      </c>
      <c r="CR56" s="6" t="n">
        <v>0</v>
      </c>
      <c r="CS56" s="6" t="n">
        <v>0</v>
      </c>
      <c r="CT56" s="6" t="n">
        <v>0</v>
      </c>
      <c r="CU56" s="6" t="n">
        <v>0</v>
      </c>
      <c r="CV56" s="6" t="n">
        <v>0</v>
      </c>
      <c r="CW56" s="6" t="n">
        <v>0</v>
      </c>
      <c r="CX56" s="6" t="n">
        <v>0</v>
      </c>
      <c r="CY56" s="6" t="n">
        <v>0</v>
      </c>
      <c r="CZ56" s="6" t="n">
        <v>0</v>
      </c>
      <c r="DA56" s="6" t="n">
        <v>0</v>
      </c>
      <c r="DB56" s="6" t="n">
        <f aca="false">+CV56+CY56+CP56+CS56</f>
        <v>0</v>
      </c>
      <c r="DC56" s="6" t="n">
        <f aca="false">+CW56+CZ56+CQ56+CT56</f>
        <v>0</v>
      </c>
      <c r="DD56" s="6" t="n">
        <f aca="false">+CX56+DA56+CR56+CU56</f>
        <v>0</v>
      </c>
      <c r="DE56" s="6" t="n">
        <v>0</v>
      </c>
      <c r="DF56" s="6" t="n">
        <v>0</v>
      </c>
      <c r="DG56" s="6" t="n">
        <v>0</v>
      </c>
      <c r="DH56" s="6" t="n">
        <v>0</v>
      </c>
      <c r="DI56" s="6" t="n">
        <v>0</v>
      </c>
      <c r="DJ56" s="6" t="n">
        <v>0</v>
      </c>
      <c r="DK56" s="6" t="n">
        <v>0</v>
      </c>
      <c r="DL56" s="6" t="n">
        <v>0</v>
      </c>
      <c r="DM56" s="6" t="n">
        <v>0</v>
      </c>
      <c r="DN56" s="6" t="n">
        <v>0</v>
      </c>
      <c r="DO56" s="6" t="n">
        <v>0</v>
      </c>
      <c r="DP56" s="6" t="n">
        <v>0</v>
      </c>
      <c r="DQ56" s="6" t="n">
        <f aca="false">+DK56+DN56+DE56+DH56</f>
        <v>0</v>
      </c>
      <c r="DR56" s="6" t="n">
        <f aca="false">+DL56+DO56+DF56+DI56</f>
        <v>0</v>
      </c>
      <c r="DS56" s="6" t="n">
        <f aca="false">+DM56+DP56+DG56+DJ56</f>
        <v>0</v>
      </c>
      <c r="DT56" s="31" t="n">
        <f aca="false">+P56+AE56+AT56+BI56+BX56+CM56+DB56</f>
        <v>700000</v>
      </c>
      <c r="DU56" s="31" t="n">
        <f aca="false">+Q56+AF56+AU56+BJ56+BY56+CN56+DC56</f>
        <v>700000</v>
      </c>
      <c r="DV56" s="31" t="n">
        <f aca="false">+R56+AG56+AV56+BK56+BZ56+CO56+DD56</f>
        <v>700000</v>
      </c>
      <c r="DW56" s="31" t="n">
        <f aca="false">+DU56-DV56</f>
        <v>0</v>
      </c>
    </row>
    <row r="57" customFormat="false" ht="13.8" hidden="false" customHeight="false" outlineLevel="0" collapsed="false">
      <c r="A57" s="27" t="n">
        <v>44692</v>
      </c>
      <c r="B57" s="28" t="s">
        <v>295</v>
      </c>
      <c r="C57" s="28" t="s">
        <v>296</v>
      </c>
      <c r="D57" s="29" t="s">
        <v>297</v>
      </c>
      <c r="E57" s="28" t="s">
        <v>298</v>
      </c>
      <c r="F57" s="27" t="s">
        <v>299</v>
      </c>
      <c r="G57" s="27" t="s">
        <v>11</v>
      </c>
      <c r="H57" s="30" t="n">
        <v>650000</v>
      </c>
      <c r="I57" s="30" t="n">
        <v>650000</v>
      </c>
      <c r="J57" s="6" t="n">
        <v>0</v>
      </c>
      <c r="K57" s="6" t="n">
        <v>0</v>
      </c>
      <c r="L57" s="6" t="n">
        <v>0</v>
      </c>
      <c r="M57" s="6" t="n">
        <v>0</v>
      </c>
      <c r="N57" s="6" t="n">
        <v>0</v>
      </c>
      <c r="O57" s="6" t="n">
        <v>0</v>
      </c>
      <c r="P57" s="6" t="n">
        <f aca="false">+J57+M57</f>
        <v>0</v>
      </c>
      <c r="Q57" s="6" t="n">
        <f aca="false">+K57+N57</f>
        <v>0</v>
      </c>
      <c r="R57" s="6" t="n">
        <f aca="false">+L57+O57</f>
        <v>0</v>
      </c>
      <c r="S57" s="6" t="n">
        <v>0</v>
      </c>
      <c r="T57" s="6" t="n">
        <v>0</v>
      </c>
      <c r="U57" s="6" t="n">
        <v>0</v>
      </c>
      <c r="V57" s="6" t="n">
        <v>0</v>
      </c>
      <c r="W57" s="6" t="n">
        <v>0</v>
      </c>
      <c r="X57" s="6" t="n">
        <v>0</v>
      </c>
      <c r="Y57" s="6" t="n">
        <v>0</v>
      </c>
      <c r="Z57" s="6" t="n">
        <v>0</v>
      </c>
      <c r="AA57" s="6" t="n">
        <v>0</v>
      </c>
      <c r="AB57" s="6" t="n">
        <v>0</v>
      </c>
      <c r="AC57" s="6" t="n">
        <v>0</v>
      </c>
      <c r="AD57" s="6" t="n">
        <v>0</v>
      </c>
      <c r="AE57" s="6" t="n">
        <f aca="false">+Y57+AB57+S57+V57</f>
        <v>0</v>
      </c>
      <c r="AF57" s="6" t="n">
        <f aca="false">+Z57+AC57+T57+W57</f>
        <v>0</v>
      </c>
      <c r="AG57" s="6" t="n">
        <f aca="false">+AA57+AD57+U57+X57</f>
        <v>0</v>
      </c>
      <c r="AH57" s="6" t="n">
        <v>0</v>
      </c>
      <c r="AI57" s="6" t="n">
        <v>0</v>
      </c>
      <c r="AJ57" s="6" t="n">
        <v>0</v>
      </c>
      <c r="AK57" s="6" t="n">
        <v>0</v>
      </c>
      <c r="AL57" s="6" t="n">
        <v>0</v>
      </c>
      <c r="AM57" s="6" t="n">
        <v>0</v>
      </c>
      <c r="AN57" s="30" t="n">
        <v>650000</v>
      </c>
      <c r="AO57" s="30" t="n">
        <v>650000</v>
      </c>
      <c r="AP57" s="6" t="n">
        <v>0</v>
      </c>
      <c r="AQ57" s="6" t="n">
        <v>0</v>
      </c>
      <c r="AR57" s="6" t="n">
        <v>0</v>
      </c>
      <c r="AS57" s="6" t="n">
        <v>240000</v>
      </c>
      <c r="AT57" s="6" t="n">
        <f aca="false">+AN57+AQ57+AH57+AK57</f>
        <v>650000</v>
      </c>
      <c r="AU57" s="6" t="n">
        <f aca="false">+AO57+AR57+AI57+AL57</f>
        <v>650000</v>
      </c>
      <c r="AV57" s="6" t="n">
        <f aca="false">+AP57+AS57+AJ57+AM57</f>
        <v>240000</v>
      </c>
      <c r="AW57" s="6" t="n">
        <v>0</v>
      </c>
      <c r="AX57" s="6" t="n">
        <v>0</v>
      </c>
      <c r="AY57" s="6" t="n">
        <v>300000</v>
      </c>
      <c r="AZ57" s="6" t="n">
        <v>0</v>
      </c>
      <c r="BA57" s="6" t="n">
        <v>0</v>
      </c>
      <c r="BB57" s="6" t="n">
        <v>110000</v>
      </c>
      <c r="BC57" s="6" t="n">
        <v>0</v>
      </c>
      <c r="BD57" s="6" t="n">
        <v>0</v>
      </c>
      <c r="BE57" s="6" t="n">
        <v>0</v>
      </c>
      <c r="BF57" s="6" t="n">
        <v>0</v>
      </c>
      <c r="BG57" s="6" t="n">
        <v>0</v>
      </c>
      <c r="BH57" s="6" t="n">
        <v>0</v>
      </c>
      <c r="BI57" s="6" t="n">
        <f aca="false">+BC57+BF57+AW57+AZ57</f>
        <v>0</v>
      </c>
      <c r="BJ57" s="6" t="n">
        <f aca="false">+BD57+BG57+AX57+BA57</f>
        <v>0</v>
      </c>
      <c r="BK57" s="6" t="n">
        <f aca="false">+BE57+BH57+AY57+BB57</f>
        <v>410000</v>
      </c>
      <c r="BL57" s="6" t="n">
        <v>0</v>
      </c>
      <c r="BM57" s="6" t="n">
        <v>0</v>
      </c>
      <c r="BN57" s="6" t="n">
        <v>0</v>
      </c>
      <c r="BO57" s="6" t="n">
        <v>0</v>
      </c>
      <c r="BP57" s="6" t="n">
        <v>0</v>
      </c>
      <c r="BQ57" s="6" t="n">
        <v>0</v>
      </c>
      <c r="BR57" s="6" t="n">
        <v>0</v>
      </c>
      <c r="BS57" s="6" t="n">
        <v>0</v>
      </c>
      <c r="BT57" s="6" t="n">
        <v>0</v>
      </c>
      <c r="BU57" s="6" t="n">
        <v>0</v>
      </c>
      <c r="BV57" s="6" t="n">
        <v>0</v>
      </c>
      <c r="BW57" s="6" t="n">
        <v>0</v>
      </c>
      <c r="BX57" s="6" t="n">
        <f aca="false">+BR57+BU57+BL57+BO57</f>
        <v>0</v>
      </c>
      <c r="BY57" s="6" t="n">
        <f aca="false">+BS57+BV57+BM57+BP57</f>
        <v>0</v>
      </c>
      <c r="BZ57" s="6" t="n">
        <f aca="false">+BT57+BW57+BN57+BQ57</f>
        <v>0</v>
      </c>
      <c r="CA57" s="6" t="n">
        <v>0</v>
      </c>
      <c r="CB57" s="6" t="n">
        <v>0</v>
      </c>
      <c r="CC57" s="6" t="n">
        <v>0</v>
      </c>
      <c r="CD57" s="6" t="n">
        <v>0</v>
      </c>
      <c r="CE57" s="6" t="n">
        <v>0</v>
      </c>
      <c r="CF57" s="6" t="n">
        <v>0</v>
      </c>
      <c r="CG57" s="6" t="n">
        <v>0</v>
      </c>
      <c r="CH57" s="6" t="n">
        <v>0</v>
      </c>
      <c r="CI57" s="6" t="n">
        <v>0</v>
      </c>
      <c r="CJ57" s="6" t="n">
        <v>0</v>
      </c>
      <c r="CK57" s="6" t="n">
        <v>0</v>
      </c>
      <c r="CL57" s="6" t="n">
        <v>0</v>
      </c>
      <c r="CM57" s="6" t="n">
        <f aca="false">+CG57+CJ57+CA57+CD57</f>
        <v>0</v>
      </c>
      <c r="CN57" s="6" t="n">
        <f aca="false">+CH57+CK57+CB57+CE57</f>
        <v>0</v>
      </c>
      <c r="CO57" s="6" t="n">
        <f aca="false">+CI57+CL57+CC57+CF57</f>
        <v>0</v>
      </c>
      <c r="CP57" s="6" t="n">
        <v>0</v>
      </c>
      <c r="CQ57" s="6" t="n">
        <v>0</v>
      </c>
      <c r="CR57" s="6" t="n">
        <v>0</v>
      </c>
      <c r="CS57" s="6" t="n">
        <v>0</v>
      </c>
      <c r="CT57" s="6" t="n">
        <v>0</v>
      </c>
      <c r="CU57" s="6" t="n">
        <v>0</v>
      </c>
      <c r="CV57" s="6" t="n">
        <v>0</v>
      </c>
      <c r="CW57" s="6" t="n">
        <v>0</v>
      </c>
      <c r="CX57" s="6" t="n">
        <v>0</v>
      </c>
      <c r="CY57" s="6" t="n">
        <v>0</v>
      </c>
      <c r="CZ57" s="6" t="n">
        <v>0</v>
      </c>
      <c r="DA57" s="6" t="n">
        <v>0</v>
      </c>
      <c r="DB57" s="6" t="n">
        <f aca="false">+CV57+CY57+CP57+CS57</f>
        <v>0</v>
      </c>
      <c r="DC57" s="6" t="n">
        <f aca="false">+CW57+CZ57+CQ57+CT57</f>
        <v>0</v>
      </c>
      <c r="DD57" s="6" t="n">
        <f aca="false">+CX57+DA57+CR57+CU57</f>
        <v>0</v>
      </c>
      <c r="DE57" s="6" t="n">
        <v>0</v>
      </c>
      <c r="DF57" s="6" t="n">
        <v>0</v>
      </c>
      <c r="DG57" s="6" t="n">
        <v>0</v>
      </c>
      <c r="DH57" s="6" t="n">
        <v>0</v>
      </c>
      <c r="DI57" s="6" t="n">
        <v>0</v>
      </c>
      <c r="DJ57" s="6" t="n">
        <v>0</v>
      </c>
      <c r="DK57" s="6" t="n">
        <v>0</v>
      </c>
      <c r="DL57" s="6" t="n">
        <v>0</v>
      </c>
      <c r="DM57" s="6" t="n">
        <v>0</v>
      </c>
      <c r="DN57" s="6" t="n">
        <v>0</v>
      </c>
      <c r="DO57" s="6" t="n">
        <v>0</v>
      </c>
      <c r="DP57" s="6" t="n">
        <v>0</v>
      </c>
      <c r="DQ57" s="6" t="n">
        <f aca="false">+DK57+DN57+DE57+DH57</f>
        <v>0</v>
      </c>
      <c r="DR57" s="6" t="n">
        <f aca="false">+DL57+DO57+DF57+DI57</f>
        <v>0</v>
      </c>
      <c r="DS57" s="6" t="n">
        <f aca="false">+DM57+DP57+DG57+DJ57</f>
        <v>0</v>
      </c>
      <c r="DT57" s="31" t="n">
        <f aca="false">+P57+AE57+AT57+BI57+BX57+CM57+DB57</f>
        <v>650000</v>
      </c>
      <c r="DU57" s="31" t="n">
        <f aca="false">+Q57+AF57+AU57+BJ57+BY57+CN57+DC57</f>
        <v>650000</v>
      </c>
      <c r="DV57" s="31" t="n">
        <f aca="false">+R57+AG57+AV57+BK57+BZ57+CO57+DD57</f>
        <v>650000</v>
      </c>
      <c r="DW57" s="31" t="n">
        <f aca="false">+DU57-DV57</f>
        <v>0</v>
      </c>
    </row>
    <row r="58" customFormat="false" ht="13.8" hidden="false" customHeight="false" outlineLevel="0" collapsed="false">
      <c r="A58" s="27" t="n">
        <v>44713</v>
      </c>
      <c r="B58" s="28" t="s">
        <v>300</v>
      </c>
      <c r="C58" s="28" t="s">
        <v>301</v>
      </c>
      <c r="D58" s="29" t="s">
        <v>302</v>
      </c>
      <c r="E58" s="28" t="s">
        <v>303</v>
      </c>
      <c r="F58" s="27" t="s">
        <v>304</v>
      </c>
      <c r="G58" s="27" t="s">
        <v>11</v>
      </c>
      <c r="H58" s="30" t="n">
        <v>500000</v>
      </c>
      <c r="I58" s="30" t="n">
        <v>500000</v>
      </c>
      <c r="J58" s="6" t="n">
        <v>0</v>
      </c>
      <c r="K58" s="6" t="n">
        <v>0</v>
      </c>
      <c r="L58" s="6" t="n">
        <v>0</v>
      </c>
      <c r="M58" s="6" t="n">
        <v>0</v>
      </c>
      <c r="N58" s="6" t="n">
        <v>0</v>
      </c>
      <c r="O58" s="6" t="n">
        <v>0</v>
      </c>
      <c r="P58" s="6" t="n">
        <f aca="false">+J58+M58</f>
        <v>0</v>
      </c>
      <c r="Q58" s="6" t="n">
        <f aca="false">+K58+N58</f>
        <v>0</v>
      </c>
      <c r="R58" s="6" t="n">
        <f aca="false">+L58+O58</f>
        <v>0</v>
      </c>
      <c r="S58" s="6" t="n">
        <v>0</v>
      </c>
      <c r="T58" s="6" t="n">
        <v>0</v>
      </c>
      <c r="U58" s="6" t="n">
        <v>0</v>
      </c>
      <c r="V58" s="6" t="n">
        <v>0</v>
      </c>
      <c r="W58" s="6" t="n">
        <v>0</v>
      </c>
      <c r="X58" s="6" t="n">
        <v>0</v>
      </c>
      <c r="Y58" s="6" t="n">
        <v>0</v>
      </c>
      <c r="Z58" s="6" t="n">
        <v>0</v>
      </c>
      <c r="AA58" s="6" t="n">
        <v>0</v>
      </c>
      <c r="AB58" s="6" t="n">
        <v>0</v>
      </c>
      <c r="AC58" s="6" t="n">
        <v>0</v>
      </c>
      <c r="AD58" s="6" t="n">
        <v>0</v>
      </c>
      <c r="AE58" s="6" t="n">
        <f aca="false">+Y58+AB58+S58+V58</f>
        <v>0</v>
      </c>
      <c r="AF58" s="6" t="n">
        <f aca="false">+Z58+AC58+T58+W58</f>
        <v>0</v>
      </c>
      <c r="AG58" s="6" t="n">
        <f aca="false">+AA58+AD58+U58+X58</f>
        <v>0</v>
      </c>
      <c r="AH58" s="6" t="n">
        <v>0</v>
      </c>
      <c r="AI58" s="6" t="n">
        <v>0</v>
      </c>
      <c r="AJ58" s="6" t="n">
        <v>0</v>
      </c>
      <c r="AK58" s="6" t="n">
        <v>0</v>
      </c>
      <c r="AL58" s="6" t="n">
        <v>0</v>
      </c>
      <c r="AM58" s="6" t="n">
        <v>0</v>
      </c>
      <c r="AN58" s="30" t="n">
        <v>500000</v>
      </c>
      <c r="AO58" s="30" t="n">
        <v>500000</v>
      </c>
      <c r="AP58" s="6" t="n">
        <v>0</v>
      </c>
      <c r="AQ58" s="6" t="n">
        <v>0</v>
      </c>
      <c r="AR58" s="6" t="n">
        <v>0</v>
      </c>
      <c r="AS58" s="6" t="n">
        <v>200000</v>
      </c>
      <c r="AT58" s="6" t="n">
        <f aca="false">+AN58+AQ58+AH58+AK58</f>
        <v>500000</v>
      </c>
      <c r="AU58" s="6" t="n">
        <f aca="false">+AO58+AR58+AI58+AL58</f>
        <v>500000</v>
      </c>
      <c r="AV58" s="6" t="n">
        <f aca="false">+AP58+AS58+AJ58+AM58</f>
        <v>200000</v>
      </c>
      <c r="AW58" s="6" t="n">
        <v>0</v>
      </c>
      <c r="AX58" s="6" t="n">
        <v>0</v>
      </c>
      <c r="AY58" s="6" t="n">
        <v>100000</v>
      </c>
      <c r="AZ58" s="6" t="n">
        <v>0</v>
      </c>
      <c r="BA58" s="6" t="n">
        <v>0</v>
      </c>
      <c r="BB58" s="6" t="n">
        <v>200000</v>
      </c>
      <c r="BC58" s="6" t="n">
        <v>0</v>
      </c>
      <c r="BD58" s="6" t="n">
        <v>0</v>
      </c>
      <c r="BE58" s="6" t="n">
        <v>0</v>
      </c>
      <c r="BF58" s="6" t="n">
        <v>0</v>
      </c>
      <c r="BG58" s="6" t="n">
        <v>0</v>
      </c>
      <c r="BH58" s="6" t="n">
        <v>0</v>
      </c>
      <c r="BI58" s="6" t="n">
        <f aca="false">+BC58+BF58+AW58+AZ58</f>
        <v>0</v>
      </c>
      <c r="BJ58" s="6" t="n">
        <f aca="false">+BD58+BG58+AX58+BA58</f>
        <v>0</v>
      </c>
      <c r="BK58" s="6" t="n">
        <f aca="false">+BE58+BH58+AY58+BB58</f>
        <v>300000</v>
      </c>
      <c r="BL58" s="6" t="n">
        <v>0</v>
      </c>
      <c r="BM58" s="6" t="n">
        <v>0</v>
      </c>
      <c r="BN58" s="6" t="n">
        <v>0</v>
      </c>
      <c r="BO58" s="6" t="n">
        <v>0</v>
      </c>
      <c r="BP58" s="6" t="n">
        <v>0</v>
      </c>
      <c r="BQ58" s="6" t="n">
        <v>0</v>
      </c>
      <c r="BR58" s="6" t="n">
        <v>0</v>
      </c>
      <c r="BS58" s="6" t="n">
        <v>0</v>
      </c>
      <c r="BT58" s="6" t="n">
        <v>0</v>
      </c>
      <c r="BU58" s="6" t="n">
        <v>0</v>
      </c>
      <c r="BV58" s="6" t="n">
        <v>0</v>
      </c>
      <c r="BW58" s="6" t="n">
        <v>0</v>
      </c>
      <c r="BX58" s="6" t="n">
        <f aca="false">+BR58+BU58+BL58+BO58</f>
        <v>0</v>
      </c>
      <c r="BY58" s="6" t="n">
        <f aca="false">+BS58+BV58+BM58+BP58</f>
        <v>0</v>
      </c>
      <c r="BZ58" s="6" t="n">
        <f aca="false">+BT58+BW58+BN58+BQ58</f>
        <v>0</v>
      </c>
      <c r="CA58" s="6" t="n">
        <v>0</v>
      </c>
      <c r="CB58" s="6" t="n">
        <v>0</v>
      </c>
      <c r="CC58" s="6" t="n">
        <v>0</v>
      </c>
      <c r="CD58" s="6" t="n">
        <v>0</v>
      </c>
      <c r="CE58" s="6" t="n">
        <v>0</v>
      </c>
      <c r="CF58" s="6" t="n">
        <v>0</v>
      </c>
      <c r="CG58" s="6" t="n">
        <v>0</v>
      </c>
      <c r="CH58" s="6" t="n">
        <v>0</v>
      </c>
      <c r="CI58" s="6" t="n">
        <v>0</v>
      </c>
      <c r="CJ58" s="6" t="n">
        <v>0</v>
      </c>
      <c r="CK58" s="6" t="n">
        <v>0</v>
      </c>
      <c r="CL58" s="6" t="n">
        <v>0</v>
      </c>
      <c r="CM58" s="6" t="n">
        <f aca="false">+CG58+CJ58+CA58+CD58</f>
        <v>0</v>
      </c>
      <c r="CN58" s="6" t="n">
        <f aca="false">+CH58+CK58+CB58+CE58</f>
        <v>0</v>
      </c>
      <c r="CO58" s="6" t="n">
        <f aca="false">+CI58+CL58+CC58+CF58</f>
        <v>0</v>
      </c>
      <c r="CP58" s="6" t="n">
        <v>0</v>
      </c>
      <c r="CQ58" s="6" t="n">
        <v>0</v>
      </c>
      <c r="CR58" s="6" t="n">
        <v>0</v>
      </c>
      <c r="CS58" s="6" t="n">
        <v>0</v>
      </c>
      <c r="CT58" s="6" t="n">
        <v>0</v>
      </c>
      <c r="CU58" s="6" t="n">
        <v>0</v>
      </c>
      <c r="CV58" s="6" t="n">
        <v>0</v>
      </c>
      <c r="CW58" s="6" t="n">
        <v>0</v>
      </c>
      <c r="CX58" s="6" t="n">
        <v>0</v>
      </c>
      <c r="CY58" s="6" t="n">
        <v>0</v>
      </c>
      <c r="CZ58" s="6" t="n">
        <v>0</v>
      </c>
      <c r="DA58" s="6" t="n">
        <v>0</v>
      </c>
      <c r="DB58" s="6" t="n">
        <f aca="false">+CV58+CY58+CP58+CS58</f>
        <v>0</v>
      </c>
      <c r="DC58" s="6" t="n">
        <f aca="false">+CW58+CZ58+CQ58+CT58</f>
        <v>0</v>
      </c>
      <c r="DD58" s="6" t="n">
        <f aca="false">+CX58+DA58+CR58+CU58</f>
        <v>0</v>
      </c>
      <c r="DE58" s="6" t="n">
        <v>0</v>
      </c>
      <c r="DF58" s="6" t="n">
        <v>0</v>
      </c>
      <c r="DG58" s="6" t="n">
        <v>0</v>
      </c>
      <c r="DH58" s="6" t="n">
        <v>0</v>
      </c>
      <c r="DI58" s="6" t="n">
        <v>0</v>
      </c>
      <c r="DJ58" s="6" t="n">
        <v>0</v>
      </c>
      <c r="DK58" s="6" t="n">
        <v>0</v>
      </c>
      <c r="DL58" s="6" t="n">
        <v>0</v>
      </c>
      <c r="DM58" s="6" t="n">
        <v>0</v>
      </c>
      <c r="DN58" s="6" t="n">
        <v>0</v>
      </c>
      <c r="DO58" s="6" t="n">
        <v>0</v>
      </c>
      <c r="DP58" s="6" t="n">
        <v>0</v>
      </c>
      <c r="DQ58" s="6" t="n">
        <f aca="false">+DK58+DN58+DE58+DH58</f>
        <v>0</v>
      </c>
      <c r="DR58" s="6" t="n">
        <f aca="false">+DL58+DO58+DF58+DI58</f>
        <v>0</v>
      </c>
      <c r="DS58" s="6" t="n">
        <f aca="false">+DM58+DP58+DG58+DJ58</f>
        <v>0</v>
      </c>
      <c r="DT58" s="31" t="n">
        <f aca="false">+P58+AE58+AT58+BI58+BX58+CM58+DB58</f>
        <v>500000</v>
      </c>
      <c r="DU58" s="31" t="n">
        <f aca="false">+Q58+AF58+AU58+BJ58+BY58+CN58+DC58</f>
        <v>500000</v>
      </c>
      <c r="DV58" s="31" t="n">
        <f aca="false">+R58+AG58+AV58+BK58+BZ58+CO58+DD58</f>
        <v>500000</v>
      </c>
      <c r="DW58" s="31" t="n">
        <f aca="false">+DU58-DV58</f>
        <v>0</v>
      </c>
    </row>
    <row r="59" customFormat="false" ht="13.8" hidden="false" customHeight="false" outlineLevel="0" collapsed="false">
      <c r="A59" s="27" t="n">
        <v>44700</v>
      </c>
      <c r="B59" s="28" t="s">
        <v>305</v>
      </c>
      <c r="C59" s="28" t="s">
        <v>306</v>
      </c>
      <c r="D59" s="29" t="s">
        <v>307</v>
      </c>
      <c r="E59" s="28" t="s">
        <v>308</v>
      </c>
      <c r="F59" s="27" t="s">
        <v>304</v>
      </c>
      <c r="G59" s="27" t="s">
        <v>11</v>
      </c>
      <c r="H59" s="30" t="n">
        <v>938000</v>
      </c>
      <c r="I59" s="30" t="n">
        <v>938000</v>
      </c>
      <c r="J59" s="6" t="n">
        <v>0</v>
      </c>
      <c r="K59" s="6" t="n">
        <v>0</v>
      </c>
      <c r="L59" s="6" t="n">
        <v>0</v>
      </c>
      <c r="M59" s="6" t="n">
        <v>0</v>
      </c>
      <c r="N59" s="6" t="n">
        <v>0</v>
      </c>
      <c r="O59" s="6" t="n">
        <v>0</v>
      </c>
      <c r="P59" s="6" t="n">
        <f aca="false">+J59+M59</f>
        <v>0</v>
      </c>
      <c r="Q59" s="6" t="n">
        <f aca="false">+K59+N59</f>
        <v>0</v>
      </c>
      <c r="R59" s="6" t="n">
        <f aca="false">+L59+O59</f>
        <v>0</v>
      </c>
      <c r="S59" s="6" t="n">
        <v>0</v>
      </c>
      <c r="T59" s="6" t="n">
        <v>0</v>
      </c>
      <c r="U59" s="6" t="n">
        <v>0</v>
      </c>
      <c r="V59" s="6" t="n">
        <v>0</v>
      </c>
      <c r="W59" s="6" t="n">
        <v>0</v>
      </c>
      <c r="X59" s="6" t="n">
        <v>0</v>
      </c>
      <c r="Y59" s="6" t="n">
        <v>0</v>
      </c>
      <c r="Z59" s="6" t="n">
        <v>0</v>
      </c>
      <c r="AA59" s="6" t="n">
        <v>0</v>
      </c>
      <c r="AB59" s="6" t="n">
        <v>0</v>
      </c>
      <c r="AC59" s="6" t="n">
        <v>0</v>
      </c>
      <c r="AD59" s="6" t="n">
        <v>0</v>
      </c>
      <c r="AE59" s="6" t="n">
        <f aca="false">+Y59+AB59+S59+V59</f>
        <v>0</v>
      </c>
      <c r="AF59" s="6" t="n">
        <f aca="false">+Z59+AC59+T59+W59</f>
        <v>0</v>
      </c>
      <c r="AG59" s="6" t="n">
        <f aca="false">+AA59+AD59+U59+X59</f>
        <v>0</v>
      </c>
      <c r="AH59" s="6" t="n">
        <v>0</v>
      </c>
      <c r="AI59" s="6" t="n">
        <v>0</v>
      </c>
      <c r="AJ59" s="6" t="n">
        <v>0</v>
      </c>
      <c r="AK59" s="6" t="n">
        <v>0</v>
      </c>
      <c r="AL59" s="6" t="n">
        <v>0</v>
      </c>
      <c r="AM59" s="6" t="n">
        <v>0</v>
      </c>
      <c r="AN59" s="30" t="n">
        <v>938000</v>
      </c>
      <c r="AO59" s="30" t="n">
        <v>938000</v>
      </c>
      <c r="AP59" s="6" t="n">
        <v>0</v>
      </c>
      <c r="AQ59" s="6" t="n">
        <v>0</v>
      </c>
      <c r="AR59" s="6" t="n">
        <v>0</v>
      </c>
      <c r="AS59" s="6" t="n">
        <v>234500</v>
      </c>
      <c r="AT59" s="6" t="n">
        <f aca="false">+AN59+AQ59+AH59+AK59</f>
        <v>938000</v>
      </c>
      <c r="AU59" s="6" t="n">
        <f aca="false">+AO59+AR59+AI59+AL59</f>
        <v>938000</v>
      </c>
      <c r="AV59" s="6" t="n">
        <f aca="false">+AP59+AS59+AJ59+AM59</f>
        <v>234500</v>
      </c>
      <c r="AW59" s="6" t="n">
        <v>0</v>
      </c>
      <c r="AX59" s="6" t="n">
        <v>0</v>
      </c>
      <c r="AY59" s="6" t="n">
        <v>703500</v>
      </c>
      <c r="AZ59" s="6" t="n">
        <v>0</v>
      </c>
      <c r="BA59" s="6" t="n">
        <v>0</v>
      </c>
      <c r="BB59" s="6" t="n">
        <v>0</v>
      </c>
      <c r="BC59" s="6" t="n">
        <v>0</v>
      </c>
      <c r="BD59" s="6" t="n">
        <v>0</v>
      </c>
      <c r="BE59" s="6" t="n">
        <v>0</v>
      </c>
      <c r="BF59" s="6" t="n">
        <v>0</v>
      </c>
      <c r="BG59" s="6" t="n">
        <v>0</v>
      </c>
      <c r="BH59" s="6" t="n">
        <v>0</v>
      </c>
      <c r="BI59" s="6" t="n">
        <f aca="false">+BC59+BF59+AW59+AZ59</f>
        <v>0</v>
      </c>
      <c r="BJ59" s="6" t="n">
        <f aca="false">+BD59+BG59+AX59+BA59</f>
        <v>0</v>
      </c>
      <c r="BK59" s="6" t="n">
        <f aca="false">+BE59+BH59+AY59+BB59</f>
        <v>703500</v>
      </c>
      <c r="BL59" s="6" t="n">
        <v>0</v>
      </c>
      <c r="BM59" s="6" t="n">
        <v>0</v>
      </c>
      <c r="BN59" s="6" t="n">
        <v>0</v>
      </c>
      <c r="BO59" s="6" t="n">
        <v>0</v>
      </c>
      <c r="BP59" s="6" t="n">
        <v>0</v>
      </c>
      <c r="BQ59" s="6" t="n">
        <v>0</v>
      </c>
      <c r="BR59" s="6" t="n">
        <v>0</v>
      </c>
      <c r="BS59" s="6" t="n">
        <v>0</v>
      </c>
      <c r="BT59" s="6" t="n">
        <v>0</v>
      </c>
      <c r="BU59" s="6" t="n">
        <v>0</v>
      </c>
      <c r="BV59" s="6" t="n">
        <v>0</v>
      </c>
      <c r="BW59" s="6" t="n">
        <v>0</v>
      </c>
      <c r="BX59" s="6" t="n">
        <f aca="false">+BR59+BU59+BL59+BO59</f>
        <v>0</v>
      </c>
      <c r="BY59" s="6" t="n">
        <f aca="false">+BS59+BV59+BM59+BP59</f>
        <v>0</v>
      </c>
      <c r="BZ59" s="6" t="n">
        <f aca="false">+BT59+BW59+BN59+BQ59</f>
        <v>0</v>
      </c>
      <c r="CA59" s="6" t="n">
        <v>0</v>
      </c>
      <c r="CB59" s="6" t="n">
        <v>0</v>
      </c>
      <c r="CC59" s="6" t="n">
        <v>0</v>
      </c>
      <c r="CD59" s="6" t="n">
        <v>0</v>
      </c>
      <c r="CE59" s="6" t="n">
        <v>0</v>
      </c>
      <c r="CF59" s="6" t="n">
        <v>0</v>
      </c>
      <c r="CG59" s="6" t="n">
        <v>0</v>
      </c>
      <c r="CH59" s="6" t="n">
        <v>0</v>
      </c>
      <c r="CI59" s="6" t="n">
        <v>0</v>
      </c>
      <c r="CJ59" s="6" t="n">
        <v>0</v>
      </c>
      <c r="CK59" s="6" t="n">
        <v>0</v>
      </c>
      <c r="CL59" s="6" t="n">
        <v>0</v>
      </c>
      <c r="CM59" s="6" t="n">
        <f aca="false">+CG59+CJ59+CA59+CD59</f>
        <v>0</v>
      </c>
      <c r="CN59" s="6" t="n">
        <f aca="false">+CH59+CK59+CB59+CE59</f>
        <v>0</v>
      </c>
      <c r="CO59" s="6" t="n">
        <f aca="false">+CI59+CL59+CC59+CF59</f>
        <v>0</v>
      </c>
      <c r="CP59" s="6" t="n">
        <v>0</v>
      </c>
      <c r="CQ59" s="6" t="n">
        <v>0</v>
      </c>
      <c r="CR59" s="6" t="n">
        <v>0</v>
      </c>
      <c r="CS59" s="6" t="n">
        <v>0</v>
      </c>
      <c r="CT59" s="6" t="n">
        <v>0</v>
      </c>
      <c r="CU59" s="6" t="n">
        <v>0</v>
      </c>
      <c r="CV59" s="6" t="n">
        <v>0</v>
      </c>
      <c r="CW59" s="6" t="n">
        <v>0</v>
      </c>
      <c r="CX59" s="6" t="n">
        <v>0</v>
      </c>
      <c r="CY59" s="6" t="n">
        <v>0</v>
      </c>
      <c r="CZ59" s="6" t="n">
        <v>0</v>
      </c>
      <c r="DA59" s="6" t="n">
        <v>0</v>
      </c>
      <c r="DB59" s="6" t="n">
        <f aca="false">+CV59+CY59+CP59+CS59</f>
        <v>0</v>
      </c>
      <c r="DC59" s="6" t="n">
        <f aca="false">+CW59+CZ59+CQ59+CT59</f>
        <v>0</v>
      </c>
      <c r="DD59" s="6" t="n">
        <f aca="false">+CX59+DA59+CR59+CU59</f>
        <v>0</v>
      </c>
      <c r="DE59" s="6" t="n">
        <v>0</v>
      </c>
      <c r="DF59" s="6" t="n">
        <v>0</v>
      </c>
      <c r="DG59" s="6" t="n">
        <v>0</v>
      </c>
      <c r="DH59" s="6" t="n">
        <v>0</v>
      </c>
      <c r="DI59" s="6" t="n">
        <v>0</v>
      </c>
      <c r="DJ59" s="6" t="n">
        <v>0</v>
      </c>
      <c r="DK59" s="6" t="n">
        <v>0</v>
      </c>
      <c r="DL59" s="6" t="n">
        <v>0</v>
      </c>
      <c r="DM59" s="6" t="n">
        <v>0</v>
      </c>
      <c r="DN59" s="6" t="n">
        <v>0</v>
      </c>
      <c r="DO59" s="6" t="n">
        <v>0</v>
      </c>
      <c r="DP59" s="6" t="n">
        <v>0</v>
      </c>
      <c r="DQ59" s="6" t="n">
        <f aca="false">+DK59+DN59+DE59+DH59</f>
        <v>0</v>
      </c>
      <c r="DR59" s="6" t="n">
        <f aca="false">+DL59+DO59+DF59+DI59</f>
        <v>0</v>
      </c>
      <c r="DS59" s="6" t="n">
        <f aca="false">+DM59+DP59+DG59+DJ59</f>
        <v>0</v>
      </c>
      <c r="DT59" s="31" t="n">
        <f aca="false">+P59+AE59+AT59+BI59+BX59+CM59+DB59</f>
        <v>938000</v>
      </c>
      <c r="DU59" s="31" t="n">
        <f aca="false">+Q59+AF59+AU59+BJ59+BY59+CN59+DC59</f>
        <v>938000</v>
      </c>
      <c r="DV59" s="31" t="n">
        <f aca="false">+R59+AG59+AV59+BK59+BZ59+CO59+DD59</f>
        <v>938000</v>
      </c>
      <c r="DW59" s="31" t="n">
        <f aca="false">+DU59-DV59</f>
        <v>0</v>
      </c>
    </row>
    <row r="60" customFormat="false" ht="13.8" hidden="false" customHeight="false" outlineLevel="0" collapsed="false">
      <c r="A60" s="27" t="n">
        <v>44700</v>
      </c>
      <c r="B60" s="28" t="s">
        <v>305</v>
      </c>
      <c r="C60" s="28" t="s">
        <v>306</v>
      </c>
      <c r="D60" s="29" t="s">
        <v>307</v>
      </c>
      <c r="E60" s="28" t="s">
        <v>308</v>
      </c>
      <c r="F60" s="27" t="s">
        <v>304</v>
      </c>
      <c r="G60" s="27" t="s">
        <v>11</v>
      </c>
      <c r="H60" s="30" t="n">
        <v>712000</v>
      </c>
      <c r="I60" s="30" t="n">
        <v>712000</v>
      </c>
      <c r="J60" s="6" t="n">
        <v>0</v>
      </c>
      <c r="K60" s="6" t="n">
        <v>0</v>
      </c>
      <c r="L60" s="6" t="n">
        <v>0</v>
      </c>
      <c r="M60" s="6" t="n">
        <v>0</v>
      </c>
      <c r="N60" s="6" t="n">
        <v>0</v>
      </c>
      <c r="O60" s="6" t="n">
        <v>0</v>
      </c>
      <c r="P60" s="6" t="n">
        <f aca="false">+J60+M60</f>
        <v>0</v>
      </c>
      <c r="Q60" s="6" t="n">
        <f aca="false">+K60+N60</f>
        <v>0</v>
      </c>
      <c r="R60" s="6" t="n">
        <f aca="false">+L60+O60</f>
        <v>0</v>
      </c>
      <c r="S60" s="6" t="n">
        <v>0</v>
      </c>
      <c r="T60" s="6" t="n">
        <v>0</v>
      </c>
      <c r="U60" s="6" t="n">
        <v>0</v>
      </c>
      <c r="V60" s="6" t="n">
        <v>0</v>
      </c>
      <c r="W60" s="6" t="n">
        <v>0</v>
      </c>
      <c r="X60" s="6" t="n">
        <v>0</v>
      </c>
      <c r="Y60" s="6" t="n">
        <v>0</v>
      </c>
      <c r="Z60" s="6" t="n">
        <v>0</v>
      </c>
      <c r="AA60" s="6" t="n">
        <v>0</v>
      </c>
      <c r="AB60" s="6" t="n">
        <v>0</v>
      </c>
      <c r="AC60" s="6" t="n">
        <v>0</v>
      </c>
      <c r="AD60" s="6" t="n">
        <v>0</v>
      </c>
      <c r="AE60" s="6" t="n">
        <f aca="false">+Y60+AB60+S60+V60</f>
        <v>0</v>
      </c>
      <c r="AF60" s="6" t="n">
        <f aca="false">+Z60+AC60+T60+W60</f>
        <v>0</v>
      </c>
      <c r="AG60" s="6" t="n">
        <f aca="false">+AA60+AD60+U60+X60</f>
        <v>0</v>
      </c>
      <c r="AH60" s="6" t="n">
        <v>0</v>
      </c>
      <c r="AI60" s="6" t="n">
        <v>0</v>
      </c>
      <c r="AJ60" s="6" t="n">
        <v>0</v>
      </c>
      <c r="AK60" s="6" t="n">
        <v>0</v>
      </c>
      <c r="AL60" s="6" t="n">
        <v>0</v>
      </c>
      <c r="AM60" s="6" t="n">
        <v>0</v>
      </c>
      <c r="AN60" s="30" t="n">
        <v>712000</v>
      </c>
      <c r="AO60" s="30" t="n">
        <v>712000</v>
      </c>
      <c r="AP60" s="6" t="n">
        <v>0</v>
      </c>
      <c r="AQ60" s="6" t="n">
        <v>0</v>
      </c>
      <c r="AR60" s="6" t="n">
        <v>0</v>
      </c>
      <c r="AS60" s="6" t="n">
        <v>178000</v>
      </c>
      <c r="AT60" s="6" t="n">
        <f aca="false">+AN60+AQ60+AH60+AK60</f>
        <v>712000</v>
      </c>
      <c r="AU60" s="6" t="n">
        <f aca="false">+AO60+AR60+AI60+AL60</f>
        <v>712000</v>
      </c>
      <c r="AV60" s="6" t="n">
        <f aca="false">+AP60+AS60+AJ60+AM60</f>
        <v>178000</v>
      </c>
      <c r="AW60" s="6" t="n">
        <v>0</v>
      </c>
      <c r="AX60" s="6" t="n">
        <v>0</v>
      </c>
      <c r="AY60" s="6" t="n">
        <v>534000</v>
      </c>
      <c r="AZ60" s="6" t="n">
        <v>0</v>
      </c>
      <c r="BA60" s="6" t="n">
        <v>0</v>
      </c>
      <c r="BB60" s="6" t="n">
        <v>0</v>
      </c>
      <c r="BC60" s="6" t="n">
        <v>0</v>
      </c>
      <c r="BD60" s="6" t="n">
        <v>0</v>
      </c>
      <c r="BE60" s="6" t="n">
        <v>0</v>
      </c>
      <c r="BF60" s="6" t="n">
        <v>0</v>
      </c>
      <c r="BG60" s="6" t="n">
        <v>0</v>
      </c>
      <c r="BH60" s="6" t="n">
        <v>0</v>
      </c>
      <c r="BI60" s="6" t="n">
        <f aca="false">+BC60+BF60+AW60+AZ60</f>
        <v>0</v>
      </c>
      <c r="BJ60" s="6" t="n">
        <f aca="false">+BD60+BG60+AX60+BA60</f>
        <v>0</v>
      </c>
      <c r="BK60" s="6" t="n">
        <f aca="false">+BE60+BH60+AY60+BB60</f>
        <v>534000</v>
      </c>
      <c r="BL60" s="6" t="n">
        <v>0</v>
      </c>
      <c r="BM60" s="6" t="n">
        <v>0</v>
      </c>
      <c r="BN60" s="6" t="n">
        <v>0</v>
      </c>
      <c r="BO60" s="6" t="n">
        <v>0</v>
      </c>
      <c r="BP60" s="6" t="n">
        <v>0</v>
      </c>
      <c r="BQ60" s="6" t="n">
        <v>0</v>
      </c>
      <c r="BR60" s="6" t="n">
        <v>0</v>
      </c>
      <c r="BS60" s="6" t="n">
        <v>0</v>
      </c>
      <c r="BT60" s="6" t="n">
        <v>0</v>
      </c>
      <c r="BU60" s="6" t="n">
        <v>0</v>
      </c>
      <c r="BV60" s="6" t="n">
        <v>0</v>
      </c>
      <c r="BW60" s="6" t="n">
        <v>0</v>
      </c>
      <c r="BX60" s="6" t="n">
        <f aca="false">+BR60+BU60+BL60+BO60</f>
        <v>0</v>
      </c>
      <c r="BY60" s="6" t="n">
        <f aca="false">+BS60+BV60+BM60+BP60</f>
        <v>0</v>
      </c>
      <c r="BZ60" s="6" t="n">
        <f aca="false">+BT60+BW60+BN60+BQ60</f>
        <v>0</v>
      </c>
      <c r="CA60" s="6" t="n">
        <v>0</v>
      </c>
      <c r="CB60" s="6" t="n">
        <v>0</v>
      </c>
      <c r="CC60" s="6" t="n">
        <v>0</v>
      </c>
      <c r="CD60" s="6" t="n">
        <v>0</v>
      </c>
      <c r="CE60" s="6" t="n">
        <v>0</v>
      </c>
      <c r="CF60" s="6" t="n">
        <v>0</v>
      </c>
      <c r="CG60" s="6" t="n">
        <v>0</v>
      </c>
      <c r="CH60" s="6" t="n">
        <v>0</v>
      </c>
      <c r="CI60" s="6" t="n">
        <v>0</v>
      </c>
      <c r="CJ60" s="6" t="n">
        <v>0</v>
      </c>
      <c r="CK60" s="6" t="n">
        <v>0</v>
      </c>
      <c r="CL60" s="6" t="n">
        <v>0</v>
      </c>
      <c r="CM60" s="6" t="n">
        <f aca="false">+CG60+CJ60+CA60+CD60</f>
        <v>0</v>
      </c>
      <c r="CN60" s="6" t="n">
        <f aca="false">+CH60+CK60+CB60+CE60</f>
        <v>0</v>
      </c>
      <c r="CO60" s="6" t="n">
        <f aca="false">+CI60+CL60+CC60+CF60</f>
        <v>0</v>
      </c>
      <c r="CP60" s="6" t="n">
        <v>0</v>
      </c>
      <c r="CQ60" s="6" t="n">
        <v>0</v>
      </c>
      <c r="CR60" s="6" t="n">
        <v>0</v>
      </c>
      <c r="CS60" s="6" t="n">
        <v>0</v>
      </c>
      <c r="CT60" s="6" t="n">
        <v>0</v>
      </c>
      <c r="CU60" s="6" t="n">
        <v>0</v>
      </c>
      <c r="CV60" s="6" t="n">
        <v>0</v>
      </c>
      <c r="CW60" s="6" t="n">
        <v>0</v>
      </c>
      <c r="CX60" s="6" t="n">
        <v>0</v>
      </c>
      <c r="CY60" s="6" t="n">
        <v>0</v>
      </c>
      <c r="CZ60" s="6" t="n">
        <v>0</v>
      </c>
      <c r="DA60" s="6" t="n">
        <v>0</v>
      </c>
      <c r="DB60" s="6" t="n">
        <f aca="false">+CV60+CY60+CP60+CS60</f>
        <v>0</v>
      </c>
      <c r="DC60" s="6" t="n">
        <f aca="false">+CW60+CZ60+CQ60+CT60</f>
        <v>0</v>
      </c>
      <c r="DD60" s="6" t="n">
        <f aca="false">+CX60+DA60+CR60+CU60</f>
        <v>0</v>
      </c>
      <c r="DE60" s="6" t="n">
        <v>0</v>
      </c>
      <c r="DF60" s="6" t="n">
        <v>0</v>
      </c>
      <c r="DG60" s="6" t="n">
        <v>0</v>
      </c>
      <c r="DH60" s="6" t="n">
        <v>0</v>
      </c>
      <c r="DI60" s="6" t="n">
        <v>0</v>
      </c>
      <c r="DJ60" s="6" t="n">
        <v>0</v>
      </c>
      <c r="DK60" s="6" t="n">
        <v>0</v>
      </c>
      <c r="DL60" s="6" t="n">
        <v>0</v>
      </c>
      <c r="DM60" s="6" t="n">
        <v>0</v>
      </c>
      <c r="DN60" s="6" t="n">
        <v>0</v>
      </c>
      <c r="DO60" s="6" t="n">
        <v>0</v>
      </c>
      <c r="DP60" s="6" t="n">
        <v>0</v>
      </c>
      <c r="DQ60" s="6" t="n">
        <f aca="false">+DK60+DN60+DE60+DH60</f>
        <v>0</v>
      </c>
      <c r="DR60" s="6" t="n">
        <f aca="false">+DL60+DO60+DF60+DI60</f>
        <v>0</v>
      </c>
      <c r="DS60" s="6" t="n">
        <f aca="false">+DM60+DP60+DG60+DJ60</f>
        <v>0</v>
      </c>
      <c r="DT60" s="31" t="n">
        <f aca="false">+P60+AE60+AT60+BI60+BX60+CM60+DB60</f>
        <v>712000</v>
      </c>
      <c r="DU60" s="31" t="n">
        <f aca="false">+Q60+AF60+AU60+BJ60+BY60+CN60+DC60</f>
        <v>712000</v>
      </c>
      <c r="DV60" s="31" t="n">
        <f aca="false">+R60+AG60+AV60+BK60+BZ60+CO60+DD60</f>
        <v>712000</v>
      </c>
      <c r="DW60" s="31" t="n">
        <f aca="false">+DU60-DV60</f>
        <v>0</v>
      </c>
    </row>
    <row r="61" customFormat="false" ht="13.8" hidden="false" customHeight="false" outlineLevel="0" collapsed="false">
      <c r="A61" s="27" t="n">
        <v>44686</v>
      </c>
      <c r="B61" s="28" t="s">
        <v>309</v>
      </c>
      <c r="C61" s="28" t="s">
        <v>310</v>
      </c>
      <c r="D61" s="29" t="s">
        <v>311</v>
      </c>
      <c r="E61" s="28" t="s">
        <v>312</v>
      </c>
      <c r="F61" s="27" t="s">
        <v>313</v>
      </c>
      <c r="G61" s="27" t="s">
        <v>11</v>
      </c>
      <c r="H61" s="30" t="n">
        <v>2476201.38</v>
      </c>
      <c r="I61" s="30" t="n">
        <v>2476201.38</v>
      </c>
      <c r="J61" s="6" t="n">
        <v>0</v>
      </c>
      <c r="K61" s="6" t="n">
        <v>0</v>
      </c>
      <c r="L61" s="6" t="n">
        <v>0</v>
      </c>
      <c r="M61" s="6" t="n">
        <v>0</v>
      </c>
      <c r="N61" s="6" t="n">
        <v>0</v>
      </c>
      <c r="O61" s="6" t="n">
        <v>0</v>
      </c>
      <c r="P61" s="6" t="n">
        <f aca="false">+J61+M61</f>
        <v>0</v>
      </c>
      <c r="Q61" s="6" t="n">
        <f aca="false">+K61+N61</f>
        <v>0</v>
      </c>
      <c r="R61" s="6" t="n">
        <f aca="false">+L61+O61</f>
        <v>0</v>
      </c>
      <c r="S61" s="6" t="n">
        <v>0</v>
      </c>
      <c r="T61" s="6" t="n">
        <v>0</v>
      </c>
      <c r="U61" s="6" t="n">
        <v>0</v>
      </c>
      <c r="V61" s="6" t="n">
        <v>0</v>
      </c>
      <c r="W61" s="6" t="n">
        <v>0</v>
      </c>
      <c r="X61" s="6" t="n">
        <v>0</v>
      </c>
      <c r="Y61" s="6" t="n">
        <v>0</v>
      </c>
      <c r="Z61" s="6" t="n">
        <v>0</v>
      </c>
      <c r="AA61" s="6" t="n">
        <v>0</v>
      </c>
      <c r="AB61" s="6" t="n">
        <v>0</v>
      </c>
      <c r="AC61" s="6" t="n">
        <v>0</v>
      </c>
      <c r="AD61" s="6" t="n">
        <v>0</v>
      </c>
      <c r="AE61" s="6" t="n">
        <f aca="false">+Y61+AB61+S61+V61</f>
        <v>0</v>
      </c>
      <c r="AF61" s="6" t="n">
        <f aca="false">+Z61+AC61+T61+W61</f>
        <v>0</v>
      </c>
      <c r="AG61" s="6" t="n">
        <f aca="false">+AA61+AD61+U61+X61</f>
        <v>0</v>
      </c>
      <c r="AH61" s="6" t="n">
        <v>0</v>
      </c>
      <c r="AI61" s="6" t="n">
        <v>0</v>
      </c>
      <c r="AJ61" s="6" t="n">
        <v>0</v>
      </c>
      <c r="AK61" s="6" t="n">
        <v>0</v>
      </c>
      <c r="AL61" s="6" t="n">
        <v>0</v>
      </c>
      <c r="AM61" s="6" t="n">
        <v>0</v>
      </c>
      <c r="AN61" s="30" t="n">
        <v>2476201.38</v>
      </c>
      <c r="AO61" s="30" t="n">
        <v>2476201.38</v>
      </c>
      <c r="AP61" s="6" t="n">
        <v>0</v>
      </c>
      <c r="AQ61" s="6" t="n">
        <v>0</v>
      </c>
      <c r="AR61" s="6" t="n">
        <v>0</v>
      </c>
      <c r="AS61" s="6" t="n">
        <v>1150000</v>
      </c>
      <c r="AT61" s="6" t="n">
        <f aca="false">+AN61+AQ61+AH61+AK61</f>
        <v>2476201.38</v>
      </c>
      <c r="AU61" s="6" t="n">
        <f aca="false">+AO61+AR61+AI61+AL61</f>
        <v>2476201.38</v>
      </c>
      <c r="AV61" s="6" t="n">
        <f aca="false">+AP61+AS61+AJ61+AM61</f>
        <v>1150000</v>
      </c>
      <c r="AW61" s="6" t="n">
        <v>0</v>
      </c>
      <c r="AX61" s="6" t="n">
        <v>0</v>
      </c>
      <c r="AY61" s="6" t="n">
        <v>1030000</v>
      </c>
      <c r="AZ61" s="6" t="n">
        <v>0</v>
      </c>
      <c r="BA61" s="6" t="n">
        <v>0</v>
      </c>
      <c r="BB61" s="6" t="n">
        <v>296201.38</v>
      </c>
      <c r="BC61" s="6" t="n">
        <v>0</v>
      </c>
      <c r="BD61" s="6" t="n">
        <v>0</v>
      </c>
      <c r="BE61" s="6" t="n">
        <v>0</v>
      </c>
      <c r="BF61" s="6" t="n">
        <v>0</v>
      </c>
      <c r="BG61" s="6" t="n">
        <v>0</v>
      </c>
      <c r="BH61" s="6" t="n">
        <v>0</v>
      </c>
      <c r="BI61" s="6" t="n">
        <f aca="false">+BC61+BF61+AW61+AZ61</f>
        <v>0</v>
      </c>
      <c r="BJ61" s="6" t="n">
        <f aca="false">+BD61+BG61+AX61+BA61</f>
        <v>0</v>
      </c>
      <c r="BK61" s="6" t="n">
        <f aca="false">+BE61+BH61+AY61+BB61</f>
        <v>1326201.38</v>
      </c>
      <c r="BL61" s="6" t="n">
        <v>0</v>
      </c>
      <c r="BM61" s="6" t="n">
        <v>0</v>
      </c>
      <c r="BN61" s="6" t="n">
        <v>0</v>
      </c>
      <c r="BO61" s="6" t="n">
        <v>0</v>
      </c>
      <c r="BP61" s="6" t="n">
        <v>0</v>
      </c>
      <c r="BQ61" s="6" t="n">
        <v>0</v>
      </c>
      <c r="BR61" s="6" t="n">
        <v>0</v>
      </c>
      <c r="BS61" s="6" t="n">
        <v>0</v>
      </c>
      <c r="BT61" s="6" t="n">
        <v>0</v>
      </c>
      <c r="BU61" s="6" t="n">
        <v>0</v>
      </c>
      <c r="BV61" s="6" t="n">
        <v>0</v>
      </c>
      <c r="BW61" s="6" t="n">
        <v>0</v>
      </c>
      <c r="BX61" s="6" t="n">
        <f aca="false">+BR61+BU61+BL61+BO61</f>
        <v>0</v>
      </c>
      <c r="BY61" s="6" t="n">
        <f aca="false">+BS61+BV61+BM61+BP61</f>
        <v>0</v>
      </c>
      <c r="BZ61" s="6" t="n">
        <f aca="false">+BT61+BW61+BN61+BQ61</f>
        <v>0</v>
      </c>
      <c r="CA61" s="6" t="n">
        <v>0</v>
      </c>
      <c r="CB61" s="6" t="n">
        <v>0</v>
      </c>
      <c r="CC61" s="6" t="n">
        <v>0</v>
      </c>
      <c r="CD61" s="6" t="n">
        <v>0</v>
      </c>
      <c r="CE61" s="6" t="n">
        <v>0</v>
      </c>
      <c r="CF61" s="6" t="n">
        <v>0</v>
      </c>
      <c r="CG61" s="6" t="n">
        <v>0</v>
      </c>
      <c r="CH61" s="6" t="n">
        <v>0</v>
      </c>
      <c r="CI61" s="6" t="n">
        <v>0</v>
      </c>
      <c r="CJ61" s="6" t="n">
        <v>0</v>
      </c>
      <c r="CK61" s="6" t="n">
        <v>0</v>
      </c>
      <c r="CL61" s="6" t="n">
        <v>0</v>
      </c>
      <c r="CM61" s="6" t="n">
        <f aca="false">+CG61+CJ61+CA61+CD61</f>
        <v>0</v>
      </c>
      <c r="CN61" s="6" t="n">
        <f aca="false">+CH61+CK61+CB61+CE61</f>
        <v>0</v>
      </c>
      <c r="CO61" s="6" t="n">
        <f aca="false">+CI61+CL61+CC61+CF61</f>
        <v>0</v>
      </c>
      <c r="CP61" s="6" t="n">
        <v>0</v>
      </c>
      <c r="CQ61" s="6" t="n">
        <v>0</v>
      </c>
      <c r="CR61" s="6" t="n">
        <v>0</v>
      </c>
      <c r="CS61" s="6" t="n">
        <v>0</v>
      </c>
      <c r="CT61" s="6" t="n">
        <v>0</v>
      </c>
      <c r="CU61" s="6" t="n">
        <v>0</v>
      </c>
      <c r="CV61" s="6" t="n">
        <v>0</v>
      </c>
      <c r="CW61" s="6" t="n">
        <v>0</v>
      </c>
      <c r="CX61" s="6" t="n">
        <v>0</v>
      </c>
      <c r="CY61" s="6" t="n">
        <v>0</v>
      </c>
      <c r="CZ61" s="6" t="n">
        <v>0</v>
      </c>
      <c r="DA61" s="6" t="n">
        <v>0</v>
      </c>
      <c r="DB61" s="6" t="n">
        <f aca="false">+CV61+CY61+CP61+CS61</f>
        <v>0</v>
      </c>
      <c r="DC61" s="6" t="n">
        <f aca="false">+CW61+CZ61+CQ61+CT61</f>
        <v>0</v>
      </c>
      <c r="DD61" s="6" t="n">
        <f aca="false">+CX61+DA61+CR61+CU61</f>
        <v>0</v>
      </c>
      <c r="DE61" s="6" t="n">
        <v>0</v>
      </c>
      <c r="DF61" s="6" t="n">
        <v>0</v>
      </c>
      <c r="DG61" s="6" t="n">
        <v>0</v>
      </c>
      <c r="DH61" s="6" t="n">
        <v>0</v>
      </c>
      <c r="DI61" s="6" t="n">
        <v>0</v>
      </c>
      <c r="DJ61" s="6" t="n">
        <v>0</v>
      </c>
      <c r="DK61" s="6" t="n">
        <v>0</v>
      </c>
      <c r="DL61" s="6" t="n">
        <v>0</v>
      </c>
      <c r="DM61" s="6" t="n">
        <v>0</v>
      </c>
      <c r="DN61" s="6" t="n">
        <v>0</v>
      </c>
      <c r="DO61" s="6" t="n">
        <v>0</v>
      </c>
      <c r="DP61" s="6" t="n">
        <v>0</v>
      </c>
      <c r="DQ61" s="6" t="n">
        <f aca="false">+DK61+DN61+DE61+DH61</f>
        <v>0</v>
      </c>
      <c r="DR61" s="6" t="n">
        <f aca="false">+DL61+DO61+DF61+DI61</f>
        <v>0</v>
      </c>
      <c r="DS61" s="6" t="n">
        <f aca="false">+DM61+DP61+DG61+DJ61</f>
        <v>0</v>
      </c>
      <c r="DT61" s="31" t="n">
        <f aca="false">+P61+AE61+AT61+BI61+BX61+CM61+DB61</f>
        <v>2476201.38</v>
      </c>
      <c r="DU61" s="31" t="n">
        <f aca="false">+Q61+AF61+AU61+BJ61+BY61+CN61+DC61</f>
        <v>2476201.38</v>
      </c>
      <c r="DV61" s="31" t="n">
        <f aca="false">+R61+AG61+AV61+BK61+BZ61+CO61+DD61</f>
        <v>2476201.38</v>
      </c>
      <c r="DW61" s="31" t="n">
        <f aca="false">+DU61-DV61</f>
        <v>0</v>
      </c>
    </row>
    <row r="62" customFormat="false" ht="13.8" hidden="false" customHeight="false" outlineLevel="0" collapsed="false">
      <c r="A62" s="27" t="n">
        <v>44686</v>
      </c>
      <c r="B62" s="28" t="s">
        <v>309</v>
      </c>
      <c r="C62" s="28" t="s">
        <v>310</v>
      </c>
      <c r="D62" s="29" t="s">
        <v>311</v>
      </c>
      <c r="E62" s="28" t="s">
        <v>312</v>
      </c>
      <c r="F62" s="27" t="s">
        <v>314</v>
      </c>
      <c r="G62" s="27" t="s">
        <v>11</v>
      </c>
      <c r="H62" s="30" t="n">
        <v>198096.11</v>
      </c>
      <c r="I62" s="30" t="n">
        <v>198096.11</v>
      </c>
      <c r="J62" s="6" t="n">
        <v>0</v>
      </c>
      <c r="K62" s="6" t="n">
        <v>0</v>
      </c>
      <c r="L62" s="6" t="n">
        <v>0</v>
      </c>
      <c r="M62" s="6" t="n">
        <v>0</v>
      </c>
      <c r="N62" s="6" t="n">
        <v>0</v>
      </c>
      <c r="O62" s="6" t="n">
        <v>0</v>
      </c>
      <c r="P62" s="6" t="n">
        <f aca="false">+J62+M62</f>
        <v>0</v>
      </c>
      <c r="Q62" s="6" t="n">
        <f aca="false">+K62+N62</f>
        <v>0</v>
      </c>
      <c r="R62" s="6" t="n">
        <f aca="false">+L62+O62</f>
        <v>0</v>
      </c>
      <c r="S62" s="6" t="n">
        <v>0</v>
      </c>
      <c r="T62" s="6" t="n">
        <v>0</v>
      </c>
      <c r="U62" s="6" t="n">
        <v>0</v>
      </c>
      <c r="V62" s="6" t="n">
        <v>0</v>
      </c>
      <c r="W62" s="6" t="n">
        <v>0</v>
      </c>
      <c r="X62" s="6" t="n">
        <v>0</v>
      </c>
      <c r="Y62" s="6" t="n">
        <v>0</v>
      </c>
      <c r="Z62" s="6" t="n">
        <v>0</v>
      </c>
      <c r="AA62" s="6" t="n">
        <v>0</v>
      </c>
      <c r="AB62" s="6" t="n">
        <v>0</v>
      </c>
      <c r="AC62" s="6" t="n">
        <v>0</v>
      </c>
      <c r="AD62" s="6" t="n">
        <v>0</v>
      </c>
      <c r="AE62" s="6" t="n">
        <f aca="false">+Y62+AB62+S62+V62</f>
        <v>0</v>
      </c>
      <c r="AF62" s="6" t="n">
        <f aca="false">+Z62+AC62+T62+W62</f>
        <v>0</v>
      </c>
      <c r="AG62" s="6" t="n">
        <f aca="false">+AA62+AD62+U62+X62</f>
        <v>0</v>
      </c>
      <c r="AH62" s="6" t="n">
        <v>0</v>
      </c>
      <c r="AI62" s="6" t="n">
        <v>0</v>
      </c>
      <c r="AJ62" s="6" t="n">
        <v>0</v>
      </c>
      <c r="AK62" s="6" t="n">
        <v>0</v>
      </c>
      <c r="AL62" s="6" t="n">
        <v>0</v>
      </c>
      <c r="AM62" s="6" t="n">
        <v>0</v>
      </c>
      <c r="AN62" s="30" t="n">
        <v>198096.11</v>
      </c>
      <c r="AO62" s="30" t="n">
        <v>198096.11</v>
      </c>
      <c r="AP62" s="6" t="n">
        <v>0</v>
      </c>
      <c r="AQ62" s="6" t="n">
        <v>0</v>
      </c>
      <c r="AR62" s="6" t="n">
        <v>0</v>
      </c>
      <c r="AS62" s="6" t="n">
        <v>50000</v>
      </c>
      <c r="AT62" s="6" t="n">
        <f aca="false">+AN62+AQ62+AH62+AK62</f>
        <v>198096.11</v>
      </c>
      <c r="AU62" s="6" t="n">
        <f aca="false">+AO62+AR62+AI62+AL62</f>
        <v>198096.11</v>
      </c>
      <c r="AV62" s="6" t="n">
        <f aca="false">+AP62+AS62+AJ62+AM62</f>
        <v>50000</v>
      </c>
      <c r="AW62" s="6" t="n">
        <v>0</v>
      </c>
      <c r="AX62" s="6" t="n">
        <v>0</v>
      </c>
      <c r="AY62" s="6" t="n">
        <v>74048.06</v>
      </c>
      <c r="AZ62" s="6" t="n">
        <v>0</v>
      </c>
      <c r="BA62" s="6" t="n">
        <v>0</v>
      </c>
      <c r="BB62" s="6" t="n">
        <v>74048.05</v>
      </c>
      <c r="BC62" s="6" t="n">
        <v>0</v>
      </c>
      <c r="BD62" s="6" t="n">
        <v>0</v>
      </c>
      <c r="BE62" s="6" t="n">
        <v>0</v>
      </c>
      <c r="BF62" s="6" t="n">
        <v>0</v>
      </c>
      <c r="BG62" s="6" t="n">
        <v>0</v>
      </c>
      <c r="BH62" s="6" t="n">
        <v>0</v>
      </c>
      <c r="BI62" s="6" t="n">
        <f aca="false">+BC62+BF62+AW62+AZ62</f>
        <v>0</v>
      </c>
      <c r="BJ62" s="6" t="n">
        <f aca="false">+BD62+BG62+AX62+BA62</f>
        <v>0</v>
      </c>
      <c r="BK62" s="6" t="n">
        <f aca="false">+BE62+BH62+AY62+BB62</f>
        <v>148096.11</v>
      </c>
      <c r="BL62" s="6" t="n">
        <v>0</v>
      </c>
      <c r="BM62" s="6" t="n">
        <v>0</v>
      </c>
      <c r="BN62" s="6" t="n">
        <v>0</v>
      </c>
      <c r="BO62" s="6" t="n">
        <v>0</v>
      </c>
      <c r="BP62" s="6" t="n">
        <v>0</v>
      </c>
      <c r="BQ62" s="6" t="n">
        <v>0</v>
      </c>
      <c r="BR62" s="6" t="n">
        <v>0</v>
      </c>
      <c r="BS62" s="6" t="n">
        <v>0</v>
      </c>
      <c r="BT62" s="6" t="n">
        <v>0</v>
      </c>
      <c r="BU62" s="6" t="n">
        <v>0</v>
      </c>
      <c r="BV62" s="6" t="n">
        <v>0</v>
      </c>
      <c r="BW62" s="6" t="n">
        <v>0</v>
      </c>
      <c r="BX62" s="6" t="n">
        <f aca="false">+BR62+BU62+BL62+BO62</f>
        <v>0</v>
      </c>
      <c r="BY62" s="6" t="n">
        <f aca="false">+BS62+BV62+BM62+BP62</f>
        <v>0</v>
      </c>
      <c r="BZ62" s="6" t="n">
        <f aca="false">+BT62+BW62+BN62+BQ62</f>
        <v>0</v>
      </c>
      <c r="CA62" s="6" t="n">
        <v>0</v>
      </c>
      <c r="CB62" s="6" t="n">
        <v>0</v>
      </c>
      <c r="CC62" s="6" t="n">
        <v>0</v>
      </c>
      <c r="CD62" s="6" t="n">
        <v>0</v>
      </c>
      <c r="CE62" s="6" t="n">
        <v>0</v>
      </c>
      <c r="CF62" s="6" t="n">
        <v>0</v>
      </c>
      <c r="CG62" s="6" t="n">
        <v>0</v>
      </c>
      <c r="CH62" s="6" t="n">
        <v>0</v>
      </c>
      <c r="CI62" s="6" t="n">
        <v>0</v>
      </c>
      <c r="CJ62" s="6" t="n">
        <v>0</v>
      </c>
      <c r="CK62" s="6" t="n">
        <v>0</v>
      </c>
      <c r="CL62" s="6" t="n">
        <v>0</v>
      </c>
      <c r="CM62" s="6" t="n">
        <f aca="false">+CG62+CJ62+CA62+CD62</f>
        <v>0</v>
      </c>
      <c r="CN62" s="6" t="n">
        <f aca="false">+CH62+CK62+CB62+CE62</f>
        <v>0</v>
      </c>
      <c r="CO62" s="6" t="n">
        <f aca="false">+CI62+CL62+CC62+CF62</f>
        <v>0</v>
      </c>
      <c r="CP62" s="6" t="n">
        <v>0</v>
      </c>
      <c r="CQ62" s="6" t="n">
        <v>0</v>
      </c>
      <c r="CR62" s="6" t="n">
        <v>0</v>
      </c>
      <c r="CS62" s="6" t="n">
        <v>0</v>
      </c>
      <c r="CT62" s="6" t="n">
        <v>0</v>
      </c>
      <c r="CU62" s="6" t="n">
        <v>0</v>
      </c>
      <c r="CV62" s="6" t="n">
        <v>0</v>
      </c>
      <c r="CW62" s="6" t="n">
        <v>0</v>
      </c>
      <c r="CX62" s="6" t="n">
        <v>0</v>
      </c>
      <c r="CY62" s="6" t="n">
        <v>0</v>
      </c>
      <c r="CZ62" s="6" t="n">
        <v>0</v>
      </c>
      <c r="DA62" s="6" t="n">
        <v>0</v>
      </c>
      <c r="DB62" s="6" t="n">
        <f aca="false">+CV62+CY62+CP62+CS62</f>
        <v>0</v>
      </c>
      <c r="DC62" s="6" t="n">
        <f aca="false">+CW62+CZ62+CQ62+CT62</f>
        <v>0</v>
      </c>
      <c r="DD62" s="6" t="n">
        <f aca="false">+CX62+DA62+CR62+CU62</f>
        <v>0</v>
      </c>
      <c r="DE62" s="6" t="n">
        <v>0</v>
      </c>
      <c r="DF62" s="6" t="n">
        <v>0</v>
      </c>
      <c r="DG62" s="6" t="n">
        <v>0</v>
      </c>
      <c r="DH62" s="6" t="n">
        <v>0</v>
      </c>
      <c r="DI62" s="6" t="n">
        <v>0</v>
      </c>
      <c r="DJ62" s="6" t="n">
        <v>0</v>
      </c>
      <c r="DK62" s="6" t="n">
        <v>0</v>
      </c>
      <c r="DL62" s="6" t="n">
        <v>0</v>
      </c>
      <c r="DM62" s="6" t="n">
        <v>0</v>
      </c>
      <c r="DN62" s="6" t="n">
        <v>0</v>
      </c>
      <c r="DO62" s="6" t="n">
        <v>0</v>
      </c>
      <c r="DP62" s="6" t="n">
        <v>0</v>
      </c>
      <c r="DQ62" s="6" t="n">
        <f aca="false">+DK62+DN62+DE62+DH62</f>
        <v>0</v>
      </c>
      <c r="DR62" s="6" t="n">
        <f aca="false">+DL62+DO62+DF62+DI62</f>
        <v>0</v>
      </c>
      <c r="DS62" s="6" t="n">
        <f aca="false">+DM62+DP62+DG62+DJ62</f>
        <v>0</v>
      </c>
      <c r="DT62" s="31" t="n">
        <f aca="false">+P62+AE62+AT62+BI62+BX62+CM62+DB62</f>
        <v>198096.11</v>
      </c>
      <c r="DU62" s="31" t="n">
        <f aca="false">+Q62+AF62+AU62+BJ62+BY62+CN62+DC62</f>
        <v>198096.11</v>
      </c>
      <c r="DV62" s="31" t="n">
        <f aca="false">+R62+AG62+AV62+BK62+BZ62+CO62+DD62</f>
        <v>198096.11</v>
      </c>
      <c r="DW62" s="31" t="n">
        <f aca="false">+DU62-DV62</f>
        <v>0</v>
      </c>
    </row>
    <row r="63" customFormat="false" ht="13.8" hidden="false" customHeight="false" outlineLevel="0" collapsed="false">
      <c r="A63" s="27" t="n">
        <v>44718</v>
      </c>
      <c r="B63" s="28" t="s">
        <v>315</v>
      </c>
      <c r="C63" s="28" t="s">
        <v>316</v>
      </c>
      <c r="D63" s="29" t="s">
        <v>317</v>
      </c>
      <c r="E63" s="28" t="s">
        <v>318</v>
      </c>
      <c r="F63" s="27" t="s">
        <v>319</v>
      </c>
      <c r="G63" s="27" t="s">
        <v>11</v>
      </c>
      <c r="H63" s="30" t="n">
        <v>3858000</v>
      </c>
      <c r="I63" s="30" t="n">
        <v>3858000</v>
      </c>
      <c r="J63" s="6" t="n">
        <v>0</v>
      </c>
      <c r="K63" s="6" t="n">
        <v>0</v>
      </c>
      <c r="L63" s="6" t="n">
        <v>0</v>
      </c>
      <c r="M63" s="6" t="n">
        <v>0</v>
      </c>
      <c r="N63" s="6" t="n">
        <v>0</v>
      </c>
      <c r="O63" s="6" t="n">
        <v>0</v>
      </c>
      <c r="P63" s="6" t="n">
        <f aca="false">+J63+M63</f>
        <v>0</v>
      </c>
      <c r="Q63" s="6" t="n">
        <f aca="false">+K63+N63</f>
        <v>0</v>
      </c>
      <c r="R63" s="6" t="n">
        <f aca="false">+L63+O63</f>
        <v>0</v>
      </c>
      <c r="S63" s="6" t="n">
        <v>0</v>
      </c>
      <c r="T63" s="6" t="n">
        <v>0</v>
      </c>
      <c r="U63" s="6" t="n">
        <v>0</v>
      </c>
      <c r="V63" s="6" t="n">
        <v>0</v>
      </c>
      <c r="W63" s="6" t="n">
        <v>0</v>
      </c>
      <c r="X63" s="6" t="n">
        <v>0</v>
      </c>
      <c r="Y63" s="6" t="n">
        <v>0</v>
      </c>
      <c r="Z63" s="6" t="n">
        <v>0</v>
      </c>
      <c r="AA63" s="6" t="n">
        <v>0</v>
      </c>
      <c r="AB63" s="6" t="n">
        <v>0</v>
      </c>
      <c r="AC63" s="6" t="n">
        <v>0</v>
      </c>
      <c r="AD63" s="6" t="n">
        <v>0</v>
      </c>
      <c r="AE63" s="6" t="n">
        <f aca="false">+Y63+AB63+S63+V63</f>
        <v>0</v>
      </c>
      <c r="AF63" s="6" t="n">
        <f aca="false">+Z63+AC63+T63+W63</f>
        <v>0</v>
      </c>
      <c r="AG63" s="6" t="n">
        <f aca="false">+AA63+AD63+U63+X63</f>
        <v>0</v>
      </c>
      <c r="AH63" s="6" t="n">
        <v>0</v>
      </c>
      <c r="AI63" s="6" t="n">
        <v>0</v>
      </c>
      <c r="AJ63" s="6" t="n">
        <v>0</v>
      </c>
      <c r="AK63" s="6" t="n">
        <v>0</v>
      </c>
      <c r="AL63" s="6" t="n">
        <v>0</v>
      </c>
      <c r="AM63" s="6" t="n">
        <v>0</v>
      </c>
      <c r="AN63" s="30" t="n">
        <v>3858000</v>
      </c>
      <c r="AO63" s="30" t="n">
        <v>3858000</v>
      </c>
      <c r="AP63" s="6" t="n">
        <v>0</v>
      </c>
      <c r="AQ63" s="6" t="n">
        <v>0</v>
      </c>
      <c r="AR63" s="6" t="n">
        <v>0</v>
      </c>
      <c r="AS63" s="6" t="n">
        <v>643000</v>
      </c>
      <c r="AT63" s="6" t="n">
        <f aca="false">+AN63+AQ63+AH63+AK63</f>
        <v>3858000</v>
      </c>
      <c r="AU63" s="6" t="n">
        <f aca="false">+AO63+AR63+AI63+AL63</f>
        <v>3858000</v>
      </c>
      <c r="AV63" s="6" t="n">
        <f aca="false">+AP63+AS63+AJ63+AM63</f>
        <v>643000</v>
      </c>
      <c r="AW63" s="6" t="n">
        <v>0</v>
      </c>
      <c r="AX63" s="6" t="n">
        <v>0</v>
      </c>
      <c r="AY63" s="6" t="n">
        <v>803750</v>
      </c>
      <c r="AZ63" s="6" t="n">
        <v>0</v>
      </c>
      <c r="BA63" s="6" t="n">
        <v>0</v>
      </c>
      <c r="BB63" s="6" t="n">
        <v>1000000</v>
      </c>
      <c r="BC63" s="6" t="n">
        <v>0</v>
      </c>
      <c r="BD63" s="6" t="n">
        <v>0</v>
      </c>
      <c r="BE63" s="6" t="n">
        <v>850000</v>
      </c>
      <c r="BF63" s="6" t="n">
        <v>0</v>
      </c>
      <c r="BG63" s="6" t="n">
        <v>0</v>
      </c>
      <c r="BH63" s="6" t="n">
        <v>561250</v>
      </c>
      <c r="BI63" s="6" t="n">
        <f aca="false">+BC63+BF63+AW63+AZ63</f>
        <v>0</v>
      </c>
      <c r="BJ63" s="6" t="n">
        <f aca="false">+BD63+BG63+AX63+BA63</f>
        <v>0</v>
      </c>
      <c r="BK63" s="6" t="n">
        <f aca="false">+BE63+BH63+AY63+BB63</f>
        <v>3215000</v>
      </c>
      <c r="BL63" s="6" t="n">
        <v>0</v>
      </c>
      <c r="BM63" s="6" t="n">
        <v>0</v>
      </c>
      <c r="BN63" s="6" t="n">
        <v>0</v>
      </c>
      <c r="BO63" s="6" t="n">
        <v>0</v>
      </c>
      <c r="BP63" s="6" t="n">
        <v>0</v>
      </c>
      <c r="BQ63" s="6" t="n">
        <v>0</v>
      </c>
      <c r="BR63" s="6" t="n">
        <v>0</v>
      </c>
      <c r="BS63" s="6" t="n">
        <v>0</v>
      </c>
      <c r="BT63" s="6" t="n">
        <v>0</v>
      </c>
      <c r="BU63" s="6" t="n">
        <v>0</v>
      </c>
      <c r="BV63" s="6" t="n">
        <v>0</v>
      </c>
      <c r="BW63" s="6" t="n">
        <v>0</v>
      </c>
      <c r="BX63" s="6" t="n">
        <f aca="false">+BR63+BU63+BL63+BO63</f>
        <v>0</v>
      </c>
      <c r="BY63" s="6" t="n">
        <f aca="false">+BS63+BV63+BM63+BP63</f>
        <v>0</v>
      </c>
      <c r="BZ63" s="6" t="n">
        <f aca="false">+BT63+BW63+BN63+BQ63</f>
        <v>0</v>
      </c>
      <c r="CA63" s="6" t="n">
        <v>0</v>
      </c>
      <c r="CB63" s="6" t="n">
        <v>0</v>
      </c>
      <c r="CC63" s="6" t="n">
        <v>0</v>
      </c>
      <c r="CD63" s="6" t="n">
        <v>0</v>
      </c>
      <c r="CE63" s="6" t="n">
        <v>0</v>
      </c>
      <c r="CF63" s="6" t="n">
        <v>0</v>
      </c>
      <c r="CG63" s="6" t="n">
        <v>0</v>
      </c>
      <c r="CH63" s="6" t="n">
        <v>0</v>
      </c>
      <c r="CI63" s="6" t="n">
        <v>0</v>
      </c>
      <c r="CJ63" s="6" t="n">
        <v>0</v>
      </c>
      <c r="CK63" s="6" t="n">
        <v>0</v>
      </c>
      <c r="CL63" s="6" t="n">
        <v>0</v>
      </c>
      <c r="CM63" s="6" t="n">
        <f aca="false">+CG63+CJ63+CA63+CD63</f>
        <v>0</v>
      </c>
      <c r="CN63" s="6" t="n">
        <f aca="false">+CH63+CK63+CB63+CE63</f>
        <v>0</v>
      </c>
      <c r="CO63" s="6" t="n">
        <f aca="false">+CI63+CL63+CC63+CF63</f>
        <v>0</v>
      </c>
      <c r="CP63" s="6" t="n">
        <v>0</v>
      </c>
      <c r="CQ63" s="6" t="n">
        <v>0</v>
      </c>
      <c r="CR63" s="6" t="n">
        <v>0</v>
      </c>
      <c r="CS63" s="6" t="n">
        <v>0</v>
      </c>
      <c r="CT63" s="6" t="n">
        <v>0</v>
      </c>
      <c r="CU63" s="6" t="n">
        <v>0</v>
      </c>
      <c r="CV63" s="6" t="n">
        <v>0</v>
      </c>
      <c r="CW63" s="6" t="n">
        <v>0</v>
      </c>
      <c r="CX63" s="6" t="n">
        <v>0</v>
      </c>
      <c r="CY63" s="6" t="n">
        <v>0</v>
      </c>
      <c r="CZ63" s="6" t="n">
        <v>0</v>
      </c>
      <c r="DA63" s="6" t="n">
        <v>0</v>
      </c>
      <c r="DB63" s="6" t="n">
        <f aca="false">+CV63+CY63+CP63+CS63</f>
        <v>0</v>
      </c>
      <c r="DC63" s="6" t="n">
        <f aca="false">+CW63+CZ63+CQ63+CT63</f>
        <v>0</v>
      </c>
      <c r="DD63" s="6" t="n">
        <f aca="false">+CX63+DA63+CR63+CU63</f>
        <v>0</v>
      </c>
      <c r="DE63" s="6" t="n">
        <v>0</v>
      </c>
      <c r="DF63" s="6" t="n">
        <v>0</v>
      </c>
      <c r="DG63" s="6" t="n">
        <v>0</v>
      </c>
      <c r="DH63" s="6" t="n">
        <v>0</v>
      </c>
      <c r="DI63" s="6" t="n">
        <v>0</v>
      </c>
      <c r="DJ63" s="6" t="n">
        <v>0</v>
      </c>
      <c r="DK63" s="6" t="n">
        <v>0</v>
      </c>
      <c r="DL63" s="6" t="n">
        <v>0</v>
      </c>
      <c r="DM63" s="6" t="n">
        <v>0</v>
      </c>
      <c r="DN63" s="6" t="n">
        <v>0</v>
      </c>
      <c r="DO63" s="6" t="n">
        <v>0</v>
      </c>
      <c r="DP63" s="6" t="n">
        <v>0</v>
      </c>
      <c r="DQ63" s="6" t="n">
        <f aca="false">+DK63+DN63+DE63+DH63</f>
        <v>0</v>
      </c>
      <c r="DR63" s="6" t="n">
        <f aca="false">+DL63+DO63+DF63+DI63</f>
        <v>0</v>
      </c>
      <c r="DS63" s="6" t="n">
        <f aca="false">+DM63+DP63+DG63+DJ63</f>
        <v>0</v>
      </c>
      <c r="DT63" s="31" t="n">
        <f aca="false">+P63+AE63+AT63+BI63+BX63+CM63+DB63</f>
        <v>3858000</v>
      </c>
      <c r="DU63" s="31" t="n">
        <f aca="false">+Q63+AF63+AU63+BJ63+BY63+CN63+DC63</f>
        <v>3858000</v>
      </c>
      <c r="DV63" s="31" t="n">
        <f aca="false">+R63+AG63+AV63+BK63+BZ63+CO63+DD63</f>
        <v>3858000</v>
      </c>
      <c r="DW63" s="31" t="n">
        <f aca="false">+DU63-DV63</f>
        <v>0</v>
      </c>
    </row>
    <row r="64" customFormat="false" ht="13.8" hidden="false" customHeight="false" outlineLevel="0" collapsed="false">
      <c r="A64" s="27" t="n">
        <v>44797</v>
      </c>
      <c r="B64" s="28" t="s">
        <v>320</v>
      </c>
      <c r="C64" s="28" t="s">
        <v>321</v>
      </c>
      <c r="D64" s="29" t="s">
        <v>322</v>
      </c>
      <c r="E64" s="28" t="s">
        <v>323</v>
      </c>
      <c r="F64" s="27" t="s">
        <v>324</v>
      </c>
      <c r="G64" s="27" t="s">
        <v>12</v>
      </c>
      <c r="H64" s="30" t="n">
        <v>1690000</v>
      </c>
      <c r="I64" s="30" t="n">
        <v>1690000</v>
      </c>
      <c r="J64" s="6" t="n">
        <v>0</v>
      </c>
      <c r="K64" s="6" t="n">
        <v>0</v>
      </c>
      <c r="L64" s="6" t="n">
        <v>0</v>
      </c>
      <c r="M64" s="6" t="n">
        <v>0</v>
      </c>
      <c r="N64" s="6" t="n">
        <v>0</v>
      </c>
      <c r="O64" s="6" t="n">
        <v>0</v>
      </c>
      <c r="P64" s="6" t="n">
        <f aca="false">+J64+M64</f>
        <v>0</v>
      </c>
      <c r="Q64" s="6" t="n">
        <f aca="false">+K64+N64</f>
        <v>0</v>
      </c>
      <c r="R64" s="6" t="n">
        <f aca="false">+L64+O64</f>
        <v>0</v>
      </c>
      <c r="S64" s="6" t="n">
        <v>0</v>
      </c>
      <c r="T64" s="6" t="n">
        <v>0</v>
      </c>
      <c r="U64" s="6" t="n">
        <v>0</v>
      </c>
      <c r="V64" s="6" t="n">
        <v>0</v>
      </c>
      <c r="W64" s="6" t="n">
        <v>0</v>
      </c>
      <c r="X64" s="6" t="n">
        <v>0</v>
      </c>
      <c r="Y64" s="6" t="n">
        <v>0</v>
      </c>
      <c r="Z64" s="6" t="n">
        <v>0</v>
      </c>
      <c r="AA64" s="6" t="n">
        <v>0</v>
      </c>
      <c r="AB64" s="6" t="n">
        <v>0</v>
      </c>
      <c r="AC64" s="6" t="n">
        <v>0</v>
      </c>
      <c r="AD64" s="6" t="n">
        <v>0</v>
      </c>
      <c r="AE64" s="6" t="n">
        <f aca="false">+Y64+AB64+S64+V64</f>
        <v>0</v>
      </c>
      <c r="AF64" s="6" t="n">
        <f aca="false">+Z64+AC64+T64+W64</f>
        <v>0</v>
      </c>
      <c r="AG64" s="6" t="n">
        <f aca="false">+AA64+AD64+U64+X64</f>
        <v>0</v>
      </c>
      <c r="AH64" s="6" t="n">
        <v>0</v>
      </c>
      <c r="AI64" s="6" t="n">
        <v>0</v>
      </c>
      <c r="AJ64" s="6" t="n">
        <v>0</v>
      </c>
      <c r="AK64" s="6" t="n">
        <v>0</v>
      </c>
      <c r="AL64" s="6" t="n">
        <v>0</v>
      </c>
      <c r="AM64" s="6" t="n">
        <v>0</v>
      </c>
      <c r="AN64" s="6" t="n">
        <v>0</v>
      </c>
      <c r="AO64" s="6" t="n">
        <v>0</v>
      </c>
      <c r="AP64" s="6" t="n">
        <v>0</v>
      </c>
      <c r="AQ64" s="30" t="n">
        <v>1690000</v>
      </c>
      <c r="AR64" s="30" t="n">
        <v>1690000</v>
      </c>
      <c r="AS64" s="6" t="n">
        <v>0</v>
      </c>
      <c r="AT64" s="6" t="n">
        <f aca="false">+AN64+AQ64+AH64+AK64</f>
        <v>1690000</v>
      </c>
      <c r="AU64" s="6" t="n">
        <f aca="false">+AO64+AR64+AI64+AL64</f>
        <v>1690000</v>
      </c>
      <c r="AV64" s="6" t="n">
        <f aca="false">+AP64+AS64+AJ64+AM64</f>
        <v>0</v>
      </c>
      <c r="AW64" s="6" t="n">
        <v>0</v>
      </c>
      <c r="AX64" s="6" t="n">
        <v>0</v>
      </c>
      <c r="AY64" s="6" t="n">
        <v>1600000</v>
      </c>
      <c r="AZ64" s="6" t="n">
        <v>0</v>
      </c>
      <c r="BA64" s="6" t="n">
        <v>0</v>
      </c>
      <c r="BB64" s="6" t="n">
        <v>90000</v>
      </c>
      <c r="BC64" s="6" t="n">
        <v>0</v>
      </c>
      <c r="BD64" s="6" t="n">
        <v>0</v>
      </c>
      <c r="BE64" s="6" t="n">
        <v>0</v>
      </c>
      <c r="BF64" s="6" t="n">
        <v>0</v>
      </c>
      <c r="BG64" s="6" t="n">
        <v>0</v>
      </c>
      <c r="BH64" s="6" t="n">
        <v>0</v>
      </c>
      <c r="BI64" s="6" t="n">
        <f aca="false">+BC64+BF64+AW64+AZ64</f>
        <v>0</v>
      </c>
      <c r="BJ64" s="6" t="n">
        <f aca="false">+BD64+BG64+AX64+BA64</f>
        <v>0</v>
      </c>
      <c r="BK64" s="6" t="n">
        <f aca="false">+BE64+BH64+AY64+BB64</f>
        <v>1690000</v>
      </c>
      <c r="BL64" s="6" t="n">
        <v>0</v>
      </c>
      <c r="BM64" s="6" t="n">
        <v>0</v>
      </c>
      <c r="BN64" s="6" t="n">
        <v>0</v>
      </c>
      <c r="BO64" s="6" t="n">
        <v>0</v>
      </c>
      <c r="BP64" s="6" t="n">
        <v>0</v>
      </c>
      <c r="BQ64" s="6" t="n">
        <v>0</v>
      </c>
      <c r="BR64" s="6" t="n">
        <v>0</v>
      </c>
      <c r="BS64" s="6" t="n">
        <v>0</v>
      </c>
      <c r="BT64" s="6" t="n">
        <v>0</v>
      </c>
      <c r="BU64" s="6" t="n">
        <v>0</v>
      </c>
      <c r="BV64" s="6" t="n">
        <v>0</v>
      </c>
      <c r="BW64" s="6" t="n">
        <v>0</v>
      </c>
      <c r="BX64" s="6" t="n">
        <f aca="false">+BR64+BU64+BL64+BO64</f>
        <v>0</v>
      </c>
      <c r="BY64" s="6" t="n">
        <f aca="false">+BS64+BV64+BM64+BP64</f>
        <v>0</v>
      </c>
      <c r="BZ64" s="6" t="n">
        <f aca="false">+BT64+BW64+BN64+BQ64</f>
        <v>0</v>
      </c>
      <c r="CA64" s="6" t="n">
        <v>0</v>
      </c>
      <c r="CB64" s="6" t="n">
        <v>0</v>
      </c>
      <c r="CC64" s="6" t="n">
        <v>0</v>
      </c>
      <c r="CD64" s="6" t="n">
        <v>0</v>
      </c>
      <c r="CE64" s="6" t="n">
        <v>0</v>
      </c>
      <c r="CF64" s="6" t="n">
        <v>0</v>
      </c>
      <c r="CG64" s="6" t="n">
        <v>0</v>
      </c>
      <c r="CH64" s="6" t="n">
        <v>0</v>
      </c>
      <c r="CI64" s="6" t="n">
        <v>0</v>
      </c>
      <c r="CJ64" s="6" t="n">
        <v>0</v>
      </c>
      <c r="CK64" s="6" t="n">
        <v>0</v>
      </c>
      <c r="CL64" s="6" t="n">
        <v>0</v>
      </c>
      <c r="CM64" s="6" t="n">
        <f aca="false">+CG64+CJ64+CA64+CD64</f>
        <v>0</v>
      </c>
      <c r="CN64" s="6" t="n">
        <f aca="false">+CH64+CK64+CB64+CE64</f>
        <v>0</v>
      </c>
      <c r="CO64" s="6" t="n">
        <f aca="false">+CI64+CL64+CC64+CF64</f>
        <v>0</v>
      </c>
      <c r="CP64" s="6" t="n">
        <v>0</v>
      </c>
      <c r="CQ64" s="6" t="n">
        <v>0</v>
      </c>
      <c r="CR64" s="6" t="n">
        <v>0</v>
      </c>
      <c r="CS64" s="6" t="n">
        <v>0</v>
      </c>
      <c r="CT64" s="6" t="n">
        <v>0</v>
      </c>
      <c r="CU64" s="6" t="n">
        <v>0</v>
      </c>
      <c r="CV64" s="6" t="n">
        <v>0</v>
      </c>
      <c r="CW64" s="6" t="n">
        <v>0</v>
      </c>
      <c r="CX64" s="6" t="n">
        <v>0</v>
      </c>
      <c r="CY64" s="6" t="n">
        <v>0</v>
      </c>
      <c r="CZ64" s="6" t="n">
        <v>0</v>
      </c>
      <c r="DA64" s="6" t="n">
        <v>0</v>
      </c>
      <c r="DB64" s="6" t="n">
        <f aca="false">+CV64+CY64+CP64+CS64</f>
        <v>0</v>
      </c>
      <c r="DC64" s="6" t="n">
        <f aca="false">+CW64+CZ64+CQ64+CT64</f>
        <v>0</v>
      </c>
      <c r="DD64" s="6" t="n">
        <f aca="false">+CX64+DA64+CR64+CU64</f>
        <v>0</v>
      </c>
      <c r="DE64" s="6" t="n">
        <v>0</v>
      </c>
      <c r="DF64" s="6" t="n">
        <v>0</v>
      </c>
      <c r="DG64" s="6" t="n">
        <v>0</v>
      </c>
      <c r="DH64" s="6" t="n">
        <v>0</v>
      </c>
      <c r="DI64" s="6" t="n">
        <v>0</v>
      </c>
      <c r="DJ64" s="6" t="n">
        <v>0</v>
      </c>
      <c r="DK64" s="6" t="n">
        <v>0</v>
      </c>
      <c r="DL64" s="6" t="n">
        <v>0</v>
      </c>
      <c r="DM64" s="6" t="n">
        <v>0</v>
      </c>
      <c r="DN64" s="6" t="n">
        <v>0</v>
      </c>
      <c r="DO64" s="6" t="n">
        <v>0</v>
      </c>
      <c r="DP64" s="6" t="n">
        <v>0</v>
      </c>
      <c r="DQ64" s="6" t="n">
        <f aca="false">+DK64+DN64+DE64+DH64</f>
        <v>0</v>
      </c>
      <c r="DR64" s="6" t="n">
        <f aca="false">+DL64+DO64+DF64+DI64</f>
        <v>0</v>
      </c>
      <c r="DS64" s="6" t="n">
        <f aca="false">+DM64+DP64+DG64+DJ64</f>
        <v>0</v>
      </c>
      <c r="DT64" s="31" t="n">
        <f aca="false">+P64+AE64+AT64+BI64+BX64+CM64+DB64</f>
        <v>1690000</v>
      </c>
      <c r="DU64" s="31" t="n">
        <f aca="false">+Q64+AF64+AU64+BJ64+BY64+CN64+DC64</f>
        <v>1690000</v>
      </c>
      <c r="DV64" s="31" t="n">
        <f aca="false">+R64+AG64+AV64+BK64+BZ64+CO64+DD64</f>
        <v>1690000</v>
      </c>
      <c r="DW64" s="31" t="n">
        <f aca="false">+DU64-DV64</f>
        <v>0</v>
      </c>
    </row>
    <row r="65" customFormat="false" ht="13.8" hidden="false" customHeight="false" outlineLevel="0" collapsed="false">
      <c r="A65" s="27" t="n">
        <v>44783</v>
      </c>
      <c r="B65" s="28" t="s">
        <v>325</v>
      </c>
      <c r="C65" s="28" t="s">
        <v>326</v>
      </c>
      <c r="D65" s="29" t="s">
        <v>327</v>
      </c>
      <c r="E65" s="28" t="s">
        <v>328</v>
      </c>
      <c r="F65" s="27" t="s">
        <v>329</v>
      </c>
      <c r="G65" s="27" t="s">
        <v>12</v>
      </c>
      <c r="H65" s="30" t="n">
        <v>2250000</v>
      </c>
      <c r="I65" s="30" t="n">
        <v>2250000</v>
      </c>
      <c r="J65" s="6" t="n">
        <v>0</v>
      </c>
      <c r="K65" s="6" t="n">
        <v>0</v>
      </c>
      <c r="L65" s="6" t="n">
        <v>0</v>
      </c>
      <c r="M65" s="6" t="n">
        <v>0</v>
      </c>
      <c r="N65" s="6" t="n">
        <v>0</v>
      </c>
      <c r="O65" s="6" t="n">
        <v>0</v>
      </c>
      <c r="P65" s="6" t="n">
        <f aca="false">+J65+M65</f>
        <v>0</v>
      </c>
      <c r="Q65" s="6" t="n">
        <f aca="false">+K65+N65</f>
        <v>0</v>
      </c>
      <c r="R65" s="6" t="n">
        <f aca="false">+L65+O65</f>
        <v>0</v>
      </c>
      <c r="S65" s="6" t="n">
        <v>0</v>
      </c>
      <c r="T65" s="6" t="n">
        <v>0</v>
      </c>
      <c r="U65" s="6" t="n">
        <v>0</v>
      </c>
      <c r="V65" s="6" t="n">
        <v>0</v>
      </c>
      <c r="W65" s="6" t="n">
        <v>0</v>
      </c>
      <c r="X65" s="6" t="n">
        <v>0</v>
      </c>
      <c r="Y65" s="6" t="n">
        <v>0</v>
      </c>
      <c r="Z65" s="6" t="n">
        <v>0</v>
      </c>
      <c r="AA65" s="6" t="n">
        <v>0</v>
      </c>
      <c r="AB65" s="6" t="n">
        <v>0</v>
      </c>
      <c r="AC65" s="6" t="n">
        <v>0</v>
      </c>
      <c r="AD65" s="6" t="n">
        <v>0</v>
      </c>
      <c r="AE65" s="6" t="n">
        <f aca="false">+Y65+AB65+S65+V65</f>
        <v>0</v>
      </c>
      <c r="AF65" s="6" t="n">
        <f aca="false">+Z65+AC65+T65+W65</f>
        <v>0</v>
      </c>
      <c r="AG65" s="6" t="n">
        <f aca="false">+AA65+AD65+U65+X65</f>
        <v>0</v>
      </c>
      <c r="AH65" s="6" t="n">
        <v>0</v>
      </c>
      <c r="AI65" s="6" t="n">
        <v>0</v>
      </c>
      <c r="AJ65" s="6" t="n">
        <v>0</v>
      </c>
      <c r="AK65" s="6" t="n">
        <v>0</v>
      </c>
      <c r="AL65" s="6" t="n">
        <v>0</v>
      </c>
      <c r="AM65" s="6" t="n">
        <v>0</v>
      </c>
      <c r="AN65" s="6" t="n">
        <v>0</v>
      </c>
      <c r="AO65" s="6" t="n">
        <v>0</v>
      </c>
      <c r="AP65" s="6" t="n">
        <v>0</v>
      </c>
      <c r="AQ65" s="30" t="n">
        <v>2250000</v>
      </c>
      <c r="AR65" s="30" t="n">
        <v>2250000</v>
      </c>
      <c r="AS65" s="6" t="n">
        <v>0</v>
      </c>
      <c r="AT65" s="6" t="n">
        <f aca="false">+AN65+AQ65+AH65+AK65</f>
        <v>2250000</v>
      </c>
      <c r="AU65" s="6" t="n">
        <f aca="false">+AO65+AR65+AI65+AL65</f>
        <v>2250000</v>
      </c>
      <c r="AV65" s="6" t="n">
        <f aca="false">+AP65+AS65+AJ65+AM65</f>
        <v>0</v>
      </c>
      <c r="AW65" s="6" t="n">
        <v>0</v>
      </c>
      <c r="AX65" s="6" t="n">
        <v>0</v>
      </c>
      <c r="AY65" s="6" t="n">
        <v>300000</v>
      </c>
      <c r="AZ65" s="6" t="n">
        <v>0</v>
      </c>
      <c r="BA65" s="6" t="n">
        <v>0</v>
      </c>
      <c r="BB65" s="6" t="n">
        <v>650000</v>
      </c>
      <c r="BC65" s="6" t="n">
        <v>0</v>
      </c>
      <c r="BD65" s="6" t="n">
        <v>0</v>
      </c>
      <c r="BE65" s="6" t="n">
        <v>800000</v>
      </c>
      <c r="BF65" s="6" t="n">
        <v>0</v>
      </c>
      <c r="BG65" s="6" t="n">
        <v>0</v>
      </c>
      <c r="BH65" s="6" t="n">
        <v>200000</v>
      </c>
      <c r="BI65" s="6" t="n">
        <f aca="false">+BC65+BF65+AW65+AZ65</f>
        <v>0</v>
      </c>
      <c r="BJ65" s="6" t="n">
        <f aca="false">+BD65+BG65+AX65+BA65</f>
        <v>0</v>
      </c>
      <c r="BK65" s="6" t="n">
        <f aca="false">+BE65+BH65+AY65+BB65</f>
        <v>1950000</v>
      </c>
      <c r="BL65" s="6" t="n">
        <v>0</v>
      </c>
      <c r="BM65" s="6" t="n">
        <v>0</v>
      </c>
      <c r="BN65" s="6" t="n">
        <v>258000</v>
      </c>
      <c r="BO65" s="6" t="n">
        <v>0</v>
      </c>
      <c r="BP65" s="6" t="n">
        <v>0</v>
      </c>
      <c r="BQ65" s="6" t="n">
        <v>42000</v>
      </c>
      <c r="BR65" s="6" t="n">
        <v>0</v>
      </c>
      <c r="BS65" s="6" t="n">
        <v>0</v>
      </c>
      <c r="BT65" s="6" t="n">
        <v>0</v>
      </c>
      <c r="BU65" s="6" t="n">
        <v>0</v>
      </c>
      <c r="BV65" s="6" t="n">
        <v>0</v>
      </c>
      <c r="BW65" s="6" t="n">
        <v>0</v>
      </c>
      <c r="BX65" s="6" t="n">
        <f aca="false">+BR65+BU65+BL65+BO65</f>
        <v>0</v>
      </c>
      <c r="BY65" s="6" t="n">
        <f aca="false">+BS65+BV65+BM65+BP65</f>
        <v>0</v>
      </c>
      <c r="BZ65" s="6" t="n">
        <f aca="false">+BT65+BW65+BN65+BQ65</f>
        <v>300000</v>
      </c>
      <c r="CA65" s="6" t="n">
        <v>0</v>
      </c>
      <c r="CB65" s="6" t="n">
        <v>0</v>
      </c>
      <c r="CC65" s="6" t="n">
        <v>0</v>
      </c>
      <c r="CD65" s="6" t="n">
        <v>0</v>
      </c>
      <c r="CE65" s="6" t="n">
        <v>0</v>
      </c>
      <c r="CF65" s="6" t="n">
        <v>0</v>
      </c>
      <c r="CG65" s="6" t="n">
        <v>0</v>
      </c>
      <c r="CH65" s="6" t="n">
        <v>0</v>
      </c>
      <c r="CI65" s="6" t="n">
        <v>0</v>
      </c>
      <c r="CJ65" s="6" t="n">
        <v>0</v>
      </c>
      <c r="CK65" s="6" t="n">
        <v>0</v>
      </c>
      <c r="CL65" s="6" t="n">
        <v>0</v>
      </c>
      <c r="CM65" s="6" t="n">
        <f aca="false">+CG65+CJ65+CA65+CD65</f>
        <v>0</v>
      </c>
      <c r="CN65" s="6" t="n">
        <f aca="false">+CH65+CK65+CB65+CE65</f>
        <v>0</v>
      </c>
      <c r="CO65" s="6" t="n">
        <f aca="false">+CI65+CL65+CC65+CF65</f>
        <v>0</v>
      </c>
      <c r="CP65" s="6" t="n">
        <v>0</v>
      </c>
      <c r="CQ65" s="6" t="n">
        <v>0</v>
      </c>
      <c r="CR65" s="6" t="n">
        <v>0</v>
      </c>
      <c r="CS65" s="6" t="n">
        <v>0</v>
      </c>
      <c r="CT65" s="6" t="n">
        <v>0</v>
      </c>
      <c r="CU65" s="6" t="n">
        <v>0</v>
      </c>
      <c r="CV65" s="6" t="n">
        <v>0</v>
      </c>
      <c r="CW65" s="6" t="n">
        <v>0</v>
      </c>
      <c r="CX65" s="6" t="n">
        <v>0</v>
      </c>
      <c r="CY65" s="6" t="n">
        <v>0</v>
      </c>
      <c r="CZ65" s="6" t="n">
        <v>0</v>
      </c>
      <c r="DA65" s="6" t="n">
        <v>0</v>
      </c>
      <c r="DB65" s="6" t="n">
        <f aca="false">+CV65+CY65+CP65+CS65</f>
        <v>0</v>
      </c>
      <c r="DC65" s="6" t="n">
        <f aca="false">+CW65+CZ65+CQ65+CT65</f>
        <v>0</v>
      </c>
      <c r="DD65" s="6" t="n">
        <f aca="false">+CX65+DA65+CR65+CU65</f>
        <v>0</v>
      </c>
      <c r="DE65" s="6" t="n">
        <v>0</v>
      </c>
      <c r="DF65" s="6" t="n">
        <v>0</v>
      </c>
      <c r="DG65" s="6" t="n">
        <v>0</v>
      </c>
      <c r="DH65" s="6" t="n">
        <v>0</v>
      </c>
      <c r="DI65" s="6" t="n">
        <v>0</v>
      </c>
      <c r="DJ65" s="6" t="n">
        <v>0</v>
      </c>
      <c r="DK65" s="6" t="n">
        <v>0</v>
      </c>
      <c r="DL65" s="6" t="n">
        <v>0</v>
      </c>
      <c r="DM65" s="6" t="n">
        <v>0</v>
      </c>
      <c r="DN65" s="6" t="n">
        <v>0</v>
      </c>
      <c r="DO65" s="6" t="n">
        <v>0</v>
      </c>
      <c r="DP65" s="6" t="n">
        <v>0</v>
      </c>
      <c r="DQ65" s="6" t="n">
        <f aca="false">+DK65+DN65+DE65+DH65</f>
        <v>0</v>
      </c>
      <c r="DR65" s="6" t="n">
        <f aca="false">+DL65+DO65+DF65+DI65</f>
        <v>0</v>
      </c>
      <c r="DS65" s="6" t="n">
        <f aca="false">+DM65+DP65+DG65+DJ65</f>
        <v>0</v>
      </c>
      <c r="DT65" s="31" t="n">
        <f aca="false">+P65+AE65+AT65+BI65+BX65+CM65+DB65</f>
        <v>2250000</v>
      </c>
      <c r="DU65" s="31" t="n">
        <f aca="false">+Q65+AF65+AU65+BJ65+BY65+CN65+DC65</f>
        <v>2250000</v>
      </c>
      <c r="DV65" s="31" t="n">
        <f aca="false">+R65+AG65+AV65+BK65+BZ65+CO65+DD65</f>
        <v>2250000</v>
      </c>
      <c r="DW65" s="31" t="n">
        <f aca="false">+DU65-DV65</f>
        <v>0</v>
      </c>
    </row>
    <row r="66" customFormat="false" ht="13.8" hidden="false" customHeight="false" outlineLevel="0" collapsed="false">
      <c r="A66" s="27" t="n">
        <v>44820</v>
      </c>
      <c r="B66" s="28" t="s">
        <v>330</v>
      </c>
      <c r="C66" s="28" t="s">
        <v>331</v>
      </c>
      <c r="D66" s="29" t="s">
        <v>332</v>
      </c>
      <c r="E66" s="28" t="s">
        <v>333</v>
      </c>
      <c r="F66" s="27" t="s">
        <v>334</v>
      </c>
      <c r="G66" s="27" t="s">
        <v>12</v>
      </c>
      <c r="H66" s="30" t="n">
        <v>14000</v>
      </c>
      <c r="I66" s="30" t="n">
        <v>14000</v>
      </c>
      <c r="J66" s="6" t="n">
        <v>0</v>
      </c>
      <c r="K66" s="6" t="n">
        <v>0</v>
      </c>
      <c r="L66" s="6" t="n">
        <v>0</v>
      </c>
      <c r="M66" s="6" t="n">
        <v>0</v>
      </c>
      <c r="N66" s="6" t="n">
        <v>0</v>
      </c>
      <c r="O66" s="6" t="n">
        <v>0</v>
      </c>
      <c r="P66" s="6" t="n">
        <f aca="false">+J66+M66</f>
        <v>0</v>
      </c>
      <c r="Q66" s="6" t="n">
        <f aca="false">+K66+N66</f>
        <v>0</v>
      </c>
      <c r="R66" s="6" t="n">
        <f aca="false">+L66+O66</f>
        <v>0</v>
      </c>
      <c r="S66" s="6" t="n">
        <v>0</v>
      </c>
      <c r="T66" s="6" t="n">
        <v>0</v>
      </c>
      <c r="U66" s="6" t="n">
        <v>0</v>
      </c>
      <c r="V66" s="6" t="n">
        <v>0</v>
      </c>
      <c r="W66" s="6" t="n">
        <v>0</v>
      </c>
      <c r="X66" s="6" t="n">
        <v>0</v>
      </c>
      <c r="Y66" s="6" t="n">
        <v>0</v>
      </c>
      <c r="Z66" s="6" t="n">
        <v>0</v>
      </c>
      <c r="AA66" s="6" t="n">
        <v>0</v>
      </c>
      <c r="AB66" s="6" t="n">
        <v>0</v>
      </c>
      <c r="AC66" s="6" t="n">
        <v>0</v>
      </c>
      <c r="AD66" s="6" t="n">
        <v>0</v>
      </c>
      <c r="AE66" s="6" t="n">
        <f aca="false">+Y66+AB66+S66+V66</f>
        <v>0</v>
      </c>
      <c r="AF66" s="6" t="n">
        <f aca="false">+Z66+AC66+T66+W66</f>
        <v>0</v>
      </c>
      <c r="AG66" s="6" t="n">
        <f aca="false">+AA66+AD66+U66+X66</f>
        <v>0</v>
      </c>
      <c r="AH66" s="6" t="n">
        <v>0</v>
      </c>
      <c r="AI66" s="6" t="n">
        <v>0</v>
      </c>
      <c r="AJ66" s="6" t="n">
        <v>0</v>
      </c>
      <c r="AK66" s="6" t="n">
        <v>0</v>
      </c>
      <c r="AL66" s="6" t="n">
        <v>0</v>
      </c>
      <c r="AM66" s="6" t="n">
        <v>0</v>
      </c>
      <c r="AN66" s="6" t="n">
        <v>0</v>
      </c>
      <c r="AO66" s="6" t="n">
        <v>0</v>
      </c>
      <c r="AP66" s="6" t="n">
        <v>0</v>
      </c>
      <c r="AQ66" s="30" t="n">
        <v>14000</v>
      </c>
      <c r="AR66" s="30" t="n">
        <v>14000</v>
      </c>
      <c r="AS66" s="6" t="n">
        <v>0</v>
      </c>
      <c r="AT66" s="6" t="n">
        <f aca="false">+AN66+AQ66+AH66+AK66</f>
        <v>14000</v>
      </c>
      <c r="AU66" s="6" t="n">
        <f aca="false">+AO66+AR66+AI66+AL66</f>
        <v>14000</v>
      </c>
      <c r="AV66" s="6" t="n">
        <f aca="false">+AP66+AS66+AJ66+AM66</f>
        <v>0</v>
      </c>
      <c r="AW66" s="6" t="n">
        <v>0</v>
      </c>
      <c r="AX66" s="6" t="n">
        <v>0</v>
      </c>
      <c r="AY66" s="6" t="n">
        <v>0</v>
      </c>
      <c r="AZ66" s="6" t="n">
        <v>0</v>
      </c>
      <c r="BA66" s="6" t="n">
        <v>0</v>
      </c>
      <c r="BB66" s="6" t="n">
        <v>500000</v>
      </c>
      <c r="BC66" s="6" t="n">
        <v>0</v>
      </c>
      <c r="BD66" s="6" t="n">
        <v>0</v>
      </c>
      <c r="BE66" s="6" t="n">
        <v>300000</v>
      </c>
      <c r="BF66" s="6" t="n">
        <v>0</v>
      </c>
      <c r="BG66" s="6" t="n">
        <v>0</v>
      </c>
      <c r="BH66" s="6" t="n">
        <v>0</v>
      </c>
      <c r="BI66" s="6" t="n">
        <f aca="false">+BC66+BF66+AW66+AZ66</f>
        <v>0</v>
      </c>
      <c r="BJ66" s="6" t="n">
        <f aca="false">+BD66+BG66+AX66+BA66</f>
        <v>0</v>
      </c>
      <c r="BK66" s="6" t="n">
        <f aca="false">+BE66+BH66+AY66+BB66</f>
        <v>800000</v>
      </c>
      <c r="BL66" s="6" t="n">
        <v>0</v>
      </c>
      <c r="BM66" s="6" t="n">
        <v>0</v>
      </c>
      <c r="BN66" s="6" t="n">
        <v>0</v>
      </c>
      <c r="BO66" s="6" t="n">
        <v>0</v>
      </c>
      <c r="BP66" s="6" t="n">
        <v>0</v>
      </c>
      <c r="BQ66" s="6" t="n">
        <v>200000</v>
      </c>
      <c r="BR66" s="6" t="n">
        <v>0</v>
      </c>
      <c r="BS66" s="6" t="n">
        <v>0</v>
      </c>
      <c r="BT66" s="6" t="n">
        <v>0</v>
      </c>
      <c r="BU66" s="6" t="n">
        <v>0</v>
      </c>
      <c r="BV66" s="6" t="n">
        <v>0</v>
      </c>
      <c r="BW66" s="6" t="n">
        <v>0</v>
      </c>
      <c r="BX66" s="6" t="n">
        <f aca="false">+BR66+BU66+BL66+BO66</f>
        <v>0</v>
      </c>
      <c r="BY66" s="6" t="n">
        <f aca="false">+BS66+BV66+BM66+BP66</f>
        <v>0</v>
      </c>
      <c r="BZ66" s="6" t="n">
        <f aca="false">+BT66+BW66+BN66+BQ66</f>
        <v>200000</v>
      </c>
      <c r="CA66" s="6" t="n">
        <v>0</v>
      </c>
      <c r="CB66" s="6" t="n">
        <v>0</v>
      </c>
      <c r="CC66" s="6" t="n">
        <v>0</v>
      </c>
      <c r="CD66" s="6" t="n">
        <v>0</v>
      </c>
      <c r="CE66" s="6" t="n">
        <v>0</v>
      </c>
      <c r="CF66" s="6" t="n">
        <v>0</v>
      </c>
      <c r="CG66" s="6" t="n">
        <v>0</v>
      </c>
      <c r="CH66" s="6" t="n">
        <v>0</v>
      </c>
      <c r="CI66" s="6" t="n">
        <v>0</v>
      </c>
      <c r="CJ66" s="6" t="n">
        <v>0</v>
      </c>
      <c r="CK66" s="6" t="n">
        <v>0</v>
      </c>
      <c r="CL66" s="6" t="n">
        <v>0</v>
      </c>
      <c r="CM66" s="6" t="n">
        <f aca="false">+CG66+CJ66+CA66+CD66</f>
        <v>0</v>
      </c>
      <c r="CN66" s="6" t="n">
        <f aca="false">+CH66+CK66+CB66+CE66</f>
        <v>0</v>
      </c>
      <c r="CO66" s="6" t="n">
        <f aca="false">+CI66+CL66+CC66+CF66</f>
        <v>0</v>
      </c>
      <c r="CP66" s="6" t="n">
        <v>0</v>
      </c>
      <c r="CQ66" s="6" t="n">
        <v>0</v>
      </c>
      <c r="CR66" s="6" t="n">
        <v>0</v>
      </c>
      <c r="CS66" s="6" t="n">
        <v>0</v>
      </c>
      <c r="CT66" s="6" t="n">
        <v>0</v>
      </c>
      <c r="CU66" s="6" t="n">
        <v>0</v>
      </c>
      <c r="CV66" s="6" t="n">
        <v>0</v>
      </c>
      <c r="CW66" s="6" t="n">
        <v>0</v>
      </c>
      <c r="CX66" s="6" t="n">
        <v>0</v>
      </c>
      <c r="CY66" s="6" t="n">
        <v>0</v>
      </c>
      <c r="CZ66" s="6" t="n">
        <v>0</v>
      </c>
      <c r="DA66" s="6" t="n">
        <v>0</v>
      </c>
      <c r="DB66" s="6" t="n">
        <f aca="false">+CV66+CY66+CP66+CS66</f>
        <v>0</v>
      </c>
      <c r="DC66" s="6" t="n">
        <f aca="false">+CW66+CZ66+CQ66+CT66</f>
        <v>0</v>
      </c>
      <c r="DD66" s="6" t="n">
        <f aca="false">+CX66+DA66+CR66+CU66</f>
        <v>0</v>
      </c>
      <c r="DE66" s="6" t="n">
        <v>0</v>
      </c>
      <c r="DF66" s="6" t="n">
        <v>0</v>
      </c>
      <c r="DG66" s="6" t="n">
        <v>0</v>
      </c>
      <c r="DH66" s="6" t="n">
        <v>0</v>
      </c>
      <c r="DI66" s="6" t="n">
        <v>0</v>
      </c>
      <c r="DJ66" s="6" t="n">
        <v>0</v>
      </c>
      <c r="DK66" s="6" t="n">
        <v>0</v>
      </c>
      <c r="DL66" s="6" t="n">
        <v>0</v>
      </c>
      <c r="DM66" s="6" t="n">
        <v>0</v>
      </c>
      <c r="DN66" s="6" t="n">
        <v>0</v>
      </c>
      <c r="DO66" s="6" t="n">
        <v>0</v>
      </c>
      <c r="DP66" s="6" t="n">
        <v>0</v>
      </c>
      <c r="DQ66" s="6" t="n">
        <f aca="false">+DK66+DN66+DE66+DH66</f>
        <v>0</v>
      </c>
      <c r="DR66" s="6" t="n">
        <f aca="false">+DL66+DO66+DF66+DI66</f>
        <v>0</v>
      </c>
      <c r="DS66" s="6" t="n">
        <f aca="false">+DM66+DP66+DG66+DJ66</f>
        <v>0</v>
      </c>
      <c r="DT66" s="31" t="n">
        <f aca="false">+P66+AE66+AT66+BI66+BX66+CM66+DB66</f>
        <v>14000</v>
      </c>
      <c r="DU66" s="31" t="n">
        <f aca="false">+Q66+AF66+AU66+BJ66+BY66+CN66+DC66</f>
        <v>14000</v>
      </c>
      <c r="DV66" s="31" t="n">
        <f aca="false">+R66+AG66+AV66+BK66+BZ66+CO66+DD66</f>
        <v>1000000</v>
      </c>
      <c r="DW66" s="31" t="n">
        <f aca="false">+DU66-DV66</f>
        <v>-986000</v>
      </c>
    </row>
    <row r="67" customFormat="false" ht="13.8" hidden="false" customHeight="false" outlineLevel="0" collapsed="false">
      <c r="A67" s="27" t="n">
        <v>44813</v>
      </c>
      <c r="B67" s="28" t="s">
        <v>335</v>
      </c>
      <c r="C67" s="28" t="s">
        <v>331</v>
      </c>
      <c r="D67" s="29" t="s">
        <v>332</v>
      </c>
      <c r="E67" s="28" t="s">
        <v>333</v>
      </c>
      <c r="F67" s="27" t="s">
        <v>336</v>
      </c>
      <c r="G67" s="27" t="s">
        <v>15</v>
      </c>
      <c r="H67" s="30" t="n">
        <v>1000000</v>
      </c>
      <c r="I67" s="30" t="n">
        <v>1000000</v>
      </c>
      <c r="J67" s="6" t="n">
        <v>0</v>
      </c>
      <c r="K67" s="6" t="n">
        <v>0</v>
      </c>
      <c r="L67" s="6" t="n">
        <v>0</v>
      </c>
      <c r="M67" s="6" t="n">
        <v>0</v>
      </c>
      <c r="N67" s="6" t="n">
        <v>0</v>
      </c>
      <c r="O67" s="6" t="n">
        <v>0</v>
      </c>
      <c r="P67" s="6" t="n">
        <f aca="false">+J67+M67</f>
        <v>0</v>
      </c>
      <c r="Q67" s="6" t="n">
        <f aca="false">+K67+N67</f>
        <v>0</v>
      </c>
      <c r="R67" s="6" t="n">
        <f aca="false">+L67+O67</f>
        <v>0</v>
      </c>
      <c r="S67" s="6" t="n">
        <v>0</v>
      </c>
      <c r="T67" s="6" t="n">
        <v>0</v>
      </c>
      <c r="U67" s="6" t="n">
        <v>0</v>
      </c>
      <c r="V67" s="6" t="n">
        <v>0</v>
      </c>
      <c r="W67" s="6" t="n">
        <v>0</v>
      </c>
      <c r="X67" s="6" t="n">
        <v>0</v>
      </c>
      <c r="Y67" s="6" t="n">
        <v>0</v>
      </c>
      <c r="Z67" s="6" t="n">
        <v>0</v>
      </c>
      <c r="AA67" s="6" t="n">
        <v>0</v>
      </c>
      <c r="AB67" s="6" t="n">
        <v>0</v>
      </c>
      <c r="AC67" s="6" t="n">
        <v>0</v>
      </c>
      <c r="AD67" s="6" t="n">
        <v>0</v>
      </c>
      <c r="AE67" s="6" t="n">
        <f aca="false">+Y67+AB67+S67+V67</f>
        <v>0</v>
      </c>
      <c r="AF67" s="6" t="n">
        <f aca="false">+Z67+AC67+T67+W67</f>
        <v>0</v>
      </c>
      <c r="AG67" s="6" t="n">
        <f aca="false">+AA67+AD67+U67+X67</f>
        <v>0</v>
      </c>
      <c r="AH67" s="6" t="n">
        <v>0</v>
      </c>
      <c r="AI67" s="6" t="n">
        <v>0</v>
      </c>
      <c r="AJ67" s="6" t="n">
        <v>0</v>
      </c>
      <c r="AK67" s="6" t="n">
        <v>0</v>
      </c>
      <c r="AL67" s="6" t="n">
        <v>0</v>
      </c>
      <c r="AM67" s="6" t="n">
        <v>0</v>
      </c>
      <c r="AN67" s="6" t="n">
        <v>0</v>
      </c>
      <c r="AO67" s="6" t="n">
        <v>0</v>
      </c>
      <c r="AP67" s="6" t="n">
        <v>0</v>
      </c>
      <c r="AQ67" s="6" t="n">
        <v>0</v>
      </c>
      <c r="AR67" s="6" t="n">
        <v>0</v>
      </c>
      <c r="AS67" s="6" t="n">
        <v>0</v>
      </c>
      <c r="AT67" s="6" t="n">
        <f aca="false">+AN67+AQ67+AH67+AK67</f>
        <v>0</v>
      </c>
      <c r="AU67" s="6" t="n">
        <f aca="false">+AO67+AR67+AI67+AL67</f>
        <v>0</v>
      </c>
      <c r="AV67" s="6" t="n">
        <f aca="false">+AP67+AS67+AJ67+AM67</f>
        <v>0</v>
      </c>
      <c r="AW67" s="6" t="n">
        <v>0</v>
      </c>
      <c r="AX67" s="6" t="n">
        <v>0</v>
      </c>
      <c r="AY67" s="6" t="n">
        <v>0</v>
      </c>
      <c r="AZ67" s="6" t="n">
        <v>0</v>
      </c>
      <c r="BA67" s="6" t="n">
        <v>0</v>
      </c>
      <c r="BB67" s="6" t="n">
        <v>14000</v>
      </c>
      <c r="BC67" s="30" t="n">
        <v>1000000</v>
      </c>
      <c r="BD67" s="30" t="n">
        <v>1000000</v>
      </c>
      <c r="BE67" s="6" t="n">
        <v>0</v>
      </c>
      <c r="BF67" s="6" t="n">
        <v>0</v>
      </c>
      <c r="BG67" s="6" t="n">
        <v>0</v>
      </c>
      <c r="BH67" s="6" t="n">
        <v>0</v>
      </c>
      <c r="BI67" s="6" t="n">
        <f aca="false">+BC67+BF67+AW67+AZ67</f>
        <v>1000000</v>
      </c>
      <c r="BJ67" s="6" t="n">
        <f aca="false">+BD67+BG67+AX67+BA67</f>
        <v>1000000</v>
      </c>
      <c r="BK67" s="6" t="n">
        <f aca="false">+BE67+BH67+AY67+BB67</f>
        <v>14000</v>
      </c>
      <c r="BL67" s="6" t="n">
        <v>0</v>
      </c>
      <c r="BM67" s="6" t="n">
        <v>0</v>
      </c>
      <c r="BN67" s="6" t="n">
        <v>0</v>
      </c>
      <c r="BO67" s="6" t="n">
        <v>0</v>
      </c>
      <c r="BP67" s="6" t="n">
        <v>0</v>
      </c>
      <c r="BQ67" s="6" t="n">
        <v>0</v>
      </c>
      <c r="BR67" s="6" t="n">
        <v>0</v>
      </c>
      <c r="BS67" s="6" t="n">
        <v>0</v>
      </c>
      <c r="BT67" s="6" t="n">
        <v>0</v>
      </c>
      <c r="BU67" s="6" t="n">
        <v>0</v>
      </c>
      <c r="BV67" s="6" t="n">
        <v>0</v>
      </c>
      <c r="BW67" s="6" t="n">
        <v>0</v>
      </c>
      <c r="BX67" s="6" t="n">
        <f aca="false">+BR67+BU67+BL67+BO67</f>
        <v>0</v>
      </c>
      <c r="BY67" s="6" t="n">
        <f aca="false">+BS67+BV67+BM67+BP67</f>
        <v>0</v>
      </c>
      <c r="BZ67" s="6" t="n">
        <f aca="false">+BT67+BW67+BN67+BQ67</f>
        <v>0</v>
      </c>
      <c r="CA67" s="6" t="n">
        <v>0</v>
      </c>
      <c r="CB67" s="6" t="n">
        <v>0</v>
      </c>
      <c r="CC67" s="6" t="n">
        <v>0</v>
      </c>
      <c r="CD67" s="6" t="n">
        <v>0</v>
      </c>
      <c r="CE67" s="6" t="n">
        <v>0</v>
      </c>
      <c r="CF67" s="6" t="n">
        <v>0</v>
      </c>
      <c r="CG67" s="6" t="n">
        <v>0</v>
      </c>
      <c r="CH67" s="6" t="n">
        <v>0</v>
      </c>
      <c r="CI67" s="6" t="n">
        <v>0</v>
      </c>
      <c r="CJ67" s="6" t="n">
        <v>0</v>
      </c>
      <c r="CK67" s="6" t="n">
        <v>0</v>
      </c>
      <c r="CL67" s="6" t="n">
        <v>0</v>
      </c>
      <c r="CM67" s="6" t="n">
        <f aca="false">+CG67+CJ67+CA67+CD67</f>
        <v>0</v>
      </c>
      <c r="CN67" s="6" t="n">
        <f aca="false">+CH67+CK67+CB67+CE67</f>
        <v>0</v>
      </c>
      <c r="CO67" s="6" t="n">
        <f aca="false">+CI67+CL67+CC67+CF67</f>
        <v>0</v>
      </c>
      <c r="CP67" s="6" t="n">
        <v>0</v>
      </c>
      <c r="CQ67" s="6" t="n">
        <v>0</v>
      </c>
      <c r="CR67" s="6" t="n">
        <v>0</v>
      </c>
      <c r="CS67" s="6" t="n">
        <v>0</v>
      </c>
      <c r="CT67" s="6" t="n">
        <v>0</v>
      </c>
      <c r="CU67" s="6" t="n">
        <v>0</v>
      </c>
      <c r="CV67" s="6" t="n">
        <v>0</v>
      </c>
      <c r="CW67" s="6" t="n">
        <v>0</v>
      </c>
      <c r="CX67" s="6" t="n">
        <v>0</v>
      </c>
      <c r="CY67" s="6" t="n">
        <v>0</v>
      </c>
      <c r="CZ67" s="6" t="n">
        <v>0</v>
      </c>
      <c r="DA67" s="6" t="n">
        <v>0</v>
      </c>
      <c r="DB67" s="6" t="n">
        <f aca="false">+CV67+CY67+CP67+CS67</f>
        <v>0</v>
      </c>
      <c r="DC67" s="6" t="n">
        <f aca="false">+CW67+CZ67+CQ67+CT67</f>
        <v>0</v>
      </c>
      <c r="DD67" s="6" t="n">
        <f aca="false">+CX67+DA67+CR67+CU67</f>
        <v>0</v>
      </c>
      <c r="DE67" s="6" t="n">
        <v>0</v>
      </c>
      <c r="DF67" s="6" t="n">
        <v>0</v>
      </c>
      <c r="DG67" s="6" t="n">
        <v>0</v>
      </c>
      <c r="DH67" s="6" t="n">
        <v>0</v>
      </c>
      <c r="DI67" s="6" t="n">
        <v>0</v>
      </c>
      <c r="DJ67" s="6" t="n">
        <v>0</v>
      </c>
      <c r="DK67" s="6" t="n">
        <v>0</v>
      </c>
      <c r="DL67" s="6" t="n">
        <v>0</v>
      </c>
      <c r="DM67" s="6" t="n">
        <v>0</v>
      </c>
      <c r="DN67" s="6" t="n">
        <v>0</v>
      </c>
      <c r="DO67" s="6" t="n">
        <v>0</v>
      </c>
      <c r="DP67" s="6" t="n">
        <v>0</v>
      </c>
      <c r="DQ67" s="6" t="n">
        <f aca="false">+DK67+DN67+DE67+DH67</f>
        <v>0</v>
      </c>
      <c r="DR67" s="6" t="n">
        <f aca="false">+DL67+DO67+DF67+DI67</f>
        <v>0</v>
      </c>
      <c r="DS67" s="6" t="n">
        <f aca="false">+DM67+DP67+DG67+DJ67</f>
        <v>0</v>
      </c>
      <c r="DT67" s="31" t="n">
        <f aca="false">+P67+AE67+AT67+BI67+BX67+CM67+DB67</f>
        <v>1000000</v>
      </c>
      <c r="DU67" s="31" t="n">
        <f aca="false">+Q67+AF67+AU67+BJ67+BY67+CN67+DC67</f>
        <v>1000000</v>
      </c>
      <c r="DV67" s="31" t="n">
        <f aca="false">+R67+AG67+AV67+BK67+BZ67+CO67+DD67</f>
        <v>14000</v>
      </c>
      <c r="DW67" s="31" t="n">
        <f aca="false">+DU67-DV67</f>
        <v>986000</v>
      </c>
    </row>
    <row r="68" customFormat="false" ht="13.8" hidden="false" customHeight="false" outlineLevel="0" collapsed="false">
      <c r="A68" s="27" t="n">
        <v>44937</v>
      </c>
      <c r="B68" s="28" t="s">
        <v>337</v>
      </c>
      <c r="C68" s="28" t="s">
        <v>338</v>
      </c>
      <c r="D68" s="29" t="s">
        <v>339</v>
      </c>
      <c r="E68" s="28" t="s">
        <v>340</v>
      </c>
      <c r="F68" s="27" t="s">
        <v>341</v>
      </c>
      <c r="G68" s="27" t="s">
        <v>12</v>
      </c>
      <c r="H68" s="30" t="n">
        <v>130000</v>
      </c>
      <c r="I68" s="30" t="n">
        <v>130000</v>
      </c>
      <c r="J68" s="6" t="n">
        <v>0</v>
      </c>
      <c r="K68" s="6" t="n">
        <v>0</v>
      </c>
      <c r="L68" s="6" t="n">
        <v>0</v>
      </c>
      <c r="M68" s="6" t="n">
        <v>0</v>
      </c>
      <c r="N68" s="6" t="n">
        <v>0</v>
      </c>
      <c r="O68" s="6" t="n">
        <v>0</v>
      </c>
      <c r="P68" s="6" t="n">
        <f aca="false">+J68+M68</f>
        <v>0</v>
      </c>
      <c r="Q68" s="6" t="n">
        <f aca="false">+K68+N68</f>
        <v>0</v>
      </c>
      <c r="R68" s="6" t="n">
        <f aca="false">+L68+O68</f>
        <v>0</v>
      </c>
      <c r="S68" s="6" t="n">
        <v>0</v>
      </c>
      <c r="T68" s="6" t="n">
        <v>0</v>
      </c>
      <c r="U68" s="6" t="n">
        <v>0</v>
      </c>
      <c r="V68" s="6" t="n">
        <v>0</v>
      </c>
      <c r="W68" s="6" t="n">
        <v>0</v>
      </c>
      <c r="X68" s="6" t="n">
        <v>0</v>
      </c>
      <c r="Y68" s="6" t="n">
        <v>0</v>
      </c>
      <c r="Z68" s="6" t="n">
        <v>0</v>
      </c>
      <c r="AA68" s="6" t="n">
        <v>0</v>
      </c>
      <c r="AB68" s="6" t="n">
        <v>0</v>
      </c>
      <c r="AC68" s="6" t="n">
        <v>0</v>
      </c>
      <c r="AD68" s="6" t="n">
        <v>0</v>
      </c>
      <c r="AE68" s="6" t="n">
        <f aca="false">+Y68+AB68+S68+V68</f>
        <v>0</v>
      </c>
      <c r="AF68" s="6" t="n">
        <f aca="false">+Z68+AC68+T68+W68</f>
        <v>0</v>
      </c>
      <c r="AG68" s="6" t="n">
        <f aca="false">+AA68+AD68+U68+X68</f>
        <v>0</v>
      </c>
      <c r="AH68" s="6" t="n">
        <v>0</v>
      </c>
      <c r="AI68" s="6" t="n">
        <v>0</v>
      </c>
      <c r="AJ68" s="6" t="n">
        <v>0</v>
      </c>
      <c r="AK68" s="6" t="n">
        <v>0</v>
      </c>
      <c r="AL68" s="6" t="n">
        <v>0</v>
      </c>
      <c r="AM68" s="6" t="n">
        <v>0</v>
      </c>
      <c r="AN68" s="6" t="n">
        <v>0</v>
      </c>
      <c r="AO68" s="6" t="n">
        <v>0</v>
      </c>
      <c r="AP68" s="6" t="n">
        <v>0</v>
      </c>
      <c r="AQ68" s="30" t="n">
        <v>130000</v>
      </c>
      <c r="AR68" s="30" t="n">
        <v>130000</v>
      </c>
      <c r="AS68" s="6" t="n">
        <v>0</v>
      </c>
      <c r="AT68" s="6" t="n">
        <f aca="false">+AN68+AQ68+AH68+AK68</f>
        <v>130000</v>
      </c>
      <c r="AU68" s="6" t="n">
        <f aca="false">+AO68+AR68+AI68+AL68</f>
        <v>130000</v>
      </c>
      <c r="AV68" s="6" t="n">
        <f aca="false">+AP68+AS68+AJ68+AM68</f>
        <v>0</v>
      </c>
      <c r="AW68" s="6" t="n">
        <v>0</v>
      </c>
      <c r="AX68" s="6" t="n">
        <v>0</v>
      </c>
      <c r="AY68" s="6" t="n">
        <v>0</v>
      </c>
      <c r="AZ68" s="6" t="n">
        <v>0</v>
      </c>
      <c r="BA68" s="6" t="n">
        <v>0</v>
      </c>
      <c r="BB68" s="6" t="n">
        <v>0</v>
      </c>
      <c r="BC68" s="6" t="n">
        <v>0</v>
      </c>
      <c r="BD68" s="6" t="n">
        <v>0</v>
      </c>
      <c r="BE68" s="6" t="n">
        <v>130000</v>
      </c>
      <c r="BF68" s="6" t="n">
        <v>0</v>
      </c>
      <c r="BG68" s="6" t="n">
        <v>0</v>
      </c>
      <c r="BH68" s="6" t="n">
        <v>0</v>
      </c>
      <c r="BI68" s="6" t="n">
        <f aca="false">+BC68+BF68+AW68+AZ68</f>
        <v>0</v>
      </c>
      <c r="BJ68" s="6" t="n">
        <f aca="false">+BD68+BG68+AX68+BA68</f>
        <v>0</v>
      </c>
      <c r="BK68" s="6" t="n">
        <f aca="false">+BE68+BH68+AY68+BB68</f>
        <v>130000</v>
      </c>
      <c r="BL68" s="6" t="n">
        <v>0</v>
      </c>
      <c r="BM68" s="6" t="n">
        <v>0</v>
      </c>
      <c r="BN68" s="6" t="n">
        <v>0</v>
      </c>
      <c r="BO68" s="6" t="n">
        <v>0</v>
      </c>
      <c r="BP68" s="6" t="n">
        <v>0</v>
      </c>
      <c r="BQ68" s="6" t="n">
        <v>0</v>
      </c>
      <c r="BR68" s="6" t="n">
        <v>0</v>
      </c>
      <c r="BS68" s="6" t="n">
        <v>0</v>
      </c>
      <c r="BT68" s="6" t="n">
        <v>0</v>
      </c>
      <c r="BU68" s="6" t="n">
        <v>0</v>
      </c>
      <c r="BV68" s="6" t="n">
        <v>0</v>
      </c>
      <c r="BW68" s="6" t="n">
        <v>0</v>
      </c>
      <c r="BX68" s="6" t="n">
        <f aca="false">+BR68+BU68+BL68+BO68</f>
        <v>0</v>
      </c>
      <c r="BY68" s="6" t="n">
        <f aca="false">+BS68+BV68+BM68+BP68</f>
        <v>0</v>
      </c>
      <c r="BZ68" s="6" t="n">
        <f aca="false">+BT68+BW68+BN68+BQ68</f>
        <v>0</v>
      </c>
      <c r="CA68" s="6" t="n">
        <v>0</v>
      </c>
      <c r="CB68" s="6" t="n">
        <v>0</v>
      </c>
      <c r="CC68" s="6" t="n">
        <v>0</v>
      </c>
      <c r="CD68" s="6" t="n">
        <v>0</v>
      </c>
      <c r="CE68" s="6" t="n">
        <v>0</v>
      </c>
      <c r="CF68" s="6" t="n">
        <v>0</v>
      </c>
      <c r="CG68" s="6" t="n">
        <v>0</v>
      </c>
      <c r="CH68" s="6" t="n">
        <v>0</v>
      </c>
      <c r="CI68" s="6" t="n">
        <v>0</v>
      </c>
      <c r="CJ68" s="6" t="n">
        <v>0</v>
      </c>
      <c r="CK68" s="6" t="n">
        <v>0</v>
      </c>
      <c r="CL68" s="6" t="n">
        <v>0</v>
      </c>
      <c r="CM68" s="6" t="n">
        <f aca="false">+CG68+CJ68+CA68+CD68</f>
        <v>0</v>
      </c>
      <c r="CN68" s="6" t="n">
        <f aca="false">+CH68+CK68+CB68+CE68</f>
        <v>0</v>
      </c>
      <c r="CO68" s="6" t="n">
        <f aca="false">+CI68+CL68+CC68+CF68</f>
        <v>0</v>
      </c>
      <c r="CP68" s="6" t="n">
        <v>0</v>
      </c>
      <c r="CQ68" s="6" t="n">
        <v>0</v>
      </c>
      <c r="CR68" s="6" t="n">
        <v>0</v>
      </c>
      <c r="CS68" s="6" t="n">
        <v>0</v>
      </c>
      <c r="CT68" s="6" t="n">
        <v>0</v>
      </c>
      <c r="CU68" s="6" t="n">
        <v>0</v>
      </c>
      <c r="CV68" s="6" t="n">
        <v>0</v>
      </c>
      <c r="CW68" s="6" t="n">
        <v>0</v>
      </c>
      <c r="CX68" s="6" t="n">
        <v>0</v>
      </c>
      <c r="CY68" s="6" t="n">
        <v>0</v>
      </c>
      <c r="CZ68" s="6" t="n">
        <v>0</v>
      </c>
      <c r="DA68" s="6" t="n">
        <v>0</v>
      </c>
      <c r="DB68" s="6" t="n">
        <f aca="false">+CV68+CY68+CP68+CS68</f>
        <v>0</v>
      </c>
      <c r="DC68" s="6" t="n">
        <f aca="false">+CW68+CZ68+CQ68+CT68</f>
        <v>0</v>
      </c>
      <c r="DD68" s="6" t="n">
        <f aca="false">+CX68+DA68+CR68+CU68</f>
        <v>0</v>
      </c>
      <c r="DE68" s="6" t="n">
        <v>0</v>
      </c>
      <c r="DF68" s="6" t="n">
        <v>0</v>
      </c>
      <c r="DG68" s="6" t="n">
        <v>0</v>
      </c>
      <c r="DH68" s="6" t="n">
        <v>0</v>
      </c>
      <c r="DI68" s="6" t="n">
        <v>0</v>
      </c>
      <c r="DJ68" s="6" t="n">
        <v>0</v>
      </c>
      <c r="DK68" s="6" t="n">
        <v>0</v>
      </c>
      <c r="DL68" s="6" t="n">
        <v>0</v>
      </c>
      <c r="DM68" s="6" t="n">
        <v>0</v>
      </c>
      <c r="DN68" s="6" t="n">
        <v>0</v>
      </c>
      <c r="DO68" s="6" t="n">
        <v>0</v>
      </c>
      <c r="DP68" s="6" t="n">
        <v>0</v>
      </c>
      <c r="DQ68" s="6" t="n">
        <f aca="false">+DK68+DN68+DE68+DH68</f>
        <v>0</v>
      </c>
      <c r="DR68" s="6" t="n">
        <f aca="false">+DL68+DO68+DF68+DI68</f>
        <v>0</v>
      </c>
      <c r="DS68" s="6" t="n">
        <f aca="false">+DM68+DP68+DG68+DJ68</f>
        <v>0</v>
      </c>
      <c r="DT68" s="31" t="n">
        <f aca="false">+P68+AE68+AT68+BI68+BX68+CM68+DB68</f>
        <v>130000</v>
      </c>
      <c r="DU68" s="31" t="n">
        <f aca="false">+Q68+AF68+AU68+BJ68+BY68+CN68+DC68</f>
        <v>130000</v>
      </c>
      <c r="DV68" s="31" t="n">
        <f aca="false">+R68+AG68+AV68+BK68+BZ68+CO68+DD68</f>
        <v>130000</v>
      </c>
      <c r="DW68" s="31" t="n">
        <f aca="false">+DU68-DV68</f>
        <v>0</v>
      </c>
    </row>
    <row r="69" customFormat="false" ht="13.8" hidden="false" customHeight="false" outlineLevel="0" collapsed="false">
      <c r="A69" s="27" t="n">
        <v>44802</v>
      </c>
      <c r="B69" s="28" t="s">
        <v>342</v>
      </c>
      <c r="C69" s="28" t="s">
        <v>343</v>
      </c>
      <c r="D69" s="29" t="s">
        <v>344</v>
      </c>
      <c r="E69" s="28" t="s">
        <v>345</v>
      </c>
      <c r="F69" s="27" t="s">
        <v>346</v>
      </c>
      <c r="G69" s="27" t="s">
        <v>12</v>
      </c>
      <c r="H69" s="30" t="n">
        <v>1000000</v>
      </c>
      <c r="I69" s="30" t="n">
        <v>1000000</v>
      </c>
      <c r="J69" s="6" t="n">
        <v>0</v>
      </c>
      <c r="K69" s="6" t="n">
        <v>0</v>
      </c>
      <c r="L69" s="6" t="n">
        <v>0</v>
      </c>
      <c r="M69" s="6" t="n">
        <v>0</v>
      </c>
      <c r="N69" s="6" t="n">
        <v>0</v>
      </c>
      <c r="O69" s="6" t="n">
        <v>0</v>
      </c>
      <c r="P69" s="6" t="n">
        <f aca="false">+J69+M69</f>
        <v>0</v>
      </c>
      <c r="Q69" s="6" t="n">
        <f aca="false">+K69+N69</f>
        <v>0</v>
      </c>
      <c r="R69" s="6" t="n">
        <f aca="false">+L69+O69</f>
        <v>0</v>
      </c>
      <c r="S69" s="6" t="n">
        <v>0</v>
      </c>
      <c r="T69" s="6" t="n">
        <v>0</v>
      </c>
      <c r="U69" s="6" t="n">
        <v>0</v>
      </c>
      <c r="V69" s="6" t="n">
        <v>0</v>
      </c>
      <c r="W69" s="6" t="n">
        <v>0</v>
      </c>
      <c r="X69" s="6" t="n">
        <v>0</v>
      </c>
      <c r="Y69" s="6" t="n">
        <v>0</v>
      </c>
      <c r="Z69" s="6" t="n">
        <v>0</v>
      </c>
      <c r="AA69" s="6" t="n">
        <v>0</v>
      </c>
      <c r="AB69" s="6" t="n">
        <v>0</v>
      </c>
      <c r="AC69" s="6" t="n">
        <v>0</v>
      </c>
      <c r="AD69" s="6" t="n">
        <v>0</v>
      </c>
      <c r="AE69" s="6" t="n">
        <f aca="false">+Y69+AB69+S69+V69</f>
        <v>0</v>
      </c>
      <c r="AF69" s="6" t="n">
        <f aca="false">+Z69+AC69+T69+W69</f>
        <v>0</v>
      </c>
      <c r="AG69" s="6" t="n">
        <f aca="false">+AA69+AD69+U69+X69</f>
        <v>0</v>
      </c>
      <c r="AH69" s="6" t="n">
        <v>0</v>
      </c>
      <c r="AI69" s="6" t="n">
        <v>0</v>
      </c>
      <c r="AJ69" s="6" t="n">
        <v>0</v>
      </c>
      <c r="AK69" s="6" t="n">
        <v>0</v>
      </c>
      <c r="AL69" s="6" t="n">
        <v>0</v>
      </c>
      <c r="AM69" s="6" t="n">
        <v>0</v>
      </c>
      <c r="AN69" s="6" t="n">
        <v>0</v>
      </c>
      <c r="AO69" s="6" t="n">
        <v>0</v>
      </c>
      <c r="AP69" s="6" t="n">
        <v>0</v>
      </c>
      <c r="AQ69" s="30" t="n">
        <v>1000000</v>
      </c>
      <c r="AR69" s="30" t="n">
        <v>1000000</v>
      </c>
      <c r="AS69" s="6" t="n">
        <v>0</v>
      </c>
      <c r="AT69" s="6" t="n">
        <f aca="false">+AN69+AQ69+AH69+AK69</f>
        <v>1000000</v>
      </c>
      <c r="AU69" s="6" t="n">
        <f aca="false">+AO69+AR69+AI69+AL69</f>
        <v>1000000</v>
      </c>
      <c r="AV69" s="6" t="n">
        <f aca="false">+AP69+AS69+AJ69+AM69</f>
        <v>0</v>
      </c>
      <c r="AW69" s="6" t="n">
        <v>0</v>
      </c>
      <c r="AX69" s="6" t="n">
        <v>0</v>
      </c>
      <c r="AY69" s="6" t="n">
        <v>300000</v>
      </c>
      <c r="AZ69" s="6" t="n">
        <v>0</v>
      </c>
      <c r="BA69" s="6" t="n">
        <v>0</v>
      </c>
      <c r="BB69" s="6" t="n">
        <v>700000</v>
      </c>
      <c r="BC69" s="6" t="n">
        <v>0</v>
      </c>
      <c r="BD69" s="6" t="n">
        <v>0</v>
      </c>
      <c r="BE69" s="6" t="n">
        <v>0</v>
      </c>
      <c r="BF69" s="6" t="n">
        <v>0</v>
      </c>
      <c r="BG69" s="6" t="n">
        <v>0</v>
      </c>
      <c r="BH69" s="6" t="n">
        <v>0</v>
      </c>
      <c r="BI69" s="6" t="n">
        <f aca="false">+BC69+BF69+AW69+AZ69</f>
        <v>0</v>
      </c>
      <c r="BJ69" s="6" t="n">
        <f aca="false">+BD69+BG69+AX69+BA69</f>
        <v>0</v>
      </c>
      <c r="BK69" s="6" t="n">
        <f aca="false">+BE69+BH69+AY69+BB69</f>
        <v>1000000</v>
      </c>
      <c r="BL69" s="6" t="n">
        <v>0</v>
      </c>
      <c r="BM69" s="6" t="n">
        <v>0</v>
      </c>
      <c r="BN69" s="6" t="n">
        <v>0</v>
      </c>
      <c r="BO69" s="6" t="n">
        <v>0</v>
      </c>
      <c r="BP69" s="6" t="n">
        <v>0</v>
      </c>
      <c r="BQ69" s="6" t="n">
        <v>0</v>
      </c>
      <c r="BR69" s="6" t="n">
        <v>0</v>
      </c>
      <c r="BS69" s="6" t="n">
        <v>0</v>
      </c>
      <c r="BT69" s="6" t="n">
        <v>0</v>
      </c>
      <c r="BU69" s="6" t="n">
        <v>0</v>
      </c>
      <c r="BV69" s="6" t="n">
        <v>0</v>
      </c>
      <c r="BW69" s="6" t="n">
        <v>0</v>
      </c>
      <c r="BX69" s="6" t="n">
        <f aca="false">+BR69+BU69+BL69+BO69</f>
        <v>0</v>
      </c>
      <c r="BY69" s="6" t="n">
        <f aca="false">+BS69+BV69+BM69+BP69</f>
        <v>0</v>
      </c>
      <c r="BZ69" s="6" t="n">
        <f aca="false">+BT69+BW69+BN69+BQ69</f>
        <v>0</v>
      </c>
      <c r="CA69" s="6" t="n">
        <v>0</v>
      </c>
      <c r="CB69" s="6" t="n">
        <v>0</v>
      </c>
      <c r="CC69" s="6" t="n">
        <v>0</v>
      </c>
      <c r="CD69" s="6" t="n">
        <v>0</v>
      </c>
      <c r="CE69" s="6" t="n">
        <v>0</v>
      </c>
      <c r="CF69" s="6" t="n">
        <v>0</v>
      </c>
      <c r="CG69" s="6" t="n">
        <v>0</v>
      </c>
      <c r="CH69" s="6" t="n">
        <v>0</v>
      </c>
      <c r="CI69" s="6" t="n">
        <v>0</v>
      </c>
      <c r="CJ69" s="6" t="n">
        <v>0</v>
      </c>
      <c r="CK69" s="6" t="n">
        <v>0</v>
      </c>
      <c r="CL69" s="6" t="n">
        <v>0</v>
      </c>
      <c r="CM69" s="6" t="n">
        <f aca="false">+CG69+CJ69+CA69+CD69</f>
        <v>0</v>
      </c>
      <c r="CN69" s="6" t="n">
        <f aca="false">+CH69+CK69+CB69+CE69</f>
        <v>0</v>
      </c>
      <c r="CO69" s="6" t="n">
        <f aca="false">+CI69+CL69+CC69+CF69</f>
        <v>0</v>
      </c>
      <c r="CP69" s="6" t="n">
        <v>0</v>
      </c>
      <c r="CQ69" s="6" t="n">
        <v>0</v>
      </c>
      <c r="CR69" s="6" t="n">
        <v>0</v>
      </c>
      <c r="CS69" s="6" t="n">
        <v>0</v>
      </c>
      <c r="CT69" s="6" t="n">
        <v>0</v>
      </c>
      <c r="CU69" s="6" t="n">
        <v>0</v>
      </c>
      <c r="CV69" s="6" t="n">
        <v>0</v>
      </c>
      <c r="CW69" s="6" t="n">
        <v>0</v>
      </c>
      <c r="CX69" s="6" t="n">
        <v>0</v>
      </c>
      <c r="CY69" s="6" t="n">
        <v>0</v>
      </c>
      <c r="CZ69" s="6" t="n">
        <v>0</v>
      </c>
      <c r="DA69" s="6" t="n">
        <v>0</v>
      </c>
      <c r="DB69" s="6" t="n">
        <f aca="false">+CV69+CY69+CP69+CS69</f>
        <v>0</v>
      </c>
      <c r="DC69" s="6" t="n">
        <f aca="false">+CW69+CZ69+CQ69+CT69</f>
        <v>0</v>
      </c>
      <c r="DD69" s="6" t="n">
        <f aca="false">+CX69+DA69+CR69+CU69</f>
        <v>0</v>
      </c>
      <c r="DE69" s="6" t="n">
        <v>0</v>
      </c>
      <c r="DF69" s="6" t="n">
        <v>0</v>
      </c>
      <c r="DG69" s="6" t="n">
        <v>0</v>
      </c>
      <c r="DH69" s="6" t="n">
        <v>0</v>
      </c>
      <c r="DI69" s="6" t="n">
        <v>0</v>
      </c>
      <c r="DJ69" s="6" t="n">
        <v>0</v>
      </c>
      <c r="DK69" s="6" t="n">
        <v>0</v>
      </c>
      <c r="DL69" s="6" t="n">
        <v>0</v>
      </c>
      <c r="DM69" s="6" t="n">
        <v>0</v>
      </c>
      <c r="DN69" s="6" t="n">
        <v>0</v>
      </c>
      <c r="DO69" s="6" t="n">
        <v>0</v>
      </c>
      <c r="DP69" s="6" t="n">
        <v>0</v>
      </c>
      <c r="DQ69" s="6" t="n">
        <f aca="false">+DK69+DN69+DE69+DH69</f>
        <v>0</v>
      </c>
      <c r="DR69" s="6" t="n">
        <f aca="false">+DL69+DO69+DF69+DI69</f>
        <v>0</v>
      </c>
      <c r="DS69" s="6" t="n">
        <f aca="false">+DM69+DP69+DG69+DJ69</f>
        <v>0</v>
      </c>
      <c r="DT69" s="31" t="n">
        <f aca="false">+P69+AE69+AT69+BI69+BX69+CM69+DB69</f>
        <v>1000000</v>
      </c>
      <c r="DU69" s="31" t="n">
        <f aca="false">+Q69+AF69+AU69+BJ69+BY69+CN69+DC69</f>
        <v>1000000</v>
      </c>
      <c r="DV69" s="31" t="n">
        <f aca="false">+R69+AG69+AV69+BK69+BZ69+CO69+DD69</f>
        <v>1000000</v>
      </c>
      <c r="DW69" s="31" t="n">
        <f aca="false">+DU69-DV69</f>
        <v>0</v>
      </c>
    </row>
    <row r="70" customFormat="false" ht="13.8" hidden="false" customHeight="false" outlineLevel="0" collapsed="false">
      <c r="A70" s="27" t="n">
        <v>44812</v>
      </c>
      <c r="B70" s="28" t="s">
        <v>347</v>
      </c>
      <c r="C70" s="28" t="s">
        <v>348</v>
      </c>
      <c r="D70" s="29" t="s">
        <v>349</v>
      </c>
      <c r="E70" s="28" t="s">
        <v>350</v>
      </c>
      <c r="F70" s="27" t="s">
        <v>351</v>
      </c>
      <c r="G70" s="27" t="s">
        <v>13</v>
      </c>
      <c r="H70" s="30" t="n">
        <v>50000</v>
      </c>
      <c r="I70" s="30" t="n">
        <v>50000</v>
      </c>
      <c r="J70" s="6" t="n">
        <v>0</v>
      </c>
      <c r="K70" s="6" t="n">
        <v>0</v>
      </c>
      <c r="L70" s="6" t="n">
        <v>0</v>
      </c>
      <c r="M70" s="6" t="n">
        <v>0</v>
      </c>
      <c r="N70" s="6" t="n">
        <v>0</v>
      </c>
      <c r="O70" s="6" t="n">
        <v>0</v>
      </c>
      <c r="P70" s="6" t="n">
        <f aca="false">+J70+M70</f>
        <v>0</v>
      </c>
      <c r="Q70" s="6" t="n">
        <f aca="false">+K70+N70</f>
        <v>0</v>
      </c>
      <c r="R70" s="6" t="n">
        <f aca="false">+L70+O70</f>
        <v>0</v>
      </c>
      <c r="S70" s="6" t="n">
        <v>0</v>
      </c>
      <c r="T70" s="6" t="n">
        <v>0</v>
      </c>
      <c r="U70" s="6" t="n">
        <v>0</v>
      </c>
      <c r="V70" s="6" t="n">
        <v>0</v>
      </c>
      <c r="W70" s="6" t="n">
        <v>0</v>
      </c>
      <c r="X70" s="6" t="n">
        <v>0</v>
      </c>
      <c r="Y70" s="6" t="n">
        <v>0</v>
      </c>
      <c r="Z70" s="6" t="n">
        <v>0</v>
      </c>
      <c r="AA70" s="6" t="n">
        <v>0</v>
      </c>
      <c r="AB70" s="6" t="n">
        <v>0</v>
      </c>
      <c r="AC70" s="6" t="n">
        <v>0</v>
      </c>
      <c r="AD70" s="6" t="n">
        <v>0</v>
      </c>
      <c r="AE70" s="6" t="n">
        <f aca="false">+Y70+AB70+S70+V70</f>
        <v>0</v>
      </c>
      <c r="AF70" s="6" t="n">
        <f aca="false">+Z70+AC70+T70+W70</f>
        <v>0</v>
      </c>
      <c r="AG70" s="6" t="n">
        <f aca="false">+AA70+AD70+U70+X70</f>
        <v>0</v>
      </c>
      <c r="AH70" s="6" t="n">
        <v>0</v>
      </c>
      <c r="AI70" s="6" t="n">
        <v>0</v>
      </c>
      <c r="AJ70" s="6" t="n">
        <v>0</v>
      </c>
      <c r="AK70" s="6" t="n">
        <v>0</v>
      </c>
      <c r="AL70" s="6" t="n">
        <v>0</v>
      </c>
      <c r="AM70" s="6" t="n">
        <v>0</v>
      </c>
      <c r="AN70" s="6" t="n">
        <v>0</v>
      </c>
      <c r="AO70" s="6" t="n">
        <v>0</v>
      </c>
      <c r="AP70" s="6" t="n">
        <v>0</v>
      </c>
      <c r="AQ70" s="6" t="n">
        <v>0</v>
      </c>
      <c r="AR70" s="6" t="n">
        <v>0</v>
      </c>
      <c r="AS70" s="6" t="n">
        <v>0</v>
      </c>
      <c r="AT70" s="6" t="n">
        <f aca="false">+AN70+AQ70+AH70+AK70</f>
        <v>0</v>
      </c>
      <c r="AU70" s="6" t="n">
        <f aca="false">+AO70+AR70+AI70+AL70</f>
        <v>0</v>
      </c>
      <c r="AV70" s="6" t="n">
        <f aca="false">+AP70+AS70+AJ70+AM70</f>
        <v>0</v>
      </c>
      <c r="AW70" s="30" t="n">
        <v>50000</v>
      </c>
      <c r="AX70" s="30" t="n">
        <v>50000</v>
      </c>
      <c r="AY70" s="6" t="n">
        <v>50000</v>
      </c>
      <c r="AZ70" s="6" t="n">
        <v>0</v>
      </c>
      <c r="BA70" s="6" t="n">
        <v>0</v>
      </c>
      <c r="BB70" s="6" t="n">
        <v>0</v>
      </c>
      <c r="BC70" s="6" t="n">
        <v>0</v>
      </c>
      <c r="BD70" s="6" t="n">
        <v>0</v>
      </c>
      <c r="BE70" s="6" t="n">
        <v>0</v>
      </c>
      <c r="BF70" s="6" t="n">
        <v>0</v>
      </c>
      <c r="BG70" s="6" t="n">
        <v>0</v>
      </c>
      <c r="BH70" s="6" t="n">
        <v>0</v>
      </c>
      <c r="BI70" s="6" t="n">
        <f aca="false">+BC70+BF70+AW70+AZ70</f>
        <v>50000</v>
      </c>
      <c r="BJ70" s="6" t="n">
        <f aca="false">+BD70+BG70+AX70+BA70</f>
        <v>50000</v>
      </c>
      <c r="BK70" s="6" t="n">
        <f aca="false">+BE70+BH70+AY70+BB70</f>
        <v>50000</v>
      </c>
      <c r="BL70" s="6" t="n">
        <v>0</v>
      </c>
      <c r="BM70" s="6" t="n">
        <v>0</v>
      </c>
      <c r="BN70" s="6" t="n">
        <v>0</v>
      </c>
      <c r="BO70" s="6" t="n">
        <v>0</v>
      </c>
      <c r="BP70" s="6" t="n">
        <v>0</v>
      </c>
      <c r="BQ70" s="6" t="n">
        <v>0</v>
      </c>
      <c r="BR70" s="6" t="n">
        <v>0</v>
      </c>
      <c r="BS70" s="6" t="n">
        <v>0</v>
      </c>
      <c r="BT70" s="6" t="n">
        <v>0</v>
      </c>
      <c r="BU70" s="6" t="n">
        <v>0</v>
      </c>
      <c r="BV70" s="6" t="n">
        <v>0</v>
      </c>
      <c r="BW70" s="6" t="n">
        <v>0</v>
      </c>
      <c r="BX70" s="6" t="n">
        <f aca="false">+BR70+BU70+BL70+BO70</f>
        <v>0</v>
      </c>
      <c r="BY70" s="6" t="n">
        <f aca="false">+BS70+BV70+BM70+BP70</f>
        <v>0</v>
      </c>
      <c r="BZ70" s="6" t="n">
        <f aca="false">+BT70+BW70+BN70+BQ70</f>
        <v>0</v>
      </c>
      <c r="CA70" s="6" t="n">
        <v>0</v>
      </c>
      <c r="CB70" s="6" t="n">
        <v>0</v>
      </c>
      <c r="CC70" s="6" t="n">
        <v>0</v>
      </c>
      <c r="CD70" s="6" t="n">
        <v>0</v>
      </c>
      <c r="CE70" s="6" t="n">
        <v>0</v>
      </c>
      <c r="CF70" s="6" t="n">
        <v>0</v>
      </c>
      <c r="CG70" s="6" t="n">
        <v>0</v>
      </c>
      <c r="CH70" s="6" t="n">
        <v>0</v>
      </c>
      <c r="CI70" s="6" t="n">
        <v>0</v>
      </c>
      <c r="CJ70" s="6" t="n">
        <v>0</v>
      </c>
      <c r="CK70" s="6" t="n">
        <v>0</v>
      </c>
      <c r="CL70" s="6" t="n">
        <v>0</v>
      </c>
      <c r="CM70" s="6" t="n">
        <f aca="false">+CG70+CJ70+CA70+CD70</f>
        <v>0</v>
      </c>
      <c r="CN70" s="6" t="n">
        <f aca="false">+CH70+CK70+CB70+CE70</f>
        <v>0</v>
      </c>
      <c r="CO70" s="6" t="n">
        <f aca="false">+CI70+CL70+CC70+CF70</f>
        <v>0</v>
      </c>
      <c r="CP70" s="6" t="n">
        <v>0</v>
      </c>
      <c r="CQ70" s="6" t="n">
        <v>0</v>
      </c>
      <c r="CR70" s="6" t="n">
        <v>0</v>
      </c>
      <c r="CS70" s="6" t="n">
        <v>0</v>
      </c>
      <c r="CT70" s="6" t="n">
        <v>0</v>
      </c>
      <c r="CU70" s="6" t="n">
        <v>0</v>
      </c>
      <c r="CV70" s="6" t="n">
        <v>0</v>
      </c>
      <c r="CW70" s="6" t="n">
        <v>0</v>
      </c>
      <c r="CX70" s="6" t="n">
        <v>0</v>
      </c>
      <c r="CY70" s="6" t="n">
        <v>0</v>
      </c>
      <c r="CZ70" s="6" t="n">
        <v>0</v>
      </c>
      <c r="DA70" s="6" t="n">
        <v>0</v>
      </c>
      <c r="DB70" s="6" t="n">
        <f aca="false">+CV70+CY70+CP70+CS70</f>
        <v>0</v>
      </c>
      <c r="DC70" s="6" t="n">
        <f aca="false">+CW70+CZ70+CQ70+CT70</f>
        <v>0</v>
      </c>
      <c r="DD70" s="6" t="n">
        <f aca="false">+CX70+DA70+CR70+CU70</f>
        <v>0</v>
      </c>
      <c r="DE70" s="6" t="n">
        <v>0</v>
      </c>
      <c r="DF70" s="6" t="n">
        <v>0</v>
      </c>
      <c r="DG70" s="6" t="n">
        <v>0</v>
      </c>
      <c r="DH70" s="6" t="n">
        <v>0</v>
      </c>
      <c r="DI70" s="6" t="n">
        <v>0</v>
      </c>
      <c r="DJ70" s="6" t="n">
        <v>0</v>
      </c>
      <c r="DK70" s="6" t="n">
        <v>0</v>
      </c>
      <c r="DL70" s="6" t="n">
        <v>0</v>
      </c>
      <c r="DM70" s="6" t="n">
        <v>0</v>
      </c>
      <c r="DN70" s="6" t="n">
        <v>0</v>
      </c>
      <c r="DO70" s="6" t="n">
        <v>0</v>
      </c>
      <c r="DP70" s="6" t="n">
        <v>0</v>
      </c>
      <c r="DQ70" s="6" t="n">
        <f aca="false">+DK70+DN70+DE70+DH70</f>
        <v>0</v>
      </c>
      <c r="DR70" s="6" t="n">
        <f aca="false">+DL70+DO70+DF70+DI70</f>
        <v>0</v>
      </c>
      <c r="DS70" s="6" t="n">
        <f aca="false">+DM70+DP70+DG70+DJ70</f>
        <v>0</v>
      </c>
      <c r="DT70" s="31" t="n">
        <f aca="false">+P70+AE70+AT70+BI70+BX70+CM70+DB70</f>
        <v>50000</v>
      </c>
      <c r="DU70" s="31" t="n">
        <f aca="false">+Q70+AF70+AU70+BJ70+BY70+CN70+DC70</f>
        <v>50000</v>
      </c>
      <c r="DV70" s="31" t="n">
        <f aca="false">+R70+AG70+AV70+BK70+BZ70+CO70+DD70</f>
        <v>50000</v>
      </c>
      <c r="DW70" s="31" t="n">
        <f aca="false">+DU70-DV70</f>
        <v>0</v>
      </c>
    </row>
    <row r="71" customFormat="false" ht="13.8" hidden="false" customHeight="false" outlineLevel="0" collapsed="false">
      <c r="A71" s="27" t="n">
        <v>44832</v>
      </c>
      <c r="B71" s="28" t="s">
        <v>352</v>
      </c>
      <c r="C71" s="28" t="s">
        <v>353</v>
      </c>
      <c r="D71" s="29" t="s">
        <v>354</v>
      </c>
      <c r="E71" s="28" t="s">
        <v>355</v>
      </c>
      <c r="F71" s="27" t="s">
        <v>356</v>
      </c>
      <c r="G71" s="27" t="s">
        <v>13</v>
      </c>
      <c r="H71" s="30" t="n">
        <v>3252000</v>
      </c>
      <c r="I71" s="30" t="n">
        <v>3252000</v>
      </c>
      <c r="J71" s="6" t="n">
        <v>0</v>
      </c>
      <c r="K71" s="6" t="n">
        <v>0</v>
      </c>
      <c r="L71" s="6" t="n">
        <v>0</v>
      </c>
      <c r="M71" s="6" t="n">
        <v>0</v>
      </c>
      <c r="N71" s="6" t="n">
        <v>0</v>
      </c>
      <c r="O71" s="6" t="n">
        <v>0</v>
      </c>
      <c r="P71" s="6" t="n">
        <f aca="false">+J71+M71</f>
        <v>0</v>
      </c>
      <c r="Q71" s="6" t="n">
        <f aca="false">+K71+N71</f>
        <v>0</v>
      </c>
      <c r="R71" s="6" t="n">
        <f aca="false">+L71+O71</f>
        <v>0</v>
      </c>
      <c r="S71" s="6" t="n">
        <v>0</v>
      </c>
      <c r="T71" s="6" t="n">
        <v>0</v>
      </c>
      <c r="U71" s="6" t="n">
        <v>0</v>
      </c>
      <c r="V71" s="6" t="n">
        <v>0</v>
      </c>
      <c r="W71" s="6" t="n">
        <v>0</v>
      </c>
      <c r="X71" s="6" t="n">
        <v>0</v>
      </c>
      <c r="Y71" s="6" t="n">
        <v>0</v>
      </c>
      <c r="Z71" s="6" t="n">
        <v>0</v>
      </c>
      <c r="AA71" s="6" t="n">
        <v>0</v>
      </c>
      <c r="AB71" s="6" t="n">
        <v>0</v>
      </c>
      <c r="AC71" s="6" t="n">
        <v>0</v>
      </c>
      <c r="AD71" s="6" t="n">
        <v>0</v>
      </c>
      <c r="AE71" s="6" t="n">
        <f aca="false">+Y71+AB71+S71+V71</f>
        <v>0</v>
      </c>
      <c r="AF71" s="6" t="n">
        <f aca="false">+Z71+AC71+T71+W71</f>
        <v>0</v>
      </c>
      <c r="AG71" s="6" t="n">
        <f aca="false">+AA71+AD71+U71+X71</f>
        <v>0</v>
      </c>
      <c r="AH71" s="6" t="n">
        <v>0</v>
      </c>
      <c r="AI71" s="6" t="n">
        <v>0</v>
      </c>
      <c r="AJ71" s="6" t="n">
        <v>0</v>
      </c>
      <c r="AK71" s="6" t="n">
        <v>0</v>
      </c>
      <c r="AL71" s="6" t="n">
        <v>0</v>
      </c>
      <c r="AM71" s="6" t="n">
        <v>0</v>
      </c>
      <c r="AN71" s="6" t="n">
        <v>0</v>
      </c>
      <c r="AO71" s="6" t="n">
        <v>0</v>
      </c>
      <c r="AP71" s="6" t="n">
        <v>0</v>
      </c>
      <c r="AQ71" s="6" t="n">
        <v>0</v>
      </c>
      <c r="AR71" s="6" t="n">
        <v>0</v>
      </c>
      <c r="AS71" s="6" t="n">
        <v>0</v>
      </c>
      <c r="AT71" s="6" t="n">
        <f aca="false">+AN71+AQ71+AH71+AK71</f>
        <v>0</v>
      </c>
      <c r="AU71" s="6" t="n">
        <f aca="false">+AO71+AR71+AI71+AL71</f>
        <v>0</v>
      </c>
      <c r="AV71" s="6" t="n">
        <f aca="false">+AP71+AS71+AJ71+AM71</f>
        <v>0</v>
      </c>
      <c r="AW71" s="30" t="n">
        <v>3252000</v>
      </c>
      <c r="AX71" s="30" t="n">
        <v>3252000</v>
      </c>
      <c r="AY71" s="6" t="n">
        <v>0</v>
      </c>
      <c r="AZ71" s="6" t="n">
        <v>0</v>
      </c>
      <c r="BA71" s="6" t="n">
        <v>0</v>
      </c>
      <c r="BB71" s="6" t="n">
        <v>1084000</v>
      </c>
      <c r="BC71" s="6" t="n">
        <v>0</v>
      </c>
      <c r="BD71" s="6" t="n">
        <v>0</v>
      </c>
      <c r="BE71" s="6" t="n">
        <v>1500000</v>
      </c>
      <c r="BF71" s="6" t="n">
        <v>0</v>
      </c>
      <c r="BG71" s="6" t="n">
        <v>0</v>
      </c>
      <c r="BH71" s="6" t="n">
        <v>668000</v>
      </c>
      <c r="BI71" s="6" t="n">
        <f aca="false">+BC71+BF71+AW71+AZ71</f>
        <v>3252000</v>
      </c>
      <c r="BJ71" s="6" t="n">
        <f aca="false">+BD71+BG71+AX71+BA71</f>
        <v>3252000</v>
      </c>
      <c r="BK71" s="6" t="n">
        <f aca="false">+BE71+BH71+AY71+BB71</f>
        <v>3252000</v>
      </c>
      <c r="BL71" s="6" t="n">
        <v>0</v>
      </c>
      <c r="BM71" s="6" t="n">
        <v>0</v>
      </c>
      <c r="BN71" s="6" t="n">
        <v>0</v>
      </c>
      <c r="BO71" s="6" t="n">
        <v>0</v>
      </c>
      <c r="BP71" s="6" t="n">
        <v>0</v>
      </c>
      <c r="BQ71" s="6" t="n">
        <v>0</v>
      </c>
      <c r="BR71" s="6" t="n">
        <v>0</v>
      </c>
      <c r="BS71" s="6" t="n">
        <v>0</v>
      </c>
      <c r="BT71" s="6" t="n">
        <v>0</v>
      </c>
      <c r="BU71" s="6" t="n">
        <v>0</v>
      </c>
      <c r="BV71" s="6" t="n">
        <v>0</v>
      </c>
      <c r="BW71" s="6" t="n">
        <v>0</v>
      </c>
      <c r="BX71" s="6" t="n">
        <f aca="false">+BR71+BU71+BL71+BO71</f>
        <v>0</v>
      </c>
      <c r="BY71" s="6" t="n">
        <f aca="false">+BS71+BV71+BM71+BP71</f>
        <v>0</v>
      </c>
      <c r="BZ71" s="6" t="n">
        <f aca="false">+BT71+BW71+BN71+BQ71</f>
        <v>0</v>
      </c>
      <c r="CA71" s="6" t="n">
        <v>0</v>
      </c>
      <c r="CB71" s="6" t="n">
        <v>0</v>
      </c>
      <c r="CC71" s="6" t="n">
        <v>0</v>
      </c>
      <c r="CD71" s="6" t="n">
        <v>0</v>
      </c>
      <c r="CE71" s="6" t="n">
        <v>0</v>
      </c>
      <c r="CF71" s="6" t="n">
        <v>0</v>
      </c>
      <c r="CG71" s="6" t="n">
        <v>0</v>
      </c>
      <c r="CH71" s="6" t="n">
        <v>0</v>
      </c>
      <c r="CI71" s="6" t="n">
        <v>0</v>
      </c>
      <c r="CJ71" s="6" t="n">
        <v>0</v>
      </c>
      <c r="CK71" s="6" t="n">
        <v>0</v>
      </c>
      <c r="CL71" s="6" t="n">
        <v>0</v>
      </c>
      <c r="CM71" s="6" t="n">
        <f aca="false">+CG71+CJ71+CA71+CD71</f>
        <v>0</v>
      </c>
      <c r="CN71" s="6" t="n">
        <f aca="false">+CH71+CK71+CB71+CE71</f>
        <v>0</v>
      </c>
      <c r="CO71" s="6" t="n">
        <f aca="false">+CI71+CL71+CC71+CF71</f>
        <v>0</v>
      </c>
      <c r="CP71" s="6" t="n">
        <v>0</v>
      </c>
      <c r="CQ71" s="6" t="n">
        <v>0</v>
      </c>
      <c r="CR71" s="6" t="n">
        <v>0</v>
      </c>
      <c r="CS71" s="6" t="n">
        <v>0</v>
      </c>
      <c r="CT71" s="6" t="n">
        <v>0</v>
      </c>
      <c r="CU71" s="6" t="n">
        <v>0</v>
      </c>
      <c r="CV71" s="6" t="n">
        <v>0</v>
      </c>
      <c r="CW71" s="6" t="n">
        <v>0</v>
      </c>
      <c r="CX71" s="6" t="n">
        <v>0</v>
      </c>
      <c r="CY71" s="6" t="n">
        <v>0</v>
      </c>
      <c r="CZ71" s="6" t="n">
        <v>0</v>
      </c>
      <c r="DA71" s="6" t="n">
        <v>0</v>
      </c>
      <c r="DB71" s="6" t="n">
        <f aca="false">+CV71+CY71+CP71+CS71</f>
        <v>0</v>
      </c>
      <c r="DC71" s="6" t="n">
        <f aca="false">+CW71+CZ71+CQ71+CT71</f>
        <v>0</v>
      </c>
      <c r="DD71" s="6" t="n">
        <f aca="false">+CX71+DA71+CR71+CU71</f>
        <v>0</v>
      </c>
      <c r="DE71" s="6" t="n">
        <v>0</v>
      </c>
      <c r="DF71" s="6" t="n">
        <v>0</v>
      </c>
      <c r="DG71" s="6" t="n">
        <v>0</v>
      </c>
      <c r="DH71" s="6" t="n">
        <v>0</v>
      </c>
      <c r="DI71" s="6" t="n">
        <v>0</v>
      </c>
      <c r="DJ71" s="6" t="n">
        <v>0</v>
      </c>
      <c r="DK71" s="6" t="n">
        <v>0</v>
      </c>
      <c r="DL71" s="6" t="n">
        <v>0</v>
      </c>
      <c r="DM71" s="6" t="n">
        <v>0</v>
      </c>
      <c r="DN71" s="6" t="n">
        <v>0</v>
      </c>
      <c r="DO71" s="6" t="n">
        <v>0</v>
      </c>
      <c r="DP71" s="6" t="n">
        <v>0</v>
      </c>
      <c r="DQ71" s="6" t="n">
        <f aca="false">+DK71+DN71+DE71+DH71</f>
        <v>0</v>
      </c>
      <c r="DR71" s="6" t="n">
        <f aca="false">+DL71+DO71+DF71+DI71</f>
        <v>0</v>
      </c>
      <c r="DS71" s="6" t="n">
        <f aca="false">+DM71+DP71+DG71+DJ71</f>
        <v>0</v>
      </c>
      <c r="DT71" s="31" t="n">
        <f aca="false">+P71+AE71+AT71+BI71+BX71+CM71+DB71</f>
        <v>3252000</v>
      </c>
      <c r="DU71" s="31" t="n">
        <f aca="false">+Q71+AF71+AU71+BJ71+BY71+CN71+DC71</f>
        <v>3252000</v>
      </c>
      <c r="DV71" s="31" t="n">
        <f aca="false">+R71+AG71+AV71+BK71+BZ71+CO71+DD71</f>
        <v>3252000</v>
      </c>
      <c r="DW71" s="31" t="n">
        <f aca="false">+DU71-DV71</f>
        <v>0</v>
      </c>
    </row>
    <row r="72" customFormat="false" ht="13.8" hidden="false" customHeight="false" outlineLevel="0" collapsed="false">
      <c r="A72" s="27" t="n">
        <v>44851</v>
      </c>
      <c r="B72" s="28" t="s">
        <v>357</v>
      </c>
      <c r="C72" s="28" t="s">
        <v>358</v>
      </c>
      <c r="D72" s="29" t="s">
        <v>359</v>
      </c>
      <c r="E72" s="28" t="s">
        <v>360</v>
      </c>
      <c r="F72" s="27" t="s">
        <v>361</v>
      </c>
      <c r="G72" s="27" t="s">
        <v>13</v>
      </c>
      <c r="H72" s="30" t="n">
        <v>216206.46</v>
      </c>
      <c r="I72" s="30" t="n">
        <v>216206.46</v>
      </c>
      <c r="J72" s="6" t="n">
        <v>0</v>
      </c>
      <c r="K72" s="6" t="n">
        <v>0</v>
      </c>
      <c r="L72" s="6" t="n">
        <v>0</v>
      </c>
      <c r="M72" s="6" t="n">
        <v>0</v>
      </c>
      <c r="N72" s="6" t="n">
        <v>0</v>
      </c>
      <c r="O72" s="6" t="n">
        <v>0</v>
      </c>
      <c r="P72" s="6" t="n">
        <f aca="false">+J72+M72</f>
        <v>0</v>
      </c>
      <c r="Q72" s="6" t="n">
        <f aca="false">+K72+N72</f>
        <v>0</v>
      </c>
      <c r="R72" s="6" t="n">
        <f aca="false">+L72+O72</f>
        <v>0</v>
      </c>
      <c r="S72" s="6" t="n">
        <v>0</v>
      </c>
      <c r="T72" s="6" t="n">
        <v>0</v>
      </c>
      <c r="U72" s="6" t="n">
        <v>0</v>
      </c>
      <c r="V72" s="6" t="n">
        <v>0</v>
      </c>
      <c r="W72" s="6" t="n">
        <v>0</v>
      </c>
      <c r="X72" s="6" t="n">
        <v>0</v>
      </c>
      <c r="Y72" s="6" t="n">
        <v>0</v>
      </c>
      <c r="Z72" s="6" t="n">
        <v>0</v>
      </c>
      <c r="AA72" s="6" t="n">
        <v>0</v>
      </c>
      <c r="AB72" s="6" t="n">
        <v>0</v>
      </c>
      <c r="AC72" s="6" t="n">
        <v>0</v>
      </c>
      <c r="AD72" s="6" t="n">
        <v>0</v>
      </c>
      <c r="AE72" s="6" t="n">
        <f aca="false">+Y72+AB72+S72+V72</f>
        <v>0</v>
      </c>
      <c r="AF72" s="6" t="n">
        <f aca="false">+Z72+AC72+T72+W72</f>
        <v>0</v>
      </c>
      <c r="AG72" s="6" t="n">
        <f aca="false">+AA72+AD72+U72+X72</f>
        <v>0</v>
      </c>
      <c r="AH72" s="6" t="n">
        <v>0</v>
      </c>
      <c r="AI72" s="6" t="n">
        <v>0</v>
      </c>
      <c r="AJ72" s="6" t="n">
        <v>0</v>
      </c>
      <c r="AK72" s="6" t="n">
        <v>0</v>
      </c>
      <c r="AL72" s="6" t="n">
        <v>0</v>
      </c>
      <c r="AM72" s="6" t="n">
        <v>0</v>
      </c>
      <c r="AN72" s="6" t="n">
        <v>0</v>
      </c>
      <c r="AO72" s="6" t="n">
        <v>0</v>
      </c>
      <c r="AP72" s="6" t="n">
        <v>0</v>
      </c>
      <c r="AQ72" s="6" t="n">
        <v>0</v>
      </c>
      <c r="AR72" s="6" t="n">
        <v>0</v>
      </c>
      <c r="AS72" s="6" t="n">
        <v>0</v>
      </c>
      <c r="AT72" s="6" t="n">
        <f aca="false">+AN72+AQ72+AH72+AK72</f>
        <v>0</v>
      </c>
      <c r="AU72" s="6" t="n">
        <f aca="false">+AO72+AR72+AI72+AL72</f>
        <v>0</v>
      </c>
      <c r="AV72" s="6" t="n">
        <f aca="false">+AP72+AS72+AJ72+AM72</f>
        <v>0</v>
      </c>
      <c r="AW72" s="30" t="n">
        <v>216206.46</v>
      </c>
      <c r="AX72" s="30" t="n">
        <v>216206.46</v>
      </c>
      <c r="AY72" s="6" t="n">
        <v>0</v>
      </c>
      <c r="AZ72" s="6" t="n">
        <v>0</v>
      </c>
      <c r="BA72" s="6" t="n">
        <v>0</v>
      </c>
      <c r="BB72" s="6" t="n">
        <v>108000</v>
      </c>
      <c r="BC72" s="6" t="n">
        <v>0</v>
      </c>
      <c r="BD72" s="6" t="n">
        <v>0</v>
      </c>
      <c r="BE72" s="6" t="n">
        <v>108206.46</v>
      </c>
      <c r="BF72" s="6" t="n">
        <v>0</v>
      </c>
      <c r="BG72" s="6" t="n">
        <v>0</v>
      </c>
      <c r="BH72" s="6" t="n">
        <v>0</v>
      </c>
      <c r="BI72" s="6" t="n">
        <f aca="false">+BC72+BF72+AW72+AZ72</f>
        <v>216206.46</v>
      </c>
      <c r="BJ72" s="6" t="n">
        <f aca="false">+BD72+BG72+AX72+BA72</f>
        <v>216206.46</v>
      </c>
      <c r="BK72" s="6" t="n">
        <f aca="false">+BE72+BH72+AY72+BB72</f>
        <v>216206.46</v>
      </c>
      <c r="BL72" s="6" t="n">
        <v>0</v>
      </c>
      <c r="BM72" s="6" t="n">
        <v>0</v>
      </c>
      <c r="BN72" s="6" t="n">
        <v>-108000</v>
      </c>
      <c r="BO72" s="6" t="n">
        <v>0</v>
      </c>
      <c r="BP72" s="6" t="n">
        <v>0</v>
      </c>
      <c r="BQ72" s="6" t="n">
        <v>108000</v>
      </c>
      <c r="BR72" s="6" t="n">
        <v>0</v>
      </c>
      <c r="BS72" s="6" t="n">
        <v>0</v>
      </c>
      <c r="BT72" s="6" t="n">
        <v>0</v>
      </c>
      <c r="BU72" s="6" t="n">
        <v>0</v>
      </c>
      <c r="BV72" s="6" t="n">
        <v>0</v>
      </c>
      <c r="BW72" s="6" t="n">
        <v>0</v>
      </c>
      <c r="BX72" s="6" t="n">
        <f aca="false">+BR72+BU72+BL72+BO72</f>
        <v>0</v>
      </c>
      <c r="BY72" s="6" t="n">
        <f aca="false">+BS72+BV72+BM72+BP72</f>
        <v>0</v>
      </c>
      <c r="BZ72" s="6" t="n">
        <f aca="false">+BT72+BW72+BN72+BQ72</f>
        <v>0</v>
      </c>
      <c r="CA72" s="6" t="n">
        <v>0</v>
      </c>
      <c r="CB72" s="6" t="n">
        <v>0</v>
      </c>
      <c r="CC72" s="6" t="n">
        <v>0</v>
      </c>
      <c r="CD72" s="6" t="n">
        <v>0</v>
      </c>
      <c r="CE72" s="6" t="n">
        <v>0</v>
      </c>
      <c r="CF72" s="6" t="n">
        <v>0</v>
      </c>
      <c r="CG72" s="6" t="n">
        <v>0</v>
      </c>
      <c r="CH72" s="6" t="n">
        <v>0</v>
      </c>
      <c r="CI72" s="6" t="n">
        <v>0</v>
      </c>
      <c r="CJ72" s="6" t="n">
        <v>0</v>
      </c>
      <c r="CK72" s="6" t="n">
        <v>0</v>
      </c>
      <c r="CL72" s="6" t="n">
        <v>0</v>
      </c>
      <c r="CM72" s="6" t="n">
        <f aca="false">+CG72+CJ72+CA72+CD72</f>
        <v>0</v>
      </c>
      <c r="CN72" s="6" t="n">
        <f aca="false">+CH72+CK72+CB72+CE72</f>
        <v>0</v>
      </c>
      <c r="CO72" s="6" t="n">
        <f aca="false">+CI72+CL72+CC72+CF72</f>
        <v>0</v>
      </c>
      <c r="CP72" s="6" t="n">
        <v>0</v>
      </c>
      <c r="CQ72" s="6" t="n">
        <v>0</v>
      </c>
      <c r="CR72" s="6" t="n">
        <v>0</v>
      </c>
      <c r="CS72" s="6" t="n">
        <v>0</v>
      </c>
      <c r="CT72" s="6" t="n">
        <v>0</v>
      </c>
      <c r="CU72" s="6" t="n">
        <v>0</v>
      </c>
      <c r="CV72" s="6" t="n">
        <v>0</v>
      </c>
      <c r="CW72" s="6" t="n">
        <v>0</v>
      </c>
      <c r="CX72" s="6" t="n">
        <v>0</v>
      </c>
      <c r="CY72" s="6" t="n">
        <v>0</v>
      </c>
      <c r="CZ72" s="6" t="n">
        <v>0</v>
      </c>
      <c r="DA72" s="6" t="n">
        <v>0</v>
      </c>
      <c r="DB72" s="6" t="n">
        <f aca="false">+CV72+CY72+CP72+CS72</f>
        <v>0</v>
      </c>
      <c r="DC72" s="6" t="n">
        <f aca="false">+CW72+CZ72+CQ72+CT72</f>
        <v>0</v>
      </c>
      <c r="DD72" s="6" t="n">
        <f aca="false">+CX72+DA72+CR72+CU72</f>
        <v>0</v>
      </c>
      <c r="DE72" s="6" t="n">
        <v>0</v>
      </c>
      <c r="DF72" s="6" t="n">
        <v>0</v>
      </c>
      <c r="DG72" s="6" t="n">
        <v>0</v>
      </c>
      <c r="DH72" s="6" t="n">
        <v>0</v>
      </c>
      <c r="DI72" s="6" t="n">
        <v>0</v>
      </c>
      <c r="DJ72" s="6" t="n">
        <v>0</v>
      </c>
      <c r="DK72" s="6" t="n">
        <v>0</v>
      </c>
      <c r="DL72" s="6" t="n">
        <v>0</v>
      </c>
      <c r="DM72" s="6" t="n">
        <v>0</v>
      </c>
      <c r="DN72" s="6" t="n">
        <v>0</v>
      </c>
      <c r="DO72" s="6" t="n">
        <v>0</v>
      </c>
      <c r="DP72" s="6" t="n">
        <v>0</v>
      </c>
      <c r="DQ72" s="6" t="n">
        <f aca="false">+DK72+DN72+DE72+DH72</f>
        <v>0</v>
      </c>
      <c r="DR72" s="6" t="n">
        <f aca="false">+DL72+DO72+DF72+DI72</f>
        <v>0</v>
      </c>
      <c r="DS72" s="6" t="n">
        <f aca="false">+DM72+DP72+DG72+DJ72</f>
        <v>0</v>
      </c>
      <c r="DT72" s="31" t="n">
        <f aca="false">+P72+AE72+AT72+BI72+BX72+CM72+DB72</f>
        <v>216206.46</v>
      </c>
      <c r="DU72" s="31" t="n">
        <f aca="false">+Q72+AF72+AU72+BJ72+BY72+CN72+DC72</f>
        <v>216206.46</v>
      </c>
      <c r="DV72" s="31" t="n">
        <f aca="false">+R72+AG72+AV72+BK72+BZ72+CO72+DD72</f>
        <v>216206.46</v>
      </c>
      <c r="DW72" s="31" t="n">
        <f aca="false">+DU72-DV72</f>
        <v>0</v>
      </c>
    </row>
    <row r="73" customFormat="false" ht="13.8" hidden="false" customHeight="false" outlineLevel="0" collapsed="false">
      <c r="A73" s="27" t="n">
        <v>44851</v>
      </c>
      <c r="B73" s="28" t="s">
        <v>357</v>
      </c>
      <c r="C73" s="28" t="s">
        <v>358</v>
      </c>
      <c r="D73" s="29" t="s">
        <v>359</v>
      </c>
      <c r="E73" s="28" t="s">
        <v>360</v>
      </c>
      <c r="F73" s="27" t="s">
        <v>361</v>
      </c>
      <c r="G73" s="27" t="s">
        <v>13</v>
      </c>
      <c r="H73" s="30" t="n">
        <v>2327398.96</v>
      </c>
      <c r="I73" s="30" t="n">
        <v>2327398.96</v>
      </c>
      <c r="J73" s="6" t="n">
        <v>0</v>
      </c>
      <c r="K73" s="6" t="n">
        <v>0</v>
      </c>
      <c r="L73" s="6" t="n">
        <v>0</v>
      </c>
      <c r="M73" s="6" t="n">
        <v>0</v>
      </c>
      <c r="N73" s="6" t="n">
        <v>0</v>
      </c>
      <c r="O73" s="6" t="n">
        <v>0</v>
      </c>
      <c r="P73" s="6" t="n">
        <f aca="false">+J73+M73</f>
        <v>0</v>
      </c>
      <c r="Q73" s="6" t="n">
        <f aca="false">+K73+N73</f>
        <v>0</v>
      </c>
      <c r="R73" s="6" t="n">
        <f aca="false">+L73+O73</f>
        <v>0</v>
      </c>
      <c r="S73" s="6" t="n">
        <v>0</v>
      </c>
      <c r="T73" s="6" t="n">
        <v>0</v>
      </c>
      <c r="U73" s="6" t="n">
        <v>0</v>
      </c>
      <c r="V73" s="6" t="n">
        <v>0</v>
      </c>
      <c r="W73" s="6" t="n">
        <v>0</v>
      </c>
      <c r="X73" s="6" t="n">
        <v>0</v>
      </c>
      <c r="Y73" s="6" t="n">
        <v>0</v>
      </c>
      <c r="Z73" s="6" t="n">
        <v>0</v>
      </c>
      <c r="AA73" s="6" t="n">
        <v>0</v>
      </c>
      <c r="AB73" s="6" t="n">
        <v>0</v>
      </c>
      <c r="AC73" s="6" t="n">
        <v>0</v>
      </c>
      <c r="AD73" s="6" t="n">
        <v>0</v>
      </c>
      <c r="AE73" s="6" t="n">
        <f aca="false">+Y73+AB73+S73+V73</f>
        <v>0</v>
      </c>
      <c r="AF73" s="6" t="n">
        <f aca="false">+Z73+AC73+T73+W73</f>
        <v>0</v>
      </c>
      <c r="AG73" s="6" t="n">
        <f aca="false">+AA73+AD73+U73+X73</f>
        <v>0</v>
      </c>
      <c r="AH73" s="6" t="n">
        <v>0</v>
      </c>
      <c r="AI73" s="6" t="n">
        <v>0</v>
      </c>
      <c r="AJ73" s="6" t="n">
        <v>0</v>
      </c>
      <c r="AK73" s="6" t="n">
        <v>0</v>
      </c>
      <c r="AL73" s="6" t="n">
        <v>0</v>
      </c>
      <c r="AM73" s="6" t="n">
        <v>0</v>
      </c>
      <c r="AN73" s="6" t="n">
        <v>0</v>
      </c>
      <c r="AO73" s="6" t="n">
        <v>0</v>
      </c>
      <c r="AP73" s="6" t="n">
        <v>0</v>
      </c>
      <c r="AQ73" s="6" t="n">
        <v>0</v>
      </c>
      <c r="AR73" s="6" t="n">
        <v>0</v>
      </c>
      <c r="AS73" s="6" t="n">
        <v>0</v>
      </c>
      <c r="AT73" s="6" t="n">
        <f aca="false">+AN73+AQ73+AH73+AK73</f>
        <v>0</v>
      </c>
      <c r="AU73" s="6" t="n">
        <f aca="false">+AO73+AR73+AI73+AL73</f>
        <v>0</v>
      </c>
      <c r="AV73" s="6" t="n">
        <f aca="false">+AP73+AS73+AJ73+AM73</f>
        <v>0</v>
      </c>
      <c r="AW73" s="30" t="n">
        <v>2327398.96</v>
      </c>
      <c r="AX73" s="30" t="n">
        <v>2327398.96</v>
      </c>
      <c r="AY73" s="6" t="n">
        <v>0</v>
      </c>
      <c r="AZ73" s="6" t="n">
        <v>0</v>
      </c>
      <c r="BA73" s="6" t="n">
        <v>0</v>
      </c>
      <c r="BB73" s="6" t="n">
        <v>1000000</v>
      </c>
      <c r="BC73" s="6" t="n">
        <v>0</v>
      </c>
      <c r="BD73" s="6" t="n">
        <v>0</v>
      </c>
      <c r="BE73" s="6" t="n">
        <v>800000</v>
      </c>
      <c r="BF73" s="6" t="n">
        <v>0</v>
      </c>
      <c r="BG73" s="6" t="n">
        <v>0</v>
      </c>
      <c r="BH73" s="6" t="n">
        <v>263699.48</v>
      </c>
      <c r="BI73" s="6" t="n">
        <f aca="false">+BC73+BF73+AW73+AZ73</f>
        <v>2327398.96</v>
      </c>
      <c r="BJ73" s="6" t="n">
        <f aca="false">+BD73+BG73+AX73+BA73</f>
        <v>2327398.96</v>
      </c>
      <c r="BK73" s="6" t="n">
        <f aca="false">+BE73+BH73+AY73+BB73</f>
        <v>2063699.48</v>
      </c>
      <c r="BL73" s="6" t="n">
        <v>0</v>
      </c>
      <c r="BM73" s="6" t="n">
        <v>0</v>
      </c>
      <c r="BN73" s="6" t="n">
        <v>263699.48</v>
      </c>
      <c r="BO73" s="6" t="n">
        <v>0</v>
      </c>
      <c r="BP73" s="6" t="n">
        <v>0</v>
      </c>
      <c r="BQ73" s="6" t="n">
        <v>0</v>
      </c>
      <c r="BR73" s="6" t="n">
        <v>0</v>
      </c>
      <c r="BS73" s="6" t="n">
        <v>0</v>
      </c>
      <c r="BT73" s="6" t="n">
        <v>0</v>
      </c>
      <c r="BU73" s="6" t="n">
        <v>0</v>
      </c>
      <c r="BV73" s="6" t="n">
        <v>0</v>
      </c>
      <c r="BW73" s="6" t="n">
        <v>0</v>
      </c>
      <c r="BX73" s="6" t="n">
        <f aca="false">+BR73+BU73+BL73+BO73</f>
        <v>0</v>
      </c>
      <c r="BY73" s="6" t="n">
        <f aca="false">+BS73+BV73+BM73+BP73</f>
        <v>0</v>
      </c>
      <c r="BZ73" s="6" t="n">
        <f aca="false">+BT73+BW73+BN73+BQ73</f>
        <v>263699.48</v>
      </c>
      <c r="CA73" s="6" t="n">
        <v>0</v>
      </c>
      <c r="CB73" s="6" t="n">
        <v>0</v>
      </c>
      <c r="CC73" s="6" t="n">
        <v>0</v>
      </c>
      <c r="CD73" s="6" t="n">
        <v>0</v>
      </c>
      <c r="CE73" s="6" t="n">
        <v>0</v>
      </c>
      <c r="CF73" s="6" t="n">
        <v>0</v>
      </c>
      <c r="CG73" s="6" t="n">
        <v>0</v>
      </c>
      <c r="CH73" s="6" t="n">
        <v>0</v>
      </c>
      <c r="CI73" s="6" t="n">
        <v>0</v>
      </c>
      <c r="CJ73" s="6" t="n">
        <v>0</v>
      </c>
      <c r="CK73" s="6" t="n">
        <v>0</v>
      </c>
      <c r="CL73" s="6" t="n">
        <v>0</v>
      </c>
      <c r="CM73" s="6" t="n">
        <f aca="false">+CG73+CJ73+CA73+CD73</f>
        <v>0</v>
      </c>
      <c r="CN73" s="6" t="n">
        <f aca="false">+CH73+CK73+CB73+CE73</f>
        <v>0</v>
      </c>
      <c r="CO73" s="6" t="n">
        <f aca="false">+CI73+CL73+CC73+CF73</f>
        <v>0</v>
      </c>
      <c r="CP73" s="6" t="n">
        <v>0</v>
      </c>
      <c r="CQ73" s="6" t="n">
        <v>0</v>
      </c>
      <c r="CR73" s="6" t="n">
        <v>0</v>
      </c>
      <c r="CS73" s="6" t="n">
        <v>0</v>
      </c>
      <c r="CT73" s="6" t="n">
        <v>0</v>
      </c>
      <c r="CU73" s="6" t="n">
        <v>0</v>
      </c>
      <c r="CV73" s="6" t="n">
        <v>0</v>
      </c>
      <c r="CW73" s="6" t="n">
        <v>0</v>
      </c>
      <c r="CX73" s="6" t="n">
        <v>0</v>
      </c>
      <c r="CY73" s="6" t="n">
        <v>0</v>
      </c>
      <c r="CZ73" s="6" t="n">
        <v>0</v>
      </c>
      <c r="DA73" s="6" t="n">
        <v>0</v>
      </c>
      <c r="DB73" s="6" t="n">
        <f aca="false">+CV73+CY73+CP73+CS73</f>
        <v>0</v>
      </c>
      <c r="DC73" s="6" t="n">
        <f aca="false">+CW73+CZ73+CQ73+CT73</f>
        <v>0</v>
      </c>
      <c r="DD73" s="6" t="n">
        <f aca="false">+CX73+DA73+CR73+CU73</f>
        <v>0</v>
      </c>
      <c r="DE73" s="6" t="n">
        <v>0</v>
      </c>
      <c r="DF73" s="6" t="n">
        <v>0</v>
      </c>
      <c r="DG73" s="6" t="n">
        <v>0</v>
      </c>
      <c r="DH73" s="6" t="n">
        <v>0</v>
      </c>
      <c r="DI73" s="6" t="n">
        <v>0</v>
      </c>
      <c r="DJ73" s="6" t="n">
        <v>0</v>
      </c>
      <c r="DK73" s="6" t="n">
        <v>0</v>
      </c>
      <c r="DL73" s="6" t="n">
        <v>0</v>
      </c>
      <c r="DM73" s="6" t="n">
        <v>0</v>
      </c>
      <c r="DN73" s="6" t="n">
        <v>0</v>
      </c>
      <c r="DO73" s="6" t="n">
        <v>0</v>
      </c>
      <c r="DP73" s="6" t="n">
        <v>0</v>
      </c>
      <c r="DQ73" s="6" t="n">
        <f aca="false">+DK73+DN73+DE73+DH73</f>
        <v>0</v>
      </c>
      <c r="DR73" s="6" t="n">
        <f aca="false">+DL73+DO73+DF73+DI73</f>
        <v>0</v>
      </c>
      <c r="DS73" s="6" t="n">
        <f aca="false">+DM73+DP73+DG73+DJ73</f>
        <v>0</v>
      </c>
      <c r="DT73" s="31" t="n">
        <f aca="false">+P73+AE73+AT73+BI73+BX73+CM73+DB73</f>
        <v>2327398.96</v>
      </c>
      <c r="DU73" s="31" t="n">
        <f aca="false">+Q73+AF73+AU73+BJ73+BY73+CN73+DC73</f>
        <v>2327398.96</v>
      </c>
      <c r="DV73" s="31" t="n">
        <f aca="false">+R73+AG73+AV73+BK73+BZ73+CO73+DD73</f>
        <v>2327398.96</v>
      </c>
      <c r="DW73" s="31" t="n">
        <f aca="false">+DU73-DV73</f>
        <v>0</v>
      </c>
    </row>
    <row r="74" customFormat="false" ht="13.8" hidden="false" customHeight="false" outlineLevel="0" collapsed="false">
      <c r="A74" s="27" t="n">
        <v>44867</v>
      </c>
      <c r="B74" s="28" t="s">
        <v>362</v>
      </c>
      <c r="C74" s="28" t="s">
        <v>363</v>
      </c>
      <c r="D74" s="29" t="s">
        <v>364</v>
      </c>
      <c r="E74" s="28" t="s">
        <v>365</v>
      </c>
      <c r="F74" s="27" t="s">
        <v>366</v>
      </c>
      <c r="G74" s="27" t="s">
        <v>13</v>
      </c>
      <c r="H74" s="30" t="n">
        <v>361000</v>
      </c>
      <c r="I74" s="30" t="n">
        <v>361000</v>
      </c>
      <c r="J74" s="6" t="n">
        <v>0</v>
      </c>
      <c r="K74" s="6" t="n">
        <v>0</v>
      </c>
      <c r="L74" s="6" t="n">
        <v>0</v>
      </c>
      <c r="M74" s="6" t="n">
        <v>0</v>
      </c>
      <c r="N74" s="6" t="n">
        <v>0</v>
      </c>
      <c r="O74" s="6" t="n">
        <v>0</v>
      </c>
      <c r="P74" s="6" t="n">
        <f aca="false">+J74+M74</f>
        <v>0</v>
      </c>
      <c r="Q74" s="6" t="n">
        <f aca="false">+K74+N74</f>
        <v>0</v>
      </c>
      <c r="R74" s="6" t="n">
        <f aca="false">+L74+O74</f>
        <v>0</v>
      </c>
      <c r="S74" s="6" t="n">
        <v>0</v>
      </c>
      <c r="T74" s="6" t="n">
        <v>0</v>
      </c>
      <c r="U74" s="6" t="n">
        <v>0</v>
      </c>
      <c r="V74" s="6" t="n">
        <v>0</v>
      </c>
      <c r="W74" s="6" t="n">
        <v>0</v>
      </c>
      <c r="X74" s="6" t="n">
        <v>0</v>
      </c>
      <c r="Y74" s="6" t="n">
        <v>0</v>
      </c>
      <c r="Z74" s="6" t="n">
        <v>0</v>
      </c>
      <c r="AA74" s="6" t="n">
        <v>0</v>
      </c>
      <c r="AB74" s="6" t="n">
        <v>0</v>
      </c>
      <c r="AC74" s="6" t="n">
        <v>0</v>
      </c>
      <c r="AD74" s="6" t="n">
        <v>0</v>
      </c>
      <c r="AE74" s="6" t="n">
        <f aca="false">+Y74+AB74+S74+V74</f>
        <v>0</v>
      </c>
      <c r="AF74" s="6" t="n">
        <f aca="false">+Z74+AC74+T74+W74</f>
        <v>0</v>
      </c>
      <c r="AG74" s="6" t="n">
        <f aca="false">+AA74+AD74+U74+X74</f>
        <v>0</v>
      </c>
      <c r="AH74" s="6" t="n">
        <v>0</v>
      </c>
      <c r="AI74" s="6" t="n">
        <v>0</v>
      </c>
      <c r="AJ74" s="6" t="n">
        <v>0</v>
      </c>
      <c r="AK74" s="6" t="n">
        <v>0</v>
      </c>
      <c r="AL74" s="6" t="n">
        <v>0</v>
      </c>
      <c r="AM74" s="6" t="n">
        <v>0</v>
      </c>
      <c r="AN74" s="6" t="n">
        <v>0</v>
      </c>
      <c r="AO74" s="6" t="n">
        <v>0</v>
      </c>
      <c r="AP74" s="6" t="n">
        <v>0</v>
      </c>
      <c r="AQ74" s="6" t="n">
        <v>0</v>
      </c>
      <c r="AR74" s="6" t="n">
        <v>0</v>
      </c>
      <c r="AS74" s="6" t="n">
        <v>0</v>
      </c>
      <c r="AT74" s="6" t="n">
        <f aca="false">+AN74+AQ74+AH74+AK74</f>
        <v>0</v>
      </c>
      <c r="AU74" s="6" t="n">
        <f aca="false">+AO74+AR74+AI74+AL74</f>
        <v>0</v>
      </c>
      <c r="AV74" s="6" t="n">
        <f aca="false">+AP74+AS74+AJ74+AM74</f>
        <v>0</v>
      </c>
      <c r="AW74" s="30" t="n">
        <v>361000</v>
      </c>
      <c r="AX74" s="30" t="n">
        <v>361000</v>
      </c>
      <c r="AY74" s="6" t="n">
        <v>0</v>
      </c>
      <c r="AZ74" s="6" t="n">
        <v>0</v>
      </c>
      <c r="BA74" s="6" t="n">
        <v>0</v>
      </c>
      <c r="BB74" s="6" t="n">
        <v>361000</v>
      </c>
      <c r="BC74" s="6" t="n">
        <v>0</v>
      </c>
      <c r="BD74" s="6" t="n">
        <v>0</v>
      </c>
      <c r="BE74" s="6" t="n">
        <v>0</v>
      </c>
      <c r="BF74" s="6" t="n">
        <v>0</v>
      </c>
      <c r="BG74" s="6" t="n">
        <v>0</v>
      </c>
      <c r="BH74" s="6" t="n">
        <v>0</v>
      </c>
      <c r="BI74" s="6" t="n">
        <f aca="false">+BC74+BF74+AW74+AZ74</f>
        <v>361000</v>
      </c>
      <c r="BJ74" s="6" t="n">
        <f aca="false">+BD74+BG74+AX74+BA74</f>
        <v>361000</v>
      </c>
      <c r="BK74" s="6" t="n">
        <f aca="false">+BE74+BH74+AY74+BB74</f>
        <v>361000</v>
      </c>
      <c r="BL74" s="6" t="n">
        <v>0</v>
      </c>
      <c r="BM74" s="6" t="n">
        <v>0</v>
      </c>
      <c r="BN74" s="6" t="n">
        <v>0</v>
      </c>
      <c r="BO74" s="6" t="n">
        <v>0</v>
      </c>
      <c r="BP74" s="6" t="n">
        <v>0</v>
      </c>
      <c r="BQ74" s="6" t="n">
        <v>0</v>
      </c>
      <c r="BR74" s="6" t="n">
        <v>0</v>
      </c>
      <c r="BS74" s="6" t="n">
        <v>0</v>
      </c>
      <c r="BT74" s="6" t="n">
        <v>0</v>
      </c>
      <c r="BU74" s="6" t="n">
        <v>0</v>
      </c>
      <c r="BV74" s="6" t="n">
        <v>0</v>
      </c>
      <c r="BW74" s="6" t="n">
        <v>0</v>
      </c>
      <c r="BX74" s="6" t="n">
        <f aca="false">+BR74+BU74+BL74+BO74</f>
        <v>0</v>
      </c>
      <c r="BY74" s="6" t="n">
        <f aca="false">+BS74+BV74+BM74+BP74</f>
        <v>0</v>
      </c>
      <c r="BZ74" s="6" t="n">
        <f aca="false">+BT74+BW74+BN74+BQ74</f>
        <v>0</v>
      </c>
      <c r="CA74" s="6" t="n">
        <v>0</v>
      </c>
      <c r="CB74" s="6" t="n">
        <v>0</v>
      </c>
      <c r="CC74" s="6" t="n">
        <v>0</v>
      </c>
      <c r="CD74" s="6" t="n">
        <v>0</v>
      </c>
      <c r="CE74" s="6" t="n">
        <v>0</v>
      </c>
      <c r="CF74" s="6" t="n">
        <v>0</v>
      </c>
      <c r="CG74" s="6" t="n">
        <v>0</v>
      </c>
      <c r="CH74" s="6" t="n">
        <v>0</v>
      </c>
      <c r="CI74" s="6" t="n">
        <v>0</v>
      </c>
      <c r="CJ74" s="6" t="n">
        <v>0</v>
      </c>
      <c r="CK74" s="6" t="n">
        <v>0</v>
      </c>
      <c r="CL74" s="6" t="n">
        <v>0</v>
      </c>
      <c r="CM74" s="6" t="n">
        <f aca="false">+CG74+CJ74+CA74+CD74</f>
        <v>0</v>
      </c>
      <c r="CN74" s="6" t="n">
        <f aca="false">+CH74+CK74+CB74+CE74</f>
        <v>0</v>
      </c>
      <c r="CO74" s="6" t="n">
        <f aca="false">+CI74+CL74+CC74+CF74</f>
        <v>0</v>
      </c>
      <c r="CP74" s="6" t="n">
        <v>0</v>
      </c>
      <c r="CQ74" s="6" t="n">
        <v>0</v>
      </c>
      <c r="CR74" s="6" t="n">
        <v>0</v>
      </c>
      <c r="CS74" s="6" t="n">
        <v>0</v>
      </c>
      <c r="CT74" s="6" t="n">
        <v>0</v>
      </c>
      <c r="CU74" s="6" t="n">
        <v>0</v>
      </c>
      <c r="CV74" s="6" t="n">
        <v>0</v>
      </c>
      <c r="CW74" s="6" t="n">
        <v>0</v>
      </c>
      <c r="CX74" s="6" t="n">
        <v>0</v>
      </c>
      <c r="CY74" s="6" t="n">
        <v>0</v>
      </c>
      <c r="CZ74" s="6" t="n">
        <v>0</v>
      </c>
      <c r="DA74" s="6" t="n">
        <v>0</v>
      </c>
      <c r="DB74" s="6" t="n">
        <f aca="false">+CV74+CY74+CP74+CS74</f>
        <v>0</v>
      </c>
      <c r="DC74" s="6" t="n">
        <f aca="false">+CW74+CZ74+CQ74+CT74</f>
        <v>0</v>
      </c>
      <c r="DD74" s="6" t="n">
        <f aca="false">+CX74+DA74+CR74+CU74</f>
        <v>0</v>
      </c>
      <c r="DE74" s="6" t="n">
        <v>0</v>
      </c>
      <c r="DF74" s="6" t="n">
        <v>0</v>
      </c>
      <c r="DG74" s="6" t="n">
        <v>0</v>
      </c>
      <c r="DH74" s="6" t="n">
        <v>0</v>
      </c>
      <c r="DI74" s="6" t="n">
        <v>0</v>
      </c>
      <c r="DJ74" s="6" t="n">
        <v>0</v>
      </c>
      <c r="DK74" s="6" t="n">
        <v>0</v>
      </c>
      <c r="DL74" s="6" t="n">
        <v>0</v>
      </c>
      <c r="DM74" s="6" t="n">
        <v>0</v>
      </c>
      <c r="DN74" s="6" t="n">
        <v>0</v>
      </c>
      <c r="DO74" s="6" t="n">
        <v>0</v>
      </c>
      <c r="DP74" s="6" t="n">
        <v>0</v>
      </c>
      <c r="DQ74" s="6" t="n">
        <f aca="false">+DK74+DN74+DE74+DH74</f>
        <v>0</v>
      </c>
      <c r="DR74" s="6" t="n">
        <f aca="false">+DL74+DO74+DF74+DI74</f>
        <v>0</v>
      </c>
      <c r="DS74" s="6" t="n">
        <f aca="false">+DM74+DP74+DG74+DJ74</f>
        <v>0</v>
      </c>
      <c r="DT74" s="31" t="n">
        <f aca="false">+P74+AE74+AT74+BI74+BX74+CM74+DB74</f>
        <v>361000</v>
      </c>
      <c r="DU74" s="31" t="n">
        <f aca="false">+Q74+AF74+AU74+BJ74+BY74+CN74+DC74</f>
        <v>361000</v>
      </c>
      <c r="DV74" s="31" t="n">
        <f aca="false">+R74+AG74+AV74+BK74+BZ74+CO74+DD74</f>
        <v>361000</v>
      </c>
      <c r="DW74" s="31" t="n">
        <f aca="false">+DU74-DV74</f>
        <v>0</v>
      </c>
    </row>
    <row r="75" customFormat="false" ht="13.8" hidden="false" customHeight="false" outlineLevel="0" collapsed="false">
      <c r="A75" s="27" t="n">
        <v>45077</v>
      </c>
      <c r="B75" s="28" t="s">
        <v>367</v>
      </c>
      <c r="C75" s="28" t="s">
        <v>368</v>
      </c>
      <c r="D75" s="29" t="s">
        <v>369</v>
      </c>
      <c r="E75" s="28" t="s">
        <v>370</v>
      </c>
      <c r="F75" s="27" t="s">
        <v>371</v>
      </c>
      <c r="G75" s="27" t="s">
        <v>15</v>
      </c>
      <c r="H75" s="30" t="n">
        <v>1644300</v>
      </c>
      <c r="I75" s="30" t="n">
        <v>1644300</v>
      </c>
      <c r="J75" s="6" t="n">
        <v>0</v>
      </c>
      <c r="K75" s="6" t="n">
        <v>0</v>
      </c>
      <c r="L75" s="6" t="n">
        <v>0</v>
      </c>
      <c r="M75" s="6" t="n">
        <v>0</v>
      </c>
      <c r="N75" s="6" t="n">
        <v>0</v>
      </c>
      <c r="O75" s="6" t="n">
        <v>0</v>
      </c>
      <c r="P75" s="6" t="n">
        <f aca="false">+J75+M75</f>
        <v>0</v>
      </c>
      <c r="Q75" s="6" t="n">
        <f aca="false">+K75+N75</f>
        <v>0</v>
      </c>
      <c r="R75" s="6" t="n">
        <f aca="false">+L75+O75</f>
        <v>0</v>
      </c>
      <c r="S75" s="6" t="n">
        <v>0</v>
      </c>
      <c r="T75" s="6" t="n">
        <v>0</v>
      </c>
      <c r="U75" s="6" t="n">
        <v>0</v>
      </c>
      <c r="V75" s="6" t="n">
        <v>0</v>
      </c>
      <c r="W75" s="6" t="n">
        <v>0</v>
      </c>
      <c r="X75" s="6" t="n">
        <v>0</v>
      </c>
      <c r="Y75" s="6" t="n">
        <v>0</v>
      </c>
      <c r="Z75" s="6" t="n">
        <v>0</v>
      </c>
      <c r="AA75" s="6" t="n">
        <v>0</v>
      </c>
      <c r="AB75" s="6" t="n">
        <v>0</v>
      </c>
      <c r="AC75" s="6" t="n">
        <v>0</v>
      </c>
      <c r="AD75" s="6" t="n">
        <v>0</v>
      </c>
      <c r="AE75" s="6" t="n">
        <f aca="false">+Y75+AB75+S75+V75</f>
        <v>0</v>
      </c>
      <c r="AF75" s="6" t="n">
        <f aca="false">+Z75+AC75+T75+W75</f>
        <v>0</v>
      </c>
      <c r="AG75" s="6" t="n">
        <f aca="false">+AA75+AD75+U75+X75</f>
        <v>0</v>
      </c>
      <c r="AH75" s="6" t="n">
        <v>0</v>
      </c>
      <c r="AI75" s="6" t="n">
        <v>0</v>
      </c>
      <c r="AJ75" s="6" t="n">
        <v>0</v>
      </c>
      <c r="AK75" s="6" t="n">
        <v>0</v>
      </c>
      <c r="AL75" s="6" t="n">
        <v>0</v>
      </c>
      <c r="AM75" s="6" t="n">
        <v>0</v>
      </c>
      <c r="AN75" s="6" t="n">
        <v>0</v>
      </c>
      <c r="AO75" s="6" t="n">
        <v>0</v>
      </c>
      <c r="AP75" s="6" t="n">
        <v>0</v>
      </c>
      <c r="AQ75" s="6" t="n">
        <v>0</v>
      </c>
      <c r="AR75" s="6" t="n">
        <v>0</v>
      </c>
      <c r="AS75" s="6" t="n">
        <v>0</v>
      </c>
      <c r="AT75" s="6" t="n">
        <f aca="false">+AN75+AQ75+AH75+AK75</f>
        <v>0</v>
      </c>
      <c r="AU75" s="6" t="n">
        <f aca="false">+AO75+AR75+AI75+AL75</f>
        <v>0</v>
      </c>
      <c r="AV75" s="6" t="n">
        <f aca="false">+AP75+AS75+AJ75+AM75</f>
        <v>0</v>
      </c>
      <c r="AW75" s="6" t="n">
        <v>0</v>
      </c>
      <c r="AX75" s="6" t="n">
        <v>0</v>
      </c>
      <c r="AY75" s="6" t="n">
        <v>0</v>
      </c>
      <c r="AZ75" s="6" t="n">
        <v>0</v>
      </c>
      <c r="BA75" s="6" t="n">
        <v>0</v>
      </c>
      <c r="BB75" s="6" t="n">
        <v>0</v>
      </c>
      <c r="BC75" s="30" t="n">
        <v>1644300</v>
      </c>
      <c r="BD75" s="30" t="n">
        <v>1644300</v>
      </c>
      <c r="BE75" s="6" t="n">
        <v>0</v>
      </c>
      <c r="BF75" s="6" t="n">
        <v>0</v>
      </c>
      <c r="BG75" s="6" t="n">
        <v>0</v>
      </c>
      <c r="BH75" s="6" t="n">
        <v>325000</v>
      </c>
      <c r="BI75" s="6" t="n">
        <f aca="false">+BC75+BF75+AW75+AZ75</f>
        <v>1644300</v>
      </c>
      <c r="BJ75" s="6" t="n">
        <f aca="false">+BD75+BG75+AX75+BA75</f>
        <v>1644300</v>
      </c>
      <c r="BK75" s="6" t="n">
        <f aca="false">+BE75+BH75+AY75+BB75</f>
        <v>325000</v>
      </c>
      <c r="BL75" s="6" t="n">
        <v>0</v>
      </c>
      <c r="BM75" s="6" t="n">
        <v>0</v>
      </c>
      <c r="BN75" s="6" t="n">
        <v>175000</v>
      </c>
      <c r="BO75" s="6" t="n">
        <v>0</v>
      </c>
      <c r="BP75" s="6" t="n">
        <v>0</v>
      </c>
      <c r="BQ75" s="6" t="n">
        <v>500000</v>
      </c>
      <c r="BR75" s="6" t="n">
        <v>0</v>
      </c>
      <c r="BS75" s="6" t="n">
        <v>0</v>
      </c>
      <c r="BT75" s="6" t="n">
        <v>120000</v>
      </c>
      <c r="BU75" s="6" t="n">
        <v>0</v>
      </c>
      <c r="BV75" s="6" t="n">
        <v>0</v>
      </c>
      <c r="BW75" s="6" t="n">
        <v>250000</v>
      </c>
      <c r="BX75" s="6" t="n">
        <f aca="false">+BR75+BU75+BL75+BO75</f>
        <v>0</v>
      </c>
      <c r="BY75" s="6" t="n">
        <f aca="false">+BS75+BV75+BM75+BP75</f>
        <v>0</v>
      </c>
      <c r="BZ75" s="6" t="n">
        <f aca="false">+BT75+BW75+BN75+BQ75</f>
        <v>1045000</v>
      </c>
      <c r="CA75" s="6" t="n">
        <v>0</v>
      </c>
      <c r="CB75" s="6" t="n">
        <v>0</v>
      </c>
      <c r="CC75" s="6" t="n">
        <v>274300</v>
      </c>
      <c r="CD75" s="6" t="n">
        <v>0</v>
      </c>
      <c r="CE75" s="6" t="n">
        <v>0</v>
      </c>
      <c r="CF75" s="6" t="n">
        <v>0</v>
      </c>
      <c r="CG75" s="6" t="n">
        <v>0</v>
      </c>
      <c r="CH75" s="6" t="n">
        <v>0</v>
      </c>
      <c r="CI75" s="6" t="n">
        <v>0</v>
      </c>
      <c r="CJ75" s="6" t="n">
        <v>0</v>
      </c>
      <c r="CK75" s="6" t="n">
        <v>0</v>
      </c>
      <c r="CL75" s="6" t="n">
        <v>0</v>
      </c>
      <c r="CM75" s="6" t="n">
        <f aca="false">+CG75+CJ75+CA75+CD75</f>
        <v>0</v>
      </c>
      <c r="CN75" s="6" t="n">
        <f aca="false">+CH75+CK75+CB75+CE75</f>
        <v>0</v>
      </c>
      <c r="CO75" s="6" t="n">
        <f aca="false">+CI75+CL75+CC75+CF75</f>
        <v>274300</v>
      </c>
      <c r="CP75" s="6" t="n">
        <v>0</v>
      </c>
      <c r="CQ75" s="6" t="n">
        <v>0</v>
      </c>
      <c r="CR75" s="6" t="n">
        <v>0</v>
      </c>
      <c r="CS75" s="6" t="n">
        <v>0</v>
      </c>
      <c r="CT75" s="6" t="n">
        <v>0</v>
      </c>
      <c r="CU75" s="6" t="n">
        <v>0</v>
      </c>
      <c r="CV75" s="6" t="n">
        <v>0</v>
      </c>
      <c r="CW75" s="6" t="n">
        <v>0</v>
      </c>
      <c r="CX75" s="6" t="n">
        <v>0</v>
      </c>
      <c r="CY75" s="6" t="n">
        <v>0</v>
      </c>
      <c r="CZ75" s="6" t="n">
        <v>0</v>
      </c>
      <c r="DA75" s="6" t="n">
        <v>0</v>
      </c>
      <c r="DB75" s="6" t="n">
        <f aca="false">+CV75+CY75+CP75+CS75</f>
        <v>0</v>
      </c>
      <c r="DC75" s="6" t="n">
        <f aca="false">+CW75+CZ75+CQ75+CT75</f>
        <v>0</v>
      </c>
      <c r="DD75" s="6" t="n">
        <f aca="false">+CX75+DA75+CR75+CU75</f>
        <v>0</v>
      </c>
      <c r="DE75" s="6" t="n">
        <v>0</v>
      </c>
      <c r="DF75" s="6" t="n">
        <v>0</v>
      </c>
      <c r="DG75" s="6" t="n">
        <v>0</v>
      </c>
      <c r="DH75" s="6" t="n">
        <v>0</v>
      </c>
      <c r="DI75" s="6" t="n">
        <v>0</v>
      </c>
      <c r="DJ75" s="6" t="n">
        <v>0</v>
      </c>
      <c r="DK75" s="6" t="n">
        <v>0</v>
      </c>
      <c r="DL75" s="6" t="n">
        <v>0</v>
      </c>
      <c r="DM75" s="6" t="n">
        <v>0</v>
      </c>
      <c r="DN75" s="6" t="n">
        <v>0</v>
      </c>
      <c r="DO75" s="6" t="n">
        <v>0</v>
      </c>
      <c r="DP75" s="6" t="n">
        <v>0</v>
      </c>
      <c r="DQ75" s="6" t="n">
        <f aca="false">+DK75+DN75+DE75+DH75</f>
        <v>0</v>
      </c>
      <c r="DR75" s="6" t="n">
        <f aca="false">+DL75+DO75+DF75+DI75</f>
        <v>0</v>
      </c>
      <c r="DS75" s="6" t="n">
        <f aca="false">+DM75+DP75+DG75+DJ75</f>
        <v>0</v>
      </c>
      <c r="DT75" s="31" t="n">
        <f aca="false">+P75+AE75+AT75+BI75+BX75+CM75+DB75</f>
        <v>1644300</v>
      </c>
      <c r="DU75" s="31" t="n">
        <f aca="false">+Q75+AF75+AU75+BJ75+BY75+CN75+DC75</f>
        <v>1644300</v>
      </c>
      <c r="DV75" s="31" t="n">
        <f aca="false">+R75+AG75+AV75+BK75+BZ75+CO75+DD75</f>
        <v>1644300</v>
      </c>
      <c r="DW75" s="31" t="n">
        <f aca="false">+DU75-DV75</f>
        <v>0</v>
      </c>
    </row>
    <row r="76" customFormat="false" ht="23.85" hidden="false" customHeight="false" outlineLevel="0" collapsed="false">
      <c r="A76" s="27" t="n">
        <v>44971</v>
      </c>
      <c r="B76" s="28" t="s">
        <v>372</v>
      </c>
      <c r="C76" s="28" t="s">
        <v>373</v>
      </c>
      <c r="D76" s="29" t="s">
        <v>374</v>
      </c>
      <c r="E76" s="34" t="s">
        <v>375</v>
      </c>
      <c r="F76" s="27" t="s">
        <v>376</v>
      </c>
      <c r="G76" s="27" t="s">
        <v>14</v>
      </c>
      <c r="H76" s="30" t="n">
        <v>250776.75</v>
      </c>
      <c r="I76" s="30" t="n">
        <v>250776.75</v>
      </c>
      <c r="J76" s="6" t="n">
        <v>0</v>
      </c>
      <c r="K76" s="6" t="n">
        <v>0</v>
      </c>
      <c r="L76" s="6" t="n">
        <v>0</v>
      </c>
      <c r="M76" s="6" t="n">
        <v>0</v>
      </c>
      <c r="N76" s="6" t="n">
        <v>0</v>
      </c>
      <c r="O76" s="6" t="n">
        <v>0</v>
      </c>
      <c r="P76" s="6" t="n">
        <f aca="false">+J76+M76</f>
        <v>0</v>
      </c>
      <c r="Q76" s="6" t="n">
        <f aca="false">+K76+N76</f>
        <v>0</v>
      </c>
      <c r="R76" s="6" t="n">
        <f aca="false">+L76+O76</f>
        <v>0</v>
      </c>
      <c r="S76" s="6" t="n">
        <v>0</v>
      </c>
      <c r="T76" s="6" t="n">
        <v>0</v>
      </c>
      <c r="U76" s="6" t="n">
        <v>0</v>
      </c>
      <c r="V76" s="6" t="n">
        <v>0</v>
      </c>
      <c r="W76" s="6" t="n">
        <v>0</v>
      </c>
      <c r="X76" s="6" t="n">
        <v>0</v>
      </c>
      <c r="Y76" s="6" t="n">
        <v>0</v>
      </c>
      <c r="Z76" s="6" t="n">
        <v>0</v>
      </c>
      <c r="AA76" s="6" t="n">
        <v>0</v>
      </c>
      <c r="AB76" s="6" t="n">
        <v>0</v>
      </c>
      <c r="AC76" s="6" t="n">
        <v>0</v>
      </c>
      <c r="AD76" s="6" t="n">
        <v>0</v>
      </c>
      <c r="AE76" s="6" t="n">
        <f aca="false">+Y76+AB76+S76+V76</f>
        <v>0</v>
      </c>
      <c r="AF76" s="6" t="n">
        <f aca="false">+Z76+AC76+T76+W76</f>
        <v>0</v>
      </c>
      <c r="AG76" s="6" t="n">
        <f aca="false">+AA76+AD76+U76+X76</f>
        <v>0</v>
      </c>
      <c r="AH76" s="6" t="n">
        <v>0</v>
      </c>
      <c r="AI76" s="6" t="n">
        <v>0</v>
      </c>
      <c r="AJ76" s="6" t="n">
        <v>0</v>
      </c>
      <c r="AK76" s="6" t="n">
        <v>0</v>
      </c>
      <c r="AL76" s="6" t="n">
        <v>0</v>
      </c>
      <c r="AM76" s="6" t="n">
        <v>0</v>
      </c>
      <c r="AN76" s="6" t="n">
        <v>0</v>
      </c>
      <c r="AO76" s="6" t="n">
        <v>0</v>
      </c>
      <c r="AP76" s="6" t="n">
        <v>0</v>
      </c>
      <c r="AQ76" s="6" t="n">
        <v>0</v>
      </c>
      <c r="AR76" s="6" t="n">
        <v>0</v>
      </c>
      <c r="AS76" s="6" t="n">
        <v>0</v>
      </c>
      <c r="AT76" s="6" t="n">
        <f aca="false">+AN76+AQ76+AH76+AK76</f>
        <v>0</v>
      </c>
      <c r="AU76" s="6" t="n">
        <f aca="false">+AO76+AR76+AI76+AL76</f>
        <v>0</v>
      </c>
      <c r="AV76" s="6" t="n">
        <f aca="false">+AP76+AS76+AJ76+AM76</f>
        <v>0</v>
      </c>
      <c r="AW76" s="6" t="n">
        <v>0</v>
      </c>
      <c r="AX76" s="6" t="n">
        <v>0</v>
      </c>
      <c r="AY76" s="6" t="n">
        <v>0</v>
      </c>
      <c r="AZ76" s="30" t="n">
        <v>250776.75</v>
      </c>
      <c r="BA76" s="30" t="n">
        <v>250776.75</v>
      </c>
      <c r="BB76" s="6" t="n">
        <v>0</v>
      </c>
      <c r="BC76" s="6" t="n">
        <v>0</v>
      </c>
      <c r="BD76" s="6" t="n">
        <v>0</v>
      </c>
      <c r="BE76" s="6" t="n">
        <v>250776.75</v>
      </c>
      <c r="BF76" s="6" t="n">
        <v>0</v>
      </c>
      <c r="BG76" s="6" t="n">
        <v>0</v>
      </c>
      <c r="BH76" s="6" t="n">
        <v>0</v>
      </c>
      <c r="BI76" s="6" t="n">
        <f aca="false">+BC76+BF76+AW76+AZ76</f>
        <v>250776.75</v>
      </c>
      <c r="BJ76" s="6" t="n">
        <f aca="false">+BD76+BG76+AX76+BA76</f>
        <v>250776.75</v>
      </c>
      <c r="BK76" s="6" t="n">
        <f aca="false">+BE76+BH76+AY76+BB76</f>
        <v>250776.75</v>
      </c>
      <c r="BL76" s="6" t="n">
        <v>0</v>
      </c>
      <c r="BM76" s="6" t="n">
        <v>0</v>
      </c>
      <c r="BN76" s="6" t="n">
        <v>0</v>
      </c>
      <c r="BO76" s="6" t="n">
        <v>0</v>
      </c>
      <c r="BP76" s="6" t="n">
        <v>0</v>
      </c>
      <c r="BQ76" s="6" t="n">
        <v>0</v>
      </c>
      <c r="BR76" s="6" t="n">
        <v>0</v>
      </c>
      <c r="BS76" s="6" t="n">
        <v>0</v>
      </c>
      <c r="BT76" s="6" t="n">
        <v>0</v>
      </c>
      <c r="BU76" s="6" t="n">
        <v>0</v>
      </c>
      <c r="BV76" s="6" t="n">
        <v>0</v>
      </c>
      <c r="BW76" s="6" t="n">
        <v>0</v>
      </c>
      <c r="BX76" s="6" t="n">
        <f aca="false">+BR76+BU76+BL76+BO76</f>
        <v>0</v>
      </c>
      <c r="BY76" s="6" t="n">
        <f aca="false">+BS76+BV76+BM76+BP76</f>
        <v>0</v>
      </c>
      <c r="BZ76" s="6" t="n">
        <f aca="false">+BT76+BW76+BN76+BQ76</f>
        <v>0</v>
      </c>
      <c r="CA76" s="6" t="n">
        <v>0</v>
      </c>
      <c r="CB76" s="6" t="n">
        <v>0</v>
      </c>
      <c r="CC76" s="6" t="n">
        <v>0</v>
      </c>
      <c r="CD76" s="6" t="n">
        <v>0</v>
      </c>
      <c r="CE76" s="6" t="n">
        <v>0</v>
      </c>
      <c r="CF76" s="6" t="n">
        <v>0</v>
      </c>
      <c r="CG76" s="6" t="n">
        <v>0</v>
      </c>
      <c r="CH76" s="6" t="n">
        <v>0</v>
      </c>
      <c r="CI76" s="6" t="n">
        <v>0</v>
      </c>
      <c r="CJ76" s="6" t="n">
        <v>0</v>
      </c>
      <c r="CK76" s="6" t="n">
        <v>0</v>
      </c>
      <c r="CL76" s="6" t="n">
        <v>0</v>
      </c>
      <c r="CM76" s="6" t="n">
        <f aca="false">+CG76+CJ76+CA76+CD76</f>
        <v>0</v>
      </c>
      <c r="CN76" s="6" t="n">
        <f aca="false">+CH76+CK76+CB76+CE76</f>
        <v>0</v>
      </c>
      <c r="CO76" s="6" t="n">
        <f aca="false">+CI76+CL76+CC76+CF76</f>
        <v>0</v>
      </c>
      <c r="CP76" s="6" t="n">
        <v>0</v>
      </c>
      <c r="CQ76" s="6" t="n">
        <v>0</v>
      </c>
      <c r="CR76" s="6" t="n">
        <v>0</v>
      </c>
      <c r="CS76" s="6" t="n">
        <v>0</v>
      </c>
      <c r="CT76" s="6" t="n">
        <v>0</v>
      </c>
      <c r="CU76" s="6" t="n">
        <v>0</v>
      </c>
      <c r="CV76" s="6" t="n">
        <v>0</v>
      </c>
      <c r="CW76" s="6" t="n">
        <v>0</v>
      </c>
      <c r="CX76" s="6" t="n">
        <v>0</v>
      </c>
      <c r="CY76" s="6" t="n">
        <v>0</v>
      </c>
      <c r="CZ76" s="6" t="n">
        <v>0</v>
      </c>
      <c r="DA76" s="6" t="n">
        <v>0</v>
      </c>
      <c r="DB76" s="6" t="n">
        <f aca="false">+CV76+CY76+CP76+CS76</f>
        <v>0</v>
      </c>
      <c r="DC76" s="6" t="n">
        <f aca="false">+CW76+CZ76+CQ76+CT76</f>
        <v>0</v>
      </c>
      <c r="DD76" s="6" t="n">
        <f aca="false">+CX76+DA76+CR76+CU76</f>
        <v>0</v>
      </c>
      <c r="DE76" s="6" t="n">
        <v>0</v>
      </c>
      <c r="DF76" s="6" t="n">
        <v>0</v>
      </c>
      <c r="DG76" s="6" t="n">
        <v>0</v>
      </c>
      <c r="DH76" s="6" t="n">
        <v>0</v>
      </c>
      <c r="DI76" s="6" t="n">
        <v>0</v>
      </c>
      <c r="DJ76" s="6" t="n">
        <v>0</v>
      </c>
      <c r="DK76" s="6" t="n">
        <v>0</v>
      </c>
      <c r="DL76" s="6" t="n">
        <v>0</v>
      </c>
      <c r="DM76" s="6" t="n">
        <v>0</v>
      </c>
      <c r="DN76" s="6" t="n">
        <v>0</v>
      </c>
      <c r="DO76" s="6" t="n">
        <v>0</v>
      </c>
      <c r="DP76" s="6" t="n">
        <v>0</v>
      </c>
      <c r="DQ76" s="6" t="n">
        <f aca="false">+DK76+DN76+DE76+DH76</f>
        <v>0</v>
      </c>
      <c r="DR76" s="6" t="n">
        <f aca="false">+DL76+DO76+DF76+DI76</f>
        <v>0</v>
      </c>
      <c r="DS76" s="6" t="n">
        <f aca="false">+DM76+DP76+DG76+DJ76</f>
        <v>0</v>
      </c>
      <c r="DT76" s="31" t="n">
        <f aca="false">+P76+AE76+AT76+BI76+BX76+CM76+DB76</f>
        <v>250776.75</v>
      </c>
      <c r="DU76" s="31" t="n">
        <f aca="false">+Q76+AF76+AU76+BJ76+BY76+CN76+DC76</f>
        <v>250776.75</v>
      </c>
      <c r="DV76" s="31" t="n">
        <f aca="false">+R76+AG76+AV76+BK76+BZ76+CO76+DD76</f>
        <v>250776.75</v>
      </c>
      <c r="DW76" s="31" t="n">
        <f aca="false">+DU76-DV76</f>
        <v>0</v>
      </c>
    </row>
    <row r="77" customFormat="false" ht="23.85" hidden="false" customHeight="false" outlineLevel="0" collapsed="false">
      <c r="A77" s="27" t="n">
        <v>44971</v>
      </c>
      <c r="B77" s="28" t="s">
        <v>372</v>
      </c>
      <c r="C77" s="28" t="s">
        <v>373</v>
      </c>
      <c r="D77" s="29" t="s">
        <v>374</v>
      </c>
      <c r="E77" s="34" t="s">
        <v>375</v>
      </c>
      <c r="F77" s="27" t="s">
        <v>376</v>
      </c>
      <c r="G77" s="27" t="s">
        <v>14</v>
      </c>
      <c r="H77" s="30" t="n">
        <v>970445.23</v>
      </c>
      <c r="I77" s="30" t="n">
        <v>970445.23</v>
      </c>
      <c r="J77" s="6" t="n">
        <v>0</v>
      </c>
      <c r="K77" s="6" t="n">
        <v>0</v>
      </c>
      <c r="L77" s="6" t="n">
        <v>0</v>
      </c>
      <c r="M77" s="6" t="n">
        <v>0</v>
      </c>
      <c r="N77" s="6" t="n">
        <v>0</v>
      </c>
      <c r="O77" s="6" t="n">
        <v>0</v>
      </c>
      <c r="P77" s="6" t="n">
        <f aca="false">+J77+M77</f>
        <v>0</v>
      </c>
      <c r="Q77" s="6" t="n">
        <f aca="false">+K77+N77</f>
        <v>0</v>
      </c>
      <c r="R77" s="6" t="n">
        <f aca="false">+L77+O77</f>
        <v>0</v>
      </c>
      <c r="S77" s="6" t="n">
        <v>0</v>
      </c>
      <c r="T77" s="6" t="n">
        <v>0</v>
      </c>
      <c r="U77" s="6" t="n">
        <v>0</v>
      </c>
      <c r="V77" s="6" t="n">
        <v>0</v>
      </c>
      <c r="W77" s="6" t="n">
        <v>0</v>
      </c>
      <c r="X77" s="6" t="n">
        <v>0</v>
      </c>
      <c r="Y77" s="6" t="n">
        <v>0</v>
      </c>
      <c r="Z77" s="6" t="n">
        <v>0</v>
      </c>
      <c r="AA77" s="6" t="n">
        <v>0</v>
      </c>
      <c r="AB77" s="6" t="n">
        <v>0</v>
      </c>
      <c r="AC77" s="6" t="n">
        <v>0</v>
      </c>
      <c r="AD77" s="6" t="n">
        <v>0</v>
      </c>
      <c r="AE77" s="6" t="n">
        <f aca="false">+Y77+AB77+S77+V77</f>
        <v>0</v>
      </c>
      <c r="AF77" s="6" t="n">
        <f aca="false">+Z77+AC77+T77+W77</f>
        <v>0</v>
      </c>
      <c r="AG77" s="6" t="n">
        <f aca="false">+AA77+AD77+U77+X77</f>
        <v>0</v>
      </c>
      <c r="AH77" s="6" t="n">
        <v>0</v>
      </c>
      <c r="AI77" s="6" t="n">
        <v>0</v>
      </c>
      <c r="AJ77" s="6" t="n">
        <v>0</v>
      </c>
      <c r="AK77" s="6" t="n">
        <v>0</v>
      </c>
      <c r="AL77" s="6" t="n">
        <v>0</v>
      </c>
      <c r="AM77" s="6" t="n">
        <v>0</v>
      </c>
      <c r="AN77" s="6" t="n">
        <v>0</v>
      </c>
      <c r="AO77" s="6" t="n">
        <v>0</v>
      </c>
      <c r="AP77" s="6" t="n">
        <v>0</v>
      </c>
      <c r="AQ77" s="6" t="n">
        <v>0</v>
      </c>
      <c r="AR77" s="6" t="n">
        <v>0</v>
      </c>
      <c r="AS77" s="6" t="n">
        <v>0</v>
      </c>
      <c r="AT77" s="6" t="n">
        <f aca="false">+AN77+AQ77+AH77+AK77</f>
        <v>0</v>
      </c>
      <c r="AU77" s="6" t="n">
        <f aca="false">+AO77+AR77+AI77+AL77</f>
        <v>0</v>
      </c>
      <c r="AV77" s="6" t="n">
        <f aca="false">+AP77+AS77+AJ77+AM77</f>
        <v>0</v>
      </c>
      <c r="AW77" s="6" t="n">
        <v>0</v>
      </c>
      <c r="AX77" s="6" t="n">
        <v>0</v>
      </c>
      <c r="AY77" s="6" t="n">
        <v>0</v>
      </c>
      <c r="AZ77" s="30" t="n">
        <v>970445.23</v>
      </c>
      <c r="BA77" s="30" t="n">
        <v>970445.23</v>
      </c>
      <c r="BB77" s="6" t="n">
        <v>0</v>
      </c>
      <c r="BC77" s="6" t="n">
        <v>0</v>
      </c>
      <c r="BD77" s="6" t="n">
        <v>0</v>
      </c>
      <c r="BE77" s="6" t="n">
        <v>0</v>
      </c>
      <c r="BF77" s="6" t="n">
        <v>0</v>
      </c>
      <c r="BG77" s="6" t="n">
        <v>0</v>
      </c>
      <c r="BH77" s="6" t="n">
        <v>243000</v>
      </c>
      <c r="BI77" s="6" t="n">
        <f aca="false">+BC77+BF77+AW77+AZ77</f>
        <v>970445.23</v>
      </c>
      <c r="BJ77" s="6" t="n">
        <f aca="false">+BD77+BG77+AX77+BA77</f>
        <v>970445.23</v>
      </c>
      <c r="BK77" s="6" t="n">
        <f aca="false">+BE77+BH77+AY77+BB77</f>
        <v>243000</v>
      </c>
      <c r="BL77" s="6" t="n">
        <v>0</v>
      </c>
      <c r="BM77" s="6" t="n">
        <v>0</v>
      </c>
      <c r="BN77" s="6" t="n">
        <v>250000</v>
      </c>
      <c r="BO77" s="6" t="n">
        <v>0</v>
      </c>
      <c r="BP77" s="6" t="n">
        <v>0</v>
      </c>
      <c r="BQ77" s="6" t="n">
        <v>477445.23</v>
      </c>
      <c r="BR77" s="6" t="n">
        <v>0</v>
      </c>
      <c r="BS77" s="6" t="n">
        <v>0</v>
      </c>
      <c r="BT77" s="6" t="n">
        <v>0</v>
      </c>
      <c r="BU77" s="6" t="n">
        <v>0</v>
      </c>
      <c r="BV77" s="6" t="n">
        <v>0</v>
      </c>
      <c r="BW77" s="6" t="n">
        <v>0</v>
      </c>
      <c r="BX77" s="6" t="n">
        <f aca="false">+BR77+BU77+BL77+BO77</f>
        <v>0</v>
      </c>
      <c r="BY77" s="6" t="n">
        <f aca="false">+BS77+BV77+BM77+BP77</f>
        <v>0</v>
      </c>
      <c r="BZ77" s="6" t="n">
        <f aca="false">+BT77+BW77+BN77+BQ77</f>
        <v>727445.23</v>
      </c>
      <c r="CA77" s="6" t="n">
        <v>0</v>
      </c>
      <c r="CB77" s="6" t="n">
        <v>0</v>
      </c>
      <c r="CC77" s="6" t="n">
        <v>0</v>
      </c>
      <c r="CD77" s="6" t="n">
        <v>0</v>
      </c>
      <c r="CE77" s="6" t="n">
        <v>0</v>
      </c>
      <c r="CF77" s="6" t="n">
        <v>0</v>
      </c>
      <c r="CG77" s="6" t="n">
        <v>0</v>
      </c>
      <c r="CH77" s="6" t="n">
        <v>0</v>
      </c>
      <c r="CI77" s="6" t="n">
        <v>0</v>
      </c>
      <c r="CJ77" s="6" t="n">
        <v>0</v>
      </c>
      <c r="CK77" s="6" t="n">
        <v>0</v>
      </c>
      <c r="CL77" s="6" t="n">
        <v>0</v>
      </c>
      <c r="CM77" s="6" t="n">
        <f aca="false">+CG77+CJ77+CA77+CD77</f>
        <v>0</v>
      </c>
      <c r="CN77" s="6" t="n">
        <f aca="false">+CH77+CK77+CB77+CE77</f>
        <v>0</v>
      </c>
      <c r="CO77" s="6" t="n">
        <f aca="false">+CI77+CL77+CC77+CF77</f>
        <v>0</v>
      </c>
      <c r="CP77" s="6" t="n">
        <v>0</v>
      </c>
      <c r="CQ77" s="6" t="n">
        <v>0</v>
      </c>
      <c r="CR77" s="6" t="n">
        <v>0</v>
      </c>
      <c r="CS77" s="6" t="n">
        <v>0</v>
      </c>
      <c r="CT77" s="6" t="n">
        <v>0</v>
      </c>
      <c r="CU77" s="6" t="n">
        <v>0</v>
      </c>
      <c r="CV77" s="6" t="n">
        <v>0</v>
      </c>
      <c r="CW77" s="6" t="n">
        <v>0</v>
      </c>
      <c r="CX77" s="6" t="n">
        <v>0</v>
      </c>
      <c r="CY77" s="6" t="n">
        <v>0</v>
      </c>
      <c r="CZ77" s="6" t="n">
        <v>0</v>
      </c>
      <c r="DA77" s="6" t="n">
        <v>0</v>
      </c>
      <c r="DB77" s="6" t="n">
        <f aca="false">+CV77+CY77+CP77+CS77</f>
        <v>0</v>
      </c>
      <c r="DC77" s="6" t="n">
        <f aca="false">+CW77+CZ77+CQ77+CT77</f>
        <v>0</v>
      </c>
      <c r="DD77" s="6" t="n">
        <f aca="false">+CX77+DA77+CR77+CU77</f>
        <v>0</v>
      </c>
      <c r="DE77" s="6" t="n">
        <v>0</v>
      </c>
      <c r="DF77" s="6" t="n">
        <v>0</v>
      </c>
      <c r="DG77" s="6" t="n">
        <v>0</v>
      </c>
      <c r="DH77" s="6" t="n">
        <v>0</v>
      </c>
      <c r="DI77" s="6" t="n">
        <v>0</v>
      </c>
      <c r="DJ77" s="6" t="n">
        <v>0</v>
      </c>
      <c r="DK77" s="6" t="n">
        <v>0</v>
      </c>
      <c r="DL77" s="6" t="n">
        <v>0</v>
      </c>
      <c r="DM77" s="6" t="n">
        <v>0</v>
      </c>
      <c r="DN77" s="6" t="n">
        <v>0</v>
      </c>
      <c r="DO77" s="6" t="n">
        <v>0</v>
      </c>
      <c r="DP77" s="6" t="n">
        <v>0</v>
      </c>
      <c r="DQ77" s="6" t="n">
        <f aca="false">+DK77+DN77+DE77+DH77</f>
        <v>0</v>
      </c>
      <c r="DR77" s="6" t="n">
        <f aca="false">+DL77+DO77+DF77+DI77</f>
        <v>0</v>
      </c>
      <c r="DS77" s="6" t="n">
        <f aca="false">+DM77+DP77+DG77+DJ77</f>
        <v>0</v>
      </c>
      <c r="DT77" s="31" t="n">
        <f aca="false">+P77+AE77+AT77+BI77+BX77+CM77+DB77</f>
        <v>970445.23</v>
      </c>
      <c r="DU77" s="31" t="n">
        <f aca="false">+Q77+AF77+AU77+BJ77+BY77+CN77+DC77</f>
        <v>970445.23</v>
      </c>
      <c r="DV77" s="31" t="n">
        <f aca="false">+R77+AG77+AV77+BK77+BZ77+CO77+DD77</f>
        <v>970445.23</v>
      </c>
      <c r="DW77" s="31" t="n">
        <f aca="false">+DU77-DV77</f>
        <v>0</v>
      </c>
    </row>
    <row r="78" customFormat="false" ht="13.8" hidden="false" customHeight="false" outlineLevel="0" collapsed="false">
      <c r="A78" s="27" t="n">
        <v>45021</v>
      </c>
      <c r="B78" s="28" t="s">
        <v>377</v>
      </c>
      <c r="C78" s="28" t="s">
        <v>378</v>
      </c>
      <c r="D78" s="29" t="s">
        <v>379</v>
      </c>
      <c r="E78" s="35" t="s">
        <v>380</v>
      </c>
      <c r="F78" s="27" t="s">
        <v>381</v>
      </c>
      <c r="G78" s="27" t="s">
        <v>15</v>
      </c>
      <c r="H78" s="30" t="n">
        <v>247809</v>
      </c>
      <c r="I78" s="30" t="n">
        <v>247809</v>
      </c>
      <c r="J78" s="6" t="n">
        <v>0</v>
      </c>
      <c r="K78" s="6" t="n">
        <v>0</v>
      </c>
      <c r="L78" s="6" t="n">
        <v>0</v>
      </c>
      <c r="M78" s="6" t="n">
        <v>0</v>
      </c>
      <c r="N78" s="6" t="n">
        <v>0</v>
      </c>
      <c r="O78" s="6" t="n">
        <v>0</v>
      </c>
      <c r="P78" s="6" t="n">
        <f aca="false">+J78+M78</f>
        <v>0</v>
      </c>
      <c r="Q78" s="6" t="n">
        <f aca="false">+K78+N78</f>
        <v>0</v>
      </c>
      <c r="R78" s="6" t="n">
        <f aca="false">+L78+O78</f>
        <v>0</v>
      </c>
      <c r="S78" s="6" t="n">
        <v>0</v>
      </c>
      <c r="T78" s="6" t="n">
        <v>0</v>
      </c>
      <c r="U78" s="6" t="n">
        <v>0</v>
      </c>
      <c r="V78" s="6" t="n">
        <v>0</v>
      </c>
      <c r="W78" s="6" t="n">
        <v>0</v>
      </c>
      <c r="X78" s="6" t="n">
        <v>0</v>
      </c>
      <c r="Y78" s="6" t="n">
        <v>0</v>
      </c>
      <c r="Z78" s="6" t="n">
        <v>0</v>
      </c>
      <c r="AA78" s="6" t="n">
        <v>0</v>
      </c>
      <c r="AB78" s="6" t="n">
        <v>0</v>
      </c>
      <c r="AC78" s="6" t="n">
        <v>0</v>
      </c>
      <c r="AD78" s="6" t="n">
        <v>0</v>
      </c>
      <c r="AE78" s="6" t="n">
        <f aca="false">+Y78+AB78+S78+V78</f>
        <v>0</v>
      </c>
      <c r="AF78" s="6" t="n">
        <f aca="false">+Z78+AC78+T78+W78</f>
        <v>0</v>
      </c>
      <c r="AG78" s="6" t="n">
        <f aca="false">+AA78+AD78+U78+X78</f>
        <v>0</v>
      </c>
      <c r="AH78" s="6" t="n">
        <v>0</v>
      </c>
      <c r="AI78" s="6" t="n">
        <v>0</v>
      </c>
      <c r="AJ78" s="6" t="n">
        <v>0</v>
      </c>
      <c r="AK78" s="6" t="n">
        <v>0</v>
      </c>
      <c r="AL78" s="6" t="n">
        <v>0</v>
      </c>
      <c r="AM78" s="6" t="n">
        <v>0</v>
      </c>
      <c r="AN78" s="6" t="n">
        <v>0</v>
      </c>
      <c r="AO78" s="6" t="n">
        <v>0</v>
      </c>
      <c r="AP78" s="6" t="n">
        <v>0</v>
      </c>
      <c r="AQ78" s="6" t="n">
        <v>0</v>
      </c>
      <c r="AR78" s="6" t="n">
        <v>0</v>
      </c>
      <c r="AS78" s="6" t="n">
        <v>0</v>
      </c>
      <c r="AT78" s="6" t="n">
        <f aca="false">+AN78+AQ78+AH78+AK78</f>
        <v>0</v>
      </c>
      <c r="AU78" s="6" t="n">
        <f aca="false">+AO78+AR78+AI78+AL78</f>
        <v>0</v>
      </c>
      <c r="AV78" s="6" t="n">
        <f aca="false">+AP78+AS78+AJ78+AM78</f>
        <v>0</v>
      </c>
      <c r="AW78" s="6" t="n">
        <v>0</v>
      </c>
      <c r="AX78" s="6" t="n">
        <v>0</v>
      </c>
      <c r="AY78" s="6" t="n">
        <v>0</v>
      </c>
      <c r="AZ78" s="6" t="n">
        <v>0</v>
      </c>
      <c r="BA78" s="6" t="n">
        <v>0</v>
      </c>
      <c r="BB78" s="6" t="n">
        <v>0</v>
      </c>
      <c r="BC78" s="30" t="n">
        <v>247809</v>
      </c>
      <c r="BD78" s="30" t="n">
        <v>247809</v>
      </c>
      <c r="BE78" s="6" t="n">
        <v>0</v>
      </c>
      <c r="BF78" s="6" t="n">
        <v>0</v>
      </c>
      <c r="BG78" s="6" t="n">
        <v>0</v>
      </c>
      <c r="BH78" s="6" t="n">
        <v>474412.17</v>
      </c>
      <c r="BI78" s="6" t="n">
        <f aca="false">+BC78+BF78+AW78+AZ78</f>
        <v>247809</v>
      </c>
      <c r="BJ78" s="6" t="n">
        <f aca="false">+BD78+BG78+AX78+BA78</f>
        <v>247809</v>
      </c>
      <c r="BK78" s="6" t="n">
        <f aca="false">+BE78+BH78+AY78+BB78</f>
        <v>474412.17</v>
      </c>
      <c r="BL78" s="6" t="n">
        <v>0</v>
      </c>
      <c r="BM78" s="6" t="n">
        <v>0</v>
      </c>
      <c r="BN78" s="6" t="n">
        <v>0</v>
      </c>
      <c r="BO78" s="6" t="n">
        <v>0</v>
      </c>
      <c r="BP78" s="6" t="n">
        <v>0</v>
      </c>
      <c r="BQ78" s="6" t="n">
        <v>0</v>
      </c>
      <c r="BR78" s="6" t="n">
        <v>0</v>
      </c>
      <c r="BS78" s="6" t="n">
        <v>0</v>
      </c>
      <c r="BT78" s="6" t="n">
        <v>0</v>
      </c>
      <c r="BU78" s="6" t="n">
        <v>0</v>
      </c>
      <c r="BV78" s="6" t="n">
        <v>0</v>
      </c>
      <c r="BW78" s="6" t="n">
        <v>0</v>
      </c>
      <c r="BX78" s="6" t="n">
        <f aca="false">+BR78+BU78+BL78+BO78</f>
        <v>0</v>
      </c>
      <c r="BY78" s="6" t="n">
        <f aca="false">+BS78+BV78+BM78+BP78</f>
        <v>0</v>
      </c>
      <c r="BZ78" s="6" t="n">
        <f aca="false">+BT78+BW78+BN78+BQ78</f>
        <v>0</v>
      </c>
      <c r="CA78" s="6" t="n">
        <v>0</v>
      </c>
      <c r="CB78" s="6" t="n">
        <v>0</v>
      </c>
      <c r="CC78" s="6" t="n">
        <v>0</v>
      </c>
      <c r="CD78" s="6" t="n">
        <v>0</v>
      </c>
      <c r="CE78" s="6" t="n">
        <v>0</v>
      </c>
      <c r="CF78" s="6" t="n">
        <v>0</v>
      </c>
      <c r="CG78" s="6" t="n">
        <v>0</v>
      </c>
      <c r="CH78" s="6" t="n">
        <v>0</v>
      </c>
      <c r="CI78" s="6" t="n">
        <v>0</v>
      </c>
      <c r="CJ78" s="6" t="n">
        <v>0</v>
      </c>
      <c r="CK78" s="6" t="n">
        <v>0</v>
      </c>
      <c r="CL78" s="6" t="n">
        <v>0</v>
      </c>
      <c r="CM78" s="6" t="n">
        <f aca="false">+CG78+CJ78+CA78+CD78</f>
        <v>0</v>
      </c>
      <c r="CN78" s="6" t="n">
        <f aca="false">+CH78+CK78+CB78+CE78</f>
        <v>0</v>
      </c>
      <c r="CO78" s="6" t="n">
        <f aca="false">+CI78+CL78+CC78+CF78</f>
        <v>0</v>
      </c>
      <c r="CP78" s="6" t="n">
        <v>0</v>
      </c>
      <c r="CQ78" s="6" t="n">
        <v>0</v>
      </c>
      <c r="CR78" s="6" t="n">
        <v>0</v>
      </c>
      <c r="CS78" s="6" t="n">
        <v>0</v>
      </c>
      <c r="CT78" s="6" t="n">
        <v>0</v>
      </c>
      <c r="CU78" s="6" t="n">
        <v>0</v>
      </c>
      <c r="CV78" s="6" t="n">
        <v>0</v>
      </c>
      <c r="CW78" s="6" t="n">
        <v>0</v>
      </c>
      <c r="CX78" s="6" t="n">
        <v>0</v>
      </c>
      <c r="CY78" s="6" t="n">
        <v>0</v>
      </c>
      <c r="CZ78" s="6" t="n">
        <v>0</v>
      </c>
      <c r="DA78" s="6" t="n">
        <v>0</v>
      </c>
      <c r="DB78" s="6" t="n">
        <f aca="false">+CV78+CY78+CP78+CS78</f>
        <v>0</v>
      </c>
      <c r="DC78" s="6" t="n">
        <f aca="false">+CW78+CZ78+CQ78+CT78</f>
        <v>0</v>
      </c>
      <c r="DD78" s="6" t="n">
        <f aca="false">+CX78+DA78+CR78+CU78</f>
        <v>0</v>
      </c>
      <c r="DE78" s="6" t="n">
        <v>0</v>
      </c>
      <c r="DF78" s="6" t="n">
        <v>0</v>
      </c>
      <c r="DG78" s="6" t="n">
        <v>0</v>
      </c>
      <c r="DH78" s="6" t="n">
        <v>0</v>
      </c>
      <c r="DI78" s="6" t="n">
        <v>0</v>
      </c>
      <c r="DJ78" s="6" t="n">
        <v>0</v>
      </c>
      <c r="DK78" s="6" t="n">
        <v>0</v>
      </c>
      <c r="DL78" s="6" t="n">
        <v>0</v>
      </c>
      <c r="DM78" s="6" t="n">
        <v>0</v>
      </c>
      <c r="DN78" s="6" t="n">
        <v>0</v>
      </c>
      <c r="DO78" s="6" t="n">
        <v>0</v>
      </c>
      <c r="DP78" s="6" t="n">
        <v>0</v>
      </c>
      <c r="DQ78" s="6" t="n">
        <f aca="false">+DK78+DN78+DE78+DH78</f>
        <v>0</v>
      </c>
      <c r="DR78" s="6" t="n">
        <f aca="false">+DL78+DO78+DF78+DI78</f>
        <v>0</v>
      </c>
      <c r="DS78" s="6" t="n">
        <f aca="false">+DM78+DP78+DG78+DJ78</f>
        <v>0</v>
      </c>
      <c r="DT78" s="31" t="n">
        <f aca="false">+P78+AE78+AT78+BI78+BX78+CM78+DB78</f>
        <v>247809</v>
      </c>
      <c r="DU78" s="31" t="n">
        <f aca="false">+Q78+AF78+AU78+BJ78+BY78+CN78+DC78</f>
        <v>247809</v>
      </c>
      <c r="DV78" s="31" t="n">
        <f aca="false">+R78+AG78+AV78+BK78+BZ78+CO78+DD78</f>
        <v>474412.17</v>
      </c>
      <c r="DW78" s="31" t="n">
        <f aca="false">+DU78-DV78</f>
        <v>-226603.17</v>
      </c>
    </row>
    <row r="79" customFormat="false" ht="13.8" hidden="false" customHeight="false" outlineLevel="0" collapsed="false">
      <c r="A79" s="27" t="n">
        <v>45021</v>
      </c>
      <c r="B79" s="28" t="s">
        <v>377</v>
      </c>
      <c r="C79" s="28" t="s">
        <v>378</v>
      </c>
      <c r="D79" s="29" t="s">
        <v>379</v>
      </c>
      <c r="E79" s="35" t="s">
        <v>380</v>
      </c>
      <c r="F79" s="27" t="s">
        <v>381</v>
      </c>
      <c r="G79" s="27" t="s">
        <v>15</v>
      </c>
      <c r="H79" s="30" t="n">
        <v>474412.17</v>
      </c>
      <c r="I79" s="30" t="n">
        <v>474412.17</v>
      </c>
      <c r="J79" s="6" t="n">
        <v>0</v>
      </c>
      <c r="K79" s="6" t="n">
        <v>0</v>
      </c>
      <c r="L79" s="6" t="n">
        <v>0</v>
      </c>
      <c r="M79" s="6" t="n">
        <v>0</v>
      </c>
      <c r="N79" s="6" t="n">
        <v>0</v>
      </c>
      <c r="O79" s="6" t="n">
        <v>0</v>
      </c>
      <c r="P79" s="6" t="n">
        <f aca="false">+J79+M79</f>
        <v>0</v>
      </c>
      <c r="Q79" s="6" t="n">
        <f aca="false">+K79+N79</f>
        <v>0</v>
      </c>
      <c r="R79" s="6" t="n">
        <f aca="false">+L79+O79</f>
        <v>0</v>
      </c>
      <c r="S79" s="6" t="n">
        <v>0</v>
      </c>
      <c r="T79" s="6" t="n">
        <v>0</v>
      </c>
      <c r="U79" s="6" t="n">
        <v>0</v>
      </c>
      <c r="V79" s="6" t="n">
        <v>0</v>
      </c>
      <c r="W79" s="6" t="n">
        <v>0</v>
      </c>
      <c r="X79" s="6" t="n">
        <v>0</v>
      </c>
      <c r="Y79" s="6" t="n">
        <v>0</v>
      </c>
      <c r="Z79" s="6" t="n">
        <v>0</v>
      </c>
      <c r="AA79" s="6" t="n">
        <v>0</v>
      </c>
      <c r="AB79" s="6" t="n">
        <v>0</v>
      </c>
      <c r="AC79" s="6" t="n">
        <v>0</v>
      </c>
      <c r="AD79" s="6" t="n">
        <v>0</v>
      </c>
      <c r="AE79" s="6" t="n">
        <f aca="false">+Y79+AB79+S79+V79</f>
        <v>0</v>
      </c>
      <c r="AF79" s="6" t="n">
        <f aca="false">+Z79+AC79+T79+W79</f>
        <v>0</v>
      </c>
      <c r="AG79" s="6" t="n">
        <f aca="false">+AA79+AD79+U79+X79</f>
        <v>0</v>
      </c>
      <c r="AH79" s="6" t="n">
        <v>0</v>
      </c>
      <c r="AI79" s="6" t="n">
        <v>0</v>
      </c>
      <c r="AJ79" s="6" t="n">
        <v>0</v>
      </c>
      <c r="AK79" s="6" t="n">
        <v>0</v>
      </c>
      <c r="AL79" s="6" t="n">
        <v>0</v>
      </c>
      <c r="AM79" s="6" t="n">
        <v>0</v>
      </c>
      <c r="AN79" s="6" t="n">
        <v>0</v>
      </c>
      <c r="AO79" s="6" t="n">
        <v>0</v>
      </c>
      <c r="AP79" s="6" t="n">
        <v>0</v>
      </c>
      <c r="AQ79" s="6" t="n">
        <v>0</v>
      </c>
      <c r="AR79" s="6" t="n">
        <v>0</v>
      </c>
      <c r="AS79" s="6" t="n">
        <v>0</v>
      </c>
      <c r="AT79" s="6" t="n">
        <f aca="false">+AN79+AQ79+AH79+AK79</f>
        <v>0</v>
      </c>
      <c r="AU79" s="6" t="n">
        <f aca="false">+AO79+AR79+AI79+AL79</f>
        <v>0</v>
      </c>
      <c r="AV79" s="6" t="n">
        <f aca="false">+AP79+AS79+AJ79+AM79</f>
        <v>0</v>
      </c>
      <c r="AW79" s="6" t="n">
        <v>0</v>
      </c>
      <c r="AX79" s="6" t="n">
        <v>0</v>
      </c>
      <c r="AY79" s="6" t="n">
        <v>0</v>
      </c>
      <c r="AZ79" s="6" t="n">
        <v>0</v>
      </c>
      <c r="BA79" s="6" t="n">
        <v>0</v>
      </c>
      <c r="BB79" s="6" t="n">
        <v>0</v>
      </c>
      <c r="BC79" s="30" t="n">
        <v>474412.17</v>
      </c>
      <c r="BD79" s="30" t="n">
        <v>474412.17</v>
      </c>
      <c r="BE79" s="6" t="n">
        <v>0</v>
      </c>
      <c r="BF79" s="6" t="n">
        <v>0</v>
      </c>
      <c r="BG79" s="6" t="n">
        <v>0</v>
      </c>
      <c r="BH79" s="6" t="n">
        <v>0</v>
      </c>
      <c r="BI79" s="6" t="n">
        <f aca="false">+BC79+BF79+AW79+AZ79</f>
        <v>474412.17</v>
      </c>
      <c r="BJ79" s="6" t="n">
        <f aca="false">+BD79+BG79+AX79+BA79</f>
        <v>474412.17</v>
      </c>
      <c r="BK79" s="6" t="n">
        <f aca="false">+BE79+BH79+AY79+BB79</f>
        <v>0</v>
      </c>
      <c r="BL79" s="6" t="n">
        <v>0</v>
      </c>
      <c r="BM79" s="6" t="n">
        <v>0</v>
      </c>
      <c r="BN79" s="6" t="n">
        <v>1100000</v>
      </c>
      <c r="BO79" s="6" t="n">
        <v>0</v>
      </c>
      <c r="BP79" s="6" t="n">
        <v>0</v>
      </c>
      <c r="BQ79" s="6" t="n">
        <v>778747.95</v>
      </c>
      <c r="BR79" s="6" t="n">
        <v>0</v>
      </c>
      <c r="BS79" s="6" t="n">
        <v>0</v>
      </c>
      <c r="BT79" s="6" t="n">
        <v>100000</v>
      </c>
      <c r="BU79" s="6" t="n">
        <v>0</v>
      </c>
      <c r="BV79" s="6" t="n">
        <v>0</v>
      </c>
      <c r="BW79" s="6" t="n">
        <v>159582.65</v>
      </c>
      <c r="BX79" s="6" t="n">
        <f aca="false">+BR79+BU79+BL79+BO79</f>
        <v>0</v>
      </c>
      <c r="BY79" s="6" t="n">
        <f aca="false">+BS79+BV79+BM79+BP79</f>
        <v>0</v>
      </c>
      <c r="BZ79" s="6" t="n">
        <f aca="false">+BT79+BW79+BN79+BQ79</f>
        <v>2138330.6</v>
      </c>
      <c r="CA79" s="6" t="n">
        <v>0</v>
      </c>
      <c r="CB79" s="6" t="n">
        <v>0</v>
      </c>
      <c r="CC79" s="6" t="n">
        <v>0</v>
      </c>
      <c r="CD79" s="6" t="n">
        <v>0</v>
      </c>
      <c r="CE79" s="6" t="n">
        <v>0</v>
      </c>
      <c r="CF79" s="6" t="n">
        <v>0</v>
      </c>
      <c r="CG79" s="6" t="n">
        <v>0</v>
      </c>
      <c r="CH79" s="6" t="n">
        <v>0</v>
      </c>
      <c r="CI79" s="6" t="n">
        <v>0</v>
      </c>
      <c r="CJ79" s="6" t="n">
        <v>0</v>
      </c>
      <c r="CK79" s="6" t="n">
        <v>0</v>
      </c>
      <c r="CL79" s="6" t="n">
        <v>0</v>
      </c>
      <c r="CM79" s="6" t="n">
        <f aca="false">+CG79+CJ79+CA79+CD79</f>
        <v>0</v>
      </c>
      <c r="CN79" s="6" t="n">
        <f aca="false">+CH79+CK79+CB79+CE79</f>
        <v>0</v>
      </c>
      <c r="CO79" s="6" t="n">
        <f aca="false">+CI79+CL79+CC79+CF79</f>
        <v>0</v>
      </c>
      <c r="CP79" s="6" t="n">
        <v>0</v>
      </c>
      <c r="CQ79" s="6" t="n">
        <v>0</v>
      </c>
      <c r="CR79" s="6" t="n">
        <v>0</v>
      </c>
      <c r="CS79" s="6" t="n">
        <v>0</v>
      </c>
      <c r="CT79" s="6" t="n">
        <v>0</v>
      </c>
      <c r="CU79" s="6" t="n">
        <v>0</v>
      </c>
      <c r="CV79" s="6" t="n">
        <v>0</v>
      </c>
      <c r="CW79" s="6" t="n">
        <v>0</v>
      </c>
      <c r="CX79" s="6" t="n">
        <v>0</v>
      </c>
      <c r="CY79" s="6" t="n">
        <v>0</v>
      </c>
      <c r="CZ79" s="6" t="n">
        <v>0</v>
      </c>
      <c r="DA79" s="6" t="n">
        <v>0</v>
      </c>
      <c r="DB79" s="6" t="n">
        <f aca="false">+CV79+CY79+CP79+CS79</f>
        <v>0</v>
      </c>
      <c r="DC79" s="6" t="n">
        <f aca="false">+CW79+CZ79+CQ79+CT79</f>
        <v>0</v>
      </c>
      <c r="DD79" s="6" t="n">
        <f aca="false">+CX79+DA79+CR79+CU79</f>
        <v>0</v>
      </c>
      <c r="DE79" s="6" t="n">
        <v>0</v>
      </c>
      <c r="DF79" s="6" t="n">
        <v>0</v>
      </c>
      <c r="DG79" s="6" t="n">
        <v>0</v>
      </c>
      <c r="DH79" s="6" t="n">
        <v>0</v>
      </c>
      <c r="DI79" s="6" t="n">
        <v>0</v>
      </c>
      <c r="DJ79" s="6" t="n">
        <v>0</v>
      </c>
      <c r="DK79" s="6" t="n">
        <v>0</v>
      </c>
      <c r="DL79" s="6" t="n">
        <v>0</v>
      </c>
      <c r="DM79" s="6" t="n">
        <v>0</v>
      </c>
      <c r="DN79" s="6" t="n">
        <v>0</v>
      </c>
      <c r="DO79" s="6" t="n">
        <v>0</v>
      </c>
      <c r="DP79" s="6" t="n">
        <v>0</v>
      </c>
      <c r="DQ79" s="6" t="n">
        <f aca="false">+DK79+DN79+DE79+DH79</f>
        <v>0</v>
      </c>
      <c r="DR79" s="6" t="n">
        <f aca="false">+DL79+DO79+DF79+DI79</f>
        <v>0</v>
      </c>
      <c r="DS79" s="6" t="n">
        <f aca="false">+DM79+DP79+DG79+DJ79</f>
        <v>0</v>
      </c>
      <c r="DT79" s="31" t="n">
        <f aca="false">+P79+AE79+AT79+BI79+BX79+CM79+DB79</f>
        <v>474412.17</v>
      </c>
      <c r="DU79" s="31" t="n">
        <f aca="false">+Q79+AF79+AU79+BJ79+BY79+CN79+DC79</f>
        <v>474412.17</v>
      </c>
      <c r="DV79" s="31" t="n">
        <f aca="false">+R79+AG79+AV79+BK79+BZ79+CO79+DD79</f>
        <v>2138330.6</v>
      </c>
      <c r="DW79" s="31" t="n">
        <f aca="false">+DU79-DV79</f>
        <v>-1663918.43</v>
      </c>
    </row>
    <row r="80" customFormat="false" ht="13.8" hidden="false" customHeight="false" outlineLevel="0" collapsed="false">
      <c r="A80" s="27" t="n">
        <v>45021</v>
      </c>
      <c r="B80" s="28" t="s">
        <v>377</v>
      </c>
      <c r="C80" s="28" t="s">
        <v>378</v>
      </c>
      <c r="D80" s="29" t="s">
        <v>379</v>
      </c>
      <c r="E80" s="35" t="s">
        <v>380</v>
      </c>
      <c r="F80" s="27" t="s">
        <v>381</v>
      </c>
      <c r="G80" s="27" t="s">
        <v>15</v>
      </c>
      <c r="H80" s="30" t="n">
        <v>2138330.6</v>
      </c>
      <c r="I80" s="30" t="n">
        <v>2138330.6</v>
      </c>
      <c r="J80" s="6" t="n">
        <v>0</v>
      </c>
      <c r="K80" s="6" t="n">
        <v>0</v>
      </c>
      <c r="L80" s="6" t="n">
        <v>0</v>
      </c>
      <c r="M80" s="6" t="n">
        <v>0</v>
      </c>
      <c r="N80" s="6" t="n">
        <v>0</v>
      </c>
      <c r="O80" s="6" t="n">
        <v>0</v>
      </c>
      <c r="P80" s="6" t="n">
        <f aca="false">+J80+M80</f>
        <v>0</v>
      </c>
      <c r="Q80" s="6" t="n">
        <f aca="false">+K80+N80</f>
        <v>0</v>
      </c>
      <c r="R80" s="6" t="n">
        <f aca="false">+L80+O80</f>
        <v>0</v>
      </c>
      <c r="S80" s="6" t="n">
        <v>0</v>
      </c>
      <c r="T80" s="6" t="n">
        <v>0</v>
      </c>
      <c r="U80" s="6" t="n">
        <v>0</v>
      </c>
      <c r="V80" s="6" t="n">
        <v>0</v>
      </c>
      <c r="W80" s="6" t="n">
        <v>0</v>
      </c>
      <c r="X80" s="6" t="n">
        <v>0</v>
      </c>
      <c r="Y80" s="6" t="n">
        <v>0</v>
      </c>
      <c r="Z80" s="6" t="n">
        <v>0</v>
      </c>
      <c r="AA80" s="6" t="n">
        <v>0</v>
      </c>
      <c r="AB80" s="6" t="n">
        <v>0</v>
      </c>
      <c r="AC80" s="6" t="n">
        <v>0</v>
      </c>
      <c r="AD80" s="6" t="n">
        <v>0</v>
      </c>
      <c r="AE80" s="6" t="n">
        <f aca="false">+Y80+AB80+S80+V80</f>
        <v>0</v>
      </c>
      <c r="AF80" s="6" t="n">
        <f aca="false">+Z80+AC80+T80+W80</f>
        <v>0</v>
      </c>
      <c r="AG80" s="6" t="n">
        <f aca="false">+AA80+AD80+U80+X80</f>
        <v>0</v>
      </c>
      <c r="AH80" s="6" t="n">
        <v>0</v>
      </c>
      <c r="AI80" s="6" t="n">
        <v>0</v>
      </c>
      <c r="AJ80" s="6" t="n">
        <v>0</v>
      </c>
      <c r="AK80" s="6" t="n">
        <v>0</v>
      </c>
      <c r="AL80" s="6" t="n">
        <v>0</v>
      </c>
      <c r="AM80" s="6" t="n">
        <v>0</v>
      </c>
      <c r="AN80" s="6" t="n">
        <v>0</v>
      </c>
      <c r="AO80" s="6" t="n">
        <v>0</v>
      </c>
      <c r="AP80" s="6" t="n">
        <v>0</v>
      </c>
      <c r="AQ80" s="6" t="n">
        <v>0</v>
      </c>
      <c r="AR80" s="6" t="n">
        <v>0</v>
      </c>
      <c r="AS80" s="6" t="n">
        <v>0</v>
      </c>
      <c r="AT80" s="6" t="n">
        <f aca="false">+AN80+AQ80+AH80+AK80</f>
        <v>0</v>
      </c>
      <c r="AU80" s="6" t="n">
        <f aca="false">+AO80+AR80+AI80+AL80</f>
        <v>0</v>
      </c>
      <c r="AV80" s="6" t="n">
        <f aca="false">+AP80+AS80+AJ80+AM80</f>
        <v>0</v>
      </c>
      <c r="AW80" s="6" t="n">
        <v>0</v>
      </c>
      <c r="AX80" s="6" t="n">
        <v>0</v>
      </c>
      <c r="AY80" s="6" t="n">
        <v>0</v>
      </c>
      <c r="AZ80" s="6" t="n">
        <v>0</v>
      </c>
      <c r="BA80" s="6" t="n">
        <v>0</v>
      </c>
      <c r="BB80" s="6" t="n">
        <v>0</v>
      </c>
      <c r="BC80" s="30" t="n">
        <v>2138330.6</v>
      </c>
      <c r="BD80" s="30" t="n">
        <v>2138330.6</v>
      </c>
      <c r="BE80" s="6" t="n">
        <v>0</v>
      </c>
      <c r="BF80" s="6" t="n">
        <v>0</v>
      </c>
      <c r="BG80" s="6" t="n">
        <v>0</v>
      </c>
      <c r="BH80" s="6" t="n">
        <v>247809</v>
      </c>
      <c r="BI80" s="6" t="n">
        <f aca="false">+BC80+BF80+AW80+AZ80</f>
        <v>2138330.6</v>
      </c>
      <c r="BJ80" s="6" t="n">
        <f aca="false">+BD80+BG80+AX80+BA80</f>
        <v>2138330.6</v>
      </c>
      <c r="BK80" s="6" t="n">
        <f aca="false">+BE80+BH80+AY80+BB80</f>
        <v>247809</v>
      </c>
      <c r="BL80" s="6" t="n">
        <v>0</v>
      </c>
      <c r="BM80" s="6" t="n">
        <v>0</v>
      </c>
      <c r="BN80" s="6" t="n">
        <v>0</v>
      </c>
      <c r="BO80" s="6" t="n">
        <v>0</v>
      </c>
      <c r="BP80" s="6" t="n">
        <v>0</v>
      </c>
      <c r="BQ80" s="6" t="n">
        <v>0</v>
      </c>
      <c r="BR80" s="6" t="n">
        <v>0</v>
      </c>
      <c r="BS80" s="6" t="n">
        <v>0</v>
      </c>
      <c r="BT80" s="6" t="n">
        <v>0</v>
      </c>
      <c r="BU80" s="6" t="n">
        <v>0</v>
      </c>
      <c r="BV80" s="6" t="n">
        <v>0</v>
      </c>
      <c r="BW80" s="6" t="n">
        <v>0</v>
      </c>
      <c r="BX80" s="6" t="n">
        <f aca="false">+BR80+BU80+BL80+BO80</f>
        <v>0</v>
      </c>
      <c r="BY80" s="6" t="n">
        <f aca="false">+BS80+BV80+BM80+BP80</f>
        <v>0</v>
      </c>
      <c r="BZ80" s="6" t="n">
        <f aca="false">+BT80+BW80+BN80+BQ80</f>
        <v>0</v>
      </c>
      <c r="CA80" s="6" t="n">
        <v>0</v>
      </c>
      <c r="CB80" s="6" t="n">
        <v>0</v>
      </c>
      <c r="CC80" s="6" t="n">
        <v>0</v>
      </c>
      <c r="CD80" s="6" t="n">
        <v>0</v>
      </c>
      <c r="CE80" s="6" t="n">
        <v>0</v>
      </c>
      <c r="CF80" s="6" t="n">
        <v>0</v>
      </c>
      <c r="CG80" s="6" t="n">
        <v>0</v>
      </c>
      <c r="CH80" s="6" t="n">
        <v>0</v>
      </c>
      <c r="CI80" s="6" t="n">
        <v>0</v>
      </c>
      <c r="CJ80" s="6" t="n">
        <v>0</v>
      </c>
      <c r="CK80" s="6" t="n">
        <v>0</v>
      </c>
      <c r="CL80" s="6" t="n">
        <v>0</v>
      </c>
      <c r="CM80" s="6" t="n">
        <f aca="false">+CG80+CJ80+CA80+CD80</f>
        <v>0</v>
      </c>
      <c r="CN80" s="6" t="n">
        <f aca="false">+CH80+CK80+CB80+CE80</f>
        <v>0</v>
      </c>
      <c r="CO80" s="6" t="n">
        <f aca="false">+CI80+CL80+CC80+CF80</f>
        <v>0</v>
      </c>
      <c r="CP80" s="6" t="n">
        <v>0</v>
      </c>
      <c r="CQ80" s="6" t="n">
        <v>0</v>
      </c>
      <c r="CR80" s="6" t="n">
        <v>0</v>
      </c>
      <c r="CS80" s="6" t="n">
        <v>0</v>
      </c>
      <c r="CT80" s="6" t="n">
        <v>0</v>
      </c>
      <c r="CU80" s="6" t="n">
        <v>0</v>
      </c>
      <c r="CV80" s="6" t="n">
        <v>0</v>
      </c>
      <c r="CW80" s="6" t="n">
        <v>0</v>
      </c>
      <c r="CX80" s="6" t="n">
        <v>0</v>
      </c>
      <c r="CY80" s="6" t="n">
        <v>0</v>
      </c>
      <c r="CZ80" s="6" t="n">
        <v>0</v>
      </c>
      <c r="DA80" s="6" t="n">
        <v>0</v>
      </c>
      <c r="DB80" s="6" t="n">
        <f aca="false">+CV80+CY80+CP80+CS80</f>
        <v>0</v>
      </c>
      <c r="DC80" s="6" t="n">
        <f aca="false">+CW80+CZ80+CQ80+CT80</f>
        <v>0</v>
      </c>
      <c r="DD80" s="6" t="n">
        <f aca="false">+CX80+DA80+CR80+CU80</f>
        <v>0</v>
      </c>
      <c r="DE80" s="6" t="n">
        <v>0</v>
      </c>
      <c r="DF80" s="6" t="n">
        <v>0</v>
      </c>
      <c r="DG80" s="6" t="n">
        <v>0</v>
      </c>
      <c r="DH80" s="6" t="n">
        <v>0</v>
      </c>
      <c r="DI80" s="6" t="n">
        <v>0</v>
      </c>
      <c r="DJ80" s="6" t="n">
        <v>0</v>
      </c>
      <c r="DK80" s="6" t="n">
        <v>0</v>
      </c>
      <c r="DL80" s="6" t="n">
        <v>0</v>
      </c>
      <c r="DM80" s="6" t="n">
        <v>0</v>
      </c>
      <c r="DN80" s="6" t="n">
        <v>0</v>
      </c>
      <c r="DO80" s="6" t="n">
        <v>0</v>
      </c>
      <c r="DP80" s="6" t="n">
        <v>0</v>
      </c>
      <c r="DQ80" s="6" t="n">
        <f aca="false">+DK80+DN80+DE80+DH80</f>
        <v>0</v>
      </c>
      <c r="DR80" s="6" t="n">
        <f aca="false">+DL80+DO80+DF80+DI80</f>
        <v>0</v>
      </c>
      <c r="DS80" s="6" t="n">
        <f aca="false">+DM80+DP80+DG80+DJ80</f>
        <v>0</v>
      </c>
      <c r="DT80" s="31" t="n">
        <f aca="false">+P80+AE80+AT80+BI80+BX80+CM80+DB80</f>
        <v>2138330.6</v>
      </c>
      <c r="DU80" s="31" t="n">
        <f aca="false">+Q80+AF80+AU80+BJ80+BY80+CN80+DC80</f>
        <v>2138330.6</v>
      </c>
      <c r="DV80" s="31" t="n">
        <f aca="false">+R80+AG80+AV80+BK80+BZ80+CO80+DD80</f>
        <v>247809</v>
      </c>
      <c r="DW80" s="31" t="n">
        <f aca="false">+DU80-DV80</f>
        <v>1890521.6</v>
      </c>
    </row>
    <row r="81" customFormat="false" ht="13.8" hidden="false" customHeight="false" outlineLevel="0" collapsed="false">
      <c r="A81" s="27" t="n">
        <v>44964</v>
      </c>
      <c r="B81" s="28" t="s">
        <v>382</v>
      </c>
      <c r="C81" s="28" t="s">
        <v>383</v>
      </c>
      <c r="D81" s="29" t="s">
        <v>384</v>
      </c>
      <c r="E81" s="28" t="s">
        <v>385</v>
      </c>
      <c r="F81" s="27" t="s">
        <v>386</v>
      </c>
      <c r="G81" s="27" t="s">
        <v>14</v>
      </c>
      <c r="H81" s="30" t="n">
        <v>1000000</v>
      </c>
      <c r="I81" s="30" t="n">
        <v>1000000</v>
      </c>
      <c r="J81" s="6" t="n">
        <v>0</v>
      </c>
      <c r="K81" s="6" t="n">
        <v>0</v>
      </c>
      <c r="L81" s="6" t="n">
        <v>0</v>
      </c>
      <c r="M81" s="6" t="n">
        <v>0</v>
      </c>
      <c r="N81" s="6" t="n">
        <v>0</v>
      </c>
      <c r="O81" s="6" t="n">
        <v>0</v>
      </c>
      <c r="P81" s="6" t="n">
        <f aca="false">+J81+M81</f>
        <v>0</v>
      </c>
      <c r="Q81" s="6" t="n">
        <f aca="false">+K81+N81</f>
        <v>0</v>
      </c>
      <c r="R81" s="6" t="n">
        <f aca="false">+L81+O81</f>
        <v>0</v>
      </c>
      <c r="S81" s="6" t="n">
        <v>0</v>
      </c>
      <c r="T81" s="6" t="n">
        <v>0</v>
      </c>
      <c r="U81" s="6" t="n">
        <v>0</v>
      </c>
      <c r="V81" s="6" t="n">
        <v>0</v>
      </c>
      <c r="W81" s="6" t="n">
        <v>0</v>
      </c>
      <c r="X81" s="6" t="n">
        <v>0</v>
      </c>
      <c r="Y81" s="6" t="n">
        <v>0</v>
      </c>
      <c r="Z81" s="6" t="n">
        <v>0</v>
      </c>
      <c r="AA81" s="6" t="n">
        <v>0</v>
      </c>
      <c r="AB81" s="6" t="n">
        <v>0</v>
      </c>
      <c r="AC81" s="6" t="n">
        <v>0</v>
      </c>
      <c r="AD81" s="6" t="n">
        <v>0</v>
      </c>
      <c r="AE81" s="6" t="n">
        <f aca="false">+Y81+AB81+S81+V81</f>
        <v>0</v>
      </c>
      <c r="AF81" s="6" t="n">
        <f aca="false">+Z81+AC81+T81+W81</f>
        <v>0</v>
      </c>
      <c r="AG81" s="6" t="n">
        <f aca="false">+AA81+AD81+U81+X81</f>
        <v>0</v>
      </c>
      <c r="AH81" s="6" t="n">
        <v>0</v>
      </c>
      <c r="AI81" s="6" t="n">
        <v>0</v>
      </c>
      <c r="AJ81" s="6" t="n">
        <v>0</v>
      </c>
      <c r="AK81" s="6" t="n">
        <v>0</v>
      </c>
      <c r="AL81" s="6" t="n">
        <v>0</v>
      </c>
      <c r="AM81" s="6" t="n">
        <v>0</v>
      </c>
      <c r="AN81" s="6" t="n">
        <v>0</v>
      </c>
      <c r="AO81" s="6" t="n">
        <v>0</v>
      </c>
      <c r="AP81" s="6" t="n">
        <v>0</v>
      </c>
      <c r="AQ81" s="6" t="n">
        <v>0</v>
      </c>
      <c r="AR81" s="6" t="n">
        <v>0</v>
      </c>
      <c r="AS81" s="6" t="n">
        <v>0</v>
      </c>
      <c r="AT81" s="6" t="n">
        <f aca="false">+AN81+AQ81+AH81+AK81</f>
        <v>0</v>
      </c>
      <c r="AU81" s="6" t="n">
        <f aca="false">+AO81+AR81+AI81+AL81</f>
        <v>0</v>
      </c>
      <c r="AV81" s="6" t="n">
        <f aca="false">+AP81+AS81+AJ81+AM81</f>
        <v>0</v>
      </c>
      <c r="AW81" s="6" t="n">
        <v>0</v>
      </c>
      <c r="AX81" s="6" t="n">
        <v>0</v>
      </c>
      <c r="AY81" s="6" t="n">
        <v>0</v>
      </c>
      <c r="AZ81" s="30" t="n">
        <v>1000000</v>
      </c>
      <c r="BA81" s="30" t="n">
        <v>1000000</v>
      </c>
      <c r="BB81" s="6" t="n">
        <v>0</v>
      </c>
      <c r="BC81" s="6" t="n">
        <v>0</v>
      </c>
      <c r="BD81" s="6" t="n">
        <v>0</v>
      </c>
      <c r="BE81" s="6" t="n">
        <v>250000</v>
      </c>
      <c r="BF81" s="6" t="n">
        <v>0</v>
      </c>
      <c r="BG81" s="6" t="n">
        <v>0</v>
      </c>
      <c r="BH81" s="6" t="n">
        <v>187500</v>
      </c>
      <c r="BI81" s="6" t="n">
        <f aca="false">+BC81+BF81+AW81+AZ81</f>
        <v>1000000</v>
      </c>
      <c r="BJ81" s="6" t="n">
        <f aca="false">+BD81+BG81+AX81+BA81</f>
        <v>1000000</v>
      </c>
      <c r="BK81" s="6" t="n">
        <f aca="false">+BE81+BH81+AY81+BB81</f>
        <v>437500</v>
      </c>
      <c r="BL81" s="6" t="n">
        <v>0</v>
      </c>
      <c r="BM81" s="6" t="n">
        <v>0</v>
      </c>
      <c r="BN81" s="6" t="n">
        <v>0</v>
      </c>
      <c r="BO81" s="6" t="n">
        <v>0</v>
      </c>
      <c r="BP81" s="6" t="n">
        <v>0</v>
      </c>
      <c r="BQ81" s="6" t="n">
        <v>562500</v>
      </c>
      <c r="BR81" s="6" t="n">
        <v>0</v>
      </c>
      <c r="BS81" s="6" t="n">
        <v>0</v>
      </c>
      <c r="BT81" s="6" t="n">
        <v>0</v>
      </c>
      <c r="BU81" s="6" t="n">
        <v>0</v>
      </c>
      <c r="BV81" s="6" t="n">
        <v>0</v>
      </c>
      <c r="BW81" s="6" t="n">
        <v>0</v>
      </c>
      <c r="BX81" s="6" t="n">
        <f aca="false">+BR81+BU81+BL81+BO81</f>
        <v>0</v>
      </c>
      <c r="BY81" s="6" t="n">
        <f aca="false">+BS81+BV81+BM81+BP81</f>
        <v>0</v>
      </c>
      <c r="BZ81" s="6" t="n">
        <f aca="false">+BT81+BW81+BN81+BQ81</f>
        <v>562500</v>
      </c>
      <c r="CA81" s="6" t="n">
        <v>0</v>
      </c>
      <c r="CB81" s="6" t="n">
        <v>0</v>
      </c>
      <c r="CC81" s="6" t="n">
        <v>0</v>
      </c>
      <c r="CD81" s="6" t="n">
        <v>0</v>
      </c>
      <c r="CE81" s="6" t="n">
        <v>0</v>
      </c>
      <c r="CF81" s="6" t="n">
        <v>0</v>
      </c>
      <c r="CG81" s="6" t="n">
        <v>0</v>
      </c>
      <c r="CH81" s="6" t="n">
        <v>0</v>
      </c>
      <c r="CI81" s="6" t="n">
        <v>0</v>
      </c>
      <c r="CJ81" s="6" t="n">
        <v>0</v>
      </c>
      <c r="CK81" s="6" t="n">
        <v>0</v>
      </c>
      <c r="CL81" s="6" t="n">
        <v>0</v>
      </c>
      <c r="CM81" s="6" t="n">
        <f aca="false">+CG81+CJ81+CA81+CD81</f>
        <v>0</v>
      </c>
      <c r="CN81" s="6" t="n">
        <f aca="false">+CH81+CK81+CB81+CE81</f>
        <v>0</v>
      </c>
      <c r="CO81" s="6" t="n">
        <f aca="false">+CI81+CL81+CC81+CF81</f>
        <v>0</v>
      </c>
      <c r="CP81" s="6" t="n">
        <v>0</v>
      </c>
      <c r="CQ81" s="6" t="n">
        <v>0</v>
      </c>
      <c r="CR81" s="6" t="n">
        <v>0</v>
      </c>
      <c r="CS81" s="6" t="n">
        <v>0</v>
      </c>
      <c r="CT81" s="6" t="n">
        <v>0</v>
      </c>
      <c r="CU81" s="6" t="n">
        <v>0</v>
      </c>
      <c r="CV81" s="6" t="n">
        <v>0</v>
      </c>
      <c r="CW81" s="6" t="n">
        <v>0</v>
      </c>
      <c r="CX81" s="6" t="n">
        <v>0</v>
      </c>
      <c r="CY81" s="6" t="n">
        <v>0</v>
      </c>
      <c r="CZ81" s="6" t="n">
        <v>0</v>
      </c>
      <c r="DA81" s="6" t="n">
        <v>0</v>
      </c>
      <c r="DB81" s="6" t="n">
        <f aca="false">+CV81+CY81+CP81+CS81</f>
        <v>0</v>
      </c>
      <c r="DC81" s="6" t="n">
        <f aca="false">+CW81+CZ81+CQ81+CT81</f>
        <v>0</v>
      </c>
      <c r="DD81" s="6" t="n">
        <f aca="false">+CX81+DA81+CR81+CU81</f>
        <v>0</v>
      </c>
      <c r="DE81" s="6" t="n">
        <v>0</v>
      </c>
      <c r="DF81" s="6" t="n">
        <v>0</v>
      </c>
      <c r="DG81" s="6" t="n">
        <v>0</v>
      </c>
      <c r="DH81" s="6" t="n">
        <v>0</v>
      </c>
      <c r="DI81" s="6" t="n">
        <v>0</v>
      </c>
      <c r="DJ81" s="6" t="n">
        <v>0</v>
      </c>
      <c r="DK81" s="6" t="n">
        <v>0</v>
      </c>
      <c r="DL81" s="6" t="n">
        <v>0</v>
      </c>
      <c r="DM81" s="6" t="n">
        <v>0</v>
      </c>
      <c r="DN81" s="6" t="n">
        <v>0</v>
      </c>
      <c r="DO81" s="6" t="n">
        <v>0</v>
      </c>
      <c r="DP81" s="6" t="n">
        <v>0</v>
      </c>
      <c r="DQ81" s="6" t="n">
        <f aca="false">+DK81+DN81+DE81+DH81</f>
        <v>0</v>
      </c>
      <c r="DR81" s="6" t="n">
        <f aca="false">+DL81+DO81+DF81+DI81</f>
        <v>0</v>
      </c>
      <c r="DS81" s="6" t="n">
        <f aca="false">+DM81+DP81+DG81+DJ81</f>
        <v>0</v>
      </c>
      <c r="DT81" s="31" t="n">
        <f aca="false">+P81+AE81+AT81+BI81+BX81+CM81+DB81</f>
        <v>1000000</v>
      </c>
      <c r="DU81" s="31" t="n">
        <f aca="false">+Q81+AF81+AU81+BJ81+BY81+CN81+DC81</f>
        <v>1000000</v>
      </c>
      <c r="DV81" s="31" t="n">
        <f aca="false">+R81+AG81+AV81+BK81+BZ81+CO81+DD81</f>
        <v>1000000</v>
      </c>
      <c r="DW81" s="31" t="n">
        <f aca="false">+DU81-DV81</f>
        <v>0</v>
      </c>
    </row>
    <row r="82" customFormat="false" ht="13.8" hidden="false" customHeight="false" outlineLevel="0" collapsed="false">
      <c r="A82" s="27" t="n">
        <v>45023</v>
      </c>
      <c r="B82" s="28" t="s">
        <v>387</v>
      </c>
      <c r="C82" s="28" t="s">
        <v>388</v>
      </c>
      <c r="D82" s="29" t="s">
        <v>389</v>
      </c>
      <c r="E82" s="28" t="s">
        <v>390</v>
      </c>
      <c r="F82" s="27" t="s">
        <v>391</v>
      </c>
      <c r="G82" s="27" t="s">
        <v>15</v>
      </c>
      <c r="H82" s="30" t="n">
        <v>9600000</v>
      </c>
      <c r="I82" s="30" t="n">
        <v>9600000</v>
      </c>
      <c r="J82" s="6" t="n">
        <v>0</v>
      </c>
      <c r="K82" s="6" t="n">
        <v>0</v>
      </c>
      <c r="L82" s="6" t="n">
        <v>0</v>
      </c>
      <c r="M82" s="6" t="n">
        <v>0</v>
      </c>
      <c r="N82" s="6" t="n">
        <v>0</v>
      </c>
      <c r="O82" s="6" t="n">
        <v>0</v>
      </c>
      <c r="P82" s="6" t="n">
        <f aca="false">+J82+M82</f>
        <v>0</v>
      </c>
      <c r="Q82" s="6" t="n">
        <f aca="false">+K82+N82</f>
        <v>0</v>
      </c>
      <c r="R82" s="6" t="n">
        <f aca="false">+L82+O82</f>
        <v>0</v>
      </c>
      <c r="S82" s="6" t="n">
        <v>0</v>
      </c>
      <c r="T82" s="6" t="n">
        <v>0</v>
      </c>
      <c r="U82" s="6" t="n">
        <v>0</v>
      </c>
      <c r="V82" s="6" t="n">
        <v>0</v>
      </c>
      <c r="W82" s="6" t="n">
        <v>0</v>
      </c>
      <c r="X82" s="6" t="n">
        <v>0</v>
      </c>
      <c r="Y82" s="6" t="n">
        <v>0</v>
      </c>
      <c r="Z82" s="6" t="n">
        <v>0</v>
      </c>
      <c r="AA82" s="6" t="n">
        <v>0</v>
      </c>
      <c r="AB82" s="6" t="n">
        <v>0</v>
      </c>
      <c r="AC82" s="6" t="n">
        <v>0</v>
      </c>
      <c r="AD82" s="6" t="n">
        <v>0</v>
      </c>
      <c r="AE82" s="6" t="n">
        <f aca="false">+Y82+AB82+S82+V82</f>
        <v>0</v>
      </c>
      <c r="AF82" s="6" t="n">
        <f aca="false">+Z82+AC82+T82+W82</f>
        <v>0</v>
      </c>
      <c r="AG82" s="6" t="n">
        <f aca="false">+AA82+AD82+U82+X82</f>
        <v>0</v>
      </c>
      <c r="AH82" s="6" t="n">
        <v>0</v>
      </c>
      <c r="AI82" s="6" t="n">
        <v>0</v>
      </c>
      <c r="AJ82" s="6" t="n">
        <v>0</v>
      </c>
      <c r="AK82" s="6" t="n">
        <v>0</v>
      </c>
      <c r="AL82" s="6" t="n">
        <v>0</v>
      </c>
      <c r="AM82" s="6" t="n">
        <v>0</v>
      </c>
      <c r="AN82" s="6" t="n">
        <v>0</v>
      </c>
      <c r="AO82" s="6" t="n">
        <v>0</v>
      </c>
      <c r="AP82" s="6" t="n">
        <v>0</v>
      </c>
      <c r="AQ82" s="6" t="n">
        <v>0</v>
      </c>
      <c r="AR82" s="6" t="n">
        <v>0</v>
      </c>
      <c r="AS82" s="6" t="n">
        <v>0</v>
      </c>
      <c r="AT82" s="6" t="n">
        <f aca="false">+AN82+AQ82+AH82+AK82</f>
        <v>0</v>
      </c>
      <c r="AU82" s="6" t="n">
        <f aca="false">+AO82+AR82+AI82+AL82</f>
        <v>0</v>
      </c>
      <c r="AV82" s="6" t="n">
        <f aca="false">+AP82+AS82+AJ82+AM82</f>
        <v>0</v>
      </c>
      <c r="AW82" s="6" t="n">
        <v>0</v>
      </c>
      <c r="AX82" s="6" t="n">
        <v>0</v>
      </c>
      <c r="AY82" s="6" t="n">
        <v>0</v>
      </c>
      <c r="AZ82" s="6" t="n">
        <v>0</v>
      </c>
      <c r="BA82" s="6" t="n">
        <v>0</v>
      </c>
      <c r="BB82" s="6" t="n">
        <v>0</v>
      </c>
      <c r="BC82" s="30" t="n">
        <v>9600000</v>
      </c>
      <c r="BD82" s="30" t="n">
        <v>9600000</v>
      </c>
      <c r="BE82" s="6" t="n">
        <v>0</v>
      </c>
      <c r="BF82" s="6" t="n">
        <v>0</v>
      </c>
      <c r="BG82" s="6" t="n">
        <v>0</v>
      </c>
      <c r="BH82" s="6" t="n">
        <v>2625914.0997067</v>
      </c>
      <c r="BI82" s="6" t="n">
        <f aca="false">+BC82+BF82+AW82+AZ82</f>
        <v>9600000</v>
      </c>
      <c r="BJ82" s="6" t="n">
        <f aca="false">+BD82+BG82+AX82+BA82</f>
        <v>9600000</v>
      </c>
      <c r="BK82" s="6" t="n">
        <f aca="false">+BE82+BH82+AY82+BB82</f>
        <v>2625914.0997067</v>
      </c>
      <c r="BL82" s="6" t="n">
        <v>0</v>
      </c>
      <c r="BM82" s="6" t="n">
        <v>0</v>
      </c>
      <c r="BN82" s="6" t="n">
        <v>0</v>
      </c>
      <c r="BO82" s="6" t="n">
        <v>0</v>
      </c>
      <c r="BP82" s="6" t="n">
        <v>0</v>
      </c>
      <c r="BQ82" s="6" t="n">
        <v>3200000</v>
      </c>
      <c r="BR82" s="6" t="n">
        <v>0</v>
      </c>
      <c r="BS82" s="6" t="n">
        <v>0</v>
      </c>
      <c r="BT82" s="6" t="n">
        <v>0</v>
      </c>
      <c r="BU82" s="6" t="n">
        <v>0</v>
      </c>
      <c r="BV82" s="6" t="n">
        <v>0</v>
      </c>
      <c r="BW82" s="6" t="n">
        <v>0</v>
      </c>
      <c r="BX82" s="6" t="n">
        <f aca="false">+BR82+BU82+BL82+BO82</f>
        <v>0</v>
      </c>
      <c r="BY82" s="6" t="n">
        <f aca="false">+BS82+BV82+BM82+BP82</f>
        <v>0</v>
      </c>
      <c r="BZ82" s="6" t="n">
        <f aca="false">+BT82+BW82+BN82+BQ82</f>
        <v>3200000</v>
      </c>
      <c r="CA82" s="6" t="n">
        <v>0</v>
      </c>
      <c r="CB82" s="6" t="n">
        <v>0</v>
      </c>
      <c r="CC82" s="6" t="n">
        <v>1000000</v>
      </c>
      <c r="CD82" s="6" t="n">
        <v>0</v>
      </c>
      <c r="CE82" s="6" t="n">
        <v>0</v>
      </c>
      <c r="CF82" s="6" t="n">
        <v>750000</v>
      </c>
      <c r="CG82" s="6" t="n">
        <v>0</v>
      </c>
      <c r="CH82" s="6" t="n">
        <v>0</v>
      </c>
      <c r="CI82" s="6" t="n">
        <v>1000000</v>
      </c>
      <c r="CJ82" s="6" t="n">
        <v>0</v>
      </c>
      <c r="CK82" s="6" t="n">
        <v>0</v>
      </c>
      <c r="CL82" s="6" t="n">
        <v>0</v>
      </c>
      <c r="CM82" s="6" t="n">
        <f aca="false">+CG82+CJ82+CA82+CD82</f>
        <v>0</v>
      </c>
      <c r="CN82" s="6" t="n">
        <f aca="false">+CH82+CK82+CB82+CE82</f>
        <v>0</v>
      </c>
      <c r="CO82" s="6" t="n">
        <f aca="false">+CI82+CL82+CC82+CF82</f>
        <v>2750000</v>
      </c>
      <c r="CP82" s="6" t="n">
        <v>0</v>
      </c>
      <c r="CQ82" s="6" t="n">
        <v>0</v>
      </c>
      <c r="CR82" s="6" t="n">
        <v>1024085.9</v>
      </c>
      <c r="CS82" s="6" t="n">
        <v>0</v>
      </c>
      <c r="CT82" s="6" t="n">
        <v>0</v>
      </c>
      <c r="CU82" s="6" t="n">
        <v>0</v>
      </c>
      <c r="CV82" s="6" t="n">
        <v>0</v>
      </c>
      <c r="CW82" s="6" t="n">
        <v>0</v>
      </c>
      <c r="CX82" s="6" t="n">
        <v>0</v>
      </c>
      <c r="CY82" s="6" t="n">
        <v>0</v>
      </c>
      <c r="CZ82" s="6" t="n">
        <v>0</v>
      </c>
      <c r="DA82" s="6" t="n">
        <v>0</v>
      </c>
      <c r="DB82" s="6" t="n">
        <f aca="false">+CV82+CY82+CP82+CS82</f>
        <v>0</v>
      </c>
      <c r="DC82" s="6" t="n">
        <f aca="false">+CW82+CZ82+CQ82+CT82</f>
        <v>0</v>
      </c>
      <c r="DD82" s="6" t="n">
        <f aca="false">+CX82+DA82+CR82+CU82</f>
        <v>1024085.9</v>
      </c>
      <c r="DE82" s="6" t="n">
        <v>0</v>
      </c>
      <c r="DF82" s="6" t="n">
        <v>0</v>
      </c>
      <c r="DG82" s="6" t="n">
        <v>1024085.9</v>
      </c>
      <c r="DH82" s="6" t="n">
        <v>0</v>
      </c>
      <c r="DI82" s="6" t="n">
        <v>0</v>
      </c>
      <c r="DJ82" s="6" t="n">
        <v>0</v>
      </c>
      <c r="DK82" s="6" t="n">
        <v>0</v>
      </c>
      <c r="DL82" s="6" t="n">
        <v>0</v>
      </c>
      <c r="DM82" s="6" t="n">
        <v>0</v>
      </c>
      <c r="DN82" s="6" t="n">
        <v>0</v>
      </c>
      <c r="DO82" s="6" t="n">
        <v>0</v>
      </c>
      <c r="DP82" s="6" t="n">
        <v>0</v>
      </c>
      <c r="DQ82" s="6" t="n">
        <f aca="false">+DK82+DN82+DE82+DH82</f>
        <v>0</v>
      </c>
      <c r="DR82" s="6" t="n">
        <f aca="false">+DL82+DO82+DF82+DI82</f>
        <v>0</v>
      </c>
      <c r="DS82" s="6" t="n">
        <f aca="false">+DM82+DP82+DG82+DJ82</f>
        <v>1024085.9</v>
      </c>
      <c r="DT82" s="31" t="n">
        <f aca="false">+P82+AE82+AT82+BI82+BX82+CM82+DB82</f>
        <v>9600000</v>
      </c>
      <c r="DU82" s="31" t="n">
        <f aca="false">+Q82+AF82+AU82+BJ82+BY82+CN82+DC82</f>
        <v>9600000</v>
      </c>
      <c r="DV82" s="31" t="n">
        <f aca="false">+R82+AG82+AV82+BK82+BZ82+CO82+DD82</f>
        <v>9599999.9997067</v>
      </c>
      <c r="DW82" s="31" t="n">
        <f aca="false">+DU82-DV82</f>
        <v>0.000293299555778503</v>
      </c>
    </row>
    <row r="83" customFormat="false" ht="13.8" hidden="false" customHeight="false" outlineLevel="0" collapsed="false">
      <c r="A83" s="27" t="n">
        <v>45092</v>
      </c>
      <c r="B83" s="28" t="s">
        <v>392</v>
      </c>
      <c r="C83" s="28" t="s">
        <v>393</v>
      </c>
      <c r="D83" s="29" t="s">
        <v>394</v>
      </c>
      <c r="E83" s="35" t="s">
        <v>395</v>
      </c>
      <c r="F83" s="27" t="s">
        <v>396</v>
      </c>
      <c r="G83" s="27" t="s">
        <v>15</v>
      </c>
      <c r="H83" s="30" t="n">
        <v>106671.22</v>
      </c>
      <c r="I83" s="30" t="n">
        <v>106671.22</v>
      </c>
      <c r="J83" s="6" t="n">
        <v>0</v>
      </c>
      <c r="K83" s="6" t="n">
        <v>0</v>
      </c>
      <c r="L83" s="6" t="n">
        <v>0</v>
      </c>
      <c r="M83" s="6" t="n">
        <v>0</v>
      </c>
      <c r="N83" s="6" t="n">
        <v>0</v>
      </c>
      <c r="O83" s="6" t="n">
        <v>0</v>
      </c>
      <c r="P83" s="6" t="n">
        <f aca="false">+J83+M83</f>
        <v>0</v>
      </c>
      <c r="Q83" s="6" t="n">
        <f aca="false">+K83+N83</f>
        <v>0</v>
      </c>
      <c r="R83" s="6" t="n">
        <f aca="false">+L83+O83</f>
        <v>0</v>
      </c>
      <c r="S83" s="6" t="n">
        <v>0</v>
      </c>
      <c r="T83" s="6" t="n">
        <v>0</v>
      </c>
      <c r="U83" s="6" t="n">
        <v>0</v>
      </c>
      <c r="V83" s="6" t="n">
        <v>0</v>
      </c>
      <c r="W83" s="6" t="n">
        <v>0</v>
      </c>
      <c r="X83" s="6" t="n">
        <v>0</v>
      </c>
      <c r="Y83" s="6" t="n">
        <v>0</v>
      </c>
      <c r="Z83" s="6" t="n">
        <v>0</v>
      </c>
      <c r="AA83" s="6" t="n">
        <v>0</v>
      </c>
      <c r="AB83" s="6" t="n">
        <v>0</v>
      </c>
      <c r="AC83" s="6" t="n">
        <v>0</v>
      </c>
      <c r="AD83" s="6" t="n">
        <v>0</v>
      </c>
      <c r="AE83" s="6" t="n">
        <f aca="false">+Y83+AB83+S83+V83</f>
        <v>0</v>
      </c>
      <c r="AF83" s="6" t="n">
        <f aca="false">+Z83+AC83+T83+W83</f>
        <v>0</v>
      </c>
      <c r="AG83" s="6" t="n">
        <f aca="false">+AA83+AD83+U83+X83</f>
        <v>0</v>
      </c>
      <c r="AH83" s="6" t="n">
        <v>0</v>
      </c>
      <c r="AI83" s="6" t="n">
        <v>0</v>
      </c>
      <c r="AJ83" s="6" t="n">
        <v>0</v>
      </c>
      <c r="AK83" s="6" t="n">
        <v>0</v>
      </c>
      <c r="AL83" s="6" t="n">
        <v>0</v>
      </c>
      <c r="AM83" s="6" t="n">
        <v>0</v>
      </c>
      <c r="AN83" s="6" t="n">
        <v>0</v>
      </c>
      <c r="AO83" s="6" t="n">
        <v>0</v>
      </c>
      <c r="AP83" s="6" t="n">
        <v>0</v>
      </c>
      <c r="AQ83" s="6" t="n">
        <v>0</v>
      </c>
      <c r="AR83" s="6" t="n">
        <v>0</v>
      </c>
      <c r="AS83" s="6" t="n">
        <v>0</v>
      </c>
      <c r="AT83" s="6" t="n">
        <f aca="false">+AN83+AQ83+AH83+AK83</f>
        <v>0</v>
      </c>
      <c r="AU83" s="6" t="n">
        <f aca="false">+AO83+AR83+AI83+AL83</f>
        <v>0</v>
      </c>
      <c r="AV83" s="6" t="n">
        <f aca="false">+AP83+AS83+AJ83+AM83</f>
        <v>0</v>
      </c>
      <c r="AW83" s="6" t="n">
        <v>0</v>
      </c>
      <c r="AX83" s="6" t="n">
        <v>0</v>
      </c>
      <c r="AY83" s="6" t="n">
        <v>0</v>
      </c>
      <c r="AZ83" s="6" t="n">
        <v>0</v>
      </c>
      <c r="BA83" s="6" t="n">
        <v>0</v>
      </c>
      <c r="BB83" s="6" t="n">
        <v>0</v>
      </c>
      <c r="BC83" s="30" t="n">
        <v>106671.22</v>
      </c>
      <c r="BD83" s="30" t="n">
        <v>106671.22</v>
      </c>
      <c r="BE83" s="6" t="n">
        <v>0</v>
      </c>
      <c r="BF83" s="6" t="n">
        <v>0</v>
      </c>
      <c r="BG83" s="6" t="n">
        <v>0</v>
      </c>
      <c r="BH83" s="6" t="n">
        <v>0</v>
      </c>
      <c r="BI83" s="6" t="n">
        <f aca="false">+BC83+BF83+AW83+AZ83</f>
        <v>106671.22</v>
      </c>
      <c r="BJ83" s="6" t="n">
        <f aca="false">+BD83+BG83+AX83+BA83</f>
        <v>106671.22</v>
      </c>
      <c r="BK83" s="6" t="n">
        <f aca="false">+BE83+BH83+AY83+BB83</f>
        <v>0</v>
      </c>
      <c r="BL83" s="6" t="n">
        <v>0</v>
      </c>
      <c r="BM83" s="6" t="n">
        <v>0</v>
      </c>
      <c r="BN83" s="6" t="n">
        <v>50000</v>
      </c>
      <c r="BO83" s="6" t="n">
        <v>0</v>
      </c>
      <c r="BP83" s="6" t="n">
        <v>0</v>
      </c>
      <c r="BQ83" s="6" t="n">
        <v>56671.22</v>
      </c>
      <c r="BR83" s="6" t="n">
        <v>0</v>
      </c>
      <c r="BS83" s="6" t="n">
        <v>0</v>
      </c>
      <c r="BT83" s="6" t="n">
        <v>0</v>
      </c>
      <c r="BU83" s="6" t="n">
        <v>0</v>
      </c>
      <c r="BV83" s="6" t="n">
        <v>0</v>
      </c>
      <c r="BW83" s="6" t="n">
        <v>0</v>
      </c>
      <c r="BX83" s="6" t="n">
        <f aca="false">+BR83+BU83+BL83+BO83</f>
        <v>0</v>
      </c>
      <c r="BY83" s="6" t="n">
        <f aca="false">+BS83+BV83+BM83+BP83</f>
        <v>0</v>
      </c>
      <c r="BZ83" s="6" t="n">
        <f aca="false">+BT83+BW83+BN83+BQ83</f>
        <v>106671.22</v>
      </c>
      <c r="CA83" s="6" t="n">
        <v>0</v>
      </c>
      <c r="CB83" s="6" t="n">
        <v>0</v>
      </c>
      <c r="CC83" s="6" t="n">
        <v>0</v>
      </c>
      <c r="CD83" s="6" t="n">
        <v>0</v>
      </c>
      <c r="CE83" s="6" t="n">
        <v>0</v>
      </c>
      <c r="CF83" s="6" t="n">
        <v>0</v>
      </c>
      <c r="CG83" s="6" t="n">
        <v>0</v>
      </c>
      <c r="CH83" s="6" t="n">
        <v>0</v>
      </c>
      <c r="CI83" s="6" t="n">
        <v>0</v>
      </c>
      <c r="CJ83" s="6" t="n">
        <v>0</v>
      </c>
      <c r="CK83" s="6" t="n">
        <v>0</v>
      </c>
      <c r="CL83" s="6" t="n">
        <v>0</v>
      </c>
      <c r="CM83" s="6" t="n">
        <f aca="false">+CG83+CJ83+CA83+CD83</f>
        <v>0</v>
      </c>
      <c r="CN83" s="6" t="n">
        <f aca="false">+CH83+CK83+CB83+CE83</f>
        <v>0</v>
      </c>
      <c r="CO83" s="6" t="n">
        <f aca="false">+CI83+CL83+CC83+CF83</f>
        <v>0</v>
      </c>
      <c r="CP83" s="6" t="n">
        <v>0</v>
      </c>
      <c r="CQ83" s="6" t="n">
        <v>0</v>
      </c>
      <c r="CR83" s="6" t="n">
        <v>0</v>
      </c>
      <c r="CS83" s="6" t="n">
        <v>0</v>
      </c>
      <c r="CT83" s="6" t="n">
        <v>0</v>
      </c>
      <c r="CU83" s="6" t="n">
        <v>0</v>
      </c>
      <c r="CV83" s="6" t="n">
        <v>0</v>
      </c>
      <c r="CW83" s="6" t="n">
        <v>0</v>
      </c>
      <c r="CX83" s="6" t="n">
        <v>0</v>
      </c>
      <c r="CY83" s="6" t="n">
        <v>0</v>
      </c>
      <c r="CZ83" s="6" t="n">
        <v>0</v>
      </c>
      <c r="DA83" s="6" t="n">
        <v>0</v>
      </c>
      <c r="DB83" s="6" t="n">
        <f aca="false">+CV83+CY83+CP83+CS83</f>
        <v>0</v>
      </c>
      <c r="DC83" s="6" t="n">
        <f aca="false">+CW83+CZ83+CQ83+CT83</f>
        <v>0</v>
      </c>
      <c r="DD83" s="6" t="n">
        <f aca="false">+CX83+DA83+CR83+CU83</f>
        <v>0</v>
      </c>
      <c r="DE83" s="6" t="n">
        <v>0</v>
      </c>
      <c r="DF83" s="6" t="n">
        <v>0</v>
      </c>
      <c r="DG83" s="6" t="n">
        <v>0</v>
      </c>
      <c r="DH83" s="6" t="n">
        <v>0</v>
      </c>
      <c r="DI83" s="6" t="n">
        <v>0</v>
      </c>
      <c r="DJ83" s="6" t="n">
        <v>0</v>
      </c>
      <c r="DK83" s="6" t="n">
        <v>0</v>
      </c>
      <c r="DL83" s="6" t="n">
        <v>0</v>
      </c>
      <c r="DM83" s="6" t="n">
        <v>0</v>
      </c>
      <c r="DN83" s="6" t="n">
        <v>0</v>
      </c>
      <c r="DO83" s="6" t="n">
        <v>0</v>
      </c>
      <c r="DP83" s="6" t="n">
        <v>0</v>
      </c>
      <c r="DQ83" s="6" t="n">
        <f aca="false">+DK83+DN83+DE83+DH83</f>
        <v>0</v>
      </c>
      <c r="DR83" s="6" t="n">
        <f aca="false">+DL83+DO83+DF83+DI83</f>
        <v>0</v>
      </c>
      <c r="DS83" s="6" t="n">
        <f aca="false">+DM83+DP83+DG83+DJ83</f>
        <v>0</v>
      </c>
      <c r="DT83" s="31" t="n">
        <f aca="false">+P83+AE83+AT83+BI83+BX83+CM83+DB83</f>
        <v>106671.22</v>
      </c>
      <c r="DU83" s="31" t="n">
        <f aca="false">+Q83+AF83+AU83+BJ83+BY83+CN83+DC83</f>
        <v>106671.22</v>
      </c>
      <c r="DV83" s="31" t="n">
        <f aca="false">+R83+AG83+AV83+BK83+BZ83+CO83+DD83</f>
        <v>106671.22</v>
      </c>
      <c r="DW83" s="31" t="n">
        <f aca="false">+DU83-DV83</f>
        <v>0</v>
      </c>
    </row>
    <row r="84" customFormat="false" ht="13.8" hidden="false" customHeight="false" outlineLevel="0" collapsed="false">
      <c r="A84" s="27" t="n">
        <v>45092</v>
      </c>
      <c r="B84" s="28" t="s">
        <v>392</v>
      </c>
      <c r="C84" s="28" t="s">
        <v>393</v>
      </c>
      <c r="D84" s="29" t="s">
        <v>394</v>
      </c>
      <c r="E84" s="35" t="s">
        <v>395</v>
      </c>
      <c r="F84" s="27" t="s">
        <v>396</v>
      </c>
      <c r="G84" s="27" t="s">
        <v>15</v>
      </c>
      <c r="H84" s="30" t="n">
        <v>3800000</v>
      </c>
      <c r="I84" s="30" t="n">
        <v>3800000</v>
      </c>
      <c r="J84" s="6" t="n">
        <v>0</v>
      </c>
      <c r="K84" s="6" t="n">
        <v>0</v>
      </c>
      <c r="L84" s="6" t="n">
        <v>0</v>
      </c>
      <c r="M84" s="6" t="n">
        <v>0</v>
      </c>
      <c r="N84" s="6" t="n">
        <v>0</v>
      </c>
      <c r="O84" s="6" t="n">
        <v>0</v>
      </c>
      <c r="P84" s="6" t="n">
        <f aca="false">+J84+M84</f>
        <v>0</v>
      </c>
      <c r="Q84" s="6" t="n">
        <f aca="false">+K84+N84</f>
        <v>0</v>
      </c>
      <c r="R84" s="6" t="n">
        <f aca="false">+L84+O84</f>
        <v>0</v>
      </c>
      <c r="S84" s="6" t="n">
        <v>0</v>
      </c>
      <c r="T84" s="6" t="n">
        <v>0</v>
      </c>
      <c r="U84" s="6" t="n">
        <v>0</v>
      </c>
      <c r="V84" s="6" t="n">
        <v>0</v>
      </c>
      <c r="W84" s="6" t="n">
        <v>0</v>
      </c>
      <c r="X84" s="6" t="n">
        <v>0</v>
      </c>
      <c r="Y84" s="6" t="n">
        <v>0</v>
      </c>
      <c r="Z84" s="6" t="n">
        <v>0</v>
      </c>
      <c r="AA84" s="6" t="n">
        <v>0</v>
      </c>
      <c r="AB84" s="6" t="n">
        <v>0</v>
      </c>
      <c r="AC84" s="6" t="n">
        <v>0</v>
      </c>
      <c r="AD84" s="6" t="n">
        <v>0</v>
      </c>
      <c r="AE84" s="6" t="n">
        <f aca="false">+Y84+AB84+S84+V84</f>
        <v>0</v>
      </c>
      <c r="AF84" s="6" t="n">
        <f aca="false">+Z84+AC84+T84+W84</f>
        <v>0</v>
      </c>
      <c r="AG84" s="6" t="n">
        <f aca="false">+AA84+AD84+U84+X84</f>
        <v>0</v>
      </c>
      <c r="AH84" s="6" t="n">
        <v>0</v>
      </c>
      <c r="AI84" s="6" t="n">
        <v>0</v>
      </c>
      <c r="AJ84" s="6" t="n">
        <v>0</v>
      </c>
      <c r="AK84" s="6" t="n">
        <v>0</v>
      </c>
      <c r="AL84" s="6" t="n">
        <v>0</v>
      </c>
      <c r="AM84" s="6" t="n">
        <v>0</v>
      </c>
      <c r="AN84" s="6" t="n">
        <v>0</v>
      </c>
      <c r="AO84" s="6" t="n">
        <v>0</v>
      </c>
      <c r="AP84" s="6" t="n">
        <v>0</v>
      </c>
      <c r="AQ84" s="6" t="n">
        <v>0</v>
      </c>
      <c r="AR84" s="6" t="n">
        <v>0</v>
      </c>
      <c r="AS84" s="6" t="n">
        <v>0</v>
      </c>
      <c r="AT84" s="6" t="n">
        <f aca="false">+AN84+AQ84+AH84+AK84</f>
        <v>0</v>
      </c>
      <c r="AU84" s="6" t="n">
        <f aca="false">+AO84+AR84+AI84+AL84</f>
        <v>0</v>
      </c>
      <c r="AV84" s="6" t="n">
        <f aca="false">+AP84+AS84+AJ84+AM84</f>
        <v>0</v>
      </c>
      <c r="AW84" s="6" t="n">
        <v>0</v>
      </c>
      <c r="AX84" s="6" t="n">
        <v>0</v>
      </c>
      <c r="AY84" s="6" t="n">
        <v>0</v>
      </c>
      <c r="AZ84" s="6" t="n">
        <v>0</v>
      </c>
      <c r="BA84" s="6" t="n">
        <v>0</v>
      </c>
      <c r="BB84" s="6" t="n">
        <v>0</v>
      </c>
      <c r="BC84" s="30" t="n">
        <v>3800000</v>
      </c>
      <c r="BD84" s="30" t="n">
        <v>3800000</v>
      </c>
      <c r="BE84" s="6" t="n">
        <v>0</v>
      </c>
      <c r="BF84" s="6" t="n">
        <v>0</v>
      </c>
      <c r="BG84" s="6" t="n">
        <v>0</v>
      </c>
      <c r="BH84" s="6" t="n">
        <v>0</v>
      </c>
      <c r="BI84" s="6" t="n">
        <f aca="false">+BC84+BF84+AW84+AZ84</f>
        <v>3800000</v>
      </c>
      <c r="BJ84" s="6" t="n">
        <f aca="false">+BD84+BG84+AX84+BA84</f>
        <v>3800000</v>
      </c>
      <c r="BK84" s="6" t="n">
        <f aca="false">+BE84+BH84+AY84+BB84</f>
        <v>0</v>
      </c>
      <c r="BL84" s="6" t="n">
        <v>0</v>
      </c>
      <c r="BM84" s="6" t="n">
        <v>0</v>
      </c>
      <c r="BN84" s="6" t="n">
        <v>1000000</v>
      </c>
      <c r="BO84" s="6" t="n">
        <v>0</v>
      </c>
      <c r="BP84" s="6" t="n">
        <v>0</v>
      </c>
      <c r="BQ84" s="6" t="n">
        <v>1000000</v>
      </c>
      <c r="BR84" s="6" t="n">
        <v>0</v>
      </c>
      <c r="BS84" s="6" t="n">
        <v>0</v>
      </c>
      <c r="BT84" s="6" t="n">
        <v>1800000</v>
      </c>
      <c r="BU84" s="6" t="n">
        <v>0</v>
      </c>
      <c r="BV84" s="6" t="n">
        <v>0</v>
      </c>
      <c r="BW84" s="6" t="n">
        <v>0</v>
      </c>
      <c r="BX84" s="6" t="n">
        <f aca="false">+BR84+BU84+BL84+BO84</f>
        <v>0</v>
      </c>
      <c r="BY84" s="6" t="n">
        <f aca="false">+BS84+BV84+BM84+BP84</f>
        <v>0</v>
      </c>
      <c r="BZ84" s="6" t="n">
        <f aca="false">+BT84+BW84+BN84+BQ84</f>
        <v>3800000</v>
      </c>
      <c r="CA84" s="6" t="n">
        <v>0</v>
      </c>
      <c r="CB84" s="6" t="n">
        <v>0</v>
      </c>
      <c r="CC84" s="6" t="n">
        <v>0</v>
      </c>
      <c r="CD84" s="6" t="n">
        <v>0</v>
      </c>
      <c r="CE84" s="6" t="n">
        <v>0</v>
      </c>
      <c r="CF84" s="6" t="n">
        <v>0</v>
      </c>
      <c r="CG84" s="6" t="n">
        <v>0</v>
      </c>
      <c r="CH84" s="6" t="n">
        <v>0</v>
      </c>
      <c r="CI84" s="6" t="n">
        <v>0</v>
      </c>
      <c r="CJ84" s="6" t="n">
        <v>0</v>
      </c>
      <c r="CK84" s="6" t="n">
        <v>0</v>
      </c>
      <c r="CL84" s="6" t="n">
        <v>0</v>
      </c>
      <c r="CM84" s="6" t="n">
        <f aca="false">+CG84+CJ84+CA84+CD84</f>
        <v>0</v>
      </c>
      <c r="CN84" s="6" t="n">
        <f aca="false">+CH84+CK84+CB84+CE84</f>
        <v>0</v>
      </c>
      <c r="CO84" s="6" t="n">
        <f aca="false">+CI84+CL84+CC84+CF84</f>
        <v>0</v>
      </c>
      <c r="CP84" s="6" t="n">
        <v>0</v>
      </c>
      <c r="CQ84" s="6" t="n">
        <v>0</v>
      </c>
      <c r="CR84" s="6" t="n">
        <v>0</v>
      </c>
      <c r="CS84" s="6" t="n">
        <v>0</v>
      </c>
      <c r="CT84" s="6" t="n">
        <v>0</v>
      </c>
      <c r="CU84" s="6" t="n">
        <v>0</v>
      </c>
      <c r="CV84" s="6" t="n">
        <v>0</v>
      </c>
      <c r="CW84" s="6" t="n">
        <v>0</v>
      </c>
      <c r="CX84" s="6" t="n">
        <v>0</v>
      </c>
      <c r="CY84" s="6" t="n">
        <v>0</v>
      </c>
      <c r="CZ84" s="6" t="n">
        <v>0</v>
      </c>
      <c r="DA84" s="6" t="n">
        <v>0</v>
      </c>
      <c r="DB84" s="6" t="n">
        <f aca="false">+CV84+CY84+CP84+CS84</f>
        <v>0</v>
      </c>
      <c r="DC84" s="6" t="n">
        <f aca="false">+CW84+CZ84+CQ84+CT84</f>
        <v>0</v>
      </c>
      <c r="DD84" s="6" t="n">
        <f aca="false">+CX84+DA84+CR84+CU84</f>
        <v>0</v>
      </c>
      <c r="DE84" s="6" t="n">
        <v>0</v>
      </c>
      <c r="DF84" s="6" t="n">
        <v>0</v>
      </c>
      <c r="DG84" s="6" t="n">
        <v>0</v>
      </c>
      <c r="DH84" s="6" t="n">
        <v>0</v>
      </c>
      <c r="DI84" s="6" t="n">
        <v>0</v>
      </c>
      <c r="DJ84" s="6" t="n">
        <v>0</v>
      </c>
      <c r="DK84" s="6" t="n">
        <v>0</v>
      </c>
      <c r="DL84" s="6" t="n">
        <v>0</v>
      </c>
      <c r="DM84" s="6" t="n">
        <v>0</v>
      </c>
      <c r="DN84" s="6" t="n">
        <v>0</v>
      </c>
      <c r="DO84" s="6" t="n">
        <v>0</v>
      </c>
      <c r="DP84" s="6" t="n">
        <v>0</v>
      </c>
      <c r="DQ84" s="6" t="n">
        <f aca="false">+DK84+DN84+DE84+DH84</f>
        <v>0</v>
      </c>
      <c r="DR84" s="6" t="n">
        <f aca="false">+DL84+DO84+DF84+DI84</f>
        <v>0</v>
      </c>
      <c r="DS84" s="6" t="n">
        <f aca="false">+DM84+DP84+DG84+DJ84</f>
        <v>0</v>
      </c>
      <c r="DT84" s="31" t="n">
        <f aca="false">+P84+AE84+AT84+BI84+BX84+CM84+DB84</f>
        <v>3800000</v>
      </c>
      <c r="DU84" s="31" t="n">
        <f aca="false">+Q84+AF84+AU84+BJ84+BY84+CN84+DC84</f>
        <v>3800000</v>
      </c>
      <c r="DV84" s="31" t="n">
        <f aca="false">+R84+AG84+AV84+BK84+BZ84+CO84+DD84</f>
        <v>3800000</v>
      </c>
      <c r="DW84" s="31" t="n">
        <f aca="false">+DU84-DV84</f>
        <v>0</v>
      </c>
    </row>
    <row r="85" customFormat="false" ht="13.8" hidden="false" customHeight="false" outlineLevel="0" collapsed="false">
      <c r="A85" s="27" t="n">
        <v>45092</v>
      </c>
      <c r="B85" s="28" t="s">
        <v>392</v>
      </c>
      <c r="C85" s="28" t="s">
        <v>393</v>
      </c>
      <c r="D85" s="29" t="s">
        <v>394</v>
      </c>
      <c r="E85" s="35" t="s">
        <v>395</v>
      </c>
      <c r="F85" s="27" t="s">
        <v>396</v>
      </c>
      <c r="G85" s="27" t="s">
        <v>15</v>
      </c>
      <c r="H85" s="30" t="n">
        <v>3625340</v>
      </c>
      <c r="I85" s="30" t="n">
        <v>3625340</v>
      </c>
      <c r="J85" s="6" t="n">
        <v>0</v>
      </c>
      <c r="K85" s="6" t="n">
        <v>0</v>
      </c>
      <c r="L85" s="6" t="n">
        <v>0</v>
      </c>
      <c r="M85" s="6" t="n">
        <v>0</v>
      </c>
      <c r="N85" s="6" t="n">
        <v>0</v>
      </c>
      <c r="O85" s="6" t="n">
        <v>0</v>
      </c>
      <c r="P85" s="6" t="n">
        <f aca="false">+J85+M85</f>
        <v>0</v>
      </c>
      <c r="Q85" s="6" t="n">
        <f aca="false">+K85+N85</f>
        <v>0</v>
      </c>
      <c r="R85" s="6" t="n">
        <f aca="false">+L85+O85</f>
        <v>0</v>
      </c>
      <c r="S85" s="6" t="n">
        <v>0</v>
      </c>
      <c r="T85" s="6" t="n">
        <v>0</v>
      </c>
      <c r="U85" s="6" t="n">
        <v>0</v>
      </c>
      <c r="V85" s="6" t="n">
        <v>0</v>
      </c>
      <c r="W85" s="6" t="n">
        <v>0</v>
      </c>
      <c r="X85" s="6" t="n">
        <v>0</v>
      </c>
      <c r="Y85" s="6" t="n">
        <v>0</v>
      </c>
      <c r="Z85" s="6" t="n">
        <v>0</v>
      </c>
      <c r="AA85" s="6" t="n">
        <v>0</v>
      </c>
      <c r="AB85" s="6" t="n">
        <v>0</v>
      </c>
      <c r="AC85" s="6" t="n">
        <v>0</v>
      </c>
      <c r="AD85" s="6" t="n">
        <v>0</v>
      </c>
      <c r="AE85" s="6" t="n">
        <f aca="false">+Y85+AB85+S85+V85</f>
        <v>0</v>
      </c>
      <c r="AF85" s="6" t="n">
        <f aca="false">+Z85+AC85+T85+W85</f>
        <v>0</v>
      </c>
      <c r="AG85" s="6" t="n">
        <f aca="false">+AA85+AD85+U85+X85</f>
        <v>0</v>
      </c>
      <c r="AH85" s="6" t="n">
        <v>0</v>
      </c>
      <c r="AI85" s="6" t="n">
        <v>0</v>
      </c>
      <c r="AJ85" s="6" t="n">
        <v>0</v>
      </c>
      <c r="AK85" s="6" t="n">
        <v>0</v>
      </c>
      <c r="AL85" s="6" t="n">
        <v>0</v>
      </c>
      <c r="AM85" s="6" t="n">
        <v>0</v>
      </c>
      <c r="AN85" s="6" t="n">
        <v>0</v>
      </c>
      <c r="AO85" s="6" t="n">
        <v>0</v>
      </c>
      <c r="AP85" s="6" t="n">
        <v>0</v>
      </c>
      <c r="AQ85" s="6" t="n">
        <v>0</v>
      </c>
      <c r="AR85" s="6" t="n">
        <v>0</v>
      </c>
      <c r="AS85" s="6" t="n">
        <v>0</v>
      </c>
      <c r="AT85" s="6" t="n">
        <f aca="false">+AN85+AQ85+AH85+AK85</f>
        <v>0</v>
      </c>
      <c r="AU85" s="6" t="n">
        <f aca="false">+AO85+AR85+AI85+AL85</f>
        <v>0</v>
      </c>
      <c r="AV85" s="6" t="n">
        <f aca="false">+AP85+AS85+AJ85+AM85</f>
        <v>0</v>
      </c>
      <c r="AW85" s="6" t="n">
        <v>0</v>
      </c>
      <c r="AX85" s="6" t="n">
        <v>0</v>
      </c>
      <c r="AY85" s="6" t="n">
        <v>0</v>
      </c>
      <c r="AZ85" s="6" t="n">
        <v>0</v>
      </c>
      <c r="BA85" s="6" t="n">
        <v>0</v>
      </c>
      <c r="BB85" s="6" t="n">
        <v>0</v>
      </c>
      <c r="BC85" s="30" t="n">
        <v>3625340</v>
      </c>
      <c r="BD85" s="30" t="n">
        <v>3625340</v>
      </c>
      <c r="BE85" s="6" t="n">
        <v>0</v>
      </c>
      <c r="BF85" s="6" t="n">
        <v>0</v>
      </c>
      <c r="BG85" s="6" t="n">
        <v>0</v>
      </c>
      <c r="BH85" s="6" t="n">
        <v>0</v>
      </c>
      <c r="BI85" s="6" t="n">
        <f aca="false">+BC85+BF85+AW85+AZ85</f>
        <v>3625340</v>
      </c>
      <c r="BJ85" s="6" t="n">
        <f aca="false">+BD85+BG85+AX85+BA85</f>
        <v>3625340</v>
      </c>
      <c r="BK85" s="6" t="n">
        <f aca="false">+BE85+BH85+AY85+BB85</f>
        <v>0</v>
      </c>
      <c r="BL85" s="6" t="n">
        <v>0</v>
      </c>
      <c r="BM85" s="6" t="n">
        <v>0</v>
      </c>
      <c r="BN85" s="6" t="n">
        <v>0</v>
      </c>
      <c r="BO85" s="6" t="n">
        <v>0</v>
      </c>
      <c r="BP85" s="6" t="n">
        <v>0</v>
      </c>
      <c r="BQ85" s="6" t="n">
        <v>0</v>
      </c>
      <c r="BR85" s="6" t="n">
        <v>0</v>
      </c>
      <c r="BS85" s="6" t="n">
        <v>0</v>
      </c>
      <c r="BT85" s="6" t="n">
        <v>0</v>
      </c>
      <c r="BU85" s="6" t="n">
        <v>0</v>
      </c>
      <c r="BV85" s="6" t="n">
        <v>0</v>
      </c>
      <c r="BW85" s="6" t="n">
        <v>1300000</v>
      </c>
      <c r="BX85" s="6" t="n">
        <f aca="false">+BR85+BU85+BL85+BO85</f>
        <v>0</v>
      </c>
      <c r="BY85" s="6" t="n">
        <f aca="false">+BS85+BV85+BM85+BP85</f>
        <v>0</v>
      </c>
      <c r="BZ85" s="6" t="n">
        <f aca="false">+BT85+BW85+BN85+BQ85</f>
        <v>1300000</v>
      </c>
      <c r="CA85" s="6" t="n">
        <v>0</v>
      </c>
      <c r="CB85" s="6" t="n">
        <v>0</v>
      </c>
      <c r="CC85" s="6" t="n">
        <v>2000000</v>
      </c>
      <c r="CD85" s="6" t="n">
        <v>0</v>
      </c>
      <c r="CE85" s="6" t="n">
        <v>0</v>
      </c>
      <c r="CF85" s="6" t="n">
        <v>0</v>
      </c>
      <c r="CG85" s="6" t="n">
        <v>0</v>
      </c>
      <c r="CH85" s="6" t="n">
        <v>0</v>
      </c>
      <c r="CI85" s="6" t="n">
        <v>0</v>
      </c>
      <c r="CJ85" s="6" t="n">
        <v>0</v>
      </c>
      <c r="CK85" s="6" t="n">
        <v>0</v>
      </c>
      <c r="CL85" s="6" t="n">
        <v>0</v>
      </c>
      <c r="CM85" s="6" t="n">
        <f aca="false">+CG85+CJ85+CA85+CD85</f>
        <v>0</v>
      </c>
      <c r="CN85" s="6" t="n">
        <f aca="false">+CH85+CK85+CB85+CE85</f>
        <v>0</v>
      </c>
      <c r="CO85" s="6" t="n">
        <f aca="false">+CI85+CL85+CC85+CF85</f>
        <v>2000000</v>
      </c>
      <c r="CP85" s="30" t="n">
        <v>1664288.27</v>
      </c>
      <c r="CQ85" s="30" t="n">
        <v>1664288.27</v>
      </c>
      <c r="CR85" s="6" t="n">
        <v>0</v>
      </c>
      <c r="CS85" s="6" t="n">
        <v>0</v>
      </c>
      <c r="CT85" s="6" t="n">
        <v>0</v>
      </c>
      <c r="CU85" s="6" t="n">
        <v>0</v>
      </c>
      <c r="CV85" s="6" t="n">
        <v>0</v>
      </c>
      <c r="CW85" s="6" t="n">
        <v>0</v>
      </c>
      <c r="CX85" s="6" t="n">
        <v>0</v>
      </c>
      <c r="CY85" s="6" t="n">
        <v>0</v>
      </c>
      <c r="CZ85" s="6" t="n">
        <v>0</v>
      </c>
      <c r="DA85" s="6" t="n">
        <v>0</v>
      </c>
      <c r="DB85" s="6" t="n">
        <f aca="false">+CV85+CY85+CP85+CS85</f>
        <v>1664288.27</v>
      </c>
      <c r="DC85" s="6" t="n">
        <f aca="false">+CW85+CZ85+CQ85+CT85</f>
        <v>1664288.27</v>
      </c>
      <c r="DD85" s="6" t="n">
        <f aca="false">+CX85+DA85+CR85+CU85</f>
        <v>0</v>
      </c>
      <c r="DE85" s="30" t="n">
        <v>1664288.27</v>
      </c>
      <c r="DF85" s="30" t="n">
        <v>1664288.27</v>
      </c>
      <c r="DG85" s="6" t="n">
        <v>0</v>
      </c>
      <c r="DH85" s="6" t="n">
        <v>0</v>
      </c>
      <c r="DI85" s="6" t="n">
        <v>0</v>
      </c>
      <c r="DJ85" s="6" t="n">
        <v>0</v>
      </c>
      <c r="DK85" s="6" t="n">
        <v>0</v>
      </c>
      <c r="DL85" s="6" t="n">
        <v>0</v>
      </c>
      <c r="DM85" s="6" t="n">
        <v>0</v>
      </c>
      <c r="DN85" s="6" t="n">
        <v>0</v>
      </c>
      <c r="DO85" s="6" t="n">
        <v>0</v>
      </c>
      <c r="DP85" s="6" t="n">
        <v>0</v>
      </c>
      <c r="DQ85" s="6" t="n">
        <f aca="false">+DK85+DN85+DE85+DH85</f>
        <v>1664288.27</v>
      </c>
      <c r="DR85" s="6" t="n">
        <f aca="false">+DL85+DO85+DF85+DI85</f>
        <v>1664288.27</v>
      </c>
      <c r="DS85" s="6" t="n">
        <f aca="false">+DM85+DP85+DG85+DJ85</f>
        <v>0</v>
      </c>
      <c r="DT85" s="31" t="n">
        <f aca="false">+P85+AE85+AT85+BI85+BX85+CM85+DB85</f>
        <v>5289628.27</v>
      </c>
      <c r="DU85" s="31" t="n">
        <f aca="false">+Q85+AF85+AU85+BJ85+BY85+CN85+DC85</f>
        <v>5289628.27</v>
      </c>
      <c r="DV85" s="31" t="n">
        <f aca="false">+R85+AG85+AV85+BK85+BZ85+CO85+DD85</f>
        <v>3300000</v>
      </c>
      <c r="DW85" s="31" t="n">
        <f aca="false">+DU85-DV85</f>
        <v>1989628.27</v>
      </c>
    </row>
    <row r="86" customFormat="false" ht="13.8" hidden="false" customHeight="false" outlineLevel="0" collapsed="false">
      <c r="A86" s="27" t="n">
        <v>45085</v>
      </c>
      <c r="B86" s="28" t="s">
        <v>397</v>
      </c>
      <c r="C86" s="28" t="s">
        <v>398</v>
      </c>
      <c r="D86" s="29" t="s">
        <v>399</v>
      </c>
      <c r="E86" s="28" t="s">
        <v>400</v>
      </c>
      <c r="F86" s="27" t="s">
        <v>401</v>
      </c>
      <c r="G86" s="27" t="s">
        <v>15</v>
      </c>
      <c r="H86" s="30" t="n">
        <v>500000</v>
      </c>
      <c r="I86" s="30" t="n">
        <v>500000</v>
      </c>
      <c r="J86" s="6" t="n">
        <v>0</v>
      </c>
      <c r="K86" s="6" t="n">
        <v>0</v>
      </c>
      <c r="L86" s="6" t="n">
        <v>0</v>
      </c>
      <c r="M86" s="6" t="n">
        <v>0</v>
      </c>
      <c r="N86" s="6" t="n">
        <v>0</v>
      </c>
      <c r="O86" s="6" t="n">
        <v>0</v>
      </c>
      <c r="P86" s="6" t="n">
        <f aca="false">+J86+M86</f>
        <v>0</v>
      </c>
      <c r="Q86" s="6" t="n">
        <f aca="false">+K86+N86</f>
        <v>0</v>
      </c>
      <c r="R86" s="6" t="n">
        <f aca="false">+L86+O86</f>
        <v>0</v>
      </c>
      <c r="S86" s="6" t="n">
        <v>0</v>
      </c>
      <c r="T86" s="6" t="n">
        <v>0</v>
      </c>
      <c r="U86" s="6" t="n">
        <v>0</v>
      </c>
      <c r="V86" s="6" t="n">
        <v>0</v>
      </c>
      <c r="W86" s="6" t="n">
        <v>0</v>
      </c>
      <c r="X86" s="6" t="n">
        <v>0</v>
      </c>
      <c r="Y86" s="6" t="n">
        <v>0</v>
      </c>
      <c r="Z86" s="6" t="n">
        <v>0</v>
      </c>
      <c r="AA86" s="6" t="n">
        <v>0</v>
      </c>
      <c r="AB86" s="6" t="n">
        <v>0</v>
      </c>
      <c r="AC86" s="6" t="n">
        <v>0</v>
      </c>
      <c r="AD86" s="6" t="n">
        <v>0</v>
      </c>
      <c r="AE86" s="6" t="n">
        <f aca="false">+Y86+AB86+S86+V86</f>
        <v>0</v>
      </c>
      <c r="AF86" s="6" t="n">
        <f aca="false">+Z86+AC86+T86+W86</f>
        <v>0</v>
      </c>
      <c r="AG86" s="6" t="n">
        <f aca="false">+AA86+AD86+U86+X86</f>
        <v>0</v>
      </c>
      <c r="AH86" s="6" t="n">
        <v>0</v>
      </c>
      <c r="AI86" s="6" t="n">
        <v>0</v>
      </c>
      <c r="AJ86" s="6" t="n">
        <v>0</v>
      </c>
      <c r="AK86" s="6" t="n">
        <v>0</v>
      </c>
      <c r="AL86" s="6" t="n">
        <v>0</v>
      </c>
      <c r="AM86" s="6" t="n">
        <v>0</v>
      </c>
      <c r="AN86" s="6" t="n">
        <v>0</v>
      </c>
      <c r="AO86" s="6" t="n">
        <v>0</v>
      </c>
      <c r="AP86" s="6" t="n">
        <v>0</v>
      </c>
      <c r="AQ86" s="6" t="n">
        <v>0</v>
      </c>
      <c r="AR86" s="6" t="n">
        <v>0</v>
      </c>
      <c r="AS86" s="6" t="n">
        <v>0</v>
      </c>
      <c r="AT86" s="6" t="n">
        <f aca="false">+AN86+AQ86+AH86+AK86</f>
        <v>0</v>
      </c>
      <c r="AU86" s="6" t="n">
        <f aca="false">+AO86+AR86+AI86+AL86</f>
        <v>0</v>
      </c>
      <c r="AV86" s="6" t="n">
        <f aca="false">+AP86+AS86+AJ86+AM86</f>
        <v>0</v>
      </c>
      <c r="AW86" s="6" t="n">
        <v>0</v>
      </c>
      <c r="AX86" s="6" t="n">
        <v>0</v>
      </c>
      <c r="AY86" s="6" t="n">
        <v>0</v>
      </c>
      <c r="AZ86" s="6" t="n">
        <v>0</v>
      </c>
      <c r="BA86" s="6" t="n">
        <v>0</v>
      </c>
      <c r="BB86" s="6" t="n">
        <v>0</v>
      </c>
      <c r="BC86" s="30" t="n">
        <v>500000</v>
      </c>
      <c r="BD86" s="30" t="n">
        <v>500000</v>
      </c>
      <c r="BE86" s="6" t="n">
        <v>0</v>
      </c>
      <c r="BF86" s="6" t="n">
        <v>0</v>
      </c>
      <c r="BG86" s="6" t="n">
        <v>0</v>
      </c>
      <c r="BH86" s="6" t="n">
        <v>500000</v>
      </c>
      <c r="BI86" s="6" t="n">
        <f aca="false">+BC86+BF86+AW86+AZ86</f>
        <v>500000</v>
      </c>
      <c r="BJ86" s="6" t="n">
        <f aca="false">+BD86+BG86+AX86+BA86</f>
        <v>500000</v>
      </c>
      <c r="BK86" s="6" t="n">
        <f aca="false">+BE86+BH86+AY86+BB86</f>
        <v>500000</v>
      </c>
      <c r="BL86" s="6" t="n">
        <v>0</v>
      </c>
      <c r="BM86" s="6" t="n">
        <v>0</v>
      </c>
      <c r="BN86" s="6" t="n">
        <v>0</v>
      </c>
      <c r="BO86" s="6" t="n">
        <v>0</v>
      </c>
      <c r="BP86" s="6" t="n">
        <v>0</v>
      </c>
      <c r="BQ86" s="6" t="n">
        <v>0</v>
      </c>
      <c r="BR86" s="6" t="n">
        <v>0</v>
      </c>
      <c r="BS86" s="6" t="n">
        <v>0</v>
      </c>
      <c r="BT86" s="6" t="n">
        <v>0</v>
      </c>
      <c r="BU86" s="6" t="n">
        <v>0</v>
      </c>
      <c r="BV86" s="6" t="n">
        <v>0</v>
      </c>
      <c r="BW86" s="6" t="n">
        <v>0</v>
      </c>
      <c r="BX86" s="6" t="n">
        <f aca="false">+BR86+BU86+BL86+BO86</f>
        <v>0</v>
      </c>
      <c r="BY86" s="6" t="n">
        <f aca="false">+BS86+BV86+BM86+BP86</f>
        <v>0</v>
      </c>
      <c r="BZ86" s="6" t="n">
        <f aca="false">+BT86+BW86+BN86+BQ86</f>
        <v>0</v>
      </c>
      <c r="CA86" s="6" t="n">
        <v>0</v>
      </c>
      <c r="CB86" s="6" t="n">
        <v>0</v>
      </c>
      <c r="CC86" s="6" t="n">
        <v>0</v>
      </c>
      <c r="CD86" s="6" t="n">
        <v>0</v>
      </c>
      <c r="CE86" s="6" t="n">
        <v>0</v>
      </c>
      <c r="CF86" s="6" t="n">
        <v>0</v>
      </c>
      <c r="CG86" s="6" t="n">
        <v>0</v>
      </c>
      <c r="CH86" s="6" t="n">
        <v>0</v>
      </c>
      <c r="CI86" s="6" t="n">
        <v>0</v>
      </c>
      <c r="CJ86" s="6" t="n">
        <v>0</v>
      </c>
      <c r="CK86" s="6" t="n">
        <v>0</v>
      </c>
      <c r="CL86" s="6" t="n">
        <v>0</v>
      </c>
      <c r="CM86" s="6" t="n">
        <f aca="false">+CG86+CJ86+CA86+CD86</f>
        <v>0</v>
      </c>
      <c r="CN86" s="6" t="n">
        <f aca="false">+CH86+CK86+CB86+CE86</f>
        <v>0</v>
      </c>
      <c r="CO86" s="6" t="n">
        <f aca="false">+CI86+CL86+CC86+CF86</f>
        <v>0</v>
      </c>
      <c r="CP86" s="6" t="n">
        <v>0</v>
      </c>
      <c r="CQ86" s="6" t="n">
        <v>0</v>
      </c>
      <c r="CR86" s="6" t="n">
        <v>0</v>
      </c>
      <c r="CS86" s="6" t="n">
        <v>0</v>
      </c>
      <c r="CT86" s="6" t="n">
        <v>0</v>
      </c>
      <c r="CU86" s="6" t="n">
        <v>0</v>
      </c>
      <c r="CV86" s="6" t="n">
        <v>0</v>
      </c>
      <c r="CW86" s="6" t="n">
        <v>0</v>
      </c>
      <c r="CX86" s="6" t="n">
        <v>0</v>
      </c>
      <c r="CY86" s="6" t="n">
        <v>0</v>
      </c>
      <c r="CZ86" s="6" t="n">
        <v>0</v>
      </c>
      <c r="DA86" s="6" t="n">
        <v>0</v>
      </c>
      <c r="DB86" s="6" t="n">
        <f aca="false">+CV86+CY86+CP86+CS86</f>
        <v>0</v>
      </c>
      <c r="DC86" s="6" t="n">
        <f aca="false">+CW86+CZ86+CQ86+CT86</f>
        <v>0</v>
      </c>
      <c r="DD86" s="6" t="n">
        <f aca="false">+CX86+DA86+CR86+CU86</f>
        <v>0</v>
      </c>
      <c r="DE86" s="6" t="n">
        <v>0</v>
      </c>
      <c r="DF86" s="6" t="n">
        <v>0</v>
      </c>
      <c r="DG86" s="6" t="n">
        <v>0</v>
      </c>
      <c r="DH86" s="6" t="n">
        <v>0</v>
      </c>
      <c r="DI86" s="6" t="n">
        <v>0</v>
      </c>
      <c r="DJ86" s="6" t="n">
        <v>0</v>
      </c>
      <c r="DK86" s="6" t="n">
        <v>0</v>
      </c>
      <c r="DL86" s="6" t="n">
        <v>0</v>
      </c>
      <c r="DM86" s="6" t="n">
        <v>0</v>
      </c>
      <c r="DN86" s="6" t="n">
        <v>0</v>
      </c>
      <c r="DO86" s="6" t="n">
        <v>0</v>
      </c>
      <c r="DP86" s="6" t="n">
        <v>0</v>
      </c>
      <c r="DQ86" s="6" t="n">
        <f aca="false">+DK86+DN86+DE86+DH86</f>
        <v>0</v>
      </c>
      <c r="DR86" s="6" t="n">
        <f aca="false">+DL86+DO86+DF86+DI86</f>
        <v>0</v>
      </c>
      <c r="DS86" s="6" t="n">
        <f aca="false">+DM86+DP86+DG86+DJ86</f>
        <v>0</v>
      </c>
      <c r="DT86" s="31" t="n">
        <f aca="false">+P86+AE86+AT86+BI86+BX86+CM86+DB86</f>
        <v>500000</v>
      </c>
      <c r="DU86" s="31" t="n">
        <f aca="false">+Q86+AF86+AU86+BJ86+BY86+CN86+DC86</f>
        <v>500000</v>
      </c>
      <c r="DV86" s="31" t="n">
        <f aca="false">+R86+AG86+AV86+BK86+BZ86+CO86+DD86</f>
        <v>500000</v>
      </c>
      <c r="DW86" s="31" t="n">
        <f aca="false">+DU86-DV86</f>
        <v>0</v>
      </c>
    </row>
    <row r="87" customFormat="false" ht="13.8" hidden="false" customHeight="false" outlineLevel="0" collapsed="false">
      <c r="A87" s="27" t="n">
        <v>45114</v>
      </c>
      <c r="B87" s="28" t="s">
        <v>402</v>
      </c>
      <c r="C87" s="28" t="s">
        <v>403</v>
      </c>
      <c r="D87" s="29" t="s">
        <v>404</v>
      </c>
      <c r="E87" s="28" t="s">
        <v>405</v>
      </c>
      <c r="F87" s="27" t="s">
        <v>406</v>
      </c>
      <c r="G87" s="27" t="s">
        <v>16</v>
      </c>
      <c r="H87" s="30" t="n">
        <v>5520000</v>
      </c>
      <c r="I87" s="30" t="n">
        <v>5520000</v>
      </c>
      <c r="J87" s="6" t="n">
        <v>0</v>
      </c>
      <c r="K87" s="6" t="n">
        <v>0</v>
      </c>
      <c r="L87" s="6" t="n">
        <v>0</v>
      </c>
      <c r="M87" s="6" t="n">
        <v>0</v>
      </c>
      <c r="N87" s="6" t="n">
        <v>0</v>
      </c>
      <c r="O87" s="6" t="n">
        <v>0</v>
      </c>
      <c r="P87" s="6" t="n">
        <f aca="false">+J87+M87</f>
        <v>0</v>
      </c>
      <c r="Q87" s="6" t="n">
        <f aca="false">+K87+N87</f>
        <v>0</v>
      </c>
      <c r="R87" s="6" t="n">
        <f aca="false">+L87+O87</f>
        <v>0</v>
      </c>
      <c r="S87" s="6" t="n">
        <v>0</v>
      </c>
      <c r="T87" s="6" t="n">
        <v>0</v>
      </c>
      <c r="U87" s="6" t="n">
        <v>0</v>
      </c>
      <c r="V87" s="6" t="n">
        <v>0</v>
      </c>
      <c r="W87" s="6" t="n">
        <v>0</v>
      </c>
      <c r="X87" s="6" t="n">
        <v>0</v>
      </c>
      <c r="Y87" s="6" t="n">
        <v>0</v>
      </c>
      <c r="Z87" s="6" t="n">
        <v>0</v>
      </c>
      <c r="AA87" s="6" t="n">
        <v>0</v>
      </c>
      <c r="AB87" s="6" t="n">
        <v>0</v>
      </c>
      <c r="AC87" s="6" t="n">
        <v>0</v>
      </c>
      <c r="AD87" s="6" t="n">
        <v>0</v>
      </c>
      <c r="AE87" s="6" t="n">
        <f aca="false">+Y87+AB87+S87+V87</f>
        <v>0</v>
      </c>
      <c r="AF87" s="6" t="n">
        <f aca="false">+Z87+AC87+T87+W87</f>
        <v>0</v>
      </c>
      <c r="AG87" s="6" t="n">
        <f aca="false">+AA87+AD87+U87+X87</f>
        <v>0</v>
      </c>
      <c r="AH87" s="6" t="n">
        <v>0</v>
      </c>
      <c r="AI87" s="6" t="n">
        <v>0</v>
      </c>
      <c r="AJ87" s="6" t="n">
        <v>0</v>
      </c>
      <c r="AK87" s="6" t="n">
        <v>0</v>
      </c>
      <c r="AL87" s="6" t="n">
        <v>0</v>
      </c>
      <c r="AM87" s="6" t="n">
        <v>0</v>
      </c>
      <c r="AN87" s="6" t="n">
        <v>0</v>
      </c>
      <c r="AO87" s="6" t="n">
        <v>0</v>
      </c>
      <c r="AP87" s="6" t="n">
        <v>0</v>
      </c>
      <c r="AQ87" s="6" t="n">
        <v>0</v>
      </c>
      <c r="AR87" s="6" t="n">
        <v>0</v>
      </c>
      <c r="AS87" s="6" t="n">
        <v>0</v>
      </c>
      <c r="AT87" s="6" t="n">
        <f aca="false">+AN87+AQ87+AH87+AK87</f>
        <v>0</v>
      </c>
      <c r="AU87" s="6" t="n">
        <f aca="false">+AO87+AR87+AI87+AL87</f>
        <v>0</v>
      </c>
      <c r="AV87" s="6" t="n">
        <f aca="false">+AP87+AS87+AJ87+AM87</f>
        <v>0</v>
      </c>
      <c r="AW87" s="6" t="n">
        <v>0</v>
      </c>
      <c r="AX87" s="6" t="n">
        <v>0</v>
      </c>
      <c r="AY87" s="6" t="n">
        <v>0</v>
      </c>
      <c r="AZ87" s="6" t="n">
        <v>0</v>
      </c>
      <c r="BA87" s="6" t="n">
        <v>0</v>
      </c>
      <c r="BB87" s="6" t="n">
        <v>0</v>
      </c>
      <c r="BC87" s="6" t="n">
        <v>0</v>
      </c>
      <c r="BD87" s="6" t="n">
        <v>0</v>
      </c>
      <c r="BE87" s="6" t="n">
        <v>0</v>
      </c>
      <c r="BF87" s="30" t="n">
        <v>5520000</v>
      </c>
      <c r="BG87" s="30" t="n">
        <v>5520000</v>
      </c>
      <c r="BH87" s="6" t="n">
        <v>0</v>
      </c>
      <c r="BI87" s="6" t="n">
        <f aca="false">+BC87+BF87+AW87+AZ87</f>
        <v>5520000</v>
      </c>
      <c r="BJ87" s="6" t="n">
        <f aca="false">+BD87+BG87+AX87+BA87</f>
        <v>5520000</v>
      </c>
      <c r="BK87" s="6" t="n">
        <f aca="false">+BE87+BH87+AY87+BB87</f>
        <v>0</v>
      </c>
      <c r="BL87" s="6" t="n">
        <v>0</v>
      </c>
      <c r="BM87" s="6" t="n">
        <v>0</v>
      </c>
      <c r="BN87" s="6" t="n">
        <v>460000</v>
      </c>
      <c r="BO87" s="6" t="n">
        <v>0</v>
      </c>
      <c r="BP87" s="6" t="n">
        <v>0</v>
      </c>
      <c r="BQ87" s="6" t="n">
        <v>350000</v>
      </c>
      <c r="BR87" s="6" t="n">
        <v>0</v>
      </c>
      <c r="BS87" s="6" t="n">
        <v>0</v>
      </c>
      <c r="BT87" s="6" t="n">
        <v>100000</v>
      </c>
      <c r="BU87" s="6" t="n">
        <v>0</v>
      </c>
      <c r="BV87" s="6" t="n">
        <v>0</v>
      </c>
      <c r="BW87" s="6" t="n">
        <v>500000</v>
      </c>
      <c r="BX87" s="6" t="n">
        <f aca="false">+BR87+BU87+BL87+BO87</f>
        <v>0</v>
      </c>
      <c r="BY87" s="6" t="n">
        <f aca="false">+BS87+BV87+BM87+BP87</f>
        <v>0</v>
      </c>
      <c r="BZ87" s="6" t="n">
        <f aca="false">+BT87+BW87+BN87+BQ87</f>
        <v>1410000</v>
      </c>
      <c r="CA87" s="6" t="n">
        <v>0</v>
      </c>
      <c r="CB87" s="6" t="n">
        <v>0</v>
      </c>
      <c r="CC87" s="6" t="n">
        <v>1600000</v>
      </c>
      <c r="CD87" s="6" t="n">
        <v>0</v>
      </c>
      <c r="CE87" s="6" t="n">
        <v>0</v>
      </c>
      <c r="CF87" s="6" t="n">
        <v>700000</v>
      </c>
      <c r="CG87" s="6" t="n">
        <v>0</v>
      </c>
      <c r="CH87" s="6" t="n">
        <v>0</v>
      </c>
      <c r="CI87" s="6" t="n">
        <v>0</v>
      </c>
      <c r="CJ87" s="6" t="n">
        <v>0</v>
      </c>
      <c r="CK87" s="6" t="n">
        <v>0</v>
      </c>
      <c r="CL87" s="6" t="n">
        <v>0</v>
      </c>
      <c r="CM87" s="6" t="n">
        <f aca="false">+CG87+CJ87+CA87+CD87</f>
        <v>0</v>
      </c>
      <c r="CN87" s="6" t="n">
        <f aca="false">+CH87+CK87+CB87+CE87</f>
        <v>0</v>
      </c>
      <c r="CO87" s="6" t="n">
        <f aca="false">+CI87+CL87+CC87+CF87</f>
        <v>2300000</v>
      </c>
      <c r="CP87" s="6" t="n">
        <v>0</v>
      </c>
      <c r="CQ87" s="6" t="n">
        <v>0</v>
      </c>
      <c r="CR87" s="6" t="n">
        <v>500000</v>
      </c>
      <c r="CS87" s="6" t="n">
        <v>0</v>
      </c>
      <c r="CT87" s="6" t="n">
        <v>0</v>
      </c>
      <c r="CU87" s="6" t="n">
        <v>0</v>
      </c>
      <c r="CV87" s="6" t="n">
        <v>0</v>
      </c>
      <c r="CW87" s="6" t="n">
        <v>0</v>
      </c>
      <c r="CX87" s="6" t="n">
        <v>0</v>
      </c>
      <c r="CY87" s="6" t="n">
        <v>0</v>
      </c>
      <c r="CZ87" s="6" t="n">
        <v>0</v>
      </c>
      <c r="DA87" s="6" t="n">
        <v>0</v>
      </c>
      <c r="DB87" s="6" t="n">
        <f aca="false">+CV87+CY87+CP87+CS87</f>
        <v>0</v>
      </c>
      <c r="DC87" s="6" t="n">
        <f aca="false">+CW87+CZ87+CQ87+CT87</f>
        <v>0</v>
      </c>
      <c r="DD87" s="6" t="n">
        <f aca="false">+CX87+DA87+CR87+CU87</f>
        <v>500000</v>
      </c>
      <c r="DE87" s="6" t="n">
        <v>0</v>
      </c>
      <c r="DF87" s="6" t="n">
        <v>0</v>
      </c>
      <c r="DG87" s="6" t="n">
        <v>500000</v>
      </c>
      <c r="DH87" s="6" t="n">
        <v>0</v>
      </c>
      <c r="DI87" s="6" t="n">
        <v>0</v>
      </c>
      <c r="DJ87" s="6" t="n">
        <v>0</v>
      </c>
      <c r="DK87" s="6" t="n">
        <v>0</v>
      </c>
      <c r="DL87" s="6" t="n">
        <v>0</v>
      </c>
      <c r="DM87" s="6" t="n">
        <v>0</v>
      </c>
      <c r="DN87" s="6" t="n">
        <v>0</v>
      </c>
      <c r="DO87" s="6" t="n">
        <v>0</v>
      </c>
      <c r="DP87" s="6" t="n">
        <v>0</v>
      </c>
      <c r="DQ87" s="6" t="n">
        <f aca="false">+DK87+DN87+DE87+DH87</f>
        <v>0</v>
      </c>
      <c r="DR87" s="6" t="n">
        <f aca="false">+DL87+DO87+DF87+DI87</f>
        <v>0</v>
      </c>
      <c r="DS87" s="6" t="n">
        <f aca="false">+DM87+DP87+DG87+DJ87</f>
        <v>500000</v>
      </c>
      <c r="DT87" s="31" t="n">
        <f aca="false">+P87+AE87+AT87+BI87+BX87+CM87+DB87</f>
        <v>5520000</v>
      </c>
      <c r="DU87" s="31" t="n">
        <f aca="false">+Q87+AF87+AU87+BJ87+BY87+CN87+DC87</f>
        <v>5520000</v>
      </c>
      <c r="DV87" s="31" t="n">
        <f aca="false">+R87+AG87+AV87+BK87+BZ87+CO87+DD87</f>
        <v>4210000</v>
      </c>
      <c r="DW87" s="31" t="n">
        <f aca="false">+DU87-DV87</f>
        <v>1310000</v>
      </c>
    </row>
    <row r="88" customFormat="false" ht="13.8" hidden="false" customHeight="false" outlineLevel="0" collapsed="false">
      <c r="A88" s="27" t="n">
        <v>45121</v>
      </c>
      <c r="B88" s="28" t="s">
        <v>407</v>
      </c>
      <c r="C88" s="28" t="s">
        <v>408</v>
      </c>
      <c r="D88" s="29" t="s">
        <v>409</v>
      </c>
      <c r="E88" s="28" t="s">
        <v>410</v>
      </c>
      <c r="F88" s="27" t="s">
        <v>411</v>
      </c>
      <c r="G88" s="27" t="s">
        <v>15</v>
      </c>
      <c r="H88" s="30" t="n">
        <v>3000000</v>
      </c>
      <c r="I88" s="30" t="n">
        <v>3000000</v>
      </c>
      <c r="J88" s="6" t="n">
        <v>0</v>
      </c>
      <c r="K88" s="6" t="n">
        <v>0</v>
      </c>
      <c r="L88" s="6" t="n">
        <v>0</v>
      </c>
      <c r="M88" s="6" t="n">
        <v>0</v>
      </c>
      <c r="N88" s="6" t="n">
        <v>0</v>
      </c>
      <c r="O88" s="6" t="n">
        <v>0</v>
      </c>
      <c r="P88" s="6" t="n">
        <f aca="false">+J88+M88</f>
        <v>0</v>
      </c>
      <c r="Q88" s="6" t="n">
        <f aca="false">+K88+N88</f>
        <v>0</v>
      </c>
      <c r="R88" s="6" t="n">
        <f aca="false">+L88+O88</f>
        <v>0</v>
      </c>
      <c r="S88" s="6" t="n">
        <v>0</v>
      </c>
      <c r="T88" s="6" t="n">
        <v>0</v>
      </c>
      <c r="U88" s="6" t="n">
        <v>0</v>
      </c>
      <c r="V88" s="6" t="n">
        <v>0</v>
      </c>
      <c r="W88" s="6" t="n">
        <v>0</v>
      </c>
      <c r="X88" s="6" t="n">
        <v>0</v>
      </c>
      <c r="Y88" s="6" t="n">
        <v>0</v>
      </c>
      <c r="Z88" s="6" t="n">
        <v>0</v>
      </c>
      <c r="AA88" s="6" t="n">
        <v>0</v>
      </c>
      <c r="AB88" s="6" t="n">
        <v>0</v>
      </c>
      <c r="AC88" s="6" t="n">
        <v>0</v>
      </c>
      <c r="AD88" s="6" t="n">
        <v>0</v>
      </c>
      <c r="AE88" s="6" t="n">
        <f aca="false">+Y88+AB88+S88+V88</f>
        <v>0</v>
      </c>
      <c r="AF88" s="6" t="n">
        <f aca="false">+Z88+AC88+T88+W88</f>
        <v>0</v>
      </c>
      <c r="AG88" s="6" t="n">
        <f aca="false">+AA88+AD88+U88+X88</f>
        <v>0</v>
      </c>
      <c r="AH88" s="6" t="n">
        <v>0</v>
      </c>
      <c r="AI88" s="6" t="n">
        <v>0</v>
      </c>
      <c r="AJ88" s="6" t="n">
        <v>0</v>
      </c>
      <c r="AK88" s="6" t="n">
        <v>0</v>
      </c>
      <c r="AL88" s="6" t="n">
        <v>0</v>
      </c>
      <c r="AM88" s="6" t="n">
        <v>0</v>
      </c>
      <c r="AN88" s="6" t="n">
        <v>0</v>
      </c>
      <c r="AO88" s="6" t="n">
        <v>0</v>
      </c>
      <c r="AP88" s="6" t="n">
        <v>0</v>
      </c>
      <c r="AQ88" s="6" t="n">
        <v>0</v>
      </c>
      <c r="AR88" s="6" t="n">
        <v>0</v>
      </c>
      <c r="AS88" s="6" t="n">
        <v>0</v>
      </c>
      <c r="AT88" s="6" t="n">
        <f aca="false">+AN88+AQ88+AH88+AK88</f>
        <v>0</v>
      </c>
      <c r="AU88" s="6" t="n">
        <f aca="false">+AO88+AR88+AI88+AL88</f>
        <v>0</v>
      </c>
      <c r="AV88" s="6" t="n">
        <f aca="false">+AP88+AS88+AJ88+AM88</f>
        <v>0</v>
      </c>
      <c r="AW88" s="6" t="n">
        <v>0</v>
      </c>
      <c r="AX88" s="6" t="n">
        <v>0</v>
      </c>
      <c r="AY88" s="6" t="n">
        <v>0</v>
      </c>
      <c r="AZ88" s="6" t="n">
        <v>0</v>
      </c>
      <c r="BA88" s="6" t="n">
        <v>0</v>
      </c>
      <c r="BB88" s="6" t="n">
        <v>0</v>
      </c>
      <c r="BC88" s="30" t="n">
        <v>3000000</v>
      </c>
      <c r="BD88" s="30" t="n">
        <v>3000000</v>
      </c>
      <c r="BE88" s="6" t="n">
        <v>0</v>
      </c>
      <c r="BF88" s="6" t="n">
        <v>0</v>
      </c>
      <c r="BG88" s="6" t="n">
        <v>0</v>
      </c>
      <c r="BH88" s="6" t="n">
        <v>0</v>
      </c>
      <c r="BI88" s="6" t="n">
        <f aca="false">+BC88+BF88+AW88+AZ88</f>
        <v>3000000</v>
      </c>
      <c r="BJ88" s="6" t="n">
        <f aca="false">+BD88+BG88+AX88+BA88</f>
        <v>3000000</v>
      </c>
      <c r="BK88" s="6" t="n">
        <f aca="false">+BE88+BH88+AY88+BB88</f>
        <v>0</v>
      </c>
      <c r="BL88" s="6" t="n">
        <v>0</v>
      </c>
      <c r="BM88" s="6" t="n">
        <v>0</v>
      </c>
      <c r="BN88" s="6" t="n">
        <v>2000000</v>
      </c>
      <c r="BO88" s="6" t="n">
        <v>0</v>
      </c>
      <c r="BP88" s="6" t="n">
        <v>0</v>
      </c>
      <c r="BQ88" s="6" t="n">
        <v>1000000</v>
      </c>
      <c r="BR88" s="6" t="n">
        <v>0</v>
      </c>
      <c r="BS88" s="6" t="n">
        <v>0</v>
      </c>
      <c r="BT88" s="6" t="n">
        <v>0</v>
      </c>
      <c r="BU88" s="6" t="n">
        <v>0</v>
      </c>
      <c r="BV88" s="6" t="n">
        <v>0</v>
      </c>
      <c r="BW88" s="6" t="n">
        <v>0</v>
      </c>
      <c r="BX88" s="6" t="n">
        <f aca="false">+BR88+BU88+BL88+BO88</f>
        <v>0</v>
      </c>
      <c r="BY88" s="6" t="n">
        <f aca="false">+BS88+BV88+BM88+BP88</f>
        <v>0</v>
      </c>
      <c r="BZ88" s="6" t="n">
        <f aca="false">+BT88+BW88+BN88+BQ88</f>
        <v>3000000</v>
      </c>
      <c r="CA88" s="6" t="n">
        <v>0</v>
      </c>
      <c r="CB88" s="6" t="n">
        <v>0</v>
      </c>
      <c r="CC88" s="6" t="n">
        <v>0</v>
      </c>
      <c r="CD88" s="6" t="n">
        <v>0</v>
      </c>
      <c r="CE88" s="6" t="n">
        <v>0</v>
      </c>
      <c r="CF88" s="6" t="n">
        <v>0</v>
      </c>
      <c r="CG88" s="6" t="n">
        <v>0</v>
      </c>
      <c r="CH88" s="6" t="n">
        <v>0</v>
      </c>
      <c r="CI88" s="6" t="n">
        <v>0</v>
      </c>
      <c r="CJ88" s="6" t="n">
        <v>0</v>
      </c>
      <c r="CK88" s="6" t="n">
        <v>0</v>
      </c>
      <c r="CL88" s="6" t="n">
        <v>0</v>
      </c>
      <c r="CM88" s="6" t="n">
        <f aca="false">+CG88+CJ88+CA88+CD88</f>
        <v>0</v>
      </c>
      <c r="CN88" s="6" t="n">
        <f aca="false">+CH88+CK88+CB88+CE88</f>
        <v>0</v>
      </c>
      <c r="CO88" s="6" t="n">
        <f aca="false">+CI88+CL88+CC88+CF88</f>
        <v>0</v>
      </c>
      <c r="CP88" s="6" t="n">
        <v>0</v>
      </c>
      <c r="CQ88" s="6" t="n">
        <v>0</v>
      </c>
      <c r="CR88" s="6" t="n">
        <v>0</v>
      </c>
      <c r="CS88" s="6" t="n">
        <v>0</v>
      </c>
      <c r="CT88" s="6" t="n">
        <v>0</v>
      </c>
      <c r="CU88" s="6" t="n">
        <v>0</v>
      </c>
      <c r="CV88" s="6" t="n">
        <v>0</v>
      </c>
      <c r="CW88" s="6" t="n">
        <v>0</v>
      </c>
      <c r="CX88" s="6" t="n">
        <v>0</v>
      </c>
      <c r="CY88" s="6" t="n">
        <v>0</v>
      </c>
      <c r="CZ88" s="6" t="n">
        <v>0</v>
      </c>
      <c r="DA88" s="6" t="n">
        <v>0</v>
      </c>
      <c r="DB88" s="6" t="n">
        <f aca="false">+CV88+CY88+CP88+CS88</f>
        <v>0</v>
      </c>
      <c r="DC88" s="6" t="n">
        <f aca="false">+CW88+CZ88+CQ88+CT88</f>
        <v>0</v>
      </c>
      <c r="DD88" s="6" t="n">
        <f aca="false">+CX88+DA88+CR88+CU88</f>
        <v>0</v>
      </c>
      <c r="DE88" s="6" t="n">
        <v>0</v>
      </c>
      <c r="DF88" s="6" t="n">
        <v>0</v>
      </c>
      <c r="DG88" s="6" t="n">
        <v>0</v>
      </c>
      <c r="DH88" s="6" t="n">
        <v>0</v>
      </c>
      <c r="DI88" s="6" t="n">
        <v>0</v>
      </c>
      <c r="DJ88" s="6" t="n">
        <v>0</v>
      </c>
      <c r="DK88" s="6" t="n">
        <v>0</v>
      </c>
      <c r="DL88" s="6" t="n">
        <v>0</v>
      </c>
      <c r="DM88" s="6" t="n">
        <v>0</v>
      </c>
      <c r="DN88" s="6" t="n">
        <v>0</v>
      </c>
      <c r="DO88" s="6" t="n">
        <v>0</v>
      </c>
      <c r="DP88" s="6" t="n">
        <v>0</v>
      </c>
      <c r="DQ88" s="6" t="n">
        <f aca="false">+DK88+DN88+DE88+DH88</f>
        <v>0</v>
      </c>
      <c r="DR88" s="6" t="n">
        <f aca="false">+DL88+DO88+DF88+DI88</f>
        <v>0</v>
      </c>
      <c r="DS88" s="6" t="n">
        <f aca="false">+DM88+DP88+DG88+DJ88</f>
        <v>0</v>
      </c>
      <c r="DT88" s="31" t="n">
        <f aca="false">+P88+AE88+AT88+BI88+BX88+CM88+DB88</f>
        <v>3000000</v>
      </c>
      <c r="DU88" s="31" t="n">
        <f aca="false">+Q88+AF88+AU88+BJ88+BY88+CN88+DC88</f>
        <v>3000000</v>
      </c>
      <c r="DV88" s="31" t="n">
        <f aca="false">+R88+AG88+AV88+BK88+BZ88+CO88+DD88</f>
        <v>3000000</v>
      </c>
      <c r="DW88" s="31" t="n">
        <f aca="false">+DU88-DV88</f>
        <v>0</v>
      </c>
    </row>
    <row r="89" customFormat="false" ht="13.8" hidden="false" customHeight="false" outlineLevel="0" collapsed="false">
      <c r="A89" s="27" t="n">
        <v>45125</v>
      </c>
      <c r="B89" s="28" t="s">
        <v>412</v>
      </c>
      <c r="C89" s="28" t="s">
        <v>413</v>
      </c>
      <c r="D89" s="29" t="s">
        <v>414</v>
      </c>
      <c r="E89" s="28" t="s">
        <v>415</v>
      </c>
      <c r="F89" s="27" t="s">
        <v>416</v>
      </c>
      <c r="G89" s="27" t="s">
        <v>16</v>
      </c>
      <c r="H89" s="30" t="n">
        <v>790239</v>
      </c>
      <c r="I89" s="30" t="n">
        <v>790239</v>
      </c>
      <c r="J89" s="6" t="n">
        <v>0</v>
      </c>
      <c r="K89" s="6" t="n">
        <v>0</v>
      </c>
      <c r="L89" s="6" t="n">
        <v>0</v>
      </c>
      <c r="M89" s="6" t="n">
        <v>0</v>
      </c>
      <c r="N89" s="6" t="n">
        <v>0</v>
      </c>
      <c r="O89" s="6" t="n">
        <v>0</v>
      </c>
      <c r="P89" s="6" t="n">
        <f aca="false">+J89+M89</f>
        <v>0</v>
      </c>
      <c r="Q89" s="6" t="n">
        <f aca="false">+K89+N89</f>
        <v>0</v>
      </c>
      <c r="R89" s="6" t="n">
        <f aca="false">+L89+O89</f>
        <v>0</v>
      </c>
      <c r="S89" s="6" t="n">
        <v>0</v>
      </c>
      <c r="T89" s="6" t="n">
        <v>0</v>
      </c>
      <c r="U89" s="6" t="n">
        <v>0</v>
      </c>
      <c r="V89" s="6" t="n">
        <v>0</v>
      </c>
      <c r="W89" s="6" t="n">
        <v>0</v>
      </c>
      <c r="X89" s="6" t="n">
        <v>0</v>
      </c>
      <c r="Y89" s="6" t="n">
        <v>0</v>
      </c>
      <c r="Z89" s="6" t="n">
        <v>0</v>
      </c>
      <c r="AA89" s="6" t="n">
        <v>0</v>
      </c>
      <c r="AB89" s="6" t="n">
        <v>0</v>
      </c>
      <c r="AC89" s="6" t="n">
        <v>0</v>
      </c>
      <c r="AD89" s="6" t="n">
        <v>0</v>
      </c>
      <c r="AE89" s="6" t="n">
        <f aca="false">+Y89+AB89+S89+V89</f>
        <v>0</v>
      </c>
      <c r="AF89" s="6" t="n">
        <f aca="false">+Z89+AC89+T89+W89</f>
        <v>0</v>
      </c>
      <c r="AG89" s="6" t="n">
        <f aca="false">+AA89+AD89+U89+X89</f>
        <v>0</v>
      </c>
      <c r="AH89" s="6" t="n">
        <v>0</v>
      </c>
      <c r="AI89" s="6" t="n">
        <v>0</v>
      </c>
      <c r="AJ89" s="6" t="n">
        <v>0</v>
      </c>
      <c r="AK89" s="6" t="n">
        <v>0</v>
      </c>
      <c r="AL89" s="6" t="n">
        <v>0</v>
      </c>
      <c r="AM89" s="6" t="n">
        <v>0</v>
      </c>
      <c r="AN89" s="6" t="n">
        <v>0</v>
      </c>
      <c r="AO89" s="6" t="n">
        <v>0</v>
      </c>
      <c r="AP89" s="6" t="n">
        <v>0</v>
      </c>
      <c r="AQ89" s="6" t="n">
        <v>0</v>
      </c>
      <c r="AR89" s="6" t="n">
        <v>0</v>
      </c>
      <c r="AS89" s="6" t="n">
        <v>0</v>
      </c>
      <c r="AT89" s="6" t="n">
        <f aca="false">+AN89+AQ89+AH89+AK89</f>
        <v>0</v>
      </c>
      <c r="AU89" s="6" t="n">
        <f aca="false">+AO89+AR89+AI89+AL89</f>
        <v>0</v>
      </c>
      <c r="AV89" s="6" t="n">
        <f aca="false">+AP89+AS89+AJ89+AM89</f>
        <v>0</v>
      </c>
      <c r="AW89" s="6" t="n">
        <v>0</v>
      </c>
      <c r="AX89" s="6" t="n">
        <v>0</v>
      </c>
      <c r="AY89" s="6" t="n">
        <v>0</v>
      </c>
      <c r="AZ89" s="6" t="n">
        <v>0</v>
      </c>
      <c r="BA89" s="6" t="n">
        <v>0</v>
      </c>
      <c r="BB89" s="6" t="n">
        <v>0</v>
      </c>
      <c r="BC89" s="6" t="n">
        <v>0</v>
      </c>
      <c r="BD89" s="6" t="n">
        <v>0</v>
      </c>
      <c r="BE89" s="6" t="n">
        <v>0</v>
      </c>
      <c r="BF89" s="30" t="n">
        <v>790239</v>
      </c>
      <c r="BG89" s="30" t="n">
        <v>790239</v>
      </c>
      <c r="BH89" s="6" t="n">
        <v>0</v>
      </c>
      <c r="BI89" s="6" t="n">
        <f aca="false">+BC89+BF89+AW89+AZ89</f>
        <v>790239</v>
      </c>
      <c r="BJ89" s="6" t="n">
        <f aca="false">+BD89+BG89+AX89+BA89</f>
        <v>790239</v>
      </c>
      <c r="BK89" s="6" t="n">
        <f aca="false">+BE89+BH89+AY89+BB89</f>
        <v>0</v>
      </c>
      <c r="BL89" s="6" t="n">
        <v>0</v>
      </c>
      <c r="BM89" s="6" t="n">
        <v>0</v>
      </c>
      <c r="BN89" s="6" t="n">
        <v>395000</v>
      </c>
      <c r="BO89" s="6" t="n">
        <v>0</v>
      </c>
      <c r="BP89" s="6" t="n">
        <v>0</v>
      </c>
      <c r="BQ89" s="6" t="n">
        <v>395239</v>
      </c>
      <c r="BR89" s="6" t="n">
        <v>0</v>
      </c>
      <c r="BS89" s="6" t="n">
        <v>0</v>
      </c>
      <c r="BT89" s="6" t="n">
        <v>0</v>
      </c>
      <c r="BU89" s="6" t="n">
        <v>0</v>
      </c>
      <c r="BV89" s="6" t="n">
        <v>0</v>
      </c>
      <c r="BW89" s="6" t="n">
        <v>0</v>
      </c>
      <c r="BX89" s="6" t="n">
        <f aca="false">+BR89+BU89+BL89+BO89</f>
        <v>0</v>
      </c>
      <c r="BY89" s="6" t="n">
        <f aca="false">+BS89+BV89+BM89+BP89</f>
        <v>0</v>
      </c>
      <c r="BZ89" s="6" t="n">
        <f aca="false">+BT89+BW89+BN89+BQ89</f>
        <v>790239</v>
      </c>
      <c r="CA89" s="6" t="n">
        <v>0</v>
      </c>
      <c r="CB89" s="6" t="n">
        <v>0</v>
      </c>
      <c r="CC89" s="6" t="n">
        <v>0</v>
      </c>
      <c r="CD89" s="6" t="n">
        <v>0</v>
      </c>
      <c r="CE89" s="6" t="n">
        <v>0</v>
      </c>
      <c r="CF89" s="6" t="n">
        <v>0</v>
      </c>
      <c r="CG89" s="6" t="n">
        <v>0</v>
      </c>
      <c r="CH89" s="6" t="n">
        <v>0</v>
      </c>
      <c r="CI89" s="6" t="n">
        <v>0</v>
      </c>
      <c r="CJ89" s="6" t="n">
        <v>0</v>
      </c>
      <c r="CK89" s="6" t="n">
        <v>0</v>
      </c>
      <c r="CL89" s="6" t="n">
        <v>0</v>
      </c>
      <c r="CM89" s="6" t="n">
        <f aca="false">+CG89+CJ89+CA89+CD89</f>
        <v>0</v>
      </c>
      <c r="CN89" s="6" t="n">
        <f aca="false">+CH89+CK89+CB89+CE89</f>
        <v>0</v>
      </c>
      <c r="CO89" s="6" t="n">
        <f aca="false">+CI89+CL89+CC89+CF89</f>
        <v>0</v>
      </c>
      <c r="CP89" s="6" t="n">
        <v>0</v>
      </c>
      <c r="CQ89" s="6" t="n">
        <v>0</v>
      </c>
      <c r="CR89" s="6" t="n">
        <v>0</v>
      </c>
      <c r="CS89" s="6" t="n">
        <v>0</v>
      </c>
      <c r="CT89" s="6" t="n">
        <v>0</v>
      </c>
      <c r="CU89" s="6" t="n">
        <v>0</v>
      </c>
      <c r="CV89" s="6" t="n">
        <v>0</v>
      </c>
      <c r="CW89" s="6" t="n">
        <v>0</v>
      </c>
      <c r="CX89" s="6" t="n">
        <v>0</v>
      </c>
      <c r="CY89" s="6" t="n">
        <v>0</v>
      </c>
      <c r="CZ89" s="6" t="n">
        <v>0</v>
      </c>
      <c r="DA89" s="6" t="n">
        <v>0</v>
      </c>
      <c r="DB89" s="6" t="n">
        <f aca="false">+CV89+CY89+CP89+CS89</f>
        <v>0</v>
      </c>
      <c r="DC89" s="6" t="n">
        <f aca="false">+CW89+CZ89+CQ89+CT89</f>
        <v>0</v>
      </c>
      <c r="DD89" s="6" t="n">
        <f aca="false">+CX89+DA89+CR89+CU89</f>
        <v>0</v>
      </c>
      <c r="DE89" s="6" t="n">
        <v>0</v>
      </c>
      <c r="DF89" s="6" t="n">
        <v>0</v>
      </c>
      <c r="DG89" s="6" t="n">
        <v>0</v>
      </c>
      <c r="DH89" s="6" t="n">
        <v>0</v>
      </c>
      <c r="DI89" s="6" t="n">
        <v>0</v>
      </c>
      <c r="DJ89" s="6" t="n">
        <v>0</v>
      </c>
      <c r="DK89" s="6" t="n">
        <v>0</v>
      </c>
      <c r="DL89" s="6" t="n">
        <v>0</v>
      </c>
      <c r="DM89" s="6" t="n">
        <v>0</v>
      </c>
      <c r="DN89" s="6" t="n">
        <v>0</v>
      </c>
      <c r="DO89" s="6" t="n">
        <v>0</v>
      </c>
      <c r="DP89" s="6" t="n">
        <v>0</v>
      </c>
      <c r="DQ89" s="6" t="n">
        <f aca="false">+DK89+DN89+DE89+DH89</f>
        <v>0</v>
      </c>
      <c r="DR89" s="6" t="n">
        <f aca="false">+DL89+DO89+DF89+DI89</f>
        <v>0</v>
      </c>
      <c r="DS89" s="6" t="n">
        <f aca="false">+DM89+DP89+DG89+DJ89</f>
        <v>0</v>
      </c>
      <c r="DT89" s="31" t="n">
        <f aca="false">+P89+AE89+AT89+BI89+BX89+CM89+DB89</f>
        <v>790239</v>
      </c>
      <c r="DU89" s="31" t="n">
        <f aca="false">+Q89+AF89+AU89+BJ89+BY89+CN89+DC89</f>
        <v>790239</v>
      </c>
      <c r="DV89" s="31" t="n">
        <f aca="false">+R89+AG89+AV89+BK89+BZ89+CO89+DD89</f>
        <v>790239</v>
      </c>
      <c r="DW89" s="31" t="n">
        <f aca="false">+DU89-DV89</f>
        <v>0</v>
      </c>
    </row>
    <row r="90" customFormat="false" ht="13.8" hidden="false" customHeight="false" outlineLevel="0" collapsed="false">
      <c r="A90" s="27" t="n">
        <v>45082</v>
      </c>
      <c r="B90" s="28" t="s">
        <v>417</v>
      </c>
      <c r="C90" s="28" t="s">
        <v>418</v>
      </c>
      <c r="D90" s="29" t="s">
        <v>419</v>
      </c>
      <c r="E90" s="28" t="s">
        <v>420</v>
      </c>
      <c r="F90" s="27" t="s">
        <v>421</v>
      </c>
      <c r="G90" s="27" t="s">
        <v>15</v>
      </c>
      <c r="H90" s="30" t="n">
        <v>4000000</v>
      </c>
      <c r="I90" s="30" t="n">
        <v>4000000</v>
      </c>
      <c r="J90" s="6" t="n">
        <v>0</v>
      </c>
      <c r="K90" s="6" t="n">
        <v>0</v>
      </c>
      <c r="L90" s="6" t="n">
        <v>0</v>
      </c>
      <c r="M90" s="6" t="n">
        <v>0</v>
      </c>
      <c r="N90" s="6" t="n">
        <v>0</v>
      </c>
      <c r="O90" s="6" t="n">
        <v>0</v>
      </c>
      <c r="P90" s="6" t="n">
        <f aca="false">+J90+M90</f>
        <v>0</v>
      </c>
      <c r="Q90" s="6" t="n">
        <f aca="false">+K90+N90</f>
        <v>0</v>
      </c>
      <c r="R90" s="6" t="n">
        <f aca="false">+L90+O90</f>
        <v>0</v>
      </c>
      <c r="S90" s="6" t="n">
        <v>0</v>
      </c>
      <c r="T90" s="6" t="n">
        <v>0</v>
      </c>
      <c r="U90" s="6" t="n">
        <v>0</v>
      </c>
      <c r="V90" s="6" t="n">
        <v>0</v>
      </c>
      <c r="W90" s="6" t="n">
        <v>0</v>
      </c>
      <c r="X90" s="6" t="n">
        <v>0</v>
      </c>
      <c r="Y90" s="6" t="n">
        <v>0</v>
      </c>
      <c r="Z90" s="6" t="n">
        <v>0</v>
      </c>
      <c r="AA90" s="6" t="n">
        <v>0</v>
      </c>
      <c r="AB90" s="6" t="n">
        <v>0</v>
      </c>
      <c r="AC90" s="6" t="n">
        <v>0</v>
      </c>
      <c r="AD90" s="6" t="n">
        <v>0</v>
      </c>
      <c r="AE90" s="6" t="n">
        <f aca="false">+Y90+AB90+S90+V90</f>
        <v>0</v>
      </c>
      <c r="AF90" s="6" t="n">
        <f aca="false">+Z90+AC90+T90+W90</f>
        <v>0</v>
      </c>
      <c r="AG90" s="6" t="n">
        <f aca="false">+AA90+AD90+U90+X90</f>
        <v>0</v>
      </c>
      <c r="AH90" s="6" t="n">
        <v>0</v>
      </c>
      <c r="AI90" s="6" t="n">
        <v>0</v>
      </c>
      <c r="AJ90" s="6" t="n">
        <v>0</v>
      </c>
      <c r="AK90" s="6" t="n">
        <v>0</v>
      </c>
      <c r="AL90" s="6" t="n">
        <v>0</v>
      </c>
      <c r="AM90" s="6" t="n">
        <v>0</v>
      </c>
      <c r="AN90" s="6" t="n">
        <v>0</v>
      </c>
      <c r="AO90" s="6" t="n">
        <v>0</v>
      </c>
      <c r="AP90" s="6" t="n">
        <v>0</v>
      </c>
      <c r="AQ90" s="6" t="n">
        <v>0</v>
      </c>
      <c r="AR90" s="6" t="n">
        <v>0</v>
      </c>
      <c r="AS90" s="6" t="n">
        <v>0</v>
      </c>
      <c r="AT90" s="6" t="n">
        <f aca="false">+AN90+AQ90+AH90+AK90</f>
        <v>0</v>
      </c>
      <c r="AU90" s="6" t="n">
        <f aca="false">+AO90+AR90+AI90+AL90</f>
        <v>0</v>
      </c>
      <c r="AV90" s="6" t="n">
        <f aca="false">+AP90+AS90+AJ90+AM90</f>
        <v>0</v>
      </c>
      <c r="AW90" s="6" t="n">
        <v>0</v>
      </c>
      <c r="AX90" s="6" t="n">
        <v>0</v>
      </c>
      <c r="AY90" s="6" t="n">
        <v>0</v>
      </c>
      <c r="AZ90" s="6" t="n">
        <v>0</v>
      </c>
      <c r="BA90" s="6" t="n">
        <v>0</v>
      </c>
      <c r="BB90" s="6" t="n">
        <v>0</v>
      </c>
      <c r="BC90" s="30" t="n">
        <v>4000000</v>
      </c>
      <c r="BD90" s="30" t="n">
        <v>4000000</v>
      </c>
      <c r="BE90" s="6" t="n">
        <v>0</v>
      </c>
      <c r="BF90" s="6" t="n">
        <v>0</v>
      </c>
      <c r="BG90" s="6" t="n">
        <v>0</v>
      </c>
      <c r="BH90" s="6" t="n">
        <v>1900000</v>
      </c>
      <c r="BI90" s="6" t="n">
        <f aca="false">+BC90+BF90+AW90+AZ90</f>
        <v>4000000</v>
      </c>
      <c r="BJ90" s="6" t="n">
        <f aca="false">+BD90+BG90+AX90+BA90</f>
        <v>4000000</v>
      </c>
      <c r="BK90" s="6" t="n">
        <f aca="false">+BE90+BH90+AY90+BB90</f>
        <v>1900000</v>
      </c>
      <c r="BL90" s="6" t="n">
        <v>0</v>
      </c>
      <c r="BM90" s="6" t="n">
        <v>0</v>
      </c>
      <c r="BN90" s="6" t="n">
        <v>1000000</v>
      </c>
      <c r="BO90" s="6" t="n">
        <v>0</v>
      </c>
      <c r="BP90" s="6" t="n">
        <v>0</v>
      </c>
      <c r="BQ90" s="6" t="n">
        <v>700000</v>
      </c>
      <c r="BR90" s="6" t="n">
        <v>0</v>
      </c>
      <c r="BS90" s="6" t="n">
        <v>0</v>
      </c>
      <c r="BT90" s="6" t="n">
        <v>0</v>
      </c>
      <c r="BU90" s="6" t="n">
        <v>0</v>
      </c>
      <c r="BV90" s="6" t="n">
        <v>0</v>
      </c>
      <c r="BW90" s="6" t="n">
        <v>400000</v>
      </c>
      <c r="BX90" s="6" t="n">
        <f aca="false">+BR90+BU90+BL90+BO90</f>
        <v>0</v>
      </c>
      <c r="BY90" s="6" t="n">
        <f aca="false">+BS90+BV90+BM90+BP90</f>
        <v>0</v>
      </c>
      <c r="BZ90" s="6" t="n">
        <f aca="false">+BT90+BW90+BN90+BQ90</f>
        <v>2100000</v>
      </c>
      <c r="CA90" s="6" t="n">
        <v>0</v>
      </c>
      <c r="CB90" s="6" t="n">
        <v>0</v>
      </c>
      <c r="CC90" s="6" t="n">
        <v>0</v>
      </c>
      <c r="CD90" s="6" t="n">
        <v>0</v>
      </c>
      <c r="CE90" s="6" t="n">
        <v>0</v>
      </c>
      <c r="CF90" s="6" t="n">
        <v>0</v>
      </c>
      <c r="CG90" s="6" t="n">
        <v>0</v>
      </c>
      <c r="CH90" s="6" t="n">
        <v>0</v>
      </c>
      <c r="CI90" s="6" t="n">
        <v>0</v>
      </c>
      <c r="CJ90" s="6" t="n">
        <v>0</v>
      </c>
      <c r="CK90" s="6" t="n">
        <v>0</v>
      </c>
      <c r="CL90" s="6" t="n">
        <v>0</v>
      </c>
      <c r="CM90" s="6" t="n">
        <f aca="false">+CG90+CJ90+CA90+CD90</f>
        <v>0</v>
      </c>
      <c r="CN90" s="6" t="n">
        <f aca="false">+CH90+CK90+CB90+CE90</f>
        <v>0</v>
      </c>
      <c r="CO90" s="6" t="n">
        <f aca="false">+CI90+CL90+CC90+CF90</f>
        <v>0</v>
      </c>
      <c r="CP90" s="6" t="n">
        <v>0</v>
      </c>
      <c r="CQ90" s="6" t="n">
        <v>0</v>
      </c>
      <c r="CR90" s="6" t="n">
        <v>0</v>
      </c>
      <c r="CS90" s="6" t="n">
        <v>0</v>
      </c>
      <c r="CT90" s="6" t="n">
        <v>0</v>
      </c>
      <c r="CU90" s="6" t="n">
        <v>0</v>
      </c>
      <c r="CV90" s="6" t="n">
        <v>0</v>
      </c>
      <c r="CW90" s="6" t="n">
        <v>0</v>
      </c>
      <c r="CX90" s="6" t="n">
        <v>0</v>
      </c>
      <c r="CY90" s="6" t="n">
        <v>0</v>
      </c>
      <c r="CZ90" s="6" t="n">
        <v>0</v>
      </c>
      <c r="DA90" s="6" t="n">
        <v>0</v>
      </c>
      <c r="DB90" s="6" t="n">
        <f aca="false">+CV90+CY90+CP90+CS90</f>
        <v>0</v>
      </c>
      <c r="DC90" s="6" t="n">
        <f aca="false">+CW90+CZ90+CQ90+CT90</f>
        <v>0</v>
      </c>
      <c r="DD90" s="6" t="n">
        <f aca="false">+CX90+DA90+CR90+CU90</f>
        <v>0</v>
      </c>
      <c r="DE90" s="6" t="n">
        <v>0</v>
      </c>
      <c r="DF90" s="6" t="n">
        <v>0</v>
      </c>
      <c r="DG90" s="6" t="n">
        <v>0</v>
      </c>
      <c r="DH90" s="6" t="n">
        <v>0</v>
      </c>
      <c r="DI90" s="6" t="n">
        <v>0</v>
      </c>
      <c r="DJ90" s="6" t="n">
        <v>0</v>
      </c>
      <c r="DK90" s="6" t="n">
        <v>0</v>
      </c>
      <c r="DL90" s="6" t="n">
        <v>0</v>
      </c>
      <c r="DM90" s="6" t="n">
        <v>0</v>
      </c>
      <c r="DN90" s="6" t="n">
        <v>0</v>
      </c>
      <c r="DO90" s="6" t="n">
        <v>0</v>
      </c>
      <c r="DP90" s="6" t="n">
        <v>0</v>
      </c>
      <c r="DQ90" s="6" t="n">
        <f aca="false">+DK90+DN90+DE90+DH90</f>
        <v>0</v>
      </c>
      <c r="DR90" s="6" t="n">
        <f aca="false">+DL90+DO90+DF90+DI90</f>
        <v>0</v>
      </c>
      <c r="DS90" s="6" t="n">
        <f aca="false">+DM90+DP90+DG90+DJ90</f>
        <v>0</v>
      </c>
      <c r="DT90" s="31" t="n">
        <f aca="false">+P90+AE90+AT90+BI90+BX90+CM90+DB90</f>
        <v>4000000</v>
      </c>
      <c r="DU90" s="31" t="n">
        <f aca="false">+Q90+AF90+AU90+BJ90+BY90+CN90+DC90</f>
        <v>4000000</v>
      </c>
      <c r="DV90" s="31" t="n">
        <f aca="false">+R90+AG90+AV90+BK90+BZ90+CO90+DD90</f>
        <v>4000000</v>
      </c>
      <c r="DW90" s="31" t="n">
        <f aca="false">+DU90-DV90</f>
        <v>0</v>
      </c>
    </row>
    <row r="91" customFormat="false" ht="13.8" hidden="false" customHeight="false" outlineLevel="0" collapsed="false">
      <c r="A91" s="27" t="n">
        <v>45135</v>
      </c>
      <c r="B91" s="28" t="s">
        <v>422</v>
      </c>
      <c r="C91" s="28" t="s">
        <v>423</v>
      </c>
      <c r="D91" s="29" t="s">
        <v>424</v>
      </c>
      <c r="E91" s="36" t="s">
        <v>425</v>
      </c>
      <c r="F91" s="37" t="s">
        <v>426</v>
      </c>
      <c r="G91" s="27" t="s">
        <v>16</v>
      </c>
      <c r="H91" s="30" t="n">
        <v>1564650</v>
      </c>
      <c r="I91" s="30" t="n">
        <v>1564650</v>
      </c>
      <c r="J91" s="6" t="n">
        <v>0</v>
      </c>
      <c r="K91" s="6" t="n">
        <v>0</v>
      </c>
      <c r="L91" s="6" t="n">
        <v>0</v>
      </c>
      <c r="M91" s="6" t="n">
        <v>0</v>
      </c>
      <c r="N91" s="6" t="n">
        <v>0</v>
      </c>
      <c r="O91" s="6" t="n">
        <v>0</v>
      </c>
      <c r="P91" s="6" t="n">
        <f aca="false">+J91+M91</f>
        <v>0</v>
      </c>
      <c r="Q91" s="6" t="n">
        <f aca="false">+K91+N91</f>
        <v>0</v>
      </c>
      <c r="R91" s="6" t="n">
        <f aca="false">+L91+O91</f>
        <v>0</v>
      </c>
      <c r="S91" s="6" t="n">
        <v>0</v>
      </c>
      <c r="T91" s="6" t="n">
        <v>0</v>
      </c>
      <c r="U91" s="6" t="n">
        <v>0</v>
      </c>
      <c r="V91" s="6" t="n">
        <v>0</v>
      </c>
      <c r="W91" s="6" t="n">
        <v>0</v>
      </c>
      <c r="X91" s="6" t="n">
        <v>0</v>
      </c>
      <c r="Y91" s="6" t="n">
        <v>0</v>
      </c>
      <c r="Z91" s="6" t="n">
        <v>0</v>
      </c>
      <c r="AA91" s="6" t="n">
        <v>0</v>
      </c>
      <c r="AB91" s="6" t="n">
        <v>0</v>
      </c>
      <c r="AC91" s="6" t="n">
        <v>0</v>
      </c>
      <c r="AD91" s="6" t="n">
        <v>0</v>
      </c>
      <c r="AE91" s="6" t="n">
        <f aca="false">+Y91+AB91+S91+V91</f>
        <v>0</v>
      </c>
      <c r="AF91" s="6" t="n">
        <f aca="false">+Z91+AC91+T91+W91</f>
        <v>0</v>
      </c>
      <c r="AG91" s="6" t="n">
        <f aca="false">+AA91+AD91+U91+X91</f>
        <v>0</v>
      </c>
      <c r="AH91" s="6" t="n">
        <v>0</v>
      </c>
      <c r="AI91" s="6" t="n">
        <v>0</v>
      </c>
      <c r="AJ91" s="6" t="n">
        <v>0</v>
      </c>
      <c r="AK91" s="6" t="n">
        <v>0</v>
      </c>
      <c r="AL91" s="6" t="n">
        <v>0</v>
      </c>
      <c r="AM91" s="6" t="n">
        <v>0</v>
      </c>
      <c r="AN91" s="6" t="n">
        <v>0</v>
      </c>
      <c r="AO91" s="6" t="n">
        <v>0</v>
      </c>
      <c r="AP91" s="6" t="n">
        <v>0</v>
      </c>
      <c r="AQ91" s="6" t="n">
        <v>0</v>
      </c>
      <c r="AR91" s="6" t="n">
        <v>0</v>
      </c>
      <c r="AS91" s="6" t="n">
        <v>0</v>
      </c>
      <c r="AT91" s="6" t="n">
        <f aca="false">+AN91+AQ91+AH91+AK91</f>
        <v>0</v>
      </c>
      <c r="AU91" s="6" t="n">
        <f aca="false">+AO91+AR91+AI91+AL91</f>
        <v>0</v>
      </c>
      <c r="AV91" s="6" t="n">
        <f aca="false">+AP91+AS91+AJ91+AM91</f>
        <v>0</v>
      </c>
      <c r="AW91" s="6" t="n">
        <v>0</v>
      </c>
      <c r="AX91" s="6" t="n">
        <v>0</v>
      </c>
      <c r="AY91" s="6" t="n">
        <v>0</v>
      </c>
      <c r="AZ91" s="6" t="n">
        <v>0</v>
      </c>
      <c r="BA91" s="6" t="n">
        <v>0</v>
      </c>
      <c r="BB91" s="6" t="n">
        <v>0</v>
      </c>
      <c r="BC91" s="6" t="n">
        <v>0</v>
      </c>
      <c r="BD91" s="6" t="n">
        <v>0</v>
      </c>
      <c r="BE91" s="6" t="n">
        <v>0</v>
      </c>
      <c r="BF91" s="30" t="n">
        <v>1564650</v>
      </c>
      <c r="BG91" s="30" t="n">
        <v>1564650</v>
      </c>
      <c r="BH91" s="6" t="n">
        <v>0</v>
      </c>
      <c r="BI91" s="6" t="n">
        <f aca="false">+BC91+BF91+AW91+AZ91</f>
        <v>1564650</v>
      </c>
      <c r="BJ91" s="6" t="n">
        <f aca="false">+BD91+BG91+AX91+BA91</f>
        <v>1564650</v>
      </c>
      <c r="BK91" s="6" t="n">
        <f aca="false">+BE91+BH91+AY91+BB91</f>
        <v>0</v>
      </c>
      <c r="BL91" s="6" t="n">
        <v>0</v>
      </c>
      <c r="BM91" s="6" t="n">
        <v>0</v>
      </c>
      <c r="BN91" s="6" t="n">
        <v>395000</v>
      </c>
      <c r="BO91" s="6" t="n">
        <v>0</v>
      </c>
      <c r="BP91" s="6" t="n">
        <v>0</v>
      </c>
      <c r="BQ91" s="6" t="n">
        <v>500000</v>
      </c>
      <c r="BR91" s="6" t="n">
        <v>0</v>
      </c>
      <c r="BS91" s="6" t="n">
        <v>0</v>
      </c>
      <c r="BT91" s="6" t="n">
        <v>669650</v>
      </c>
      <c r="BU91" s="6" t="n">
        <v>0</v>
      </c>
      <c r="BV91" s="6" t="n">
        <v>0</v>
      </c>
      <c r="BW91" s="6" t="n">
        <v>0</v>
      </c>
      <c r="BX91" s="6" t="n">
        <f aca="false">+BR91+BU91+BL91+BO91</f>
        <v>0</v>
      </c>
      <c r="BY91" s="6" t="n">
        <f aca="false">+BS91+BV91+BM91+BP91</f>
        <v>0</v>
      </c>
      <c r="BZ91" s="6" t="n">
        <f aca="false">+BT91+BW91+BN91+BQ91</f>
        <v>1564650</v>
      </c>
      <c r="CA91" s="6" t="n">
        <v>0</v>
      </c>
      <c r="CB91" s="6" t="n">
        <v>0</v>
      </c>
      <c r="CC91" s="6" t="n">
        <v>0</v>
      </c>
      <c r="CD91" s="6" t="n">
        <v>0</v>
      </c>
      <c r="CE91" s="6" t="n">
        <v>0</v>
      </c>
      <c r="CF91" s="6" t="n">
        <v>0</v>
      </c>
      <c r="CG91" s="6" t="n">
        <v>0</v>
      </c>
      <c r="CH91" s="6" t="n">
        <v>0</v>
      </c>
      <c r="CI91" s="6" t="n">
        <v>0</v>
      </c>
      <c r="CJ91" s="6" t="n">
        <v>0</v>
      </c>
      <c r="CK91" s="6" t="n">
        <v>0</v>
      </c>
      <c r="CL91" s="6" t="n">
        <v>0</v>
      </c>
      <c r="CM91" s="6" t="n">
        <f aca="false">+CG91+CJ91+CA91+CD91</f>
        <v>0</v>
      </c>
      <c r="CN91" s="6" t="n">
        <f aca="false">+CH91+CK91+CB91+CE91</f>
        <v>0</v>
      </c>
      <c r="CO91" s="6" t="n">
        <f aca="false">+CI91+CL91+CC91+CF91</f>
        <v>0</v>
      </c>
      <c r="CP91" s="6" t="n">
        <v>0</v>
      </c>
      <c r="CQ91" s="6" t="n">
        <v>0</v>
      </c>
      <c r="CR91" s="6" t="n">
        <v>0</v>
      </c>
      <c r="CS91" s="6" t="n">
        <v>0</v>
      </c>
      <c r="CT91" s="6" t="n">
        <v>0</v>
      </c>
      <c r="CU91" s="6" t="n">
        <v>0</v>
      </c>
      <c r="CV91" s="6" t="n">
        <v>0</v>
      </c>
      <c r="CW91" s="6" t="n">
        <v>0</v>
      </c>
      <c r="CX91" s="6" t="n">
        <v>0</v>
      </c>
      <c r="CY91" s="6" t="n">
        <v>0</v>
      </c>
      <c r="CZ91" s="6" t="n">
        <v>0</v>
      </c>
      <c r="DA91" s="6" t="n">
        <v>0</v>
      </c>
      <c r="DB91" s="6" t="n">
        <f aca="false">+CV91+CY91+CP91+CS91</f>
        <v>0</v>
      </c>
      <c r="DC91" s="6" t="n">
        <f aca="false">+CW91+CZ91+CQ91+CT91</f>
        <v>0</v>
      </c>
      <c r="DD91" s="6" t="n">
        <f aca="false">+CX91+DA91+CR91+CU91</f>
        <v>0</v>
      </c>
      <c r="DE91" s="6" t="n">
        <v>0</v>
      </c>
      <c r="DF91" s="6" t="n">
        <v>0</v>
      </c>
      <c r="DG91" s="6" t="n">
        <v>0</v>
      </c>
      <c r="DH91" s="6" t="n">
        <v>0</v>
      </c>
      <c r="DI91" s="6" t="n">
        <v>0</v>
      </c>
      <c r="DJ91" s="6" t="n">
        <v>0</v>
      </c>
      <c r="DK91" s="6" t="n">
        <v>0</v>
      </c>
      <c r="DL91" s="6" t="n">
        <v>0</v>
      </c>
      <c r="DM91" s="6" t="n">
        <v>0</v>
      </c>
      <c r="DN91" s="6" t="n">
        <v>0</v>
      </c>
      <c r="DO91" s="6" t="n">
        <v>0</v>
      </c>
      <c r="DP91" s="6" t="n">
        <v>0</v>
      </c>
      <c r="DQ91" s="6" t="n">
        <f aca="false">+DK91+DN91+DE91+DH91</f>
        <v>0</v>
      </c>
      <c r="DR91" s="6" t="n">
        <f aca="false">+DL91+DO91+DF91+DI91</f>
        <v>0</v>
      </c>
      <c r="DS91" s="6" t="n">
        <f aca="false">+DM91+DP91+DG91+DJ91</f>
        <v>0</v>
      </c>
      <c r="DT91" s="31" t="n">
        <f aca="false">+P91+AE91+AT91+BI91+BX91+CM91+DB91</f>
        <v>1564650</v>
      </c>
      <c r="DU91" s="31" t="n">
        <f aca="false">+Q91+AF91+AU91+BJ91+BY91+CN91+DC91</f>
        <v>1564650</v>
      </c>
      <c r="DV91" s="31" t="n">
        <f aca="false">+R91+AG91+AV91+BK91+BZ91+CO91+DD91</f>
        <v>1564650</v>
      </c>
      <c r="DW91" s="31" t="n">
        <f aca="false">+DU91-DV91</f>
        <v>0</v>
      </c>
    </row>
    <row r="92" customFormat="false" ht="13.8" hidden="false" customHeight="false" outlineLevel="0" collapsed="false">
      <c r="A92" s="27" t="n">
        <v>45135</v>
      </c>
      <c r="B92" s="28" t="s">
        <v>422</v>
      </c>
      <c r="C92" s="28" t="s">
        <v>423</v>
      </c>
      <c r="D92" s="29" t="s">
        <v>424</v>
      </c>
      <c r="E92" s="36" t="s">
        <v>425</v>
      </c>
      <c r="F92" s="37" t="s">
        <v>426</v>
      </c>
      <c r="G92" s="27" t="s">
        <v>16</v>
      </c>
      <c r="H92" s="30" t="n">
        <v>145350</v>
      </c>
      <c r="I92" s="30" t="n">
        <v>145350</v>
      </c>
      <c r="J92" s="6" t="n">
        <v>0</v>
      </c>
      <c r="K92" s="6" t="n">
        <v>0</v>
      </c>
      <c r="L92" s="6" t="n">
        <v>0</v>
      </c>
      <c r="M92" s="6" t="n">
        <v>0</v>
      </c>
      <c r="N92" s="6" t="n">
        <v>0</v>
      </c>
      <c r="O92" s="6" t="n">
        <v>0</v>
      </c>
      <c r="P92" s="6" t="n">
        <f aca="false">+J92+M92</f>
        <v>0</v>
      </c>
      <c r="Q92" s="6" t="n">
        <f aca="false">+K92+N92</f>
        <v>0</v>
      </c>
      <c r="R92" s="6" t="n">
        <f aca="false">+L92+O92</f>
        <v>0</v>
      </c>
      <c r="S92" s="6" t="n">
        <v>0</v>
      </c>
      <c r="T92" s="6" t="n">
        <v>0</v>
      </c>
      <c r="U92" s="6" t="n">
        <v>0</v>
      </c>
      <c r="V92" s="6" t="n">
        <v>0</v>
      </c>
      <c r="W92" s="6" t="n">
        <v>0</v>
      </c>
      <c r="X92" s="6" t="n">
        <v>0</v>
      </c>
      <c r="Y92" s="6" t="n">
        <v>0</v>
      </c>
      <c r="Z92" s="6" t="n">
        <v>0</v>
      </c>
      <c r="AA92" s="6" t="n">
        <v>0</v>
      </c>
      <c r="AB92" s="6" t="n">
        <v>0</v>
      </c>
      <c r="AC92" s="6" t="n">
        <v>0</v>
      </c>
      <c r="AD92" s="6" t="n">
        <v>0</v>
      </c>
      <c r="AE92" s="6" t="n">
        <f aca="false">+Y92+AB92+S92+V92</f>
        <v>0</v>
      </c>
      <c r="AF92" s="6" t="n">
        <f aca="false">+Z92+AC92+T92+W92</f>
        <v>0</v>
      </c>
      <c r="AG92" s="6" t="n">
        <f aca="false">+AA92+AD92+U92+X92</f>
        <v>0</v>
      </c>
      <c r="AH92" s="6" t="n">
        <v>0</v>
      </c>
      <c r="AI92" s="6" t="n">
        <v>0</v>
      </c>
      <c r="AJ92" s="6" t="n">
        <v>0</v>
      </c>
      <c r="AK92" s="6" t="n">
        <v>0</v>
      </c>
      <c r="AL92" s="6" t="n">
        <v>0</v>
      </c>
      <c r="AM92" s="6" t="n">
        <v>0</v>
      </c>
      <c r="AN92" s="6" t="n">
        <v>0</v>
      </c>
      <c r="AO92" s="6" t="n">
        <v>0</v>
      </c>
      <c r="AP92" s="6" t="n">
        <v>0</v>
      </c>
      <c r="AQ92" s="6" t="n">
        <v>0</v>
      </c>
      <c r="AR92" s="6" t="n">
        <v>0</v>
      </c>
      <c r="AS92" s="6" t="n">
        <v>0</v>
      </c>
      <c r="AT92" s="6" t="n">
        <f aca="false">+AN92+AQ92+AH92+AK92</f>
        <v>0</v>
      </c>
      <c r="AU92" s="6" t="n">
        <f aca="false">+AO92+AR92+AI92+AL92</f>
        <v>0</v>
      </c>
      <c r="AV92" s="6" t="n">
        <f aca="false">+AP92+AS92+AJ92+AM92</f>
        <v>0</v>
      </c>
      <c r="AW92" s="6" t="n">
        <v>0</v>
      </c>
      <c r="AX92" s="6" t="n">
        <v>0</v>
      </c>
      <c r="AY92" s="6" t="n">
        <v>0</v>
      </c>
      <c r="AZ92" s="6" t="n">
        <v>0</v>
      </c>
      <c r="BA92" s="6" t="n">
        <v>0</v>
      </c>
      <c r="BB92" s="6" t="n">
        <v>0</v>
      </c>
      <c r="BC92" s="6" t="n">
        <v>0</v>
      </c>
      <c r="BD92" s="6" t="n">
        <v>0</v>
      </c>
      <c r="BE92" s="6" t="n">
        <v>0</v>
      </c>
      <c r="BF92" s="30" t="n">
        <v>145350</v>
      </c>
      <c r="BG92" s="30" t="n">
        <v>145350</v>
      </c>
      <c r="BH92" s="6" t="n">
        <v>0</v>
      </c>
      <c r="BI92" s="6" t="n">
        <f aca="false">+BC92+BF92+AW92+AZ92</f>
        <v>145350</v>
      </c>
      <c r="BJ92" s="6" t="n">
        <f aca="false">+BD92+BG92+AX92+BA92</f>
        <v>145350</v>
      </c>
      <c r="BK92" s="6" t="n">
        <f aca="false">+BE92+BH92+AY92+BB92</f>
        <v>0</v>
      </c>
      <c r="BL92" s="6" t="n">
        <v>0</v>
      </c>
      <c r="BM92" s="6" t="n">
        <v>0</v>
      </c>
      <c r="BN92" s="6" t="n">
        <v>40000</v>
      </c>
      <c r="BO92" s="6" t="n">
        <v>0</v>
      </c>
      <c r="BP92" s="6" t="n">
        <v>0</v>
      </c>
      <c r="BQ92" s="6" t="n">
        <v>105350</v>
      </c>
      <c r="BR92" s="6" t="n">
        <v>0</v>
      </c>
      <c r="BS92" s="6" t="n">
        <v>0</v>
      </c>
      <c r="BT92" s="6" t="n">
        <v>0</v>
      </c>
      <c r="BU92" s="6" t="n">
        <v>0</v>
      </c>
      <c r="BV92" s="6" t="n">
        <v>0</v>
      </c>
      <c r="BW92" s="6" t="n">
        <v>0</v>
      </c>
      <c r="BX92" s="6" t="n">
        <f aca="false">+BR92+BU92+BL92+BO92</f>
        <v>0</v>
      </c>
      <c r="BY92" s="6" t="n">
        <f aca="false">+BS92+BV92+BM92+BP92</f>
        <v>0</v>
      </c>
      <c r="BZ92" s="6" t="n">
        <f aca="false">+BT92+BW92+BN92+BQ92</f>
        <v>145350</v>
      </c>
      <c r="CA92" s="6" t="n">
        <v>0</v>
      </c>
      <c r="CB92" s="6" t="n">
        <v>0</v>
      </c>
      <c r="CC92" s="6" t="n">
        <v>0</v>
      </c>
      <c r="CD92" s="6" t="n">
        <v>0</v>
      </c>
      <c r="CE92" s="6" t="n">
        <v>0</v>
      </c>
      <c r="CF92" s="6" t="n">
        <v>0</v>
      </c>
      <c r="CG92" s="6" t="n">
        <v>0</v>
      </c>
      <c r="CH92" s="6" t="n">
        <v>0</v>
      </c>
      <c r="CI92" s="6" t="n">
        <v>0</v>
      </c>
      <c r="CJ92" s="6" t="n">
        <v>0</v>
      </c>
      <c r="CK92" s="6" t="n">
        <v>0</v>
      </c>
      <c r="CL92" s="6" t="n">
        <v>0</v>
      </c>
      <c r="CM92" s="6" t="n">
        <f aca="false">+CG92+CJ92+CA92+CD92</f>
        <v>0</v>
      </c>
      <c r="CN92" s="6" t="n">
        <f aca="false">+CH92+CK92+CB92+CE92</f>
        <v>0</v>
      </c>
      <c r="CO92" s="6" t="n">
        <f aca="false">+CI92+CL92+CC92+CF92</f>
        <v>0</v>
      </c>
      <c r="CP92" s="6" t="n">
        <v>0</v>
      </c>
      <c r="CQ92" s="6" t="n">
        <v>0</v>
      </c>
      <c r="CR92" s="6" t="n">
        <v>0</v>
      </c>
      <c r="CS92" s="6" t="n">
        <v>0</v>
      </c>
      <c r="CT92" s="6" t="n">
        <v>0</v>
      </c>
      <c r="CU92" s="6" t="n">
        <v>0</v>
      </c>
      <c r="CV92" s="6" t="n">
        <v>0</v>
      </c>
      <c r="CW92" s="6" t="n">
        <v>0</v>
      </c>
      <c r="CX92" s="6" t="n">
        <v>0</v>
      </c>
      <c r="CY92" s="6" t="n">
        <v>0</v>
      </c>
      <c r="CZ92" s="6" t="n">
        <v>0</v>
      </c>
      <c r="DA92" s="6" t="n">
        <v>0</v>
      </c>
      <c r="DB92" s="6" t="n">
        <f aca="false">+CV92+CY92+CP92+CS92</f>
        <v>0</v>
      </c>
      <c r="DC92" s="6" t="n">
        <f aca="false">+CW92+CZ92+CQ92+CT92</f>
        <v>0</v>
      </c>
      <c r="DD92" s="6" t="n">
        <f aca="false">+CX92+DA92+CR92+CU92</f>
        <v>0</v>
      </c>
      <c r="DE92" s="6" t="n">
        <v>0</v>
      </c>
      <c r="DF92" s="6" t="n">
        <v>0</v>
      </c>
      <c r="DG92" s="6" t="n">
        <v>0</v>
      </c>
      <c r="DH92" s="6" t="n">
        <v>0</v>
      </c>
      <c r="DI92" s="6" t="n">
        <v>0</v>
      </c>
      <c r="DJ92" s="6" t="n">
        <v>0</v>
      </c>
      <c r="DK92" s="6" t="n">
        <v>0</v>
      </c>
      <c r="DL92" s="6" t="n">
        <v>0</v>
      </c>
      <c r="DM92" s="6" t="n">
        <v>0</v>
      </c>
      <c r="DN92" s="6" t="n">
        <v>0</v>
      </c>
      <c r="DO92" s="6" t="n">
        <v>0</v>
      </c>
      <c r="DP92" s="6" t="n">
        <v>0</v>
      </c>
      <c r="DQ92" s="6" t="n">
        <f aca="false">+DK92+DN92+DE92+DH92</f>
        <v>0</v>
      </c>
      <c r="DR92" s="6" t="n">
        <f aca="false">+DL92+DO92+DF92+DI92</f>
        <v>0</v>
      </c>
      <c r="DS92" s="6" t="n">
        <f aca="false">+DM92+DP92+DG92+DJ92</f>
        <v>0</v>
      </c>
      <c r="DT92" s="31" t="n">
        <f aca="false">+P92+AE92+AT92+BI92+BX92+CM92+DB92</f>
        <v>145350</v>
      </c>
      <c r="DU92" s="31" t="n">
        <f aca="false">+Q92+AF92+AU92+BJ92+BY92+CN92+DC92</f>
        <v>145350</v>
      </c>
      <c r="DV92" s="31" t="n">
        <f aca="false">+R92+AG92+AV92+BK92+BZ92+CO92+DD92</f>
        <v>145350</v>
      </c>
      <c r="DW92" s="31" t="n">
        <f aca="false">+DU92-DV92</f>
        <v>0</v>
      </c>
    </row>
    <row r="93" customFormat="false" ht="13.8" hidden="false" customHeight="false" outlineLevel="0" collapsed="false">
      <c r="A93" s="27" t="n">
        <v>45133</v>
      </c>
      <c r="B93" s="28" t="s">
        <v>427</v>
      </c>
      <c r="C93" s="28" t="s">
        <v>428</v>
      </c>
      <c r="D93" s="29" t="s">
        <v>429</v>
      </c>
      <c r="E93" s="28" t="s">
        <v>430</v>
      </c>
      <c r="F93" s="27" t="s">
        <v>431</v>
      </c>
      <c r="G93" s="27" t="s">
        <v>16</v>
      </c>
      <c r="H93" s="30" t="n">
        <v>500000</v>
      </c>
      <c r="I93" s="30" t="n">
        <v>500000</v>
      </c>
      <c r="J93" s="6" t="n">
        <v>0</v>
      </c>
      <c r="K93" s="6" t="n">
        <v>0</v>
      </c>
      <c r="L93" s="6" t="n">
        <v>0</v>
      </c>
      <c r="M93" s="6" t="n">
        <v>0</v>
      </c>
      <c r="N93" s="6" t="n">
        <v>0</v>
      </c>
      <c r="O93" s="6" t="n">
        <v>0</v>
      </c>
      <c r="P93" s="6" t="n">
        <f aca="false">+J93+M93</f>
        <v>0</v>
      </c>
      <c r="Q93" s="6" t="n">
        <f aca="false">+K93+N93</f>
        <v>0</v>
      </c>
      <c r="R93" s="6" t="n">
        <f aca="false">+L93+O93</f>
        <v>0</v>
      </c>
      <c r="S93" s="6" t="n">
        <v>0</v>
      </c>
      <c r="T93" s="6" t="n">
        <v>0</v>
      </c>
      <c r="U93" s="6" t="n">
        <v>0</v>
      </c>
      <c r="V93" s="6" t="n">
        <v>0</v>
      </c>
      <c r="W93" s="6" t="n">
        <v>0</v>
      </c>
      <c r="X93" s="6" t="n">
        <v>0</v>
      </c>
      <c r="Y93" s="6" t="n">
        <v>0</v>
      </c>
      <c r="Z93" s="6" t="n">
        <v>0</v>
      </c>
      <c r="AA93" s="6" t="n">
        <v>0</v>
      </c>
      <c r="AB93" s="6" t="n">
        <v>0</v>
      </c>
      <c r="AC93" s="6" t="n">
        <v>0</v>
      </c>
      <c r="AD93" s="6" t="n">
        <v>0</v>
      </c>
      <c r="AE93" s="6" t="n">
        <f aca="false">+Y93+AB93+S93+V93</f>
        <v>0</v>
      </c>
      <c r="AF93" s="6" t="n">
        <f aca="false">+Z93+AC93+T93+W93</f>
        <v>0</v>
      </c>
      <c r="AG93" s="6" t="n">
        <f aca="false">+AA93+AD93+U93+X93</f>
        <v>0</v>
      </c>
      <c r="AH93" s="6" t="n">
        <v>0</v>
      </c>
      <c r="AI93" s="6" t="n">
        <v>0</v>
      </c>
      <c r="AJ93" s="6" t="n">
        <v>0</v>
      </c>
      <c r="AK93" s="6" t="n">
        <v>0</v>
      </c>
      <c r="AL93" s="6" t="n">
        <v>0</v>
      </c>
      <c r="AM93" s="6" t="n">
        <v>0</v>
      </c>
      <c r="AN93" s="6" t="n">
        <v>0</v>
      </c>
      <c r="AO93" s="6" t="n">
        <v>0</v>
      </c>
      <c r="AP93" s="6" t="n">
        <v>0</v>
      </c>
      <c r="AQ93" s="6" t="n">
        <v>0</v>
      </c>
      <c r="AR93" s="6" t="n">
        <v>0</v>
      </c>
      <c r="AS93" s="6" t="n">
        <v>0</v>
      </c>
      <c r="AT93" s="6" t="n">
        <f aca="false">+AN93+AQ93+AH93+AK93</f>
        <v>0</v>
      </c>
      <c r="AU93" s="6" t="n">
        <f aca="false">+AO93+AR93+AI93+AL93</f>
        <v>0</v>
      </c>
      <c r="AV93" s="6" t="n">
        <f aca="false">+AP93+AS93+AJ93+AM93</f>
        <v>0</v>
      </c>
      <c r="AW93" s="6" t="n">
        <v>0</v>
      </c>
      <c r="AX93" s="6" t="n">
        <v>0</v>
      </c>
      <c r="AY93" s="6" t="n">
        <v>0</v>
      </c>
      <c r="AZ93" s="6" t="n">
        <v>0</v>
      </c>
      <c r="BA93" s="6" t="n">
        <v>0</v>
      </c>
      <c r="BB93" s="6" t="n">
        <v>0</v>
      </c>
      <c r="BC93" s="6" t="n">
        <v>0</v>
      </c>
      <c r="BD93" s="6" t="n">
        <v>0</v>
      </c>
      <c r="BE93" s="6" t="n">
        <v>0</v>
      </c>
      <c r="BF93" s="30" t="n">
        <v>500000</v>
      </c>
      <c r="BG93" s="30" t="n">
        <v>500000</v>
      </c>
      <c r="BH93" s="6" t="n">
        <v>0</v>
      </c>
      <c r="BI93" s="6" t="n">
        <f aca="false">+BC93+BF93+AW93+AZ93</f>
        <v>500000</v>
      </c>
      <c r="BJ93" s="6" t="n">
        <f aca="false">+BD93+BG93+AX93+BA93</f>
        <v>500000</v>
      </c>
      <c r="BK93" s="6" t="n">
        <f aca="false">+BE93+BH93+AY93+BB93</f>
        <v>0</v>
      </c>
      <c r="BL93" s="6" t="n">
        <v>0</v>
      </c>
      <c r="BM93" s="6" t="n">
        <v>0</v>
      </c>
      <c r="BN93" s="6" t="n">
        <v>250000</v>
      </c>
      <c r="BO93" s="6" t="n">
        <v>0</v>
      </c>
      <c r="BP93" s="6" t="n">
        <v>0</v>
      </c>
      <c r="BQ93" s="6" t="n">
        <v>250000</v>
      </c>
      <c r="BR93" s="6" t="n">
        <v>0</v>
      </c>
      <c r="BS93" s="6" t="n">
        <v>0</v>
      </c>
      <c r="BT93" s="6" t="n">
        <v>0</v>
      </c>
      <c r="BU93" s="6" t="n">
        <v>0</v>
      </c>
      <c r="BV93" s="6" t="n">
        <v>0</v>
      </c>
      <c r="BW93" s="6" t="n">
        <v>0</v>
      </c>
      <c r="BX93" s="6" t="n">
        <f aca="false">+BR93+BU93+BL93+BO93</f>
        <v>0</v>
      </c>
      <c r="BY93" s="6" t="n">
        <f aca="false">+BS93+BV93+BM93+BP93</f>
        <v>0</v>
      </c>
      <c r="BZ93" s="6" t="n">
        <f aca="false">+BT93+BW93+BN93+BQ93</f>
        <v>500000</v>
      </c>
      <c r="CA93" s="6" t="n">
        <v>0</v>
      </c>
      <c r="CB93" s="6" t="n">
        <v>0</v>
      </c>
      <c r="CC93" s="6" t="n">
        <v>0</v>
      </c>
      <c r="CD93" s="6" t="n">
        <v>0</v>
      </c>
      <c r="CE93" s="6" t="n">
        <v>0</v>
      </c>
      <c r="CF93" s="6" t="n">
        <v>0</v>
      </c>
      <c r="CG93" s="6" t="n">
        <v>0</v>
      </c>
      <c r="CH93" s="6" t="n">
        <v>0</v>
      </c>
      <c r="CI93" s="6" t="n">
        <v>0</v>
      </c>
      <c r="CJ93" s="6" t="n">
        <v>0</v>
      </c>
      <c r="CK93" s="6" t="n">
        <v>0</v>
      </c>
      <c r="CL93" s="6" t="n">
        <v>0</v>
      </c>
      <c r="CM93" s="6" t="n">
        <f aca="false">+CG93+CJ93+CA93+CD93</f>
        <v>0</v>
      </c>
      <c r="CN93" s="6" t="n">
        <f aca="false">+CH93+CK93+CB93+CE93</f>
        <v>0</v>
      </c>
      <c r="CO93" s="6" t="n">
        <f aca="false">+CI93+CL93+CC93+CF93</f>
        <v>0</v>
      </c>
      <c r="CP93" s="6" t="n">
        <v>0</v>
      </c>
      <c r="CQ93" s="6" t="n">
        <v>0</v>
      </c>
      <c r="CR93" s="6" t="n">
        <v>0</v>
      </c>
      <c r="CS93" s="6" t="n">
        <v>0</v>
      </c>
      <c r="CT93" s="6" t="n">
        <v>0</v>
      </c>
      <c r="CU93" s="6" t="n">
        <v>0</v>
      </c>
      <c r="CV93" s="6" t="n">
        <v>0</v>
      </c>
      <c r="CW93" s="6" t="n">
        <v>0</v>
      </c>
      <c r="CX93" s="6" t="n">
        <v>0</v>
      </c>
      <c r="CY93" s="6" t="n">
        <v>0</v>
      </c>
      <c r="CZ93" s="6" t="n">
        <v>0</v>
      </c>
      <c r="DA93" s="6" t="n">
        <v>0</v>
      </c>
      <c r="DB93" s="6" t="n">
        <f aca="false">+CV93+CY93+CP93+CS93</f>
        <v>0</v>
      </c>
      <c r="DC93" s="6" t="n">
        <f aca="false">+CW93+CZ93+CQ93+CT93</f>
        <v>0</v>
      </c>
      <c r="DD93" s="6" t="n">
        <f aca="false">+CX93+DA93+CR93+CU93</f>
        <v>0</v>
      </c>
      <c r="DE93" s="6" t="n">
        <v>0</v>
      </c>
      <c r="DF93" s="6" t="n">
        <v>0</v>
      </c>
      <c r="DG93" s="6" t="n">
        <v>0</v>
      </c>
      <c r="DH93" s="6" t="n">
        <v>0</v>
      </c>
      <c r="DI93" s="6" t="n">
        <v>0</v>
      </c>
      <c r="DJ93" s="6" t="n">
        <v>0</v>
      </c>
      <c r="DK93" s="6" t="n">
        <v>0</v>
      </c>
      <c r="DL93" s="6" t="n">
        <v>0</v>
      </c>
      <c r="DM93" s="6" t="n">
        <v>0</v>
      </c>
      <c r="DN93" s="6" t="n">
        <v>0</v>
      </c>
      <c r="DO93" s="6" t="n">
        <v>0</v>
      </c>
      <c r="DP93" s="6" t="n">
        <v>0</v>
      </c>
      <c r="DQ93" s="6" t="n">
        <f aca="false">+DK93+DN93+DE93+DH93</f>
        <v>0</v>
      </c>
      <c r="DR93" s="6" t="n">
        <f aca="false">+DL93+DO93+DF93+DI93</f>
        <v>0</v>
      </c>
      <c r="DS93" s="6" t="n">
        <f aca="false">+DM93+DP93+DG93+DJ93</f>
        <v>0</v>
      </c>
      <c r="DT93" s="31" t="n">
        <f aca="false">+P93+AE93+AT93+BI93+BX93+CM93+DB93</f>
        <v>500000</v>
      </c>
      <c r="DU93" s="31" t="n">
        <f aca="false">+Q93+AF93+AU93+BJ93+BY93+CN93+DC93</f>
        <v>500000</v>
      </c>
      <c r="DV93" s="31" t="n">
        <f aca="false">+R93+AG93+AV93+BK93+BZ93+CO93+DD93</f>
        <v>500000</v>
      </c>
      <c r="DW93" s="31" t="n">
        <f aca="false">+DU93-DV93</f>
        <v>0</v>
      </c>
    </row>
    <row r="94" customFormat="false" ht="13.8" hidden="false" customHeight="false" outlineLevel="0" collapsed="false">
      <c r="A94" s="27" t="n">
        <v>45135</v>
      </c>
      <c r="B94" s="28" t="s">
        <v>432</v>
      </c>
      <c r="C94" s="28" t="s">
        <v>433</v>
      </c>
      <c r="D94" s="29" t="s">
        <v>434</v>
      </c>
      <c r="E94" s="28" t="s">
        <v>435</v>
      </c>
      <c r="F94" s="27" t="s">
        <v>431</v>
      </c>
      <c r="G94" s="27" t="s">
        <v>16</v>
      </c>
      <c r="H94" s="30" t="n">
        <v>4100000</v>
      </c>
      <c r="I94" s="30" t="n">
        <v>4100000</v>
      </c>
      <c r="J94" s="6" t="n">
        <v>0</v>
      </c>
      <c r="K94" s="6" t="n">
        <v>0</v>
      </c>
      <c r="L94" s="6" t="n">
        <v>0</v>
      </c>
      <c r="M94" s="6" t="n">
        <v>0</v>
      </c>
      <c r="N94" s="6" t="n">
        <v>0</v>
      </c>
      <c r="O94" s="6" t="n">
        <v>0</v>
      </c>
      <c r="P94" s="6" t="n">
        <f aca="false">+J94+M94</f>
        <v>0</v>
      </c>
      <c r="Q94" s="6" t="n">
        <f aca="false">+K94+N94</f>
        <v>0</v>
      </c>
      <c r="R94" s="6" t="n">
        <f aca="false">+L94+O94</f>
        <v>0</v>
      </c>
      <c r="S94" s="6" t="n">
        <v>0</v>
      </c>
      <c r="T94" s="6" t="n">
        <v>0</v>
      </c>
      <c r="U94" s="6" t="n">
        <v>0</v>
      </c>
      <c r="V94" s="6" t="n">
        <v>0</v>
      </c>
      <c r="W94" s="6" t="n">
        <v>0</v>
      </c>
      <c r="X94" s="6" t="n">
        <v>0</v>
      </c>
      <c r="Y94" s="6" t="n">
        <v>0</v>
      </c>
      <c r="Z94" s="6" t="n">
        <v>0</v>
      </c>
      <c r="AA94" s="6" t="n">
        <v>0</v>
      </c>
      <c r="AB94" s="6" t="n">
        <v>0</v>
      </c>
      <c r="AC94" s="6" t="n">
        <v>0</v>
      </c>
      <c r="AD94" s="6" t="n">
        <v>0</v>
      </c>
      <c r="AE94" s="6" t="n">
        <f aca="false">+Y94+AB94+S94+V94</f>
        <v>0</v>
      </c>
      <c r="AF94" s="6" t="n">
        <f aca="false">+Z94+AC94+T94+W94</f>
        <v>0</v>
      </c>
      <c r="AG94" s="6" t="n">
        <f aca="false">+AA94+AD94+U94+X94</f>
        <v>0</v>
      </c>
      <c r="AH94" s="6" t="n">
        <v>0</v>
      </c>
      <c r="AI94" s="6" t="n">
        <v>0</v>
      </c>
      <c r="AJ94" s="6" t="n">
        <v>0</v>
      </c>
      <c r="AK94" s="6" t="n">
        <v>0</v>
      </c>
      <c r="AL94" s="6" t="n">
        <v>0</v>
      </c>
      <c r="AM94" s="6" t="n">
        <v>0</v>
      </c>
      <c r="AN94" s="6" t="n">
        <v>0</v>
      </c>
      <c r="AO94" s="6" t="n">
        <v>0</v>
      </c>
      <c r="AP94" s="6" t="n">
        <v>0</v>
      </c>
      <c r="AQ94" s="6" t="n">
        <v>0</v>
      </c>
      <c r="AR94" s="6" t="n">
        <v>0</v>
      </c>
      <c r="AS94" s="6" t="n">
        <v>0</v>
      </c>
      <c r="AT94" s="6" t="n">
        <f aca="false">+AN94+AQ94+AH94+AK94</f>
        <v>0</v>
      </c>
      <c r="AU94" s="6" t="n">
        <f aca="false">+AO94+AR94+AI94+AL94</f>
        <v>0</v>
      </c>
      <c r="AV94" s="6" t="n">
        <f aca="false">+AP94+AS94+AJ94+AM94</f>
        <v>0</v>
      </c>
      <c r="AW94" s="6" t="n">
        <v>0</v>
      </c>
      <c r="AX94" s="6" t="n">
        <v>0</v>
      </c>
      <c r="AY94" s="6" t="n">
        <v>0</v>
      </c>
      <c r="AZ94" s="6" t="n">
        <v>0</v>
      </c>
      <c r="BA94" s="6" t="n">
        <v>0</v>
      </c>
      <c r="BB94" s="6" t="n">
        <v>0</v>
      </c>
      <c r="BC94" s="6" t="n">
        <v>0</v>
      </c>
      <c r="BD94" s="6" t="n">
        <v>0</v>
      </c>
      <c r="BE94" s="6" t="n">
        <v>0</v>
      </c>
      <c r="BF94" s="30" t="n">
        <v>4100000</v>
      </c>
      <c r="BG94" s="30" t="n">
        <v>4100000</v>
      </c>
      <c r="BH94" s="6" t="n">
        <v>0</v>
      </c>
      <c r="BI94" s="6" t="n">
        <f aca="false">+BC94+BF94+AW94+AZ94</f>
        <v>4100000</v>
      </c>
      <c r="BJ94" s="6" t="n">
        <f aca="false">+BD94+BG94+AX94+BA94</f>
        <v>4100000</v>
      </c>
      <c r="BK94" s="6" t="n">
        <f aca="false">+BE94+BH94+AY94+BB94</f>
        <v>0</v>
      </c>
      <c r="BL94" s="6" t="n">
        <v>0</v>
      </c>
      <c r="BM94" s="6" t="n">
        <v>0</v>
      </c>
      <c r="BN94" s="6" t="n">
        <v>525000</v>
      </c>
      <c r="BO94" s="6" t="n">
        <v>0</v>
      </c>
      <c r="BP94" s="6" t="n">
        <v>0</v>
      </c>
      <c r="BQ94" s="6" t="n">
        <v>500000</v>
      </c>
      <c r="BR94" s="6" t="n">
        <v>0</v>
      </c>
      <c r="BS94" s="6" t="n">
        <v>0</v>
      </c>
      <c r="BT94" s="6" t="n">
        <v>0</v>
      </c>
      <c r="BU94" s="6" t="n">
        <v>0</v>
      </c>
      <c r="BV94" s="6" t="n">
        <v>0</v>
      </c>
      <c r="BW94" s="6" t="n">
        <v>1500000</v>
      </c>
      <c r="BX94" s="6" t="n">
        <f aca="false">+BR94+BU94+BL94+BO94</f>
        <v>0</v>
      </c>
      <c r="BY94" s="6" t="n">
        <f aca="false">+BS94+BV94+BM94+BP94</f>
        <v>0</v>
      </c>
      <c r="BZ94" s="6" t="n">
        <f aca="false">+BT94+BW94+BN94+BQ94</f>
        <v>2525000</v>
      </c>
      <c r="CA94" s="6" t="n">
        <v>0</v>
      </c>
      <c r="CB94" s="6" t="n">
        <v>0</v>
      </c>
      <c r="CC94" s="6" t="n">
        <v>1000000</v>
      </c>
      <c r="CD94" s="6" t="n">
        <v>0</v>
      </c>
      <c r="CE94" s="6" t="n">
        <v>0</v>
      </c>
      <c r="CF94" s="6" t="n">
        <v>575000</v>
      </c>
      <c r="CG94" s="6" t="n">
        <v>0</v>
      </c>
      <c r="CH94" s="6" t="n">
        <v>0</v>
      </c>
      <c r="CI94" s="6" t="n">
        <v>0</v>
      </c>
      <c r="CJ94" s="6" t="n">
        <v>0</v>
      </c>
      <c r="CK94" s="6" t="n">
        <v>0</v>
      </c>
      <c r="CL94" s="6" t="n">
        <v>0</v>
      </c>
      <c r="CM94" s="6" t="n">
        <f aca="false">+CG94+CJ94+CA94+CD94</f>
        <v>0</v>
      </c>
      <c r="CN94" s="6" t="n">
        <f aca="false">+CH94+CK94+CB94+CE94</f>
        <v>0</v>
      </c>
      <c r="CO94" s="6" t="n">
        <f aca="false">+CI94+CL94+CC94+CF94</f>
        <v>1575000</v>
      </c>
      <c r="CP94" s="6" t="n">
        <v>0</v>
      </c>
      <c r="CQ94" s="6" t="n">
        <v>0</v>
      </c>
      <c r="CR94" s="6" t="n">
        <v>0</v>
      </c>
      <c r="CS94" s="6" t="n">
        <v>0</v>
      </c>
      <c r="CT94" s="6" t="n">
        <v>0</v>
      </c>
      <c r="CU94" s="6" t="n">
        <v>0</v>
      </c>
      <c r="CV94" s="6" t="n">
        <v>0</v>
      </c>
      <c r="CW94" s="6" t="n">
        <v>0</v>
      </c>
      <c r="CX94" s="6" t="n">
        <v>0</v>
      </c>
      <c r="CY94" s="6" t="n">
        <v>0</v>
      </c>
      <c r="CZ94" s="6" t="n">
        <v>0</v>
      </c>
      <c r="DA94" s="6" t="n">
        <v>0</v>
      </c>
      <c r="DB94" s="6" t="n">
        <f aca="false">+CV94+CY94+CP94+CS94</f>
        <v>0</v>
      </c>
      <c r="DC94" s="6" t="n">
        <f aca="false">+CW94+CZ94+CQ94+CT94</f>
        <v>0</v>
      </c>
      <c r="DD94" s="6" t="n">
        <f aca="false">+CX94+DA94+CR94+CU94</f>
        <v>0</v>
      </c>
      <c r="DE94" s="6" t="n">
        <v>0</v>
      </c>
      <c r="DF94" s="6" t="n">
        <v>0</v>
      </c>
      <c r="DG94" s="6" t="n">
        <v>0</v>
      </c>
      <c r="DH94" s="6" t="n">
        <v>0</v>
      </c>
      <c r="DI94" s="6" t="n">
        <v>0</v>
      </c>
      <c r="DJ94" s="6" t="n">
        <v>0</v>
      </c>
      <c r="DK94" s="6" t="n">
        <v>0</v>
      </c>
      <c r="DL94" s="6" t="n">
        <v>0</v>
      </c>
      <c r="DM94" s="6" t="n">
        <v>0</v>
      </c>
      <c r="DN94" s="6" t="n">
        <v>0</v>
      </c>
      <c r="DO94" s="6" t="n">
        <v>0</v>
      </c>
      <c r="DP94" s="6" t="n">
        <v>0</v>
      </c>
      <c r="DQ94" s="6" t="n">
        <f aca="false">+DK94+DN94+DE94+DH94</f>
        <v>0</v>
      </c>
      <c r="DR94" s="6" t="n">
        <f aca="false">+DL94+DO94+DF94+DI94</f>
        <v>0</v>
      </c>
      <c r="DS94" s="6" t="n">
        <f aca="false">+DM94+DP94+DG94+DJ94</f>
        <v>0</v>
      </c>
      <c r="DT94" s="31" t="n">
        <f aca="false">+P94+AE94+AT94+BI94+BX94+CM94+DB94</f>
        <v>4100000</v>
      </c>
      <c r="DU94" s="31" t="n">
        <f aca="false">+Q94+AF94+AU94+BJ94+BY94+CN94+DC94</f>
        <v>4100000</v>
      </c>
      <c r="DV94" s="31" t="n">
        <f aca="false">+R94+AG94+AV94+BK94+BZ94+CO94+DD94</f>
        <v>4100000</v>
      </c>
      <c r="DW94" s="31" t="n">
        <f aca="false">+DU94-DV94</f>
        <v>0</v>
      </c>
    </row>
    <row r="95" customFormat="false" ht="13.8" hidden="false" customHeight="false" outlineLevel="0" collapsed="false">
      <c r="A95" s="27" t="n">
        <v>45142</v>
      </c>
      <c r="B95" s="28" t="s">
        <v>436</v>
      </c>
      <c r="C95" s="28" t="s">
        <v>437</v>
      </c>
      <c r="D95" s="29" t="s">
        <v>438</v>
      </c>
      <c r="E95" s="28" t="s">
        <v>439</v>
      </c>
      <c r="F95" s="27" t="s">
        <v>440</v>
      </c>
      <c r="G95" s="27" t="s">
        <v>16</v>
      </c>
      <c r="H95" s="30" t="n">
        <v>3000000</v>
      </c>
      <c r="I95" s="30" t="n">
        <v>3000000</v>
      </c>
      <c r="J95" s="6" t="n">
        <v>0</v>
      </c>
      <c r="K95" s="6" t="n">
        <v>0</v>
      </c>
      <c r="L95" s="6" t="n">
        <v>0</v>
      </c>
      <c r="M95" s="6" t="n">
        <v>0</v>
      </c>
      <c r="N95" s="6" t="n">
        <v>0</v>
      </c>
      <c r="O95" s="6" t="n">
        <v>0</v>
      </c>
      <c r="P95" s="6" t="n">
        <f aca="false">+J95+M95</f>
        <v>0</v>
      </c>
      <c r="Q95" s="6" t="n">
        <f aca="false">+K95+N95</f>
        <v>0</v>
      </c>
      <c r="R95" s="6" t="n">
        <f aca="false">+L95+O95</f>
        <v>0</v>
      </c>
      <c r="S95" s="6" t="n">
        <v>0</v>
      </c>
      <c r="T95" s="6" t="n">
        <v>0</v>
      </c>
      <c r="U95" s="6" t="n">
        <v>0</v>
      </c>
      <c r="V95" s="6" t="n">
        <v>0</v>
      </c>
      <c r="W95" s="6" t="n">
        <v>0</v>
      </c>
      <c r="X95" s="6" t="n">
        <v>0</v>
      </c>
      <c r="Y95" s="6" t="n">
        <v>0</v>
      </c>
      <c r="Z95" s="6" t="n">
        <v>0</v>
      </c>
      <c r="AA95" s="6" t="n">
        <v>0</v>
      </c>
      <c r="AB95" s="6" t="n">
        <v>0</v>
      </c>
      <c r="AC95" s="6" t="n">
        <v>0</v>
      </c>
      <c r="AD95" s="6" t="n">
        <v>0</v>
      </c>
      <c r="AE95" s="6" t="n">
        <f aca="false">+Y95+AB95+S95+V95</f>
        <v>0</v>
      </c>
      <c r="AF95" s="6" t="n">
        <f aca="false">+Z95+AC95+T95+W95</f>
        <v>0</v>
      </c>
      <c r="AG95" s="6" t="n">
        <f aca="false">+AA95+AD95+U95+X95</f>
        <v>0</v>
      </c>
      <c r="AH95" s="6" t="n">
        <v>0</v>
      </c>
      <c r="AI95" s="6" t="n">
        <v>0</v>
      </c>
      <c r="AJ95" s="6" t="n">
        <v>0</v>
      </c>
      <c r="AK95" s="6" t="n">
        <v>0</v>
      </c>
      <c r="AL95" s="6" t="n">
        <v>0</v>
      </c>
      <c r="AM95" s="6" t="n">
        <v>0</v>
      </c>
      <c r="AN95" s="6" t="n">
        <v>0</v>
      </c>
      <c r="AO95" s="6" t="n">
        <v>0</v>
      </c>
      <c r="AP95" s="6" t="n">
        <v>0</v>
      </c>
      <c r="AQ95" s="6" t="n">
        <v>0</v>
      </c>
      <c r="AR95" s="6" t="n">
        <v>0</v>
      </c>
      <c r="AS95" s="6" t="n">
        <v>0</v>
      </c>
      <c r="AT95" s="6" t="n">
        <f aca="false">+AN95+AQ95+AH95+AK95</f>
        <v>0</v>
      </c>
      <c r="AU95" s="6" t="n">
        <f aca="false">+AO95+AR95+AI95+AL95</f>
        <v>0</v>
      </c>
      <c r="AV95" s="6" t="n">
        <f aca="false">+AP95+AS95+AJ95+AM95</f>
        <v>0</v>
      </c>
      <c r="AW95" s="6" t="n">
        <v>0</v>
      </c>
      <c r="AX95" s="6" t="n">
        <v>0</v>
      </c>
      <c r="AY95" s="6" t="n">
        <v>0</v>
      </c>
      <c r="AZ95" s="6" t="n">
        <v>0</v>
      </c>
      <c r="BA95" s="6" t="n">
        <v>0</v>
      </c>
      <c r="BB95" s="6" t="n">
        <v>0</v>
      </c>
      <c r="BC95" s="6" t="n">
        <v>0</v>
      </c>
      <c r="BD95" s="6" t="n">
        <v>0</v>
      </c>
      <c r="BE95" s="6" t="n">
        <v>0</v>
      </c>
      <c r="BF95" s="30" t="n">
        <v>3000000</v>
      </c>
      <c r="BG95" s="30" t="n">
        <v>3000000</v>
      </c>
      <c r="BH95" s="6" t="n">
        <v>0</v>
      </c>
      <c r="BI95" s="6" t="n">
        <f aca="false">+BC95+BF95+AW95+AZ95</f>
        <v>3000000</v>
      </c>
      <c r="BJ95" s="6" t="n">
        <f aca="false">+BD95+BG95+AX95+BA95</f>
        <v>3000000</v>
      </c>
      <c r="BK95" s="6" t="n">
        <f aca="false">+BE95+BH95+AY95+BB95</f>
        <v>0</v>
      </c>
      <c r="BL95" s="6" t="n">
        <v>0</v>
      </c>
      <c r="BM95" s="6" t="n">
        <v>0</v>
      </c>
      <c r="BN95" s="6" t="n">
        <v>500000</v>
      </c>
      <c r="BO95" s="6" t="n">
        <v>0</v>
      </c>
      <c r="BP95" s="6" t="n">
        <v>0</v>
      </c>
      <c r="BQ95" s="6" t="n">
        <v>500000</v>
      </c>
      <c r="BR95" s="6" t="n">
        <v>0</v>
      </c>
      <c r="BS95" s="6" t="n">
        <v>0</v>
      </c>
      <c r="BT95" s="6" t="n">
        <v>500000</v>
      </c>
      <c r="BU95" s="6" t="n">
        <v>0</v>
      </c>
      <c r="BV95" s="6" t="n">
        <v>0</v>
      </c>
      <c r="BW95" s="6" t="n">
        <v>900000</v>
      </c>
      <c r="BX95" s="6" t="n">
        <f aca="false">+BR95+BU95+BL95+BO95</f>
        <v>0</v>
      </c>
      <c r="BY95" s="6" t="n">
        <f aca="false">+BS95+BV95+BM95+BP95</f>
        <v>0</v>
      </c>
      <c r="BZ95" s="6" t="n">
        <f aca="false">+BT95+BW95+BN95+BQ95</f>
        <v>2400000</v>
      </c>
      <c r="CA95" s="6" t="n">
        <v>0</v>
      </c>
      <c r="CB95" s="6" t="n">
        <v>0</v>
      </c>
      <c r="CC95" s="6" t="n">
        <v>600000</v>
      </c>
      <c r="CD95" s="6" t="n">
        <v>0</v>
      </c>
      <c r="CE95" s="6" t="n">
        <v>0</v>
      </c>
      <c r="CF95" s="6" t="n">
        <v>0</v>
      </c>
      <c r="CG95" s="6" t="n">
        <v>0</v>
      </c>
      <c r="CH95" s="6" t="n">
        <v>0</v>
      </c>
      <c r="CI95" s="6" t="n">
        <v>0</v>
      </c>
      <c r="CJ95" s="6" t="n">
        <v>0</v>
      </c>
      <c r="CK95" s="6" t="n">
        <v>0</v>
      </c>
      <c r="CL95" s="6" t="n">
        <v>0</v>
      </c>
      <c r="CM95" s="6" t="n">
        <f aca="false">+CG95+CJ95+CA95+CD95</f>
        <v>0</v>
      </c>
      <c r="CN95" s="6" t="n">
        <f aca="false">+CH95+CK95+CB95+CE95</f>
        <v>0</v>
      </c>
      <c r="CO95" s="6" t="n">
        <f aca="false">+CI95+CL95+CC95+CF95</f>
        <v>600000</v>
      </c>
      <c r="CP95" s="6" t="n">
        <v>0</v>
      </c>
      <c r="CQ95" s="6" t="n">
        <v>0</v>
      </c>
      <c r="CR95" s="6" t="n">
        <v>0</v>
      </c>
      <c r="CS95" s="6" t="n">
        <v>0</v>
      </c>
      <c r="CT95" s="6" t="n">
        <v>0</v>
      </c>
      <c r="CU95" s="6" t="n">
        <v>0</v>
      </c>
      <c r="CV95" s="6" t="n">
        <v>0</v>
      </c>
      <c r="CW95" s="6" t="n">
        <v>0</v>
      </c>
      <c r="CX95" s="6" t="n">
        <v>0</v>
      </c>
      <c r="CY95" s="6" t="n">
        <v>0</v>
      </c>
      <c r="CZ95" s="6" t="n">
        <v>0</v>
      </c>
      <c r="DA95" s="6" t="n">
        <v>0</v>
      </c>
      <c r="DB95" s="6" t="n">
        <f aca="false">+CV95+CY95+CP95+CS95</f>
        <v>0</v>
      </c>
      <c r="DC95" s="6" t="n">
        <f aca="false">+CW95+CZ95+CQ95+CT95</f>
        <v>0</v>
      </c>
      <c r="DD95" s="6" t="n">
        <f aca="false">+CX95+DA95+CR95+CU95</f>
        <v>0</v>
      </c>
      <c r="DE95" s="6" t="n">
        <v>0</v>
      </c>
      <c r="DF95" s="6" t="n">
        <v>0</v>
      </c>
      <c r="DG95" s="6" t="n">
        <v>0</v>
      </c>
      <c r="DH95" s="6" t="n">
        <v>0</v>
      </c>
      <c r="DI95" s="6" t="n">
        <v>0</v>
      </c>
      <c r="DJ95" s="6" t="n">
        <v>0</v>
      </c>
      <c r="DK95" s="6" t="n">
        <v>0</v>
      </c>
      <c r="DL95" s="6" t="n">
        <v>0</v>
      </c>
      <c r="DM95" s="6" t="n">
        <v>0</v>
      </c>
      <c r="DN95" s="6" t="n">
        <v>0</v>
      </c>
      <c r="DO95" s="6" t="n">
        <v>0</v>
      </c>
      <c r="DP95" s="6" t="n">
        <v>0</v>
      </c>
      <c r="DQ95" s="6" t="n">
        <f aca="false">+DK95+DN95+DE95+DH95</f>
        <v>0</v>
      </c>
      <c r="DR95" s="6" t="n">
        <f aca="false">+DL95+DO95+DF95+DI95</f>
        <v>0</v>
      </c>
      <c r="DS95" s="6" t="n">
        <f aca="false">+DM95+DP95+DG95+DJ95</f>
        <v>0</v>
      </c>
      <c r="DT95" s="31" t="n">
        <f aca="false">+P95+AE95+AT95+BI95+BX95+CM95+DB95</f>
        <v>3000000</v>
      </c>
      <c r="DU95" s="31" t="n">
        <f aca="false">+Q95+AF95+AU95+BJ95+BY95+CN95+DC95</f>
        <v>3000000</v>
      </c>
      <c r="DV95" s="31" t="n">
        <f aca="false">+R95+AG95+AV95+BK95+BZ95+CO95+DD95</f>
        <v>3000000</v>
      </c>
      <c r="DW95" s="31" t="n">
        <f aca="false">+DU95-DV95</f>
        <v>0</v>
      </c>
    </row>
    <row r="96" customFormat="false" ht="13.8" hidden="false" customHeight="false" outlineLevel="0" collapsed="false">
      <c r="A96" s="27" t="n">
        <v>45161</v>
      </c>
      <c r="B96" s="28" t="s">
        <v>441</v>
      </c>
      <c r="C96" s="28" t="s">
        <v>442</v>
      </c>
      <c r="D96" s="29" t="s">
        <v>443</v>
      </c>
      <c r="E96" s="35" t="s">
        <v>444</v>
      </c>
      <c r="F96" s="37" t="s">
        <v>445</v>
      </c>
      <c r="G96" s="27" t="s">
        <v>16</v>
      </c>
      <c r="H96" s="30" t="n">
        <v>1300000</v>
      </c>
      <c r="I96" s="30" t="n">
        <v>1300000</v>
      </c>
      <c r="J96" s="6" t="n">
        <v>0</v>
      </c>
      <c r="K96" s="6" t="n">
        <v>0</v>
      </c>
      <c r="L96" s="6" t="n">
        <v>0</v>
      </c>
      <c r="M96" s="6" t="n">
        <v>0</v>
      </c>
      <c r="N96" s="6" t="n">
        <v>0</v>
      </c>
      <c r="O96" s="6" t="n">
        <v>0</v>
      </c>
      <c r="P96" s="6" t="n">
        <f aca="false">+J96+M96</f>
        <v>0</v>
      </c>
      <c r="Q96" s="6" t="n">
        <f aca="false">+K96+N96</f>
        <v>0</v>
      </c>
      <c r="R96" s="6" t="n">
        <f aca="false">+L96+O96</f>
        <v>0</v>
      </c>
      <c r="S96" s="6" t="n">
        <v>0</v>
      </c>
      <c r="T96" s="6" t="n">
        <v>0</v>
      </c>
      <c r="U96" s="6" t="n">
        <v>0</v>
      </c>
      <c r="V96" s="6" t="n">
        <v>0</v>
      </c>
      <c r="W96" s="6" t="n">
        <v>0</v>
      </c>
      <c r="X96" s="6" t="n">
        <v>0</v>
      </c>
      <c r="Y96" s="6" t="n">
        <v>0</v>
      </c>
      <c r="Z96" s="6" t="n">
        <v>0</v>
      </c>
      <c r="AA96" s="6" t="n">
        <v>0</v>
      </c>
      <c r="AB96" s="6" t="n">
        <v>0</v>
      </c>
      <c r="AC96" s="6" t="n">
        <v>0</v>
      </c>
      <c r="AD96" s="6" t="n">
        <v>0</v>
      </c>
      <c r="AE96" s="6" t="n">
        <f aca="false">+Y96+AB96+S96+V96</f>
        <v>0</v>
      </c>
      <c r="AF96" s="6" t="n">
        <f aca="false">+Z96+AC96+T96+W96</f>
        <v>0</v>
      </c>
      <c r="AG96" s="6" t="n">
        <f aca="false">+AA96+AD96+U96+X96</f>
        <v>0</v>
      </c>
      <c r="AH96" s="6" t="n">
        <v>0</v>
      </c>
      <c r="AI96" s="6" t="n">
        <v>0</v>
      </c>
      <c r="AJ96" s="6" t="n">
        <v>0</v>
      </c>
      <c r="AK96" s="6" t="n">
        <v>0</v>
      </c>
      <c r="AL96" s="6" t="n">
        <v>0</v>
      </c>
      <c r="AM96" s="6" t="n">
        <v>0</v>
      </c>
      <c r="AN96" s="6" t="n">
        <v>0</v>
      </c>
      <c r="AO96" s="6" t="n">
        <v>0</v>
      </c>
      <c r="AP96" s="6" t="n">
        <v>0</v>
      </c>
      <c r="AQ96" s="6" t="n">
        <v>0</v>
      </c>
      <c r="AR96" s="6" t="n">
        <v>0</v>
      </c>
      <c r="AS96" s="6" t="n">
        <v>0</v>
      </c>
      <c r="AT96" s="6" t="n">
        <f aca="false">+AN96+AQ96+AH96+AK96</f>
        <v>0</v>
      </c>
      <c r="AU96" s="6" t="n">
        <f aca="false">+AO96+AR96+AI96+AL96</f>
        <v>0</v>
      </c>
      <c r="AV96" s="6" t="n">
        <f aca="false">+AP96+AS96+AJ96+AM96</f>
        <v>0</v>
      </c>
      <c r="AW96" s="6" t="n">
        <v>0</v>
      </c>
      <c r="AX96" s="6" t="n">
        <v>0</v>
      </c>
      <c r="AY96" s="6" t="n">
        <v>0</v>
      </c>
      <c r="AZ96" s="6" t="n">
        <v>0</v>
      </c>
      <c r="BA96" s="6" t="n">
        <v>0</v>
      </c>
      <c r="BB96" s="6" t="n">
        <v>0</v>
      </c>
      <c r="BC96" s="6" t="n">
        <v>0</v>
      </c>
      <c r="BD96" s="6" t="n">
        <v>0</v>
      </c>
      <c r="BE96" s="6" t="n">
        <v>0</v>
      </c>
      <c r="BF96" s="30" t="n">
        <v>1300000</v>
      </c>
      <c r="BG96" s="30" t="n">
        <v>1300000</v>
      </c>
      <c r="BH96" s="6" t="n">
        <v>0</v>
      </c>
      <c r="BI96" s="6" t="n">
        <f aca="false">+BC96+BF96+AW96+AZ96</f>
        <v>1300000</v>
      </c>
      <c r="BJ96" s="6" t="n">
        <f aca="false">+BD96+BG96+AX96+BA96</f>
        <v>1300000</v>
      </c>
      <c r="BK96" s="6" t="n">
        <f aca="false">+BE96+BH96+AY96+BB96</f>
        <v>0</v>
      </c>
      <c r="BL96" s="6" t="n">
        <v>0</v>
      </c>
      <c r="BM96" s="6" t="n">
        <v>0</v>
      </c>
      <c r="BN96" s="6" t="n">
        <v>650000</v>
      </c>
      <c r="BO96" s="6" t="n">
        <v>0</v>
      </c>
      <c r="BP96" s="6" t="n">
        <v>0</v>
      </c>
      <c r="BQ96" s="6" t="n">
        <v>300000</v>
      </c>
      <c r="BR96" s="6" t="n">
        <v>0</v>
      </c>
      <c r="BS96" s="6" t="n">
        <v>0</v>
      </c>
      <c r="BT96" s="6" t="n">
        <v>0</v>
      </c>
      <c r="BU96" s="6" t="n">
        <v>0</v>
      </c>
      <c r="BV96" s="6" t="n">
        <v>0</v>
      </c>
      <c r="BW96" s="6" t="n">
        <v>350000</v>
      </c>
      <c r="BX96" s="6" t="n">
        <f aca="false">+BR96+BU96+BL96+BO96</f>
        <v>0</v>
      </c>
      <c r="BY96" s="6" t="n">
        <f aca="false">+BS96+BV96+BM96+BP96</f>
        <v>0</v>
      </c>
      <c r="BZ96" s="6" t="n">
        <f aca="false">+BT96+BW96+BN96+BQ96</f>
        <v>1300000</v>
      </c>
      <c r="CA96" s="6" t="n">
        <v>0</v>
      </c>
      <c r="CB96" s="6" t="n">
        <v>0</v>
      </c>
      <c r="CC96" s="6" t="n">
        <v>0</v>
      </c>
      <c r="CD96" s="6" t="n">
        <v>0</v>
      </c>
      <c r="CE96" s="6" t="n">
        <v>0</v>
      </c>
      <c r="CF96" s="6" t="n">
        <v>0</v>
      </c>
      <c r="CG96" s="6" t="n">
        <v>0</v>
      </c>
      <c r="CH96" s="6" t="n">
        <v>0</v>
      </c>
      <c r="CI96" s="6" t="n">
        <v>0</v>
      </c>
      <c r="CJ96" s="6" t="n">
        <v>0</v>
      </c>
      <c r="CK96" s="6" t="n">
        <v>0</v>
      </c>
      <c r="CL96" s="6" t="n">
        <v>0</v>
      </c>
      <c r="CM96" s="6" t="n">
        <f aca="false">+CG96+CJ96+CA96+CD96</f>
        <v>0</v>
      </c>
      <c r="CN96" s="6" t="n">
        <f aca="false">+CH96+CK96+CB96+CE96</f>
        <v>0</v>
      </c>
      <c r="CO96" s="6" t="n">
        <f aca="false">+CI96+CL96+CC96+CF96</f>
        <v>0</v>
      </c>
      <c r="CP96" s="6" t="n">
        <v>0</v>
      </c>
      <c r="CQ96" s="6" t="n">
        <v>0</v>
      </c>
      <c r="CR96" s="6" t="n">
        <v>0</v>
      </c>
      <c r="CS96" s="6" t="n">
        <v>0</v>
      </c>
      <c r="CT96" s="6" t="n">
        <v>0</v>
      </c>
      <c r="CU96" s="6" t="n">
        <v>0</v>
      </c>
      <c r="CV96" s="6" t="n">
        <v>0</v>
      </c>
      <c r="CW96" s="6" t="n">
        <v>0</v>
      </c>
      <c r="CX96" s="6" t="n">
        <v>0</v>
      </c>
      <c r="CY96" s="6" t="n">
        <v>0</v>
      </c>
      <c r="CZ96" s="6" t="n">
        <v>0</v>
      </c>
      <c r="DA96" s="6" t="n">
        <v>0</v>
      </c>
      <c r="DB96" s="6" t="n">
        <f aca="false">+CV96+CY96+CP96+CS96</f>
        <v>0</v>
      </c>
      <c r="DC96" s="6" t="n">
        <f aca="false">+CW96+CZ96+CQ96+CT96</f>
        <v>0</v>
      </c>
      <c r="DD96" s="6" t="n">
        <f aca="false">+CX96+DA96+CR96+CU96</f>
        <v>0</v>
      </c>
      <c r="DE96" s="6" t="n">
        <v>0</v>
      </c>
      <c r="DF96" s="6" t="n">
        <v>0</v>
      </c>
      <c r="DG96" s="6" t="n">
        <v>0</v>
      </c>
      <c r="DH96" s="6" t="n">
        <v>0</v>
      </c>
      <c r="DI96" s="6" t="n">
        <v>0</v>
      </c>
      <c r="DJ96" s="6" t="n">
        <v>0</v>
      </c>
      <c r="DK96" s="6" t="n">
        <v>0</v>
      </c>
      <c r="DL96" s="6" t="n">
        <v>0</v>
      </c>
      <c r="DM96" s="6" t="n">
        <v>0</v>
      </c>
      <c r="DN96" s="6" t="n">
        <v>0</v>
      </c>
      <c r="DO96" s="6" t="n">
        <v>0</v>
      </c>
      <c r="DP96" s="6" t="n">
        <v>0</v>
      </c>
      <c r="DQ96" s="6" t="n">
        <f aca="false">+DK96+DN96+DE96+DH96</f>
        <v>0</v>
      </c>
      <c r="DR96" s="6" t="n">
        <f aca="false">+DL96+DO96+DF96+DI96</f>
        <v>0</v>
      </c>
      <c r="DS96" s="6" t="n">
        <f aca="false">+DM96+DP96+DG96+DJ96</f>
        <v>0</v>
      </c>
      <c r="DT96" s="31" t="n">
        <f aca="false">+P96+AE96+AT96+BI96+BX96+CM96+DB96</f>
        <v>1300000</v>
      </c>
      <c r="DU96" s="31" t="n">
        <f aca="false">+Q96+AF96+AU96+BJ96+BY96+CN96+DC96</f>
        <v>1300000</v>
      </c>
      <c r="DV96" s="31" t="n">
        <f aca="false">+R96+AG96+AV96+BK96+BZ96+CO96+DD96</f>
        <v>1300000</v>
      </c>
      <c r="DW96" s="31" t="n">
        <f aca="false">+DU96-DV96</f>
        <v>0</v>
      </c>
    </row>
    <row r="97" customFormat="false" ht="13.8" hidden="false" customHeight="false" outlineLevel="0" collapsed="false">
      <c r="A97" s="27" t="n">
        <v>45161</v>
      </c>
      <c r="B97" s="28" t="s">
        <v>441</v>
      </c>
      <c r="C97" s="28" t="s">
        <v>442</v>
      </c>
      <c r="D97" s="29" t="s">
        <v>443</v>
      </c>
      <c r="E97" s="35" t="s">
        <v>444</v>
      </c>
      <c r="F97" s="37" t="s">
        <v>445</v>
      </c>
      <c r="G97" s="27" t="s">
        <v>16</v>
      </c>
      <c r="H97" s="30" t="n">
        <v>1834250</v>
      </c>
      <c r="I97" s="30" t="n">
        <v>1834250</v>
      </c>
      <c r="J97" s="6" t="n">
        <v>0</v>
      </c>
      <c r="K97" s="6" t="n">
        <v>0</v>
      </c>
      <c r="L97" s="6" t="n">
        <v>0</v>
      </c>
      <c r="M97" s="6" t="n">
        <v>0</v>
      </c>
      <c r="N97" s="6" t="n">
        <v>0</v>
      </c>
      <c r="O97" s="6" t="n">
        <v>0</v>
      </c>
      <c r="P97" s="6" t="n">
        <f aca="false">+J97+M97</f>
        <v>0</v>
      </c>
      <c r="Q97" s="6" t="n">
        <f aca="false">+K97+N97</f>
        <v>0</v>
      </c>
      <c r="R97" s="6" t="n">
        <f aca="false">+L97+O97</f>
        <v>0</v>
      </c>
      <c r="S97" s="6" t="n">
        <v>0</v>
      </c>
      <c r="T97" s="6" t="n">
        <v>0</v>
      </c>
      <c r="U97" s="6" t="n">
        <v>0</v>
      </c>
      <c r="V97" s="6" t="n">
        <v>0</v>
      </c>
      <c r="W97" s="6" t="n">
        <v>0</v>
      </c>
      <c r="X97" s="6" t="n">
        <v>0</v>
      </c>
      <c r="Y97" s="6" t="n">
        <v>0</v>
      </c>
      <c r="Z97" s="6" t="n">
        <v>0</v>
      </c>
      <c r="AA97" s="6" t="n">
        <v>0</v>
      </c>
      <c r="AB97" s="6" t="n">
        <v>0</v>
      </c>
      <c r="AC97" s="6" t="n">
        <v>0</v>
      </c>
      <c r="AD97" s="6" t="n">
        <v>0</v>
      </c>
      <c r="AE97" s="6" t="n">
        <f aca="false">+Y97+AB97+S97+V97</f>
        <v>0</v>
      </c>
      <c r="AF97" s="6" t="n">
        <f aca="false">+Z97+AC97+T97+W97</f>
        <v>0</v>
      </c>
      <c r="AG97" s="6" t="n">
        <f aca="false">+AA97+AD97+U97+X97</f>
        <v>0</v>
      </c>
      <c r="AH97" s="6" t="n">
        <v>0</v>
      </c>
      <c r="AI97" s="6" t="n">
        <v>0</v>
      </c>
      <c r="AJ97" s="6" t="n">
        <v>0</v>
      </c>
      <c r="AK97" s="6" t="n">
        <v>0</v>
      </c>
      <c r="AL97" s="6" t="n">
        <v>0</v>
      </c>
      <c r="AM97" s="6" t="n">
        <v>0</v>
      </c>
      <c r="AN97" s="6" t="n">
        <v>0</v>
      </c>
      <c r="AO97" s="6" t="n">
        <v>0</v>
      </c>
      <c r="AP97" s="6" t="n">
        <v>0</v>
      </c>
      <c r="AQ97" s="6" t="n">
        <v>0</v>
      </c>
      <c r="AR97" s="6" t="n">
        <v>0</v>
      </c>
      <c r="AS97" s="6" t="n">
        <v>0</v>
      </c>
      <c r="AT97" s="6" t="n">
        <f aca="false">+AN97+AQ97+AH97+AK97</f>
        <v>0</v>
      </c>
      <c r="AU97" s="6" t="n">
        <f aca="false">+AO97+AR97+AI97+AL97</f>
        <v>0</v>
      </c>
      <c r="AV97" s="6" t="n">
        <f aca="false">+AP97+AS97+AJ97+AM97</f>
        <v>0</v>
      </c>
      <c r="AW97" s="6" t="n">
        <v>0</v>
      </c>
      <c r="AX97" s="6" t="n">
        <v>0</v>
      </c>
      <c r="AY97" s="6" t="n">
        <v>0</v>
      </c>
      <c r="AZ97" s="6" t="n">
        <v>0</v>
      </c>
      <c r="BA97" s="6" t="n">
        <v>0</v>
      </c>
      <c r="BB97" s="6" t="n">
        <v>0</v>
      </c>
      <c r="BC97" s="6" t="n">
        <v>0</v>
      </c>
      <c r="BD97" s="6" t="n">
        <v>0</v>
      </c>
      <c r="BE97" s="6" t="n">
        <v>0</v>
      </c>
      <c r="BF97" s="30" t="n">
        <v>1834250</v>
      </c>
      <c r="BG97" s="30" t="n">
        <v>1834250</v>
      </c>
      <c r="BH97" s="6" t="n">
        <v>0</v>
      </c>
      <c r="BI97" s="6" t="n">
        <f aca="false">+BC97+BF97+AW97+AZ97</f>
        <v>1834250</v>
      </c>
      <c r="BJ97" s="6" t="n">
        <f aca="false">+BD97+BG97+AX97+BA97</f>
        <v>1834250</v>
      </c>
      <c r="BK97" s="6" t="n">
        <f aca="false">+BE97+BH97+AY97+BB97</f>
        <v>0</v>
      </c>
      <c r="BL97" s="6" t="n">
        <v>0</v>
      </c>
      <c r="BM97" s="6" t="n">
        <v>0</v>
      </c>
      <c r="BN97" s="6" t="n">
        <v>900000</v>
      </c>
      <c r="BO97" s="6" t="n">
        <v>0</v>
      </c>
      <c r="BP97" s="6" t="n">
        <v>0</v>
      </c>
      <c r="BQ97" s="6" t="n">
        <v>500000</v>
      </c>
      <c r="BR97" s="6" t="n">
        <v>0</v>
      </c>
      <c r="BS97" s="6" t="n">
        <v>0</v>
      </c>
      <c r="BT97" s="6" t="n">
        <v>434250</v>
      </c>
      <c r="BU97" s="6" t="n">
        <v>0</v>
      </c>
      <c r="BV97" s="6" t="n">
        <v>0</v>
      </c>
      <c r="BW97" s="6" t="n">
        <v>0</v>
      </c>
      <c r="BX97" s="6" t="n">
        <f aca="false">+BR97+BU97+BL97+BO97</f>
        <v>0</v>
      </c>
      <c r="BY97" s="6" t="n">
        <f aca="false">+BS97+BV97+BM97+BP97</f>
        <v>0</v>
      </c>
      <c r="BZ97" s="6" t="n">
        <f aca="false">+BT97+BW97+BN97+BQ97</f>
        <v>1834250</v>
      </c>
      <c r="CA97" s="6" t="n">
        <v>0</v>
      </c>
      <c r="CB97" s="6" t="n">
        <v>0</v>
      </c>
      <c r="CC97" s="6" t="n">
        <v>0</v>
      </c>
      <c r="CD97" s="6" t="n">
        <v>0</v>
      </c>
      <c r="CE97" s="6" t="n">
        <v>0</v>
      </c>
      <c r="CF97" s="6" t="n">
        <v>0</v>
      </c>
      <c r="CG97" s="6" t="n">
        <v>0</v>
      </c>
      <c r="CH97" s="6" t="n">
        <v>0</v>
      </c>
      <c r="CI97" s="6" t="n">
        <v>0</v>
      </c>
      <c r="CJ97" s="6" t="n">
        <v>0</v>
      </c>
      <c r="CK97" s="6" t="n">
        <v>0</v>
      </c>
      <c r="CL97" s="6" t="n">
        <v>0</v>
      </c>
      <c r="CM97" s="6" t="n">
        <f aca="false">+CG97+CJ97+CA97+CD97</f>
        <v>0</v>
      </c>
      <c r="CN97" s="6" t="n">
        <f aca="false">+CH97+CK97+CB97+CE97</f>
        <v>0</v>
      </c>
      <c r="CO97" s="6" t="n">
        <f aca="false">+CI97+CL97+CC97+CF97</f>
        <v>0</v>
      </c>
      <c r="CP97" s="6" t="n">
        <v>0</v>
      </c>
      <c r="CQ97" s="6" t="n">
        <v>0</v>
      </c>
      <c r="CR97" s="6" t="n">
        <v>0</v>
      </c>
      <c r="CS97" s="6" t="n">
        <v>0</v>
      </c>
      <c r="CT97" s="6" t="n">
        <v>0</v>
      </c>
      <c r="CU97" s="6" t="n">
        <v>0</v>
      </c>
      <c r="CV97" s="6" t="n">
        <v>0</v>
      </c>
      <c r="CW97" s="6" t="n">
        <v>0</v>
      </c>
      <c r="CX97" s="6" t="n">
        <v>0</v>
      </c>
      <c r="CY97" s="6" t="n">
        <v>0</v>
      </c>
      <c r="CZ97" s="6" t="n">
        <v>0</v>
      </c>
      <c r="DA97" s="6" t="n">
        <v>0</v>
      </c>
      <c r="DB97" s="6" t="n">
        <f aca="false">+CV97+CY97+CP97+CS97</f>
        <v>0</v>
      </c>
      <c r="DC97" s="6" t="n">
        <f aca="false">+CW97+CZ97+CQ97+CT97</f>
        <v>0</v>
      </c>
      <c r="DD97" s="6" t="n">
        <f aca="false">+CX97+DA97+CR97+CU97</f>
        <v>0</v>
      </c>
      <c r="DE97" s="6" t="n">
        <v>0</v>
      </c>
      <c r="DF97" s="6" t="n">
        <v>0</v>
      </c>
      <c r="DG97" s="6" t="n">
        <v>0</v>
      </c>
      <c r="DH97" s="6" t="n">
        <v>0</v>
      </c>
      <c r="DI97" s="6" t="n">
        <v>0</v>
      </c>
      <c r="DJ97" s="6" t="n">
        <v>0</v>
      </c>
      <c r="DK97" s="6" t="n">
        <v>0</v>
      </c>
      <c r="DL97" s="6" t="n">
        <v>0</v>
      </c>
      <c r="DM97" s="6" t="n">
        <v>0</v>
      </c>
      <c r="DN97" s="6" t="n">
        <v>0</v>
      </c>
      <c r="DO97" s="6" t="n">
        <v>0</v>
      </c>
      <c r="DP97" s="6" t="n">
        <v>0</v>
      </c>
      <c r="DQ97" s="6" t="n">
        <f aca="false">+DK97+DN97+DE97+DH97</f>
        <v>0</v>
      </c>
      <c r="DR97" s="6" t="n">
        <f aca="false">+DL97+DO97+DF97+DI97</f>
        <v>0</v>
      </c>
      <c r="DS97" s="6" t="n">
        <f aca="false">+DM97+DP97+DG97+DJ97</f>
        <v>0</v>
      </c>
      <c r="DT97" s="31" t="n">
        <f aca="false">+P97+AE97+AT97+BI97+BX97+CM97+DB97</f>
        <v>1834250</v>
      </c>
      <c r="DU97" s="31" t="n">
        <f aca="false">+Q97+AF97+AU97+BJ97+BY97+CN97+DC97</f>
        <v>1834250</v>
      </c>
      <c r="DV97" s="31" t="n">
        <f aca="false">+R97+AG97+AV97+BK97+BZ97+CO97+DD97</f>
        <v>1834250</v>
      </c>
      <c r="DW97" s="31" t="n">
        <f aca="false">+DU97-DV97</f>
        <v>0</v>
      </c>
    </row>
    <row r="98" customFormat="false" ht="13.8" hidden="false" customHeight="false" outlineLevel="0" collapsed="false">
      <c r="A98" s="27" t="n">
        <v>45181</v>
      </c>
      <c r="B98" s="28" t="s">
        <v>446</v>
      </c>
      <c r="C98" s="28" t="s">
        <v>447</v>
      </c>
      <c r="D98" s="29" t="s">
        <v>448</v>
      </c>
      <c r="E98" s="28" t="s">
        <v>449</v>
      </c>
      <c r="F98" s="27" t="s">
        <v>450</v>
      </c>
      <c r="G98" s="27" t="s">
        <v>16</v>
      </c>
      <c r="H98" s="30" t="n">
        <v>385000</v>
      </c>
      <c r="I98" s="30" t="n">
        <v>385000</v>
      </c>
      <c r="J98" s="6" t="n">
        <v>0</v>
      </c>
      <c r="K98" s="6" t="n">
        <v>0</v>
      </c>
      <c r="L98" s="6" t="n">
        <v>0</v>
      </c>
      <c r="M98" s="6" t="n">
        <v>0</v>
      </c>
      <c r="N98" s="6" t="n">
        <v>0</v>
      </c>
      <c r="O98" s="6" t="n">
        <v>0</v>
      </c>
      <c r="P98" s="6" t="n">
        <f aca="false">+J98+M98</f>
        <v>0</v>
      </c>
      <c r="Q98" s="6" t="n">
        <f aca="false">+K98+N98</f>
        <v>0</v>
      </c>
      <c r="R98" s="6" t="n">
        <f aca="false">+L98+O98</f>
        <v>0</v>
      </c>
      <c r="S98" s="6" t="n">
        <v>0</v>
      </c>
      <c r="T98" s="6" t="n">
        <v>0</v>
      </c>
      <c r="U98" s="6" t="n">
        <v>0</v>
      </c>
      <c r="V98" s="6" t="n">
        <v>0</v>
      </c>
      <c r="W98" s="6" t="n">
        <v>0</v>
      </c>
      <c r="X98" s="6" t="n">
        <v>0</v>
      </c>
      <c r="Y98" s="6" t="n">
        <v>0</v>
      </c>
      <c r="Z98" s="6" t="n">
        <v>0</v>
      </c>
      <c r="AA98" s="6" t="n">
        <v>0</v>
      </c>
      <c r="AB98" s="6" t="n">
        <v>0</v>
      </c>
      <c r="AC98" s="6" t="n">
        <v>0</v>
      </c>
      <c r="AD98" s="6" t="n">
        <v>0</v>
      </c>
      <c r="AE98" s="6" t="n">
        <f aca="false">+Y98+AB98+S98+V98</f>
        <v>0</v>
      </c>
      <c r="AF98" s="6" t="n">
        <f aca="false">+Z98+AC98+T98+W98</f>
        <v>0</v>
      </c>
      <c r="AG98" s="6" t="n">
        <f aca="false">+AA98+AD98+U98+X98</f>
        <v>0</v>
      </c>
      <c r="AH98" s="6" t="n">
        <v>0</v>
      </c>
      <c r="AI98" s="6" t="n">
        <v>0</v>
      </c>
      <c r="AJ98" s="6" t="n">
        <v>0</v>
      </c>
      <c r="AK98" s="6" t="n">
        <v>0</v>
      </c>
      <c r="AL98" s="6" t="n">
        <v>0</v>
      </c>
      <c r="AM98" s="6" t="n">
        <v>0</v>
      </c>
      <c r="AN98" s="6" t="n">
        <v>0</v>
      </c>
      <c r="AO98" s="6" t="n">
        <v>0</v>
      </c>
      <c r="AP98" s="6" t="n">
        <v>0</v>
      </c>
      <c r="AQ98" s="6" t="n">
        <v>0</v>
      </c>
      <c r="AR98" s="6" t="n">
        <v>0</v>
      </c>
      <c r="AS98" s="6" t="n">
        <v>0</v>
      </c>
      <c r="AT98" s="6" t="n">
        <f aca="false">+AN98+AQ98+AH98+AK98</f>
        <v>0</v>
      </c>
      <c r="AU98" s="6" t="n">
        <f aca="false">+AO98+AR98+AI98+AL98</f>
        <v>0</v>
      </c>
      <c r="AV98" s="6" t="n">
        <f aca="false">+AP98+AS98+AJ98+AM98</f>
        <v>0</v>
      </c>
      <c r="AW98" s="6" t="n">
        <v>0</v>
      </c>
      <c r="AX98" s="6" t="n">
        <v>0</v>
      </c>
      <c r="AY98" s="6" t="n">
        <v>0</v>
      </c>
      <c r="AZ98" s="6" t="n">
        <v>0</v>
      </c>
      <c r="BA98" s="6" t="n">
        <v>0</v>
      </c>
      <c r="BB98" s="6" t="n">
        <v>0</v>
      </c>
      <c r="BC98" s="6" t="n">
        <v>0</v>
      </c>
      <c r="BD98" s="6" t="n">
        <v>0</v>
      </c>
      <c r="BE98" s="6" t="n">
        <v>0</v>
      </c>
      <c r="BF98" s="30" t="n">
        <v>385000</v>
      </c>
      <c r="BG98" s="30" t="n">
        <v>385000</v>
      </c>
      <c r="BH98" s="6" t="n">
        <v>0</v>
      </c>
      <c r="BI98" s="6" t="n">
        <f aca="false">+BC98+BF98+AW98+AZ98</f>
        <v>385000</v>
      </c>
      <c r="BJ98" s="6" t="n">
        <f aca="false">+BD98+BG98+AX98+BA98</f>
        <v>385000</v>
      </c>
      <c r="BK98" s="6" t="n">
        <f aca="false">+BE98+BH98+AY98+BB98</f>
        <v>0</v>
      </c>
      <c r="BL98" s="6" t="n">
        <v>0</v>
      </c>
      <c r="BM98" s="6" t="n">
        <v>0</v>
      </c>
      <c r="BN98" s="6" t="n">
        <v>0</v>
      </c>
      <c r="BO98" s="6" t="n">
        <v>0</v>
      </c>
      <c r="BP98" s="6" t="n">
        <v>0</v>
      </c>
      <c r="BQ98" s="6" t="n">
        <v>215000</v>
      </c>
      <c r="BR98" s="6" t="n">
        <v>0</v>
      </c>
      <c r="BS98" s="6" t="n">
        <v>0</v>
      </c>
      <c r="BT98" s="6" t="n">
        <v>0</v>
      </c>
      <c r="BU98" s="6" t="n">
        <v>0</v>
      </c>
      <c r="BV98" s="6" t="n">
        <v>0</v>
      </c>
      <c r="BW98" s="6" t="n">
        <v>170000</v>
      </c>
      <c r="BX98" s="6" t="n">
        <f aca="false">+BR98+BU98+BL98+BO98</f>
        <v>0</v>
      </c>
      <c r="BY98" s="6" t="n">
        <f aca="false">+BS98+BV98+BM98+BP98</f>
        <v>0</v>
      </c>
      <c r="BZ98" s="6" t="n">
        <f aca="false">+BT98+BW98+BN98+BQ98</f>
        <v>385000</v>
      </c>
      <c r="CA98" s="6" t="n">
        <v>0</v>
      </c>
      <c r="CB98" s="6" t="n">
        <v>0</v>
      </c>
      <c r="CC98" s="6" t="n">
        <v>0</v>
      </c>
      <c r="CD98" s="6" t="n">
        <v>0</v>
      </c>
      <c r="CE98" s="6" t="n">
        <v>0</v>
      </c>
      <c r="CF98" s="6" t="n">
        <v>0</v>
      </c>
      <c r="CG98" s="6" t="n">
        <v>0</v>
      </c>
      <c r="CH98" s="6" t="n">
        <v>0</v>
      </c>
      <c r="CI98" s="6" t="n">
        <v>0</v>
      </c>
      <c r="CJ98" s="6" t="n">
        <v>0</v>
      </c>
      <c r="CK98" s="6" t="n">
        <v>0</v>
      </c>
      <c r="CL98" s="6" t="n">
        <v>0</v>
      </c>
      <c r="CM98" s="6" t="n">
        <f aca="false">+CG98+CJ98+CA98+CD98</f>
        <v>0</v>
      </c>
      <c r="CN98" s="6" t="n">
        <f aca="false">+CH98+CK98+CB98+CE98</f>
        <v>0</v>
      </c>
      <c r="CO98" s="6" t="n">
        <f aca="false">+CI98+CL98+CC98+CF98</f>
        <v>0</v>
      </c>
      <c r="CP98" s="6" t="n">
        <v>0</v>
      </c>
      <c r="CQ98" s="6" t="n">
        <v>0</v>
      </c>
      <c r="CR98" s="6" t="n">
        <v>0</v>
      </c>
      <c r="CS98" s="6" t="n">
        <v>0</v>
      </c>
      <c r="CT98" s="6" t="n">
        <v>0</v>
      </c>
      <c r="CU98" s="6" t="n">
        <v>0</v>
      </c>
      <c r="CV98" s="6" t="n">
        <v>0</v>
      </c>
      <c r="CW98" s="6" t="n">
        <v>0</v>
      </c>
      <c r="CX98" s="6" t="n">
        <v>0</v>
      </c>
      <c r="CY98" s="6" t="n">
        <v>0</v>
      </c>
      <c r="CZ98" s="6" t="n">
        <v>0</v>
      </c>
      <c r="DA98" s="6" t="n">
        <v>0</v>
      </c>
      <c r="DB98" s="6" t="n">
        <f aca="false">+CV98+CY98+CP98+CS98</f>
        <v>0</v>
      </c>
      <c r="DC98" s="6" t="n">
        <f aca="false">+CW98+CZ98+CQ98+CT98</f>
        <v>0</v>
      </c>
      <c r="DD98" s="6" t="n">
        <f aca="false">+CX98+DA98+CR98+CU98</f>
        <v>0</v>
      </c>
      <c r="DE98" s="6" t="n">
        <v>0</v>
      </c>
      <c r="DF98" s="6" t="n">
        <v>0</v>
      </c>
      <c r="DG98" s="6" t="n">
        <v>0</v>
      </c>
      <c r="DH98" s="6" t="n">
        <v>0</v>
      </c>
      <c r="DI98" s="6" t="n">
        <v>0</v>
      </c>
      <c r="DJ98" s="6" t="n">
        <v>0</v>
      </c>
      <c r="DK98" s="6" t="n">
        <v>0</v>
      </c>
      <c r="DL98" s="6" t="n">
        <v>0</v>
      </c>
      <c r="DM98" s="6" t="n">
        <v>0</v>
      </c>
      <c r="DN98" s="6" t="n">
        <v>0</v>
      </c>
      <c r="DO98" s="6" t="n">
        <v>0</v>
      </c>
      <c r="DP98" s="6" t="n">
        <v>0</v>
      </c>
      <c r="DQ98" s="6" t="n">
        <f aca="false">+DK98+DN98+DE98+DH98</f>
        <v>0</v>
      </c>
      <c r="DR98" s="6" t="n">
        <f aca="false">+DL98+DO98+DF98+DI98</f>
        <v>0</v>
      </c>
      <c r="DS98" s="6" t="n">
        <f aca="false">+DM98+DP98+DG98+DJ98</f>
        <v>0</v>
      </c>
      <c r="DT98" s="31" t="n">
        <f aca="false">+P98+AE98+AT98+BI98+BX98+CM98+DB98</f>
        <v>385000</v>
      </c>
      <c r="DU98" s="31" t="n">
        <f aca="false">+Q98+AF98+AU98+BJ98+BY98+CN98+DC98</f>
        <v>385000</v>
      </c>
      <c r="DV98" s="31" t="n">
        <f aca="false">+R98+AG98+AV98+BK98+BZ98+CO98+DD98</f>
        <v>385000</v>
      </c>
      <c r="DW98" s="31" t="n">
        <f aca="false">+DU98-DV98</f>
        <v>0</v>
      </c>
    </row>
    <row r="99" customFormat="false" ht="13.8" hidden="false" customHeight="false" outlineLevel="0" collapsed="false">
      <c r="A99" s="27" t="n">
        <v>45265</v>
      </c>
      <c r="B99" s="28" t="s">
        <v>451</v>
      </c>
      <c r="C99" s="28" t="s">
        <v>452</v>
      </c>
      <c r="D99" s="29" t="s">
        <v>453</v>
      </c>
      <c r="E99" s="28" t="s">
        <v>454</v>
      </c>
      <c r="F99" s="27" t="s">
        <v>455</v>
      </c>
      <c r="G99" s="27" t="s">
        <v>17</v>
      </c>
      <c r="H99" s="30" t="n">
        <v>12000000</v>
      </c>
      <c r="I99" s="30" t="n">
        <v>12000000</v>
      </c>
      <c r="J99" s="6" t="n">
        <v>0</v>
      </c>
      <c r="K99" s="6" t="n">
        <v>0</v>
      </c>
      <c r="L99" s="6" t="n">
        <v>0</v>
      </c>
      <c r="M99" s="6" t="n">
        <v>0</v>
      </c>
      <c r="N99" s="6" t="n">
        <v>0</v>
      </c>
      <c r="O99" s="6" t="n">
        <v>0</v>
      </c>
      <c r="P99" s="6" t="n">
        <f aca="false">+J99+M99</f>
        <v>0</v>
      </c>
      <c r="Q99" s="6" t="n">
        <f aca="false">+K99+N99</f>
        <v>0</v>
      </c>
      <c r="R99" s="6" t="n">
        <f aca="false">+L99+O99</f>
        <v>0</v>
      </c>
      <c r="S99" s="6" t="n">
        <v>0</v>
      </c>
      <c r="T99" s="6" t="n">
        <v>0</v>
      </c>
      <c r="U99" s="6" t="n">
        <v>0</v>
      </c>
      <c r="V99" s="6" t="n">
        <v>0</v>
      </c>
      <c r="W99" s="6" t="n">
        <v>0</v>
      </c>
      <c r="X99" s="6" t="n">
        <v>0</v>
      </c>
      <c r="Y99" s="6" t="n">
        <v>0</v>
      </c>
      <c r="Z99" s="6" t="n">
        <v>0</v>
      </c>
      <c r="AA99" s="6" t="n">
        <v>0</v>
      </c>
      <c r="AB99" s="6" t="n">
        <v>0</v>
      </c>
      <c r="AC99" s="6" t="n">
        <v>0</v>
      </c>
      <c r="AD99" s="6" t="n">
        <v>0</v>
      </c>
      <c r="AE99" s="6" t="n">
        <f aca="false">+Y99+AB99+S99+V99</f>
        <v>0</v>
      </c>
      <c r="AF99" s="6" t="n">
        <f aca="false">+Z99+AC99+T99+W99</f>
        <v>0</v>
      </c>
      <c r="AG99" s="6" t="n">
        <f aca="false">+AA99+AD99+U99+X99</f>
        <v>0</v>
      </c>
      <c r="AH99" s="6" t="n">
        <v>0</v>
      </c>
      <c r="AI99" s="6" t="n">
        <v>0</v>
      </c>
      <c r="AJ99" s="6" t="n">
        <v>0</v>
      </c>
      <c r="AK99" s="6" t="n">
        <v>0</v>
      </c>
      <c r="AL99" s="6" t="n">
        <v>0</v>
      </c>
      <c r="AM99" s="6" t="n">
        <v>0</v>
      </c>
      <c r="AN99" s="6" t="n">
        <v>0</v>
      </c>
      <c r="AO99" s="6" t="n">
        <v>0</v>
      </c>
      <c r="AP99" s="6" t="n">
        <v>0</v>
      </c>
      <c r="AQ99" s="6" t="n">
        <v>0</v>
      </c>
      <c r="AR99" s="6" t="n">
        <v>0</v>
      </c>
      <c r="AS99" s="6" t="n">
        <v>0</v>
      </c>
      <c r="AT99" s="6" t="n">
        <f aca="false">+AN99+AQ99+AH99+AK99</f>
        <v>0</v>
      </c>
      <c r="AU99" s="6" t="n">
        <f aca="false">+AO99+AR99+AI99+AL99</f>
        <v>0</v>
      </c>
      <c r="AV99" s="6" t="n">
        <f aca="false">+AP99+AS99+AJ99+AM99</f>
        <v>0</v>
      </c>
      <c r="AW99" s="6" t="n">
        <v>0</v>
      </c>
      <c r="AX99" s="6" t="n">
        <v>0</v>
      </c>
      <c r="AY99" s="6" t="n">
        <v>0</v>
      </c>
      <c r="AZ99" s="6" t="n">
        <v>0</v>
      </c>
      <c r="BA99" s="6" t="n">
        <v>0</v>
      </c>
      <c r="BB99" s="6" t="n">
        <v>0</v>
      </c>
      <c r="BC99" s="6" t="n">
        <v>0</v>
      </c>
      <c r="BD99" s="6" t="n">
        <v>0</v>
      </c>
      <c r="BE99" s="6" t="n">
        <v>0</v>
      </c>
      <c r="BF99" s="6" t="n">
        <v>0</v>
      </c>
      <c r="BG99" s="6" t="n">
        <v>0</v>
      </c>
      <c r="BH99" s="6" t="n">
        <v>0</v>
      </c>
      <c r="BI99" s="6" t="n">
        <f aca="false">+BC99+BF99+AW99+AZ99</f>
        <v>0</v>
      </c>
      <c r="BJ99" s="6" t="n">
        <f aca="false">+BD99+BG99+AX99+BA99</f>
        <v>0</v>
      </c>
      <c r="BK99" s="6" t="n">
        <f aca="false">+BE99+BH99+AY99+BB99</f>
        <v>0</v>
      </c>
      <c r="BL99" s="30" t="n">
        <v>12000000</v>
      </c>
      <c r="BM99" s="30" t="n">
        <v>12000000</v>
      </c>
      <c r="BN99" s="6" t="n">
        <v>0</v>
      </c>
      <c r="BO99" s="6" t="n">
        <v>0</v>
      </c>
      <c r="BP99" s="6" t="n">
        <v>0</v>
      </c>
      <c r="BQ99" s="6" t="n">
        <v>4000000</v>
      </c>
      <c r="BR99" s="6" t="n">
        <v>0</v>
      </c>
      <c r="BS99" s="6" t="n">
        <v>0</v>
      </c>
      <c r="BT99" s="6" t="n">
        <v>0</v>
      </c>
      <c r="BU99" s="6" t="n">
        <v>0</v>
      </c>
      <c r="BV99" s="6" t="n">
        <v>0</v>
      </c>
      <c r="BW99" s="6" t="n">
        <v>0</v>
      </c>
      <c r="BX99" s="6" t="n">
        <f aca="false">+BR99+BU99+BL99+BO99</f>
        <v>12000000</v>
      </c>
      <c r="BY99" s="6" t="n">
        <f aca="false">+BS99+BV99+BM99+BP99</f>
        <v>12000000</v>
      </c>
      <c r="BZ99" s="6" t="n">
        <f aca="false">+BT99+BW99+BN99+BQ99</f>
        <v>4000000</v>
      </c>
      <c r="CA99" s="6" t="n">
        <v>0</v>
      </c>
      <c r="CB99" s="6" t="n">
        <v>0</v>
      </c>
      <c r="CC99" s="6" t="n">
        <v>500000</v>
      </c>
      <c r="CD99" s="6" t="n">
        <v>0</v>
      </c>
      <c r="CE99" s="6" t="n">
        <v>0</v>
      </c>
      <c r="CF99" s="6" t="n">
        <v>1000000</v>
      </c>
      <c r="CG99" s="6" t="n">
        <v>0</v>
      </c>
      <c r="CH99" s="6" t="n">
        <v>0</v>
      </c>
      <c r="CI99" s="6" t="n">
        <v>1000000</v>
      </c>
      <c r="CJ99" s="6" t="n">
        <v>0</v>
      </c>
      <c r="CK99" s="6" t="n">
        <v>0</v>
      </c>
      <c r="CL99" s="6" t="n">
        <v>0</v>
      </c>
      <c r="CM99" s="6" t="n">
        <f aca="false">+CG99+CJ99+CA99+CD99</f>
        <v>0</v>
      </c>
      <c r="CN99" s="6" t="n">
        <f aca="false">+CH99+CK99+CB99+CE99</f>
        <v>0</v>
      </c>
      <c r="CO99" s="6" t="n">
        <f aca="false">+CI99+CL99+CC99+CF99</f>
        <v>2500000</v>
      </c>
      <c r="CP99" s="6" t="n">
        <v>0</v>
      </c>
      <c r="CQ99" s="6" t="n">
        <v>0</v>
      </c>
      <c r="CR99" s="6" t="n">
        <v>0</v>
      </c>
      <c r="CS99" s="6" t="n">
        <v>0</v>
      </c>
      <c r="CT99" s="6" t="n">
        <v>0</v>
      </c>
      <c r="CU99" s="6" t="n">
        <v>1000000</v>
      </c>
      <c r="CV99" s="6" t="n">
        <v>0</v>
      </c>
      <c r="CW99" s="6" t="n">
        <v>0</v>
      </c>
      <c r="CX99" s="6" t="n">
        <v>0</v>
      </c>
      <c r="CY99" s="6" t="n">
        <v>0</v>
      </c>
      <c r="CZ99" s="6" t="n">
        <v>0</v>
      </c>
      <c r="DA99" s="6" t="n">
        <v>0</v>
      </c>
      <c r="DB99" s="6" t="n">
        <f aca="false">+CV99+CY99+CP99+CS99</f>
        <v>0</v>
      </c>
      <c r="DC99" s="6" t="n">
        <f aca="false">+CW99+CZ99+CQ99+CT99</f>
        <v>0</v>
      </c>
      <c r="DD99" s="6" t="n">
        <f aca="false">+CX99+DA99+CR99+CU99</f>
        <v>1000000</v>
      </c>
      <c r="DE99" s="6" t="n">
        <v>0</v>
      </c>
      <c r="DF99" s="6" t="n">
        <v>0</v>
      </c>
      <c r="DG99" s="6" t="n">
        <v>0</v>
      </c>
      <c r="DH99" s="6" t="n">
        <v>0</v>
      </c>
      <c r="DI99" s="6" t="n">
        <v>0</v>
      </c>
      <c r="DJ99" s="6" t="n">
        <v>1000000</v>
      </c>
      <c r="DK99" s="6" t="n">
        <v>0</v>
      </c>
      <c r="DL99" s="6" t="n">
        <v>0</v>
      </c>
      <c r="DM99" s="6" t="n">
        <v>0</v>
      </c>
      <c r="DN99" s="6" t="n">
        <v>0</v>
      </c>
      <c r="DO99" s="6" t="n">
        <v>0</v>
      </c>
      <c r="DP99" s="6" t="n">
        <v>0</v>
      </c>
      <c r="DQ99" s="6" t="n">
        <f aca="false">+DK99+DN99+DE99+DH99</f>
        <v>0</v>
      </c>
      <c r="DR99" s="6" t="n">
        <f aca="false">+DL99+DO99+DF99+DI99</f>
        <v>0</v>
      </c>
      <c r="DS99" s="6" t="n">
        <f aca="false">+DM99+DP99+DG99+DJ99</f>
        <v>1000000</v>
      </c>
      <c r="DT99" s="31" t="n">
        <f aca="false">+P99+AE99+AT99+BI99+BX99+CM99+DB99</f>
        <v>12000000</v>
      </c>
      <c r="DU99" s="31" t="n">
        <f aca="false">+Q99+AF99+AU99+BJ99+BY99+CN99+DC99</f>
        <v>12000000</v>
      </c>
      <c r="DV99" s="31" t="n">
        <f aca="false">+R99+AG99+AV99+BK99+BZ99+CO99+DD99</f>
        <v>7500000</v>
      </c>
      <c r="DW99" s="31" t="n">
        <f aca="false">+DU99-DV99</f>
        <v>4500000</v>
      </c>
    </row>
    <row r="100" customFormat="false" ht="13.8" hidden="false" customHeight="false" outlineLevel="0" collapsed="false">
      <c r="A100" s="27" t="n">
        <v>45226</v>
      </c>
      <c r="B100" s="28" t="s">
        <v>456</v>
      </c>
      <c r="C100" s="28" t="s">
        <v>457</v>
      </c>
      <c r="D100" s="29" t="s">
        <v>458</v>
      </c>
      <c r="E100" s="28" t="s">
        <v>459</v>
      </c>
      <c r="F100" s="27" t="s">
        <v>460</v>
      </c>
      <c r="G100" s="27" t="s">
        <v>17</v>
      </c>
      <c r="H100" s="38" t="n">
        <v>5100000</v>
      </c>
      <c r="I100" s="38" t="n">
        <v>431800</v>
      </c>
      <c r="J100" s="6" t="n">
        <v>0</v>
      </c>
      <c r="K100" s="6" t="n">
        <v>0</v>
      </c>
      <c r="L100" s="6" t="n">
        <v>0</v>
      </c>
      <c r="M100" s="6" t="n">
        <v>0</v>
      </c>
      <c r="N100" s="6" t="n">
        <v>0</v>
      </c>
      <c r="O100" s="6" t="n">
        <v>0</v>
      </c>
      <c r="P100" s="6" t="n">
        <f aca="false">+J100+M100</f>
        <v>0</v>
      </c>
      <c r="Q100" s="6" t="n">
        <f aca="false">+K100+N100</f>
        <v>0</v>
      </c>
      <c r="R100" s="6" t="n">
        <f aca="false">+L100+O100</f>
        <v>0</v>
      </c>
      <c r="S100" s="6" t="n">
        <v>0</v>
      </c>
      <c r="T100" s="6" t="n">
        <v>0</v>
      </c>
      <c r="U100" s="6" t="n">
        <v>0</v>
      </c>
      <c r="V100" s="6" t="n">
        <v>0</v>
      </c>
      <c r="W100" s="6" t="n">
        <v>0</v>
      </c>
      <c r="X100" s="6" t="n">
        <v>0</v>
      </c>
      <c r="Y100" s="6" t="n">
        <v>0</v>
      </c>
      <c r="Z100" s="6" t="n">
        <v>0</v>
      </c>
      <c r="AA100" s="6" t="n">
        <v>0</v>
      </c>
      <c r="AB100" s="6" t="n">
        <v>0</v>
      </c>
      <c r="AC100" s="6" t="n">
        <v>0</v>
      </c>
      <c r="AD100" s="6" t="n">
        <v>0</v>
      </c>
      <c r="AE100" s="6" t="n">
        <f aca="false">+Y100+AB100+S100+V100</f>
        <v>0</v>
      </c>
      <c r="AF100" s="6" t="n">
        <f aca="false">+Z100+AC100+T100+W100</f>
        <v>0</v>
      </c>
      <c r="AG100" s="6" t="n">
        <f aca="false">+AA100+AD100+U100+X100</f>
        <v>0</v>
      </c>
      <c r="AH100" s="6" t="n">
        <v>0</v>
      </c>
      <c r="AI100" s="6" t="n">
        <v>0</v>
      </c>
      <c r="AJ100" s="6" t="n">
        <v>0</v>
      </c>
      <c r="AK100" s="6" t="n">
        <v>0</v>
      </c>
      <c r="AL100" s="6" t="n">
        <v>0</v>
      </c>
      <c r="AM100" s="6" t="n">
        <v>0</v>
      </c>
      <c r="AN100" s="6" t="n">
        <v>0</v>
      </c>
      <c r="AO100" s="6" t="n">
        <v>0</v>
      </c>
      <c r="AP100" s="6" t="n">
        <v>0</v>
      </c>
      <c r="AQ100" s="6" t="n">
        <v>0</v>
      </c>
      <c r="AR100" s="6" t="n">
        <v>0</v>
      </c>
      <c r="AS100" s="6" t="n">
        <v>0</v>
      </c>
      <c r="AT100" s="6" t="n">
        <f aca="false">+AN100+AQ100+AH100+AK100</f>
        <v>0</v>
      </c>
      <c r="AU100" s="6" t="n">
        <f aca="false">+AO100+AR100+AI100+AL100</f>
        <v>0</v>
      </c>
      <c r="AV100" s="6" t="n">
        <f aca="false">+AP100+AS100+AJ100+AM100</f>
        <v>0</v>
      </c>
      <c r="AW100" s="6" t="n">
        <v>0</v>
      </c>
      <c r="AX100" s="6" t="n">
        <v>0</v>
      </c>
      <c r="AY100" s="6" t="n">
        <v>0</v>
      </c>
      <c r="AZ100" s="6" t="n">
        <v>0</v>
      </c>
      <c r="BA100" s="6" t="n">
        <v>0</v>
      </c>
      <c r="BB100" s="6" t="n">
        <v>0</v>
      </c>
      <c r="BC100" s="6" t="n">
        <v>0</v>
      </c>
      <c r="BD100" s="6" t="n">
        <v>0</v>
      </c>
      <c r="BE100" s="6" t="n">
        <v>0</v>
      </c>
      <c r="BF100" s="6" t="n">
        <v>0</v>
      </c>
      <c r="BG100" s="6" t="n">
        <v>0</v>
      </c>
      <c r="BH100" s="6" t="n">
        <v>0</v>
      </c>
      <c r="BI100" s="6" t="n">
        <f aca="false">+BC100+BF100+AW100+AZ100</f>
        <v>0</v>
      </c>
      <c r="BJ100" s="6" t="n">
        <f aca="false">+BD100+BG100+AX100+BA100</f>
        <v>0</v>
      </c>
      <c r="BK100" s="6" t="n">
        <f aca="false">+BE100+BH100+AY100+BB100</f>
        <v>0</v>
      </c>
      <c r="BL100" s="38" t="n">
        <v>5100000</v>
      </c>
      <c r="BM100" s="38" t="n">
        <v>431800</v>
      </c>
      <c r="BN100" s="6" t="n">
        <v>0</v>
      </c>
      <c r="BO100" s="6" t="n">
        <v>0</v>
      </c>
      <c r="BP100" s="6" t="n">
        <v>0</v>
      </c>
      <c r="BQ100" s="6" t="n">
        <v>431800</v>
      </c>
      <c r="BR100" s="6" t="n">
        <v>0</v>
      </c>
      <c r="BS100" s="6" t="n">
        <v>0</v>
      </c>
      <c r="BT100" s="6" t="n">
        <v>0</v>
      </c>
      <c r="BU100" s="6" t="n">
        <v>0</v>
      </c>
      <c r="BV100" s="6" t="n">
        <v>0</v>
      </c>
      <c r="BW100" s="6" t="n">
        <v>0</v>
      </c>
      <c r="BX100" s="6" t="n">
        <f aca="false">+BR100+BU100+BL100+BO100</f>
        <v>5100000</v>
      </c>
      <c r="BY100" s="6" t="n">
        <f aca="false">+BS100+BV100+BM100+BP100</f>
        <v>431800</v>
      </c>
      <c r="BZ100" s="6" t="n">
        <f aca="false">+BT100+BW100+BN100+BQ100</f>
        <v>431800</v>
      </c>
      <c r="CA100" s="6" t="n">
        <v>0</v>
      </c>
      <c r="CB100" s="6" t="n">
        <v>0</v>
      </c>
      <c r="CC100" s="6" t="n">
        <v>0</v>
      </c>
      <c r="CD100" s="6" t="n">
        <v>0</v>
      </c>
      <c r="CE100" s="6" t="n">
        <v>0</v>
      </c>
      <c r="CF100" s="6" t="n">
        <v>0</v>
      </c>
      <c r="CG100" s="6" t="n">
        <v>0</v>
      </c>
      <c r="CH100" s="6" t="n">
        <v>0</v>
      </c>
      <c r="CI100" s="6" t="n">
        <v>0</v>
      </c>
      <c r="CJ100" s="6" t="n">
        <v>0</v>
      </c>
      <c r="CK100" s="6" t="n">
        <v>0</v>
      </c>
      <c r="CL100" s="6" t="n">
        <v>0</v>
      </c>
      <c r="CM100" s="6" t="n">
        <f aca="false">+CG100+CJ100+CA100+CD100</f>
        <v>0</v>
      </c>
      <c r="CN100" s="6" t="n">
        <f aca="false">+CH100+CK100+CB100+CE100</f>
        <v>0</v>
      </c>
      <c r="CO100" s="6" t="n">
        <f aca="false">+CI100+CL100+CC100+CF100</f>
        <v>0</v>
      </c>
      <c r="CP100" s="6" t="n">
        <v>0</v>
      </c>
      <c r="CQ100" s="6" t="n">
        <v>0</v>
      </c>
      <c r="CR100" s="6" t="n">
        <v>0</v>
      </c>
      <c r="CS100" s="6" t="n">
        <v>0</v>
      </c>
      <c r="CT100" s="6" t="n">
        <v>0</v>
      </c>
      <c r="CU100" s="6" t="n">
        <v>0</v>
      </c>
      <c r="CV100" s="6" t="n">
        <v>0</v>
      </c>
      <c r="CW100" s="6" t="n">
        <v>0</v>
      </c>
      <c r="CX100" s="6" t="n">
        <v>0</v>
      </c>
      <c r="CY100" s="6" t="n">
        <v>0</v>
      </c>
      <c r="CZ100" s="6" t="n">
        <v>0</v>
      </c>
      <c r="DA100" s="6" t="n">
        <v>0</v>
      </c>
      <c r="DB100" s="6" t="n">
        <f aca="false">+CV100+CY100+CP100+CS100</f>
        <v>0</v>
      </c>
      <c r="DC100" s="6" t="n">
        <f aca="false">+CW100+CZ100+CQ100+CT100</f>
        <v>0</v>
      </c>
      <c r="DD100" s="6" t="n">
        <f aca="false">+CX100+DA100+CR100+CU100</f>
        <v>0</v>
      </c>
      <c r="DE100" s="6" t="n">
        <v>0</v>
      </c>
      <c r="DF100" s="6" t="n">
        <v>0</v>
      </c>
      <c r="DG100" s="6" t="n">
        <v>0</v>
      </c>
      <c r="DH100" s="6" t="n">
        <v>0</v>
      </c>
      <c r="DI100" s="6" t="n">
        <v>0</v>
      </c>
      <c r="DJ100" s="6" t="n">
        <v>0</v>
      </c>
      <c r="DK100" s="6" t="n">
        <v>0</v>
      </c>
      <c r="DL100" s="6" t="n">
        <v>0</v>
      </c>
      <c r="DM100" s="6" t="n">
        <v>0</v>
      </c>
      <c r="DN100" s="6" t="n">
        <v>0</v>
      </c>
      <c r="DO100" s="6" t="n">
        <v>0</v>
      </c>
      <c r="DP100" s="6" t="n">
        <v>0</v>
      </c>
      <c r="DQ100" s="6" t="n">
        <f aca="false">+DK100+DN100+DE100+DH100</f>
        <v>0</v>
      </c>
      <c r="DR100" s="6" t="n">
        <f aca="false">+DL100+DO100+DF100+DI100</f>
        <v>0</v>
      </c>
      <c r="DS100" s="6" t="n">
        <f aca="false">+DM100+DP100+DG100+DJ100</f>
        <v>0</v>
      </c>
      <c r="DT100" s="31" t="n">
        <f aca="false">+P100+AE100+AT100+BI100+BX100+CM100+DB100</f>
        <v>5100000</v>
      </c>
      <c r="DU100" s="31" t="n">
        <f aca="false">+Q100+AF100+AU100+BJ100+BY100+CN100+DC100</f>
        <v>431800</v>
      </c>
      <c r="DV100" s="31" t="n">
        <f aca="false">+R100+AG100+AV100+BK100+BZ100+CO100+DD100</f>
        <v>431800</v>
      </c>
      <c r="DW100" s="31" t="n">
        <f aca="false">+DU100-DV100</f>
        <v>0</v>
      </c>
    </row>
    <row r="101" customFormat="false" ht="13.8" hidden="false" customHeight="false" outlineLevel="0" collapsed="false">
      <c r="A101" s="27" t="n">
        <v>45265</v>
      </c>
      <c r="B101" s="28" t="s">
        <v>461</v>
      </c>
      <c r="C101" s="28" t="s">
        <v>457</v>
      </c>
      <c r="D101" s="29" t="s">
        <v>458</v>
      </c>
      <c r="E101" s="28" t="s">
        <v>459</v>
      </c>
      <c r="F101" s="27" t="s">
        <v>460</v>
      </c>
      <c r="G101" s="27" t="s">
        <v>17</v>
      </c>
      <c r="H101" s="30"/>
      <c r="I101" s="38" t="n">
        <v>300000</v>
      </c>
      <c r="J101" s="6" t="n">
        <v>0</v>
      </c>
      <c r="K101" s="6" t="n">
        <v>0</v>
      </c>
      <c r="L101" s="6" t="n">
        <v>0</v>
      </c>
      <c r="M101" s="6" t="n">
        <v>0</v>
      </c>
      <c r="N101" s="6" t="n">
        <v>0</v>
      </c>
      <c r="O101" s="6" t="n">
        <v>0</v>
      </c>
      <c r="P101" s="6" t="n">
        <f aca="false">+J101+M101</f>
        <v>0</v>
      </c>
      <c r="Q101" s="6" t="n">
        <f aca="false">+K101+N101</f>
        <v>0</v>
      </c>
      <c r="R101" s="6" t="n">
        <f aca="false">+L101+O101</f>
        <v>0</v>
      </c>
      <c r="S101" s="6" t="n">
        <v>0</v>
      </c>
      <c r="T101" s="6" t="n">
        <v>0</v>
      </c>
      <c r="U101" s="6" t="n">
        <v>0</v>
      </c>
      <c r="V101" s="6" t="n">
        <v>0</v>
      </c>
      <c r="W101" s="6" t="n">
        <v>0</v>
      </c>
      <c r="X101" s="6" t="n">
        <v>0</v>
      </c>
      <c r="Y101" s="6" t="n">
        <v>0</v>
      </c>
      <c r="Z101" s="6" t="n">
        <v>0</v>
      </c>
      <c r="AA101" s="6" t="n">
        <v>0</v>
      </c>
      <c r="AB101" s="6" t="n">
        <v>0</v>
      </c>
      <c r="AC101" s="6" t="n">
        <v>0</v>
      </c>
      <c r="AD101" s="6" t="n">
        <v>0</v>
      </c>
      <c r="AE101" s="6" t="n">
        <f aca="false">+Y101+AB101+S101+V101</f>
        <v>0</v>
      </c>
      <c r="AF101" s="6" t="n">
        <f aca="false">+Z101+AC101+T101+W101</f>
        <v>0</v>
      </c>
      <c r="AG101" s="6" t="n">
        <f aca="false">+AA101+AD101+U101+X101</f>
        <v>0</v>
      </c>
      <c r="AH101" s="6" t="n">
        <v>0</v>
      </c>
      <c r="AI101" s="6" t="n">
        <v>0</v>
      </c>
      <c r="AJ101" s="6" t="n">
        <v>0</v>
      </c>
      <c r="AK101" s="6" t="n">
        <v>0</v>
      </c>
      <c r="AL101" s="6" t="n">
        <v>0</v>
      </c>
      <c r="AM101" s="6" t="n">
        <v>0</v>
      </c>
      <c r="AN101" s="6" t="n">
        <v>0</v>
      </c>
      <c r="AO101" s="6" t="n">
        <v>0</v>
      </c>
      <c r="AP101" s="6" t="n">
        <v>0</v>
      </c>
      <c r="AQ101" s="6" t="n">
        <v>0</v>
      </c>
      <c r="AR101" s="6" t="n">
        <v>0</v>
      </c>
      <c r="AS101" s="6" t="n">
        <v>0</v>
      </c>
      <c r="AT101" s="6" t="n">
        <f aca="false">+AN101+AQ101+AH101+AK101</f>
        <v>0</v>
      </c>
      <c r="AU101" s="6" t="n">
        <f aca="false">+AO101+AR101+AI101+AL101</f>
        <v>0</v>
      </c>
      <c r="AV101" s="6" t="n">
        <f aca="false">+AP101+AS101+AJ101+AM101</f>
        <v>0</v>
      </c>
      <c r="AW101" s="6" t="n">
        <v>0</v>
      </c>
      <c r="AX101" s="6" t="n">
        <v>0</v>
      </c>
      <c r="AY101" s="6" t="n">
        <v>0</v>
      </c>
      <c r="AZ101" s="6" t="n">
        <v>0</v>
      </c>
      <c r="BA101" s="6" t="n">
        <v>0</v>
      </c>
      <c r="BB101" s="6" t="n">
        <v>0</v>
      </c>
      <c r="BC101" s="6" t="n">
        <v>0</v>
      </c>
      <c r="BD101" s="6" t="n">
        <v>0</v>
      </c>
      <c r="BE101" s="6" t="n">
        <v>0</v>
      </c>
      <c r="BF101" s="6" t="n">
        <v>0</v>
      </c>
      <c r="BG101" s="6" t="n">
        <v>0</v>
      </c>
      <c r="BH101" s="6" t="n">
        <v>0</v>
      </c>
      <c r="BI101" s="6" t="n">
        <f aca="false">+BC101+BF101+AW101+AZ101</f>
        <v>0</v>
      </c>
      <c r="BJ101" s="6" t="n">
        <f aca="false">+BD101+BG101+AX101+BA101</f>
        <v>0</v>
      </c>
      <c r="BK101" s="6" t="n">
        <f aca="false">+BE101+BH101+AY101+BB101</f>
        <v>0</v>
      </c>
      <c r="BL101" s="30" t="n">
        <v>0</v>
      </c>
      <c r="BM101" s="38" t="n">
        <v>300000</v>
      </c>
      <c r="BN101" s="6" t="n">
        <v>0</v>
      </c>
      <c r="BO101" s="6" t="n">
        <v>0</v>
      </c>
      <c r="BP101" s="6" t="n">
        <v>0</v>
      </c>
      <c r="BQ101" s="6" t="n">
        <v>300000</v>
      </c>
      <c r="BR101" s="6" t="n">
        <v>0</v>
      </c>
      <c r="BS101" s="6" t="n">
        <v>0</v>
      </c>
      <c r="BT101" s="6" t="n">
        <v>0</v>
      </c>
      <c r="BU101" s="6" t="n">
        <v>0</v>
      </c>
      <c r="BV101" s="6" t="n">
        <v>0</v>
      </c>
      <c r="BW101" s="6" t="n">
        <v>0</v>
      </c>
      <c r="BX101" s="6" t="n">
        <f aca="false">+BR101+BU101+BL101+BO101</f>
        <v>0</v>
      </c>
      <c r="BY101" s="6" t="n">
        <f aca="false">+BS101+BV101+BM101+BP101</f>
        <v>300000</v>
      </c>
      <c r="BZ101" s="6" t="n">
        <f aca="false">+BT101+BW101+BN101+BQ101</f>
        <v>300000</v>
      </c>
      <c r="CA101" s="6" t="n">
        <v>0</v>
      </c>
      <c r="CB101" s="6" t="n">
        <v>0</v>
      </c>
      <c r="CC101" s="6" t="n">
        <v>0</v>
      </c>
      <c r="CD101" s="6" t="n">
        <v>0</v>
      </c>
      <c r="CE101" s="6" t="n">
        <v>0</v>
      </c>
      <c r="CF101" s="6" t="n">
        <v>0</v>
      </c>
      <c r="CG101" s="6" t="n">
        <v>0</v>
      </c>
      <c r="CH101" s="6" t="n">
        <v>0</v>
      </c>
      <c r="CI101" s="6" t="n">
        <v>0</v>
      </c>
      <c r="CJ101" s="6" t="n">
        <v>0</v>
      </c>
      <c r="CK101" s="6" t="n">
        <v>0</v>
      </c>
      <c r="CL101" s="6" t="n">
        <v>0</v>
      </c>
      <c r="CM101" s="6" t="n">
        <f aca="false">+CG101+CJ101+CA101+CD101</f>
        <v>0</v>
      </c>
      <c r="CN101" s="6" t="n">
        <f aca="false">+CH101+CK101+CB101+CE101</f>
        <v>0</v>
      </c>
      <c r="CO101" s="6" t="n">
        <f aca="false">+CI101+CL101+CC101+CF101</f>
        <v>0</v>
      </c>
      <c r="CP101" s="6" t="n">
        <v>0</v>
      </c>
      <c r="CQ101" s="6" t="n">
        <v>0</v>
      </c>
      <c r="CR101" s="6" t="n">
        <v>0</v>
      </c>
      <c r="CS101" s="6" t="n">
        <v>0</v>
      </c>
      <c r="CT101" s="6" t="n">
        <v>0</v>
      </c>
      <c r="CU101" s="6" t="n">
        <v>0</v>
      </c>
      <c r="CV101" s="6" t="n">
        <v>0</v>
      </c>
      <c r="CW101" s="6" t="n">
        <v>0</v>
      </c>
      <c r="CX101" s="6" t="n">
        <v>0</v>
      </c>
      <c r="CY101" s="6" t="n">
        <v>0</v>
      </c>
      <c r="CZ101" s="6" t="n">
        <v>0</v>
      </c>
      <c r="DA101" s="6" t="n">
        <v>0</v>
      </c>
      <c r="DB101" s="6" t="n">
        <f aca="false">+CV101+CY101+CP101+CS101</f>
        <v>0</v>
      </c>
      <c r="DC101" s="6" t="n">
        <f aca="false">+CW101+CZ101+CQ101+CT101</f>
        <v>0</v>
      </c>
      <c r="DD101" s="6" t="n">
        <f aca="false">+CX101+DA101+CR101+CU101</f>
        <v>0</v>
      </c>
      <c r="DE101" s="6" t="n">
        <v>0</v>
      </c>
      <c r="DF101" s="6" t="n">
        <v>0</v>
      </c>
      <c r="DG101" s="6" t="n">
        <v>0</v>
      </c>
      <c r="DH101" s="6" t="n">
        <v>0</v>
      </c>
      <c r="DI101" s="6" t="n">
        <v>0</v>
      </c>
      <c r="DJ101" s="6" t="n">
        <v>0</v>
      </c>
      <c r="DK101" s="6" t="n">
        <v>0</v>
      </c>
      <c r="DL101" s="6" t="n">
        <v>0</v>
      </c>
      <c r="DM101" s="6" t="n">
        <v>0</v>
      </c>
      <c r="DN101" s="6" t="n">
        <v>0</v>
      </c>
      <c r="DO101" s="6" t="n">
        <v>0</v>
      </c>
      <c r="DP101" s="6" t="n">
        <v>0</v>
      </c>
      <c r="DQ101" s="6" t="n">
        <f aca="false">+DK101+DN101+DE101+DH101</f>
        <v>0</v>
      </c>
      <c r="DR101" s="6" t="n">
        <f aca="false">+DL101+DO101+DF101+DI101</f>
        <v>0</v>
      </c>
      <c r="DS101" s="6" t="n">
        <f aca="false">+DM101+DP101+DG101+DJ101</f>
        <v>0</v>
      </c>
      <c r="DT101" s="31" t="n">
        <f aca="false">+P101+AE101+AT101+BI101+BX101+CM101+DB101</f>
        <v>0</v>
      </c>
      <c r="DU101" s="31" t="n">
        <f aca="false">+Q101+AF101+AU101+BJ101+BY101+CN101+DC101</f>
        <v>300000</v>
      </c>
      <c r="DV101" s="31" t="n">
        <f aca="false">+R101+AG101+AV101+BK101+BZ101+CO101+DD101</f>
        <v>300000</v>
      </c>
      <c r="DW101" s="31" t="n">
        <f aca="false">+DU101-DV101</f>
        <v>0</v>
      </c>
    </row>
    <row r="102" customFormat="false" ht="13.8" hidden="false" customHeight="false" outlineLevel="0" collapsed="false">
      <c r="A102" s="27" t="n">
        <v>45333</v>
      </c>
      <c r="B102" s="28" t="s">
        <v>462</v>
      </c>
      <c r="C102" s="28" t="s">
        <v>457</v>
      </c>
      <c r="D102" s="29" t="s">
        <v>458</v>
      </c>
      <c r="E102" s="28" t="s">
        <v>459</v>
      </c>
      <c r="F102" s="27" t="s">
        <v>460</v>
      </c>
      <c r="G102" s="27" t="s">
        <v>17</v>
      </c>
      <c r="H102" s="30"/>
      <c r="I102" s="38" t="n">
        <v>400000</v>
      </c>
      <c r="J102" s="6" t="n">
        <v>0</v>
      </c>
      <c r="K102" s="6" t="n">
        <v>0</v>
      </c>
      <c r="L102" s="6" t="n">
        <v>0</v>
      </c>
      <c r="M102" s="6" t="n">
        <v>0</v>
      </c>
      <c r="N102" s="6" t="n">
        <v>0</v>
      </c>
      <c r="O102" s="6" t="n">
        <v>0</v>
      </c>
      <c r="P102" s="6" t="n">
        <f aca="false">+J102+M102</f>
        <v>0</v>
      </c>
      <c r="Q102" s="6" t="n">
        <f aca="false">+K102+N102</f>
        <v>0</v>
      </c>
      <c r="R102" s="6" t="n">
        <f aca="false">+L102+O102</f>
        <v>0</v>
      </c>
      <c r="S102" s="6" t="n">
        <v>0</v>
      </c>
      <c r="T102" s="6" t="n">
        <v>0</v>
      </c>
      <c r="U102" s="6" t="n">
        <v>0</v>
      </c>
      <c r="V102" s="6" t="n">
        <v>0</v>
      </c>
      <c r="W102" s="6" t="n">
        <v>0</v>
      </c>
      <c r="X102" s="6" t="n">
        <v>0</v>
      </c>
      <c r="Y102" s="6" t="n">
        <v>0</v>
      </c>
      <c r="Z102" s="6" t="n">
        <v>0</v>
      </c>
      <c r="AA102" s="6" t="n">
        <v>0</v>
      </c>
      <c r="AB102" s="6" t="n">
        <v>0</v>
      </c>
      <c r="AC102" s="6" t="n">
        <v>0</v>
      </c>
      <c r="AD102" s="6" t="n">
        <v>0</v>
      </c>
      <c r="AE102" s="6" t="n">
        <f aca="false">+Y102+AB102+S102+V102</f>
        <v>0</v>
      </c>
      <c r="AF102" s="6" t="n">
        <f aca="false">+Z102+AC102+T102+W102</f>
        <v>0</v>
      </c>
      <c r="AG102" s="6" t="n">
        <f aca="false">+AA102+AD102+U102+X102</f>
        <v>0</v>
      </c>
      <c r="AH102" s="6" t="n">
        <v>0</v>
      </c>
      <c r="AI102" s="6" t="n">
        <v>0</v>
      </c>
      <c r="AJ102" s="6" t="n">
        <v>0</v>
      </c>
      <c r="AK102" s="6" t="n">
        <v>0</v>
      </c>
      <c r="AL102" s="6" t="n">
        <v>0</v>
      </c>
      <c r="AM102" s="6" t="n">
        <v>0</v>
      </c>
      <c r="AN102" s="6" t="n">
        <v>0</v>
      </c>
      <c r="AO102" s="6" t="n">
        <v>0</v>
      </c>
      <c r="AP102" s="6" t="n">
        <v>0</v>
      </c>
      <c r="AQ102" s="6" t="n">
        <v>0</v>
      </c>
      <c r="AR102" s="6" t="n">
        <v>0</v>
      </c>
      <c r="AS102" s="6" t="n">
        <v>0</v>
      </c>
      <c r="AT102" s="6" t="n">
        <f aca="false">+AN102+AQ102+AH102+AK102</f>
        <v>0</v>
      </c>
      <c r="AU102" s="6" t="n">
        <f aca="false">+AO102+AR102+AI102+AL102</f>
        <v>0</v>
      </c>
      <c r="AV102" s="6" t="n">
        <f aca="false">+AP102+AS102+AJ102+AM102</f>
        <v>0</v>
      </c>
      <c r="AW102" s="6" t="n">
        <v>0</v>
      </c>
      <c r="AX102" s="6" t="n">
        <v>0</v>
      </c>
      <c r="AY102" s="6" t="n">
        <v>0</v>
      </c>
      <c r="AZ102" s="6" t="n">
        <v>0</v>
      </c>
      <c r="BA102" s="6" t="n">
        <v>0</v>
      </c>
      <c r="BB102" s="6" t="n">
        <v>0</v>
      </c>
      <c r="BC102" s="6" t="n">
        <v>0</v>
      </c>
      <c r="BD102" s="6" t="n">
        <v>0</v>
      </c>
      <c r="BE102" s="6" t="n">
        <v>0</v>
      </c>
      <c r="BF102" s="6" t="n">
        <v>0</v>
      </c>
      <c r="BG102" s="6" t="n">
        <v>0</v>
      </c>
      <c r="BH102" s="6" t="n">
        <v>0</v>
      </c>
      <c r="BI102" s="6" t="n">
        <f aca="false">+BC102+BF102+AW102+AZ102</f>
        <v>0</v>
      </c>
      <c r="BJ102" s="6" t="n">
        <f aca="false">+BD102+BG102+AX102+BA102</f>
        <v>0</v>
      </c>
      <c r="BK102" s="6" t="n">
        <f aca="false">+BE102+BH102+AY102+BB102</f>
        <v>0</v>
      </c>
      <c r="BL102" s="30" t="n">
        <v>0</v>
      </c>
      <c r="BM102" s="38" t="n">
        <v>400000</v>
      </c>
      <c r="BN102" s="6" t="n">
        <v>0</v>
      </c>
      <c r="BO102" s="6" t="n">
        <v>0</v>
      </c>
      <c r="BP102" s="6" t="n">
        <v>0</v>
      </c>
      <c r="BQ102" s="6" t="n">
        <v>0</v>
      </c>
      <c r="BR102" s="6" t="n">
        <v>0</v>
      </c>
      <c r="BS102" s="6" t="n">
        <v>0</v>
      </c>
      <c r="BT102" s="6" t="n">
        <v>400000</v>
      </c>
      <c r="BU102" s="6" t="n">
        <v>0</v>
      </c>
      <c r="BV102" s="6" t="n">
        <v>0</v>
      </c>
      <c r="BW102" s="6" t="n">
        <v>0</v>
      </c>
      <c r="BX102" s="6" t="n">
        <f aca="false">+BR102+BU102+BL102+BO102</f>
        <v>0</v>
      </c>
      <c r="BY102" s="6" t="n">
        <f aca="false">+BS102+BV102+BM102+BP102</f>
        <v>400000</v>
      </c>
      <c r="BZ102" s="6" t="n">
        <f aca="false">+BT102+BW102+BN102+BQ102</f>
        <v>400000</v>
      </c>
      <c r="CA102" s="6" t="n">
        <v>0</v>
      </c>
      <c r="CB102" s="6" t="n">
        <v>0</v>
      </c>
      <c r="CC102" s="6" t="n">
        <v>0</v>
      </c>
      <c r="CD102" s="6" t="n">
        <v>0</v>
      </c>
      <c r="CE102" s="6" t="n">
        <v>0</v>
      </c>
      <c r="CF102" s="6" t="n">
        <v>0</v>
      </c>
      <c r="CG102" s="6" t="n">
        <v>0</v>
      </c>
      <c r="CH102" s="6" t="n">
        <v>0</v>
      </c>
      <c r="CI102" s="6" t="n">
        <v>0</v>
      </c>
      <c r="CJ102" s="6" t="n">
        <v>0</v>
      </c>
      <c r="CK102" s="6" t="n">
        <v>0</v>
      </c>
      <c r="CL102" s="6" t="n">
        <v>0</v>
      </c>
      <c r="CM102" s="6" t="n">
        <f aca="false">+CG102+CJ102+CA102+CD102</f>
        <v>0</v>
      </c>
      <c r="CN102" s="6" t="n">
        <f aca="false">+CH102+CK102+CB102+CE102</f>
        <v>0</v>
      </c>
      <c r="CO102" s="6" t="n">
        <f aca="false">+CI102+CL102+CC102+CF102</f>
        <v>0</v>
      </c>
      <c r="CP102" s="6" t="n">
        <v>0</v>
      </c>
      <c r="CQ102" s="6" t="n">
        <v>0</v>
      </c>
      <c r="CR102" s="6" t="n">
        <v>0</v>
      </c>
      <c r="CS102" s="6" t="n">
        <v>0</v>
      </c>
      <c r="CT102" s="6" t="n">
        <v>0</v>
      </c>
      <c r="CU102" s="6" t="n">
        <v>0</v>
      </c>
      <c r="CV102" s="6" t="n">
        <v>0</v>
      </c>
      <c r="CW102" s="6" t="n">
        <v>0</v>
      </c>
      <c r="CX102" s="6" t="n">
        <v>0</v>
      </c>
      <c r="CY102" s="6" t="n">
        <v>0</v>
      </c>
      <c r="CZ102" s="6" t="n">
        <v>0</v>
      </c>
      <c r="DA102" s="6" t="n">
        <v>0</v>
      </c>
      <c r="DB102" s="6" t="n">
        <f aca="false">+CV102+CY102+CP102+CS102</f>
        <v>0</v>
      </c>
      <c r="DC102" s="6" t="n">
        <f aca="false">+CW102+CZ102+CQ102+CT102</f>
        <v>0</v>
      </c>
      <c r="DD102" s="6" t="n">
        <f aca="false">+CX102+DA102+CR102+CU102</f>
        <v>0</v>
      </c>
      <c r="DE102" s="6" t="n">
        <v>0</v>
      </c>
      <c r="DF102" s="6" t="n">
        <v>0</v>
      </c>
      <c r="DG102" s="6" t="n">
        <v>0</v>
      </c>
      <c r="DH102" s="6" t="n">
        <v>0</v>
      </c>
      <c r="DI102" s="6" t="n">
        <v>0</v>
      </c>
      <c r="DJ102" s="6" t="n">
        <v>0</v>
      </c>
      <c r="DK102" s="6" t="n">
        <v>0</v>
      </c>
      <c r="DL102" s="6" t="n">
        <v>0</v>
      </c>
      <c r="DM102" s="6" t="n">
        <v>0</v>
      </c>
      <c r="DN102" s="6" t="n">
        <v>0</v>
      </c>
      <c r="DO102" s="6" t="n">
        <v>0</v>
      </c>
      <c r="DP102" s="6" t="n">
        <v>0</v>
      </c>
      <c r="DQ102" s="6" t="n">
        <f aca="false">+DK102+DN102+DE102+DH102</f>
        <v>0</v>
      </c>
      <c r="DR102" s="6" t="n">
        <f aca="false">+DL102+DO102+DF102+DI102</f>
        <v>0</v>
      </c>
      <c r="DS102" s="6" t="n">
        <f aca="false">+DM102+DP102+DG102+DJ102</f>
        <v>0</v>
      </c>
      <c r="DT102" s="31" t="n">
        <f aca="false">+P102+AE102+AT102+BI102+BX102+CM102+DB102</f>
        <v>0</v>
      </c>
      <c r="DU102" s="31" t="n">
        <f aca="false">+Q102+AF102+AU102+BJ102+BY102+CN102+DC102</f>
        <v>400000</v>
      </c>
      <c r="DV102" s="31" t="n">
        <f aca="false">+R102+AG102+AV102+BK102+BZ102+CO102+DD102</f>
        <v>400000</v>
      </c>
      <c r="DW102" s="31" t="n">
        <f aca="false">+DU102-DV102</f>
        <v>0</v>
      </c>
    </row>
    <row r="103" customFormat="false" ht="13.8" hidden="false" customHeight="false" outlineLevel="0" collapsed="false">
      <c r="A103" s="27" t="n">
        <v>45474</v>
      </c>
      <c r="B103" s="28" t="s">
        <v>463</v>
      </c>
      <c r="C103" s="28" t="s">
        <v>457</v>
      </c>
      <c r="D103" s="29" t="s">
        <v>458</v>
      </c>
      <c r="E103" s="28" t="s">
        <v>459</v>
      </c>
      <c r="F103" s="27" t="s">
        <v>460</v>
      </c>
      <c r="G103" s="27" t="s">
        <v>17</v>
      </c>
      <c r="H103" s="30"/>
      <c r="I103" s="38" t="n">
        <v>250000</v>
      </c>
      <c r="J103" s="6" t="n">
        <v>0</v>
      </c>
      <c r="K103" s="6" t="n">
        <v>0</v>
      </c>
      <c r="L103" s="6" t="n">
        <v>0</v>
      </c>
      <c r="M103" s="6" t="n">
        <v>0</v>
      </c>
      <c r="N103" s="6" t="n">
        <v>0</v>
      </c>
      <c r="O103" s="6" t="n">
        <v>0</v>
      </c>
      <c r="P103" s="6" t="n">
        <f aca="false">+J103+M103</f>
        <v>0</v>
      </c>
      <c r="Q103" s="6" t="n">
        <f aca="false">+K103+N103</f>
        <v>0</v>
      </c>
      <c r="R103" s="6" t="n">
        <f aca="false">+L103+O103</f>
        <v>0</v>
      </c>
      <c r="S103" s="6" t="n">
        <v>0</v>
      </c>
      <c r="T103" s="6" t="n">
        <v>0</v>
      </c>
      <c r="U103" s="6" t="n">
        <v>0</v>
      </c>
      <c r="V103" s="6" t="n">
        <v>0</v>
      </c>
      <c r="W103" s="6" t="n">
        <v>0</v>
      </c>
      <c r="X103" s="6" t="n">
        <v>0</v>
      </c>
      <c r="Y103" s="6" t="n">
        <v>0</v>
      </c>
      <c r="Z103" s="6" t="n">
        <v>0</v>
      </c>
      <c r="AA103" s="6" t="n">
        <v>0</v>
      </c>
      <c r="AB103" s="6" t="n">
        <v>0</v>
      </c>
      <c r="AC103" s="6" t="n">
        <v>0</v>
      </c>
      <c r="AD103" s="6" t="n">
        <v>0</v>
      </c>
      <c r="AE103" s="6" t="n">
        <f aca="false">+Y103+AB103+S103+V103</f>
        <v>0</v>
      </c>
      <c r="AF103" s="6" t="n">
        <f aca="false">+Z103+AC103+T103+W103</f>
        <v>0</v>
      </c>
      <c r="AG103" s="6" t="n">
        <f aca="false">+AA103+AD103+U103+X103</f>
        <v>0</v>
      </c>
      <c r="AH103" s="6" t="n">
        <v>0</v>
      </c>
      <c r="AI103" s="6" t="n">
        <v>0</v>
      </c>
      <c r="AJ103" s="6" t="n">
        <v>0</v>
      </c>
      <c r="AK103" s="6" t="n">
        <v>0</v>
      </c>
      <c r="AL103" s="6" t="n">
        <v>0</v>
      </c>
      <c r="AM103" s="6" t="n">
        <v>0</v>
      </c>
      <c r="AN103" s="6" t="n">
        <v>0</v>
      </c>
      <c r="AO103" s="6" t="n">
        <v>0</v>
      </c>
      <c r="AP103" s="6" t="n">
        <v>0</v>
      </c>
      <c r="AQ103" s="6" t="n">
        <v>0</v>
      </c>
      <c r="AR103" s="6" t="n">
        <v>0</v>
      </c>
      <c r="AS103" s="6" t="n">
        <v>0</v>
      </c>
      <c r="AT103" s="6" t="n">
        <f aca="false">+AN103+AQ103+AH103+AK103</f>
        <v>0</v>
      </c>
      <c r="AU103" s="6" t="n">
        <f aca="false">+AO103+AR103+AI103+AL103</f>
        <v>0</v>
      </c>
      <c r="AV103" s="6" t="n">
        <f aca="false">+AP103+AS103+AJ103+AM103</f>
        <v>0</v>
      </c>
      <c r="AW103" s="6" t="n">
        <v>0</v>
      </c>
      <c r="AX103" s="6" t="n">
        <v>0</v>
      </c>
      <c r="AY103" s="6" t="n">
        <v>0</v>
      </c>
      <c r="AZ103" s="6" t="n">
        <v>0</v>
      </c>
      <c r="BA103" s="6" t="n">
        <v>0</v>
      </c>
      <c r="BB103" s="6" t="n">
        <v>0</v>
      </c>
      <c r="BC103" s="6" t="n">
        <v>0</v>
      </c>
      <c r="BD103" s="6" t="n">
        <v>0</v>
      </c>
      <c r="BE103" s="6" t="n">
        <v>0</v>
      </c>
      <c r="BF103" s="6" t="n">
        <v>0</v>
      </c>
      <c r="BG103" s="6" t="n">
        <v>0</v>
      </c>
      <c r="BH103" s="6" t="n">
        <v>0</v>
      </c>
      <c r="BI103" s="6" t="n">
        <f aca="false">+BC103+BF103+AW103+AZ103</f>
        <v>0</v>
      </c>
      <c r="BJ103" s="6" t="n">
        <f aca="false">+BD103+BG103+AX103+BA103</f>
        <v>0</v>
      </c>
      <c r="BK103" s="6" t="n">
        <f aca="false">+BE103+BH103+AY103+BB103</f>
        <v>0</v>
      </c>
      <c r="BL103" s="30" t="n">
        <v>0</v>
      </c>
      <c r="BM103" s="38" t="n">
        <v>250000</v>
      </c>
      <c r="BN103" s="6" t="n">
        <v>0</v>
      </c>
      <c r="BO103" s="6" t="n">
        <v>0</v>
      </c>
      <c r="BP103" s="6" t="n">
        <v>0</v>
      </c>
      <c r="BQ103" s="6" t="n">
        <v>0</v>
      </c>
      <c r="BR103" s="6" t="n">
        <v>0</v>
      </c>
      <c r="BS103" s="6" t="n">
        <v>0</v>
      </c>
      <c r="BT103" s="6" t="n">
        <v>0</v>
      </c>
      <c r="BU103" s="6" t="n">
        <v>0</v>
      </c>
      <c r="BV103" s="6" t="n">
        <v>0</v>
      </c>
      <c r="BW103" s="6" t="n">
        <v>250000</v>
      </c>
      <c r="BX103" s="6" t="n">
        <f aca="false">+BR103+BU103+BL103+BO103</f>
        <v>0</v>
      </c>
      <c r="BY103" s="6" t="n">
        <f aca="false">+BS103+BV103+BM103+BP103</f>
        <v>250000</v>
      </c>
      <c r="BZ103" s="6" t="n">
        <f aca="false">+BT103+BW103+BN103+BQ103</f>
        <v>250000</v>
      </c>
      <c r="CA103" s="6" t="n">
        <v>0</v>
      </c>
      <c r="CB103" s="6" t="n">
        <v>0</v>
      </c>
      <c r="CC103" s="6" t="n">
        <v>0</v>
      </c>
      <c r="CD103" s="6" t="n">
        <v>0</v>
      </c>
      <c r="CE103" s="6" t="n">
        <v>0</v>
      </c>
      <c r="CF103" s="6" t="n">
        <v>0</v>
      </c>
      <c r="CG103" s="6" t="n">
        <v>0</v>
      </c>
      <c r="CH103" s="6" t="n">
        <v>0</v>
      </c>
      <c r="CI103" s="6" t="n">
        <v>0</v>
      </c>
      <c r="CJ103" s="6" t="n">
        <v>0</v>
      </c>
      <c r="CK103" s="6" t="n">
        <v>0</v>
      </c>
      <c r="CL103" s="6" t="n">
        <v>0</v>
      </c>
      <c r="CM103" s="6" t="n">
        <f aca="false">+CG103+CJ103+CA103+CD103</f>
        <v>0</v>
      </c>
      <c r="CN103" s="6" t="n">
        <f aca="false">+CH103+CK103+CB103+CE103</f>
        <v>0</v>
      </c>
      <c r="CO103" s="6" t="n">
        <f aca="false">+CI103+CL103+CC103+CF103</f>
        <v>0</v>
      </c>
      <c r="CP103" s="6" t="n">
        <v>0</v>
      </c>
      <c r="CQ103" s="6" t="n">
        <v>0</v>
      </c>
      <c r="CR103" s="6" t="n">
        <v>0</v>
      </c>
      <c r="CS103" s="6" t="n">
        <v>0</v>
      </c>
      <c r="CT103" s="6" t="n">
        <v>0</v>
      </c>
      <c r="CU103" s="6" t="n">
        <v>0</v>
      </c>
      <c r="CV103" s="6" t="n">
        <v>0</v>
      </c>
      <c r="CW103" s="6" t="n">
        <v>0</v>
      </c>
      <c r="CX103" s="6" t="n">
        <v>0</v>
      </c>
      <c r="CY103" s="6" t="n">
        <v>0</v>
      </c>
      <c r="CZ103" s="6" t="n">
        <v>0</v>
      </c>
      <c r="DA103" s="6" t="n">
        <v>0</v>
      </c>
      <c r="DB103" s="6" t="n">
        <f aca="false">+CV103+CY103+CP103+CS103</f>
        <v>0</v>
      </c>
      <c r="DC103" s="6" t="n">
        <f aca="false">+CW103+CZ103+CQ103+CT103</f>
        <v>0</v>
      </c>
      <c r="DD103" s="6" t="n">
        <f aca="false">+CX103+DA103+CR103+CU103</f>
        <v>0</v>
      </c>
      <c r="DE103" s="6" t="n">
        <v>0</v>
      </c>
      <c r="DF103" s="6" t="n">
        <v>0</v>
      </c>
      <c r="DG103" s="6" t="n">
        <v>0</v>
      </c>
      <c r="DH103" s="6" t="n">
        <v>0</v>
      </c>
      <c r="DI103" s="6" t="n">
        <v>0</v>
      </c>
      <c r="DJ103" s="6" t="n">
        <v>0</v>
      </c>
      <c r="DK103" s="6" t="n">
        <v>0</v>
      </c>
      <c r="DL103" s="6" t="n">
        <v>0</v>
      </c>
      <c r="DM103" s="6" t="n">
        <v>0</v>
      </c>
      <c r="DN103" s="6" t="n">
        <v>0</v>
      </c>
      <c r="DO103" s="6" t="n">
        <v>0</v>
      </c>
      <c r="DP103" s="6" t="n">
        <v>0</v>
      </c>
      <c r="DQ103" s="6" t="n">
        <f aca="false">+DK103+DN103+DE103+DH103</f>
        <v>0</v>
      </c>
      <c r="DR103" s="6" t="n">
        <f aca="false">+DL103+DO103+DF103+DI103</f>
        <v>0</v>
      </c>
      <c r="DS103" s="6" t="n">
        <f aca="false">+DM103+DP103+DG103+DJ103</f>
        <v>0</v>
      </c>
      <c r="DT103" s="31" t="n">
        <f aca="false">+P103+AE103+AT103+BI103+BX103+CM103+DB103</f>
        <v>0</v>
      </c>
      <c r="DU103" s="31" t="n">
        <f aca="false">+Q103+AF103+AU103+BJ103+BY103+CN103+DC103</f>
        <v>250000</v>
      </c>
      <c r="DV103" s="31" t="n">
        <f aca="false">+R103+AG103+AV103+BK103+BZ103+CO103+DD103</f>
        <v>250000</v>
      </c>
      <c r="DW103" s="31" t="n">
        <f aca="false">+DU103-DV103</f>
        <v>0</v>
      </c>
    </row>
    <row r="104" customFormat="false" ht="13.8" hidden="false" customHeight="false" outlineLevel="0" collapsed="false">
      <c r="A104" s="27" t="n">
        <v>45541</v>
      </c>
      <c r="B104" s="28" t="s">
        <v>464</v>
      </c>
      <c r="C104" s="28" t="s">
        <v>457</v>
      </c>
      <c r="D104" s="29" t="s">
        <v>458</v>
      </c>
      <c r="E104" s="28" t="s">
        <v>459</v>
      </c>
      <c r="F104" s="27" t="s">
        <v>460</v>
      </c>
      <c r="G104" s="27" t="s">
        <v>17</v>
      </c>
      <c r="H104" s="30"/>
      <c r="I104" s="38" t="n">
        <v>200000</v>
      </c>
      <c r="J104" s="6" t="n">
        <v>0</v>
      </c>
      <c r="K104" s="6" t="n">
        <v>0</v>
      </c>
      <c r="L104" s="6" t="n">
        <v>0</v>
      </c>
      <c r="M104" s="6" t="n">
        <v>0</v>
      </c>
      <c r="N104" s="6" t="n">
        <v>0</v>
      </c>
      <c r="O104" s="6" t="n">
        <v>0</v>
      </c>
      <c r="P104" s="6" t="n">
        <f aca="false">+J104+M104</f>
        <v>0</v>
      </c>
      <c r="Q104" s="6" t="n">
        <f aca="false">+K104+N104</f>
        <v>0</v>
      </c>
      <c r="R104" s="6" t="n">
        <f aca="false">+L104+O104</f>
        <v>0</v>
      </c>
      <c r="S104" s="6" t="n">
        <v>0</v>
      </c>
      <c r="T104" s="6" t="n">
        <v>0</v>
      </c>
      <c r="U104" s="6" t="n">
        <v>0</v>
      </c>
      <c r="V104" s="6" t="n">
        <v>0</v>
      </c>
      <c r="W104" s="6" t="n">
        <v>0</v>
      </c>
      <c r="X104" s="6" t="n">
        <v>0</v>
      </c>
      <c r="Y104" s="6" t="n">
        <v>0</v>
      </c>
      <c r="Z104" s="6" t="n">
        <v>0</v>
      </c>
      <c r="AA104" s="6" t="n">
        <v>0</v>
      </c>
      <c r="AB104" s="6" t="n">
        <v>0</v>
      </c>
      <c r="AC104" s="6" t="n">
        <v>0</v>
      </c>
      <c r="AD104" s="6" t="n">
        <v>0</v>
      </c>
      <c r="AE104" s="6" t="n">
        <f aca="false">+Y104+AB104+S104+V104</f>
        <v>0</v>
      </c>
      <c r="AF104" s="6" t="n">
        <f aca="false">+Z104+AC104+T104+W104</f>
        <v>0</v>
      </c>
      <c r="AG104" s="6" t="n">
        <f aca="false">+AA104+AD104+U104+X104</f>
        <v>0</v>
      </c>
      <c r="AH104" s="6" t="n">
        <v>0</v>
      </c>
      <c r="AI104" s="6" t="n">
        <v>0</v>
      </c>
      <c r="AJ104" s="6" t="n">
        <v>0</v>
      </c>
      <c r="AK104" s="6" t="n">
        <v>0</v>
      </c>
      <c r="AL104" s="6" t="n">
        <v>0</v>
      </c>
      <c r="AM104" s="6" t="n">
        <v>0</v>
      </c>
      <c r="AN104" s="6" t="n">
        <v>0</v>
      </c>
      <c r="AO104" s="6" t="n">
        <v>0</v>
      </c>
      <c r="AP104" s="6" t="n">
        <v>0</v>
      </c>
      <c r="AQ104" s="6" t="n">
        <v>0</v>
      </c>
      <c r="AR104" s="6" t="n">
        <v>0</v>
      </c>
      <c r="AS104" s="6" t="n">
        <v>0</v>
      </c>
      <c r="AT104" s="6" t="n">
        <f aca="false">+AN104+AQ104+AH104+AK104</f>
        <v>0</v>
      </c>
      <c r="AU104" s="6" t="n">
        <f aca="false">+AO104+AR104+AI104+AL104</f>
        <v>0</v>
      </c>
      <c r="AV104" s="6" t="n">
        <f aca="false">+AP104+AS104+AJ104+AM104</f>
        <v>0</v>
      </c>
      <c r="AW104" s="6" t="n">
        <v>0</v>
      </c>
      <c r="AX104" s="6" t="n">
        <v>0</v>
      </c>
      <c r="AY104" s="6" t="n">
        <v>0</v>
      </c>
      <c r="AZ104" s="6" t="n">
        <v>0</v>
      </c>
      <c r="BA104" s="6" t="n">
        <v>0</v>
      </c>
      <c r="BB104" s="6" t="n">
        <v>0</v>
      </c>
      <c r="BC104" s="6" t="n">
        <v>0</v>
      </c>
      <c r="BD104" s="6" t="n">
        <v>0</v>
      </c>
      <c r="BE104" s="6" t="n">
        <v>0</v>
      </c>
      <c r="BF104" s="6" t="n">
        <v>0</v>
      </c>
      <c r="BG104" s="6" t="n">
        <v>0</v>
      </c>
      <c r="BH104" s="6" t="n">
        <v>0</v>
      </c>
      <c r="BI104" s="6" t="n">
        <f aca="false">+BC104+BF104+AW104+AZ104</f>
        <v>0</v>
      </c>
      <c r="BJ104" s="6" t="n">
        <f aca="false">+BD104+BG104+AX104+BA104</f>
        <v>0</v>
      </c>
      <c r="BK104" s="6" t="n">
        <f aca="false">+BE104+BH104+AY104+BB104</f>
        <v>0</v>
      </c>
      <c r="BL104" s="30" t="n">
        <v>0</v>
      </c>
      <c r="BM104" s="38" t="n">
        <v>200000</v>
      </c>
      <c r="BN104" s="6" t="n">
        <v>0</v>
      </c>
      <c r="BO104" s="6" t="n">
        <v>0</v>
      </c>
      <c r="BP104" s="6" t="n">
        <v>0</v>
      </c>
      <c r="BQ104" s="6" t="n">
        <v>0</v>
      </c>
      <c r="BR104" s="6" t="n">
        <v>0</v>
      </c>
      <c r="BS104" s="6" t="n">
        <v>0</v>
      </c>
      <c r="BT104" s="6" t="n">
        <v>0</v>
      </c>
      <c r="BU104" s="6" t="n">
        <v>0</v>
      </c>
      <c r="BV104" s="6" t="n">
        <v>0</v>
      </c>
      <c r="BW104" s="6" t="n">
        <v>0</v>
      </c>
      <c r="BX104" s="6" t="n">
        <f aca="false">+BR104+BU104+BL104+BO104</f>
        <v>0</v>
      </c>
      <c r="BY104" s="6" t="n">
        <f aca="false">+BS104+BV104+BM104+BP104</f>
        <v>200000</v>
      </c>
      <c r="BZ104" s="6" t="n">
        <f aca="false">+BT104+BW104+BN104+BQ104</f>
        <v>0</v>
      </c>
      <c r="CA104" s="6" t="n">
        <v>0</v>
      </c>
      <c r="CB104" s="6" t="n">
        <v>0</v>
      </c>
      <c r="CC104" s="6" t="n">
        <v>200000</v>
      </c>
      <c r="CD104" s="6" t="n">
        <v>0</v>
      </c>
      <c r="CE104" s="6" t="n">
        <v>0</v>
      </c>
      <c r="CF104" s="6" t="n">
        <v>0</v>
      </c>
      <c r="CG104" s="6" t="n">
        <v>0</v>
      </c>
      <c r="CH104" s="6" t="n">
        <v>0</v>
      </c>
      <c r="CI104" s="6" t="n">
        <v>0</v>
      </c>
      <c r="CJ104" s="6" t="n">
        <v>0</v>
      </c>
      <c r="CK104" s="6" t="n">
        <v>0</v>
      </c>
      <c r="CL104" s="6" t="n">
        <v>0</v>
      </c>
      <c r="CM104" s="6" t="n">
        <f aca="false">+CG104+CJ104+CA104+CD104</f>
        <v>0</v>
      </c>
      <c r="CN104" s="6" t="n">
        <f aca="false">+CH104+CK104+CB104+CE104</f>
        <v>0</v>
      </c>
      <c r="CO104" s="6" t="n">
        <f aca="false">+CI104+CL104+CC104+CF104</f>
        <v>200000</v>
      </c>
      <c r="CP104" s="6" t="n">
        <v>0</v>
      </c>
      <c r="CQ104" s="6" t="n">
        <v>0</v>
      </c>
      <c r="CR104" s="6" t="n">
        <v>0</v>
      </c>
      <c r="CS104" s="6" t="n">
        <v>0</v>
      </c>
      <c r="CT104" s="6" t="n">
        <v>0</v>
      </c>
      <c r="CU104" s="6" t="n">
        <v>0</v>
      </c>
      <c r="CV104" s="6" t="n">
        <v>0</v>
      </c>
      <c r="CW104" s="6" t="n">
        <v>0</v>
      </c>
      <c r="CX104" s="6" t="n">
        <v>0</v>
      </c>
      <c r="CY104" s="6" t="n">
        <v>0</v>
      </c>
      <c r="CZ104" s="6" t="n">
        <v>0</v>
      </c>
      <c r="DA104" s="6" t="n">
        <v>0</v>
      </c>
      <c r="DB104" s="6" t="n">
        <f aca="false">+CV104+CY104+CP104+CS104</f>
        <v>0</v>
      </c>
      <c r="DC104" s="6" t="n">
        <f aca="false">+CW104+CZ104+CQ104+CT104</f>
        <v>0</v>
      </c>
      <c r="DD104" s="6" t="n">
        <f aca="false">+CX104+DA104+CR104+CU104</f>
        <v>0</v>
      </c>
      <c r="DE104" s="6" t="n">
        <v>0</v>
      </c>
      <c r="DF104" s="6" t="n">
        <v>0</v>
      </c>
      <c r="DG104" s="6" t="n">
        <v>0</v>
      </c>
      <c r="DH104" s="6" t="n">
        <v>0</v>
      </c>
      <c r="DI104" s="6" t="n">
        <v>0</v>
      </c>
      <c r="DJ104" s="6" t="n">
        <v>0</v>
      </c>
      <c r="DK104" s="6" t="n">
        <v>0</v>
      </c>
      <c r="DL104" s="6" t="n">
        <v>0</v>
      </c>
      <c r="DM104" s="6" t="n">
        <v>0</v>
      </c>
      <c r="DN104" s="6" t="n">
        <v>0</v>
      </c>
      <c r="DO104" s="6" t="n">
        <v>0</v>
      </c>
      <c r="DP104" s="6" t="n">
        <v>0</v>
      </c>
      <c r="DQ104" s="6" t="n">
        <f aca="false">+DK104+DN104+DE104+DH104</f>
        <v>0</v>
      </c>
      <c r="DR104" s="6" t="n">
        <f aca="false">+DL104+DO104+DF104+DI104</f>
        <v>0</v>
      </c>
      <c r="DS104" s="6" t="n">
        <f aca="false">+DM104+DP104+DG104+DJ104</f>
        <v>0</v>
      </c>
      <c r="DT104" s="31" t="n">
        <f aca="false">+P104+AE104+AT104+BI104+BX104+CM104+DB104</f>
        <v>0</v>
      </c>
      <c r="DU104" s="31" t="n">
        <f aca="false">+Q104+AF104+AU104+BJ104+BY104+CN104+DC104</f>
        <v>200000</v>
      </c>
      <c r="DV104" s="31" t="n">
        <f aca="false">+R104+AG104+AV104+BK104+BZ104+CO104+DD104</f>
        <v>200000</v>
      </c>
      <c r="DW104" s="31" t="n">
        <f aca="false">+DU104-DV104</f>
        <v>0</v>
      </c>
    </row>
    <row r="105" customFormat="false" ht="13.8" hidden="false" customHeight="false" outlineLevel="0" collapsed="false">
      <c r="A105" s="27" t="n">
        <v>45560</v>
      </c>
      <c r="B105" s="28" t="s">
        <v>465</v>
      </c>
      <c r="C105" s="28" t="s">
        <v>457</v>
      </c>
      <c r="D105" s="29" t="s">
        <v>458</v>
      </c>
      <c r="E105" s="28" t="s">
        <v>459</v>
      </c>
      <c r="F105" s="27" t="s">
        <v>460</v>
      </c>
      <c r="G105" s="27" t="s">
        <v>17</v>
      </c>
      <c r="H105" s="30"/>
      <c r="I105" s="38" t="n">
        <v>124093</v>
      </c>
      <c r="J105" s="6" t="n">
        <v>0</v>
      </c>
      <c r="K105" s="6" t="n">
        <v>0</v>
      </c>
      <c r="L105" s="6" t="n">
        <v>0</v>
      </c>
      <c r="M105" s="6" t="n">
        <v>0</v>
      </c>
      <c r="N105" s="6" t="n">
        <v>0</v>
      </c>
      <c r="O105" s="6" t="n">
        <v>0</v>
      </c>
      <c r="P105" s="6" t="n">
        <f aca="false">+J105+M105</f>
        <v>0</v>
      </c>
      <c r="Q105" s="6" t="n">
        <f aca="false">+K105+N105</f>
        <v>0</v>
      </c>
      <c r="R105" s="6" t="n">
        <f aca="false">+L105+O105</f>
        <v>0</v>
      </c>
      <c r="S105" s="6" t="n">
        <v>0</v>
      </c>
      <c r="T105" s="6" t="n">
        <v>0</v>
      </c>
      <c r="U105" s="6" t="n">
        <v>0</v>
      </c>
      <c r="V105" s="6" t="n">
        <v>0</v>
      </c>
      <c r="W105" s="6" t="n">
        <v>0</v>
      </c>
      <c r="X105" s="6" t="n">
        <v>0</v>
      </c>
      <c r="Y105" s="6" t="n">
        <v>0</v>
      </c>
      <c r="Z105" s="6" t="n">
        <v>0</v>
      </c>
      <c r="AA105" s="6" t="n">
        <v>0</v>
      </c>
      <c r="AB105" s="6" t="n">
        <v>0</v>
      </c>
      <c r="AC105" s="6" t="n">
        <v>0</v>
      </c>
      <c r="AD105" s="6" t="n">
        <v>0</v>
      </c>
      <c r="AE105" s="6" t="n">
        <f aca="false">+Y105+AB105+S105+V105</f>
        <v>0</v>
      </c>
      <c r="AF105" s="6" t="n">
        <f aca="false">+Z105+AC105+T105+W105</f>
        <v>0</v>
      </c>
      <c r="AG105" s="6" t="n">
        <f aca="false">+AA105+AD105+U105+X105</f>
        <v>0</v>
      </c>
      <c r="AH105" s="6" t="n">
        <v>0</v>
      </c>
      <c r="AI105" s="6" t="n">
        <v>0</v>
      </c>
      <c r="AJ105" s="6" t="n">
        <v>0</v>
      </c>
      <c r="AK105" s="6" t="n">
        <v>0</v>
      </c>
      <c r="AL105" s="6" t="n">
        <v>0</v>
      </c>
      <c r="AM105" s="6" t="n">
        <v>0</v>
      </c>
      <c r="AN105" s="6" t="n">
        <v>0</v>
      </c>
      <c r="AO105" s="6" t="n">
        <v>0</v>
      </c>
      <c r="AP105" s="6" t="n">
        <v>0</v>
      </c>
      <c r="AQ105" s="6" t="n">
        <v>0</v>
      </c>
      <c r="AR105" s="6" t="n">
        <v>0</v>
      </c>
      <c r="AS105" s="6" t="n">
        <v>0</v>
      </c>
      <c r="AT105" s="6" t="n">
        <f aca="false">+AN105+AQ105+AH105+AK105</f>
        <v>0</v>
      </c>
      <c r="AU105" s="6" t="n">
        <f aca="false">+AO105+AR105+AI105+AL105</f>
        <v>0</v>
      </c>
      <c r="AV105" s="6" t="n">
        <f aca="false">+AP105+AS105+AJ105+AM105</f>
        <v>0</v>
      </c>
      <c r="AW105" s="6" t="n">
        <v>0</v>
      </c>
      <c r="AX105" s="6" t="n">
        <v>0</v>
      </c>
      <c r="AY105" s="6" t="n">
        <v>0</v>
      </c>
      <c r="AZ105" s="6" t="n">
        <v>0</v>
      </c>
      <c r="BA105" s="6" t="n">
        <v>0</v>
      </c>
      <c r="BB105" s="6" t="n">
        <v>0</v>
      </c>
      <c r="BC105" s="6" t="n">
        <v>0</v>
      </c>
      <c r="BD105" s="6" t="n">
        <v>0</v>
      </c>
      <c r="BE105" s="6" t="n">
        <v>0</v>
      </c>
      <c r="BF105" s="6" t="n">
        <v>0</v>
      </c>
      <c r="BG105" s="6" t="n">
        <v>0</v>
      </c>
      <c r="BH105" s="6" t="n">
        <v>0</v>
      </c>
      <c r="BI105" s="6" t="n">
        <f aca="false">+BC105+BF105+AW105+AZ105</f>
        <v>0</v>
      </c>
      <c r="BJ105" s="6" t="n">
        <f aca="false">+BD105+BG105+AX105+BA105</f>
        <v>0</v>
      </c>
      <c r="BK105" s="6" t="n">
        <f aca="false">+BE105+BH105+AY105+BB105</f>
        <v>0</v>
      </c>
      <c r="BL105" s="30" t="n">
        <v>0</v>
      </c>
      <c r="BM105" s="38" t="n">
        <v>124093</v>
      </c>
      <c r="BN105" s="6" t="n">
        <v>0</v>
      </c>
      <c r="BO105" s="6" t="n">
        <v>0</v>
      </c>
      <c r="BP105" s="6" t="n">
        <v>0</v>
      </c>
      <c r="BQ105" s="6" t="n">
        <v>0</v>
      </c>
      <c r="BR105" s="6" t="n">
        <v>0</v>
      </c>
      <c r="BS105" s="6" t="n">
        <v>0</v>
      </c>
      <c r="BT105" s="6" t="n">
        <v>0</v>
      </c>
      <c r="BU105" s="6" t="n">
        <v>0</v>
      </c>
      <c r="BV105" s="6" t="n">
        <v>0</v>
      </c>
      <c r="BW105" s="6" t="n">
        <v>0</v>
      </c>
      <c r="BX105" s="6" t="n">
        <f aca="false">+BR105+BU105+BL105+BO105</f>
        <v>0</v>
      </c>
      <c r="BY105" s="6" t="n">
        <f aca="false">+BS105+BV105+BM105+BP105</f>
        <v>124093</v>
      </c>
      <c r="BZ105" s="6" t="n">
        <f aca="false">+BT105+BW105+BN105+BQ105</f>
        <v>0</v>
      </c>
      <c r="CA105" s="6" t="n">
        <v>0</v>
      </c>
      <c r="CB105" s="6" t="n">
        <v>0</v>
      </c>
      <c r="CC105" s="6" t="n">
        <v>75000</v>
      </c>
      <c r="CD105" s="6" t="n">
        <v>0</v>
      </c>
      <c r="CE105" s="6" t="n">
        <v>0</v>
      </c>
      <c r="CF105" s="6" t="n">
        <v>49093</v>
      </c>
      <c r="CG105" s="6" t="n">
        <v>0</v>
      </c>
      <c r="CH105" s="6" t="n">
        <v>0</v>
      </c>
      <c r="CI105" s="6" t="n">
        <v>0</v>
      </c>
      <c r="CJ105" s="6" t="n">
        <v>0</v>
      </c>
      <c r="CK105" s="6" t="n">
        <v>0</v>
      </c>
      <c r="CL105" s="6" t="n">
        <v>0</v>
      </c>
      <c r="CM105" s="6" t="n">
        <f aca="false">+CG105+CJ105+CA105+CD105</f>
        <v>0</v>
      </c>
      <c r="CN105" s="6" t="n">
        <f aca="false">+CH105+CK105+CB105+CE105</f>
        <v>0</v>
      </c>
      <c r="CO105" s="6" t="n">
        <f aca="false">+CI105+CL105+CC105+CF105</f>
        <v>124093</v>
      </c>
      <c r="CP105" s="6" t="n">
        <v>0</v>
      </c>
      <c r="CQ105" s="6" t="n">
        <v>0</v>
      </c>
      <c r="CR105" s="6" t="n">
        <v>0</v>
      </c>
      <c r="CS105" s="6" t="n">
        <v>0</v>
      </c>
      <c r="CT105" s="6" t="n">
        <v>0</v>
      </c>
      <c r="CU105" s="6" t="n">
        <v>0</v>
      </c>
      <c r="CV105" s="6" t="n">
        <v>0</v>
      </c>
      <c r="CW105" s="6" t="n">
        <v>0</v>
      </c>
      <c r="CX105" s="6" t="n">
        <v>0</v>
      </c>
      <c r="CY105" s="6" t="n">
        <v>0</v>
      </c>
      <c r="CZ105" s="6" t="n">
        <v>0</v>
      </c>
      <c r="DA105" s="6" t="n">
        <v>0</v>
      </c>
      <c r="DB105" s="6" t="n">
        <f aca="false">+CV105+CY105+CP105+CS105</f>
        <v>0</v>
      </c>
      <c r="DC105" s="6" t="n">
        <f aca="false">+CW105+CZ105+CQ105+CT105</f>
        <v>0</v>
      </c>
      <c r="DD105" s="6" t="n">
        <f aca="false">+CX105+DA105+CR105+CU105</f>
        <v>0</v>
      </c>
      <c r="DE105" s="6" t="n">
        <v>0</v>
      </c>
      <c r="DF105" s="6" t="n">
        <v>0</v>
      </c>
      <c r="DG105" s="6" t="n">
        <v>0</v>
      </c>
      <c r="DH105" s="6" t="n">
        <v>0</v>
      </c>
      <c r="DI105" s="6" t="n">
        <v>0</v>
      </c>
      <c r="DJ105" s="6" t="n">
        <v>0</v>
      </c>
      <c r="DK105" s="6" t="n">
        <v>0</v>
      </c>
      <c r="DL105" s="6" t="n">
        <v>0</v>
      </c>
      <c r="DM105" s="6" t="n">
        <v>0</v>
      </c>
      <c r="DN105" s="6" t="n">
        <v>0</v>
      </c>
      <c r="DO105" s="6" t="n">
        <v>0</v>
      </c>
      <c r="DP105" s="6" t="n">
        <v>0</v>
      </c>
      <c r="DQ105" s="6" t="n">
        <f aca="false">+DK105+DN105+DE105+DH105</f>
        <v>0</v>
      </c>
      <c r="DR105" s="6" t="n">
        <f aca="false">+DL105+DO105+DF105+DI105</f>
        <v>0</v>
      </c>
      <c r="DS105" s="6" t="n">
        <f aca="false">+DM105+DP105+DG105+DJ105</f>
        <v>0</v>
      </c>
      <c r="DT105" s="31" t="n">
        <f aca="false">+P105+AE105+AT105+BI105+BX105+CM105+DB105</f>
        <v>0</v>
      </c>
      <c r="DU105" s="31" t="n">
        <f aca="false">+Q105+AF105+AU105+BJ105+BY105+CN105+DC105</f>
        <v>124093</v>
      </c>
      <c r="DV105" s="31" t="n">
        <f aca="false">+R105+AG105+AV105+BK105+BZ105+CO105+DD105</f>
        <v>124093</v>
      </c>
      <c r="DW105" s="31" t="n">
        <f aca="false">+DU105-DV105</f>
        <v>0</v>
      </c>
    </row>
    <row r="106" customFormat="false" ht="13.8" hidden="false" customHeight="false" outlineLevel="0" collapsed="false">
      <c r="A106" s="27" t="n">
        <v>45560</v>
      </c>
      <c r="B106" s="28" t="s">
        <v>465</v>
      </c>
      <c r="C106" s="28" t="s">
        <v>457</v>
      </c>
      <c r="D106" s="29" t="s">
        <v>458</v>
      </c>
      <c r="E106" s="28" t="s">
        <v>459</v>
      </c>
      <c r="F106" s="27" t="s">
        <v>460</v>
      </c>
      <c r="G106" s="27" t="s">
        <v>17</v>
      </c>
      <c r="H106" s="30"/>
      <c r="I106" s="38" t="n">
        <v>3549</v>
      </c>
      <c r="J106" s="6" t="n">
        <v>0</v>
      </c>
      <c r="K106" s="6" t="n">
        <v>0</v>
      </c>
      <c r="L106" s="6" t="n">
        <v>0</v>
      </c>
      <c r="M106" s="6" t="n">
        <v>0</v>
      </c>
      <c r="N106" s="6" t="n">
        <v>0</v>
      </c>
      <c r="O106" s="6" t="n">
        <v>0</v>
      </c>
      <c r="P106" s="6" t="n">
        <f aca="false">+J106+M106</f>
        <v>0</v>
      </c>
      <c r="Q106" s="6" t="n">
        <f aca="false">+K106+N106</f>
        <v>0</v>
      </c>
      <c r="R106" s="6" t="n">
        <f aca="false">+L106+O106</f>
        <v>0</v>
      </c>
      <c r="S106" s="6" t="n">
        <v>0</v>
      </c>
      <c r="T106" s="6" t="n">
        <v>0</v>
      </c>
      <c r="U106" s="6" t="n">
        <v>0</v>
      </c>
      <c r="V106" s="6" t="n">
        <v>0</v>
      </c>
      <c r="W106" s="6" t="n">
        <v>0</v>
      </c>
      <c r="X106" s="6" t="n">
        <v>0</v>
      </c>
      <c r="Y106" s="6" t="n">
        <v>0</v>
      </c>
      <c r="Z106" s="6" t="n">
        <v>0</v>
      </c>
      <c r="AA106" s="6" t="n">
        <v>0</v>
      </c>
      <c r="AB106" s="6" t="n">
        <v>0</v>
      </c>
      <c r="AC106" s="6" t="n">
        <v>0</v>
      </c>
      <c r="AD106" s="6" t="n">
        <v>0</v>
      </c>
      <c r="AE106" s="6" t="n">
        <f aca="false">+Y106+AB106+S106+V106</f>
        <v>0</v>
      </c>
      <c r="AF106" s="6" t="n">
        <f aca="false">+Z106+AC106+T106+W106</f>
        <v>0</v>
      </c>
      <c r="AG106" s="6" t="n">
        <f aca="false">+AA106+AD106+U106+X106</f>
        <v>0</v>
      </c>
      <c r="AH106" s="6" t="n">
        <v>0</v>
      </c>
      <c r="AI106" s="6" t="n">
        <v>0</v>
      </c>
      <c r="AJ106" s="6" t="n">
        <v>0</v>
      </c>
      <c r="AK106" s="6" t="n">
        <v>0</v>
      </c>
      <c r="AL106" s="6" t="n">
        <v>0</v>
      </c>
      <c r="AM106" s="6" t="n">
        <v>0</v>
      </c>
      <c r="AN106" s="6" t="n">
        <v>0</v>
      </c>
      <c r="AO106" s="6" t="n">
        <v>0</v>
      </c>
      <c r="AP106" s="6" t="n">
        <v>0</v>
      </c>
      <c r="AQ106" s="6" t="n">
        <v>0</v>
      </c>
      <c r="AR106" s="6" t="n">
        <v>0</v>
      </c>
      <c r="AS106" s="6" t="n">
        <v>0</v>
      </c>
      <c r="AT106" s="6" t="n">
        <f aca="false">+AN106+AQ106+AH106+AK106</f>
        <v>0</v>
      </c>
      <c r="AU106" s="6" t="n">
        <f aca="false">+AO106+AR106+AI106+AL106</f>
        <v>0</v>
      </c>
      <c r="AV106" s="6" t="n">
        <f aca="false">+AP106+AS106+AJ106+AM106</f>
        <v>0</v>
      </c>
      <c r="AW106" s="6" t="n">
        <v>0</v>
      </c>
      <c r="AX106" s="6" t="n">
        <v>0</v>
      </c>
      <c r="AY106" s="6" t="n">
        <v>0</v>
      </c>
      <c r="AZ106" s="6" t="n">
        <v>0</v>
      </c>
      <c r="BA106" s="6" t="n">
        <v>0</v>
      </c>
      <c r="BB106" s="6" t="n">
        <v>0</v>
      </c>
      <c r="BC106" s="6" t="n">
        <v>0</v>
      </c>
      <c r="BD106" s="6" t="n">
        <v>0</v>
      </c>
      <c r="BE106" s="6" t="n">
        <v>0</v>
      </c>
      <c r="BF106" s="6" t="n">
        <v>0</v>
      </c>
      <c r="BG106" s="6" t="n">
        <v>0</v>
      </c>
      <c r="BH106" s="6" t="n">
        <v>0</v>
      </c>
      <c r="BI106" s="6" t="n">
        <f aca="false">+BC106+BF106+AW106+AZ106</f>
        <v>0</v>
      </c>
      <c r="BJ106" s="6" t="n">
        <f aca="false">+BD106+BG106+AX106+BA106</f>
        <v>0</v>
      </c>
      <c r="BK106" s="6" t="n">
        <f aca="false">+BE106+BH106+AY106+BB106</f>
        <v>0</v>
      </c>
      <c r="BL106" s="30" t="n">
        <v>0</v>
      </c>
      <c r="BM106" s="38" t="n">
        <v>3549</v>
      </c>
      <c r="BN106" s="6" t="n">
        <v>0</v>
      </c>
      <c r="BO106" s="6" t="n">
        <v>0</v>
      </c>
      <c r="BP106" s="6" t="n">
        <v>0</v>
      </c>
      <c r="BQ106" s="6" t="n">
        <v>0</v>
      </c>
      <c r="BR106" s="6" t="n">
        <v>0</v>
      </c>
      <c r="BS106" s="6" t="n">
        <v>0</v>
      </c>
      <c r="BT106" s="6" t="n">
        <v>0</v>
      </c>
      <c r="BU106" s="6" t="n">
        <v>0</v>
      </c>
      <c r="BV106" s="6" t="n">
        <v>0</v>
      </c>
      <c r="BW106" s="6" t="n">
        <v>0</v>
      </c>
      <c r="BX106" s="6" t="n">
        <f aca="false">+BR106+BU106+BL106+BO106</f>
        <v>0</v>
      </c>
      <c r="BY106" s="6" t="n">
        <f aca="false">+BS106+BV106+BM106+BP106</f>
        <v>3549</v>
      </c>
      <c r="BZ106" s="6" t="n">
        <f aca="false">+BT106+BW106+BN106+BQ106</f>
        <v>0</v>
      </c>
      <c r="CA106" s="6" t="n">
        <v>0</v>
      </c>
      <c r="CB106" s="6" t="n">
        <v>0</v>
      </c>
      <c r="CC106" s="6" t="n">
        <v>3549</v>
      </c>
      <c r="CD106" s="6" t="n">
        <v>0</v>
      </c>
      <c r="CE106" s="6" t="n">
        <v>0</v>
      </c>
      <c r="CF106" s="6" t="n">
        <v>0</v>
      </c>
      <c r="CG106" s="6" t="n">
        <v>0</v>
      </c>
      <c r="CH106" s="6" t="n">
        <v>0</v>
      </c>
      <c r="CI106" s="6" t="n">
        <v>0</v>
      </c>
      <c r="CJ106" s="6" t="n">
        <v>0</v>
      </c>
      <c r="CK106" s="6" t="n">
        <v>0</v>
      </c>
      <c r="CL106" s="6" t="n">
        <v>0</v>
      </c>
      <c r="CM106" s="6" t="n">
        <f aca="false">+CG106+CJ106+CA106+CD106</f>
        <v>0</v>
      </c>
      <c r="CN106" s="6" t="n">
        <f aca="false">+CH106+CK106+CB106+CE106</f>
        <v>0</v>
      </c>
      <c r="CO106" s="6" t="n">
        <f aca="false">+CI106+CL106+CC106+CF106</f>
        <v>3549</v>
      </c>
      <c r="CP106" s="6" t="n">
        <v>0</v>
      </c>
      <c r="CQ106" s="6" t="n">
        <v>0</v>
      </c>
      <c r="CR106" s="6" t="n">
        <v>0</v>
      </c>
      <c r="CS106" s="6" t="n">
        <v>0</v>
      </c>
      <c r="CT106" s="6" t="n">
        <v>0</v>
      </c>
      <c r="CU106" s="6" t="n">
        <v>0</v>
      </c>
      <c r="CV106" s="6" t="n">
        <v>0</v>
      </c>
      <c r="CW106" s="6" t="n">
        <v>0</v>
      </c>
      <c r="CX106" s="6" t="n">
        <v>0</v>
      </c>
      <c r="CY106" s="6" t="n">
        <v>0</v>
      </c>
      <c r="CZ106" s="6" t="n">
        <v>0</v>
      </c>
      <c r="DA106" s="6" t="n">
        <v>0</v>
      </c>
      <c r="DB106" s="6" t="n">
        <f aca="false">+CV106+CY106+CP106+CS106</f>
        <v>0</v>
      </c>
      <c r="DC106" s="6" t="n">
        <f aca="false">+CW106+CZ106+CQ106+CT106</f>
        <v>0</v>
      </c>
      <c r="DD106" s="6" t="n">
        <f aca="false">+CX106+DA106+CR106+CU106</f>
        <v>0</v>
      </c>
      <c r="DE106" s="6" t="n">
        <v>0</v>
      </c>
      <c r="DF106" s="6" t="n">
        <v>0</v>
      </c>
      <c r="DG106" s="6" t="n">
        <v>0</v>
      </c>
      <c r="DH106" s="6" t="n">
        <v>0</v>
      </c>
      <c r="DI106" s="6" t="n">
        <v>0</v>
      </c>
      <c r="DJ106" s="6" t="n">
        <v>0</v>
      </c>
      <c r="DK106" s="6" t="n">
        <v>0</v>
      </c>
      <c r="DL106" s="6" t="n">
        <v>0</v>
      </c>
      <c r="DM106" s="6" t="n">
        <v>0</v>
      </c>
      <c r="DN106" s="6" t="n">
        <v>0</v>
      </c>
      <c r="DO106" s="6" t="n">
        <v>0</v>
      </c>
      <c r="DP106" s="6" t="n">
        <v>0</v>
      </c>
      <c r="DQ106" s="6" t="n">
        <f aca="false">+DK106+DN106+DE106+DH106</f>
        <v>0</v>
      </c>
      <c r="DR106" s="6" t="n">
        <f aca="false">+DL106+DO106+DF106+DI106</f>
        <v>0</v>
      </c>
      <c r="DS106" s="6" t="n">
        <f aca="false">+DM106+DP106+DG106+DJ106</f>
        <v>0</v>
      </c>
      <c r="DT106" s="31" t="n">
        <f aca="false">+P106+AE106+AT106+BI106+BX106+CM106+DB106</f>
        <v>0</v>
      </c>
      <c r="DU106" s="31" t="n">
        <f aca="false">+Q106+AF106+AU106+BJ106+BY106+CN106+DC106</f>
        <v>3549</v>
      </c>
      <c r="DV106" s="31" t="n">
        <f aca="false">+R106+AG106+AV106+BK106+BZ106+CO106+DD106</f>
        <v>3549</v>
      </c>
      <c r="DW106" s="31" t="n">
        <f aca="false">+DU106-DV106</f>
        <v>0</v>
      </c>
    </row>
    <row r="107" customFormat="false" ht="13.8" hidden="false" customHeight="false" outlineLevel="0" collapsed="false">
      <c r="A107" s="27" t="n">
        <v>45608</v>
      </c>
      <c r="B107" s="28" t="s">
        <v>466</v>
      </c>
      <c r="C107" s="28" t="s">
        <v>457</v>
      </c>
      <c r="D107" s="29" t="s">
        <v>458</v>
      </c>
      <c r="E107" s="28" t="s">
        <v>459</v>
      </c>
      <c r="F107" s="27" t="s">
        <v>460</v>
      </c>
      <c r="G107" s="27" t="s">
        <v>17</v>
      </c>
      <c r="H107" s="30"/>
      <c r="I107" s="38" t="n">
        <v>400000</v>
      </c>
      <c r="J107" s="6" t="n">
        <v>0</v>
      </c>
      <c r="K107" s="6" t="n">
        <v>0</v>
      </c>
      <c r="L107" s="6" t="n">
        <v>0</v>
      </c>
      <c r="M107" s="6" t="n">
        <v>0</v>
      </c>
      <c r="N107" s="6" t="n">
        <v>0</v>
      </c>
      <c r="O107" s="6" t="n">
        <v>0</v>
      </c>
      <c r="P107" s="6" t="n">
        <f aca="false">+J107+M107</f>
        <v>0</v>
      </c>
      <c r="Q107" s="6" t="n">
        <f aca="false">+K107+N107</f>
        <v>0</v>
      </c>
      <c r="R107" s="6" t="n">
        <f aca="false">+L107+O107</f>
        <v>0</v>
      </c>
      <c r="S107" s="6" t="n">
        <v>0</v>
      </c>
      <c r="T107" s="6" t="n">
        <v>0</v>
      </c>
      <c r="U107" s="6" t="n">
        <v>0</v>
      </c>
      <c r="V107" s="6" t="n">
        <v>0</v>
      </c>
      <c r="W107" s="6" t="n">
        <v>0</v>
      </c>
      <c r="X107" s="6" t="n">
        <v>0</v>
      </c>
      <c r="Y107" s="6" t="n">
        <v>0</v>
      </c>
      <c r="Z107" s="6" t="n">
        <v>0</v>
      </c>
      <c r="AA107" s="6" t="n">
        <v>0</v>
      </c>
      <c r="AB107" s="6" t="n">
        <v>0</v>
      </c>
      <c r="AC107" s="6" t="n">
        <v>0</v>
      </c>
      <c r="AD107" s="6" t="n">
        <v>0</v>
      </c>
      <c r="AE107" s="6" t="n">
        <f aca="false">+Y107+AB107+S107+V107</f>
        <v>0</v>
      </c>
      <c r="AF107" s="6" t="n">
        <f aca="false">+Z107+AC107+T107+W107</f>
        <v>0</v>
      </c>
      <c r="AG107" s="6" t="n">
        <f aca="false">+AA107+AD107+U107+X107</f>
        <v>0</v>
      </c>
      <c r="AH107" s="6" t="n">
        <v>0</v>
      </c>
      <c r="AI107" s="6" t="n">
        <v>0</v>
      </c>
      <c r="AJ107" s="6" t="n">
        <v>0</v>
      </c>
      <c r="AK107" s="6" t="n">
        <v>0</v>
      </c>
      <c r="AL107" s="6" t="n">
        <v>0</v>
      </c>
      <c r="AM107" s="6" t="n">
        <v>0</v>
      </c>
      <c r="AN107" s="6" t="n">
        <v>0</v>
      </c>
      <c r="AO107" s="6" t="n">
        <v>0</v>
      </c>
      <c r="AP107" s="6" t="n">
        <v>0</v>
      </c>
      <c r="AQ107" s="6" t="n">
        <v>0</v>
      </c>
      <c r="AR107" s="6" t="n">
        <v>0</v>
      </c>
      <c r="AS107" s="6" t="n">
        <v>0</v>
      </c>
      <c r="AT107" s="6" t="n">
        <f aca="false">+AN107+AQ107+AH107+AK107</f>
        <v>0</v>
      </c>
      <c r="AU107" s="6" t="n">
        <f aca="false">+AO107+AR107+AI107+AL107</f>
        <v>0</v>
      </c>
      <c r="AV107" s="6" t="n">
        <f aca="false">+AP107+AS107+AJ107+AM107</f>
        <v>0</v>
      </c>
      <c r="AW107" s="6" t="n">
        <v>0</v>
      </c>
      <c r="AX107" s="6" t="n">
        <v>0</v>
      </c>
      <c r="AY107" s="6" t="n">
        <v>0</v>
      </c>
      <c r="AZ107" s="6" t="n">
        <v>0</v>
      </c>
      <c r="BA107" s="6" t="n">
        <v>0</v>
      </c>
      <c r="BB107" s="6" t="n">
        <v>0</v>
      </c>
      <c r="BC107" s="6" t="n">
        <v>0</v>
      </c>
      <c r="BD107" s="6" t="n">
        <v>0</v>
      </c>
      <c r="BE107" s="6" t="n">
        <v>0</v>
      </c>
      <c r="BF107" s="6" t="n">
        <v>0</v>
      </c>
      <c r="BG107" s="6" t="n">
        <v>0</v>
      </c>
      <c r="BH107" s="6" t="n">
        <v>0</v>
      </c>
      <c r="BI107" s="6" t="n">
        <f aca="false">+BC107+BF107+AW107+AZ107</f>
        <v>0</v>
      </c>
      <c r="BJ107" s="6" t="n">
        <f aca="false">+BD107+BG107+AX107+BA107</f>
        <v>0</v>
      </c>
      <c r="BK107" s="6" t="n">
        <f aca="false">+BE107+BH107+AY107+BB107</f>
        <v>0</v>
      </c>
      <c r="BL107" s="30" t="n">
        <v>0</v>
      </c>
      <c r="BM107" s="38" t="n">
        <v>400000</v>
      </c>
      <c r="BN107" s="6" t="n">
        <v>0</v>
      </c>
      <c r="BO107" s="6" t="n">
        <v>0</v>
      </c>
      <c r="BP107" s="6" t="n">
        <v>0</v>
      </c>
      <c r="BQ107" s="6" t="n">
        <v>0</v>
      </c>
      <c r="BR107" s="6" t="n">
        <v>0</v>
      </c>
      <c r="BS107" s="6" t="n">
        <v>0</v>
      </c>
      <c r="BT107" s="6" t="n">
        <v>0</v>
      </c>
      <c r="BU107" s="6" t="n">
        <v>0</v>
      </c>
      <c r="BV107" s="6" t="n">
        <v>0</v>
      </c>
      <c r="BW107" s="6" t="n">
        <v>0</v>
      </c>
      <c r="BX107" s="6" t="n">
        <f aca="false">+BR107+BU107+BL107+BO107</f>
        <v>0</v>
      </c>
      <c r="BY107" s="6" t="n">
        <f aca="false">+BS107+BV107+BM107+BP107</f>
        <v>400000</v>
      </c>
      <c r="BZ107" s="6" t="n">
        <f aca="false">+BT107+BW107+BN107+BQ107</f>
        <v>0</v>
      </c>
      <c r="CA107" s="6" t="n">
        <v>0</v>
      </c>
      <c r="CB107" s="6" t="n">
        <v>0</v>
      </c>
      <c r="CC107" s="6" t="n">
        <v>400000</v>
      </c>
      <c r="CD107" s="6" t="n">
        <v>0</v>
      </c>
      <c r="CE107" s="6" t="n">
        <v>0</v>
      </c>
      <c r="CF107" s="6" t="n">
        <v>0</v>
      </c>
      <c r="CG107" s="6" t="n">
        <v>0</v>
      </c>
      <c r="CH107" s="6" t="n">
        <v>0</v>
      </c>
      <c r="CI107" s="6" t="n">
        <v>0</v>
      </c>
      <c r="CJ107" s="6" t="n">
        <v>0</v>
      </c>
      <c r="CK107" s="6" t="n">
        <v>0</v>
      </c>
      <c r="CL107" s="6" t="n">
        <v>0</v>
      </c>
      <c r="CM107" s="6" t="n">
        <f aca="false">+CG107+CJ107+CA107+CD107</f>
        <v>0</v>
      </c>
      <c r="CN107" s="6" t="n">
        <f aca="false">+CH107+CK107+CB107+CE107</f>
        <v>0</v>
      </c>
      <c r="CO107" s="6" t="n">
        <f aca="false">+CI107+CL107+CC107+CF107</f>
        <v>400000</v>
      </c>
      <c r="CP107" s="6" t="n">
        <v>0</v>
      </c>
      <c r="CQ107" s="6" t="n">
        <v>0</v>
      </c>
      <c r="CR107" s="6" t="n">
        <v>0</v>
      </c>
      <c r="CS107" s="6" t="n">
        <v>0</v>
      </c>
      <c r="CT107" s="6" t="n">
        <v>0</v>
      </c>
      <c r="CU107" s="6" t="n">
        <v>0</v>
      </c>
      <c r="CV107" s="6" t="n">
        <v>0</v>
      </c>
      <c r="CW107" s="6" t="n">
        <v>0</v>
      </c>
      <c r="CX107" s="6" t="n">
        <v>0</v>
      </c>
      <c r="CY107" s="6" t="n">
        <v>0</v>
      </c>
      <c r="CZ107" s="6" t="n">
        <v>0</v>
      </c>
      <c r="DA107" s="6" t="n">
        <v>0</v>
      </c>
      <c r="DB107" s="6" t="n">
        <f aca="false">+CV107+CY107+CP107+CS107</f>
        <v>0</v>
      </c>
      <c r="DC107" s="6" t="n">
        <f aca="false">+CW107+CZ107+CQ107+CT107</f>
        <v>0</v>
      </c>
      <c r="DD107" s="6" t="n">
        <f aca="false">+CX107+DA107+CR107+CU107</f>
        <v>0</v>
      </c>
      <c r="DE107" s="6" t="n">
        <v>0</v>
      </c>
      <c r="DF107" s="6" t="n">
        <v>0</v>
      </c>
      <c r="DG107" s="6" t="n">
        <v>0</v>
      </c>
      <c r="DH107" s="6" t="n">
        <v>0</v>
      </c>
      <c r="DI107" s="6" t="n">
        <v>0</v>
      </c>
      <c r="DJ107" s="6" t="n">
        <v>0</v>
      </c>
      <c r="DK107" s="6" t="n">
        <v>0</v>
      </c>
      <c r="DL107" s="6" t="n">
        <v>0</v>
      </c>
      <c r="DM107" s="6" t="n">
        <v>0</v>
      </c>
      <c r="DN107" s="6" t="n">
        <v>0</v>
      </c>
      <c r="DO107" s="6" t="n">
        <v>0</v>
      </c>
      <c r="DP107" s="6" t="n">
        <v>0</v>
      </c>
      <c r="DQ107" s="6" t="n">
        <f aca="false">+DK107+DN107+DE107+DH107</f>
        <v>0</v>
      </c>
      <c r="DR107" s="6" t="n">
        <f aca="false">+DL107+DO107+DF107+DI107</f>
        <v>0</v>
      </c>
      <c r="DS107" s="6" t="n">
        <f aca="false">+DM107+DP107+DG107+DJ107</f>
        <v>0</v>
      </c>
      <c r="DT107" s="31" t="n">
        <f aca="false">+P107+AE107+AT107+BI107+BX107+CM107+DB107</f>
        <v>0</v>
      </c>
      <c r="DU107" s="31" t="n">
        <f aca="false">+Q107+AF107+AU107+BJ107+BY107+CN107+DC107</f>
        <v>400000</v>
      </c>
      <c r="DV107" s="31" t="n">
        <f aca="false">+R107+AG107+AV107+BK107+BZ107+CO107+DD107</f>
        <v>400000</v>
      </c>
      <c r="DW107" s="31" t="n">
        <f aca="false">+DU107-DV107</f>
        <v>0</v>
      </c>
    </row>
    <row r="108" customFormat="false" ht="13.8" hidden="false" customHeight="false" outlineLevel="0" collapsed="false">
      <c r="A108" s="27" t="n">
        <v>45695</v>
      </c>
      <c r="B108" s="28" t="s">
        <v>467</v>
      </c>
      <c r="C108" s="28" t="s">
        <v>457</v>
      </c>
      <c r="D108" s="29" t="s">
        <v>458</v>
      </c>
      <c r="E108" s="28" t="s">
        <v>459</v>
      </c>
      <c r="F108" s="27" t="s">
        <v>460</v>
      </c>
      <c r="G108" s="27" t="s">
        <v>17</v>
      </c>
      <c r="H108" s="30"/>
      <c r="I108" s="38" t="n">
        <v>600000</v>
      </c>
      <c r="J108" s="6" t="n">
        <v>0</v>
      </c>
      <c r="K108" s="6" t="n">
        <v>0</v>
      </c>
      <c r="L108" s="6" t="n">
        <v>0</v>
      </c>
      <c r="M108" s="6" t="n">
        <v>0</v>
      </c>
      <c r="N108" s="6" t="n">
        <v>0</v>
      </c>
      <c r="O108" s="6" t="n">
        <v>0</v>
      </c>
      <c r="P108" s="6" t="n">
        <f aca="false">+J108+M108</f>
        <v>0</v>
      </c>
      <c r="Q108" s="6" t="n">
        <f aca="false">+K108+N108</f>
        <v>0</v>
      </c>
      <c r="R108" s="6" t="n">
        <f aca="false">+L108+O108</f>
        <v>0</v>
      </c>
      <c r="S108" s="6" t="n">
        <v>0</v>
      </c>
      <c r="T108" s="6" t="n">
        <v>0</v>
      </c>
      <c r="U108" s="6" t="n">
        <v>0</v>
      </c>
      <c r="V108" s="6" t="n">
        <v>0</v>
      </c>
      <c r="W108" s="6" t="n">
        <v>0</v>
      </c>
      <c r="X108" s="6" t="n">
        <v>0</v>
      </c>
      <c r="Y108" s="6" t="n">
        <v>0</v>
      </c>
      <c r="Z108" s="6" t="n">
        <v>0</v>
      </c>
      <c r="AA108" s="6" t="n">
        <v>0</v>
      </c>
      <c r="AB108" s="6" t="n">
        <v>0</v>
      </c>
      <c r="AC108" s="6" t="n">
        <v>0</v>
      </c>
      <c r="AD108" s="6" t="n">
        <v>0</v>
      </c>
      <c r="AE108" s="6" t="n">
        <f aca="false">+Y108+AB108+S108+V108</f>
        <v>0</v>
      </c>
      <c r="AF108" s="6" t="n">
        <f aca="false">+Z108+AC108+T108+W108</f>
        <v>0</v>
      </c>
      <c r="AG108" s="6" t="n">
        <f aca="false">+AA108+AD108+U108+X108</f>
        <v>0</v>
      </c>
      <c r="AH108" s="6" t="n">
        <v>0</v>
      </c>
      <c r="AI108" s="6" t="n">
        <v>0</v>
      </c>
      <c r="AJ108" s="6" t="n">
        <v>0</v>
      </c>
      <c r="AK108" s="6" t="n">
        <v>0</v>
      </c>
      <c r="AL108" s="6" t="n">
        <v>0</v>
      </c>
      <c r="AM108" s="6" t="n">
        <v>0</v>
      </c>
      <c r="AN108" s="6" t="n">
        <v>0</v>
      </c>
      <c r="AO108" s="6" t="n">
        <v>0</v>
      </c>
      <c r="AP108" s="6" t="n">
        <v>0</v>
      </c>
      <c r="AQ108" s="6" t="n">
        <v>0</v>
      </c>
      <c r="AR108" s="6" t="n">
        <v>0</v>
      </c>
      <c r="AS108" s="6" t="n">
        <v>0</v>
      </c>
      <c r="AT108" s="6" t="n">
        <f aca="false">+AN108+AQ108+AH108+AK108</f>
        <v>0</v>
      </c>
      <c r="AU108" s="6" t="n">
        <f aca="false">+AO108+AR108+AI108+AL108</f>
        <v>0</v>
      </c>
      <c r="AV108" s="6" t="n">
        <f aca="false">+AP108+AS108+AJ108+AM108</f>
        <v>0</v>
      </c>
      <c r="AW108" s="6" t="n">
        <v>0</v>
      </c>
      <c r="AX108" s="6" t="n">
        <v>0</v>
      </c>
      <c r="AY108" s="6" t="n">
        <v>0</v>
      </c>
      <c r="AZ108" s="6" t="n">
        <v>0</v>
      </c>
      <c r="BA108" s="6" t="n">
        <v>0</v>
      </c>
      <c r="BB108" s="6" t="n">
        <v>0</v>
      </c>
      <c r="BC108" s="6" t="n">
        <v>0</v>
      </c>
      <c r="BD108" s="6" t="n">
        <v>0</v>
      </c>
      <c r="BE108" s="6" t="n">
        <v>0</v>
      </c>
      <c r="BF108" s="6" t="n">
        <v>0</v>
      </c>
      <c r="BG108" s="6" t="n">
        <v>0</v>
      </c>
      <c r="BH108" s="6" t="n">
        <v>0</v>
      </c>
      <c r="BI108" s="6" t="n">
        <f aca="false">+BC108+BF108+AW108+AZ108</f>
        <v>0</v>
      </c>
      <c r="BJ108" s="6" t="n">
        <f aca="false">+BD108+BG108+AX108+BA108</f>
        <v>0</v>
      </c>
      <c r="BK108" s="6" t="n">
        <f aca="false">+BE108+BH108+AY108+BB108</f>
        <v>0</v>
      </c>
      <c r="BL108" s="30" t="n">
        <v>0</v>
      </c>
      <c r="BM108" s="38" t="n">
        <v>600000</v>
      </c>
      <c r="BN108" s="6" t="n">
        <v>0</v>
      </c>
      <c r="BO108" s="6" t="n">
        <v>0</v>
      </c>
      <c r="BP108" s="6" t="n">
        <v>0</v>
      </c>
      <c r="BQ108" s="6" t="n">
        <v>0</v>
      </c>
      <c r="BR108" s="6" t="n">
        <v>0</v>
      </c>
      <c r="BS108" s="6" t="n">
        <v>0</v>
      </c>
      <c r="BT108" s="6" t="n">
        <v>0</v>
      </c>
      <c r="BU108" s="6" t="n">
        <v>0</v>
      </c>
      <c r="BV108" s="6" t="n">
        <v>0</v>
      </c>
      <c r="BW108" s="6" t="n">
        <v>0</v>
      </c>
      <c r="BX108" s="6" t="n">
        <f aca="false">+BR108+BU108+BL108+BO108</f>
        <v>0</v>
      </c>
      <c r="BY108" s="6" t="n">
        <f aca="false">+BS108+BV108+BM108+BP108</f>
        <v>600000</v>
      </c>
      <c r="BZ108" s="6" t="n">
        <f aca="false">+BT108+BW108+BN108+BQ108</f>
        <v>0</v>
      </c>
      <c r="CA108" s="6" t="n">
        <v>0</v>
      </c>
      <c r="CB108" s="6" t="n">
        <v>0</v>
      </c>
      <c r="CC108" s="6" t="n">
        <v>0</v>
      </c>
      <c r="CD108" s="6" t="n">
        <v>0</v>
      </c>
      <c r="CE108" s="6" t="n">
        <v>0</v>
      </c>
      <c r="CF108" s="6" t="n">
        <v>600000</v>
      </c>
      <c r="CG108" s="6" t="n">
        <v>0</v>
      </c>
      <c r="CH108" s="6" t="n">
        <v>0</v>
      </c>
      <c r="CI108" s="6" t="n">
        <v>0</v>
      </c>
      <c r="CJ108" s="6" t="n">
        <v>0</v>
      </c>
      <c r="CK108" s="6" t="n">
        <v>0</v>
      </c>
      <c r="CL108" s="6" t="n">
        <v>0</v>
      </c>
      <c r="CM108" s="6" t="n">
        <f aca="false">+CG108+CJ108+CA108+CD108</f>
        <v>0</v>
      </c>
      <c r="CN108" s="6" t="n">
        <f aca="false">+CH108+CK108+CB108+CE108</f>
        <v>0</v>
      </c>
      <c r="CO108" s="6" t="n">
        <f aca="false">+CI108+CL108+CC108+CF108</f>
        <v>600000</v>
      </c>
      <c r="CP108" s="6" t="n">
        <v>0</v>
      </c>
      <c r="CQ108" s="6" t="n">
        <v>0</v>
      </c>
      <c r="CR108" s="6" t="n">
        <v>0</v>
      </c>
      <c r="CS108" s="6" t="n">
        <v>0</v>
      </c>
      <c r="CT108" s="6" t="n">
        <v>0</v>
      </c>
      <c r="CU108" s="6" t="n">
        <v>0</v>
      </c>
      <c r="CV108" s="6" t="n">
        <v>0</v>
      </c>
      <c r="CW108" s="6" t="n">
        <v>0</v>
      </c>
      <c r="CX108" s="6" t="n">
        <v>0</v>
      </c>
      <c r="CY108" s="6" t="n">
        <v>0</v>
      </c>
      <c r="CZ108" s="6" t="n">
        <v>0</v>
      </c>
      <c r="DA108" s="6" t="n">
        <v>0</v>
      </c>
      <c r="DB108" s="6" t="n">
        <f aca="false">+CV108+CY108+CP108+CS108</f>
        <v>0</v>
      </c>
      <c r="DC108" s="6" t="n">
        <f aca="false">+CW108+CZ108+CQ108+CT108</f>
        <v>0</v>
      </c>
      <c r="DD108" s="6" t="n">
        <f aca="false">+CX108+DA108+CR108+CU108</f>
        <v>0</v>
      </c>
      <c r="DE108" s="6" t="n">
        <v>0</v>
      </c>
      <c r="DF108" s="6" t="n">
        <v>0</v>
      </c>
      <c r="DG108" s="6" t="n">
        <v>0</v>
      </c>
      <c r="DH108" s="6" t="n">
        <v>0</v>
      </c>
      <c r="DI108" s="6" t="n">
        <v>0</v>
      </c>
      <c r="DJ108" s="6" t="n">
        <v>0</v>
      </c>
      <c r="DK108" s="6" t="n">
        <v>0</v>
      </c>
      <c r="DL108" s="6" t="n">
        <v>0</v>
      </c>
      <c r="DM108" s="6" t="n">
        <v>0</v>
      </c>
      <c r="DN108" s="6" t="n">
        <v>0</v>
      </c>
      <c r="DO108" s="6" t="n">
        <v>0</v>
      </c>
      <c r="DP108" s="6" t="n">
        <v>0</v>
      </c>
      <c r="DQ108" s="6" t="n">
        <f aca="false">+DK108+DN108+DE108+DH108</f>
        <v>0</v>
      </c>
      <c r="DR108" s="6" t="n">
        <f aca="false">+DL108+DO108+DF108+DI108</f>
        <v>0</v>
      </c>
      <c r="DS108" s="6" t="n">
        <f aca="false">+DM108+DP108+DG108+DJ108</f>
        <v>0</v>
      </c>
      <c r="DT108" s="31" t="n">
        <f aca="false">+P108+AE108+AT108+BI108+BX108+CM108+DB108</f>
        <v>0</v>
      </c>
      <c r="DU108" s="31" t="n">
        <f aca="false">+Q108+AF108+AU108+BJ108+BY108+CN108+DC108</f>
        <v>600000</v>
      </c>
      <c r="DV108" s="31" t="n">
        <f aca="false">+R108+AG108+AV108+BK108+BZ108+CO108+DD108</f>
        <v>600000</v>
      </c>
      <c r="DW108" s="31" t="n">
        <f aca="false">+DU108-DV108</f>
        <v>0</v>
      </c>
    </row>
    <row r="109" customFormat="false" ht="13.8" hidden="false" customHeight="false" outlineLevel="0" collapsed="false">
      <c r="A109" s="27" t="n">
        <v>45812</v>
      </c>
      <c r="B109" s="28" t="s">
        <v>468</v>
      </c>
      <c r="C109" s="28" t="s">
        <v>457</v>
      </c>
      <c r="D109" s="29" t="s">
        <v>458</v>
      </c>
      <c r="E109" s="28" t="s">
        <v>459</v>
      </c>
      <c r="F109" s="27" t="s">
        <v>460</v>
      </c>
      <c r="G109" s="27" t="s">
        <v>17</v>
      </c>
      <c r="H109" s="30"/>
      <c r="I109" s="38" t="n">
        <v>600000</v>
      </c>
      <c r="J109" s="6" t="n">
        <v>0</v>
      </c>
      <c r="K109" s="6" t="n">
        <v>0</v>
      </c>
      <c r="L109" s="6" t="n">
        <v>0</v>
      </c>
      <c r="M109" s="6" t="n">
        <v>0</v>
      </c>
      <c r="N109" s="6" t="n">
        <v>0</v>
      </c>
      <c r="O109" s="6" t="n">
        <v>0</v>
      </c>
      <c r="P109" s="6" t="n">
        <f aca="false">+J109+M109</f>
        <v>0</v>
      </c>
      <c r="Q109" s="6" t="n">
        <f aca="false">+K109+N109</f>
        <v>0</v>
      </c>
      <c r="R109" s="6" t="n">
        <f aca="false">+L109+O109</f>
        <v>0</v>
      </c>
      <c r="S109" s="6" t="n">
        <v>0</v>
      </c>
      <c r="T109" s="6" t="n">
        <v>0</v>
      </c>
      <c r="U109" s="6" t="n">
        <v>0</v>
      </c>
      <c r="V109" s="6" t="n">
        <v>0</v>
      </c>
      <c r="W109" s="6" t="n">
        <v>0</v>
      </c>
      <c r="X109" s="6" t="n">
        <v>0</v>
      </c>
      <c r="Y109" s="6" t="n">
        <v>0</v>
      </c>
      <c r="Z109" s="6" t="n">
        <v>0</v>
      </c>
      <c r="AA109" s="6" t="n">
        <v>0</v>
      </c>
      <c r="AB109" s="6" t="n">
        <v>0</v>
      </c>
      <c r="AC109" s="6" t="n">
        <v>0</v>
      </c>
      <c r="AD109" s="6" t="n">
        <v>0</v>
      </c>
      <c r="AE109" s="6" t="n">
        <f aca="false">+Y109+AB109+S109+V109</f>
        <v>0</v>
      </c>
      <c r="AF109" s="6" t="n">
        <f aca="false">+Z109+AC109+T109+W109</f>
        <v>0</v>
      </c>
      <c r="AG109" s="6" t="n">
        <f aca="false">+AA109+AD109+U109+X109</f>
        <v>0</v>
      </c>
      <c r="AH109" s="6" t="n">
        <v>0</v>
      </c>
      <c r="AI109" s="6" t="n">
        <v>0</v>
      </c>
      <c r="AJ109" s="6" t="n">
        <v>0</v>
      </c>
      <c r="AK109" s="6" t="n">
        <v>0</v>
      </c>
      <c r="AL109" s="6" t="n">
        <v>0</v>
      </c>
      <c r="AM109" s="6" t="n">
        <v>0</v>
      </c>
      <c r="AN109" s="6" t="n">
        <v>0</v>
      </c>
      <c r="AO109" s="6" t="n">
        <v>0</v>
      </c>
      <c r="AP109" s="6" t="n">
        <v>0</v>
      </c>
      <c r="AQ109" s="6" t="n">
        <v>0</v>
      </c>
      <c r="AR109" s="6" t="n">
        <v>0</v>
      </c>
      <c r="AS109" s="6" t="n">
        <v>0</v>
      </c>
      <c r="AT109" s="6" t="n">
        <f aca="false">+AN109+AQ109+AH109+AK109</f>
        <v>0</v>
      </c>
      <c r="AU109" s="6" t="n">
        <f aca="false">+AO109+AR109+AI109+AL109</f>
        <v>0</v>
      </c>
      <c r="AV109" s="6" t="n">
        <f aca="false">+AP109+AS109+AJ109+AM109</f>
        <v>0</v>
      </c>
      <c r="AW109" s="6" t="n">
        <v>0</v>
      </c>
      <c r="AX109" s="6" t="n">
        <v>0</v>
      </c>
      <c r="AY109" s="6" t="n">
        <v>0</v>
      </c>
      <c r="AZ109" s="6" t="n">
        <v>0</v>
      </c>
      <c r="BA109" s="6" t="n">
        <v>0</v>
      </c>
      <c r="BB109" s="6" t="n">
        <v>0</v>
      </c>
      <c r="BC109" s="6" t="n">
        <v>0</v>
      </c>
      <c r="BD109" s="6" t="n">
        <v>0</v>
      </c>
      <c r="BE109" s="6" t="n">
        <v>0</v>
      </c>
      <c r="BF109" s="6" t="n">
        <v>0</v>
      </c>
      <c r="BG109" s="6" t="n">
        <v>0</v>
      </c>
      <c r="BH109" s="6" t="n">
        <v>0</v>
      </c>
      <c r="BI109" s="6" t="n">
        <f aca="false">+BC109+BF109+AW109+AZ109</f>
        <v>0</v>
      </c>
      <c r="BJ109" s="6" t="n">
        <f aca="false">+BD109+BG109+AX109+BA109</f>
        <v>0</v>
      </c>
      <c r="BK109" s="6" t="n">
        <f aca="false">+BE109+BH109+AY109+BB109</f>
        <v>0</v>
      </c>
      <c r="BL109" s="30" t="n">
        <v>0</v>
      </c>
      <c r="BM109" s="38" t="n">
        <v>600000</v>
      </c>
      <c r="BN109" s="6" t="n">
        <v>0</v>
      </c>
      <c r="BO109" s="6" t="n">
        <v>0</v>
      </c>
      <c r="BP109" s="6" t="n">
        <v>0</v>
      </c>
      <c r="BQ109" s="6" t="n">
        <v>0</v>
      </c>
      <c r="BR109" s="6" t="n">
        <v>0</v>
      </c>
      <c r="BS109" s="6" t="n">
        <v>0</v>
      </c>
      <c r="BT109" s="6" t="n">
        <v>0</v>
      </c>
      <c r="BU109" s="6" t="n">
        <v>0</v>
      </c>
      <c r="BV109" s="6" t="n">
        <v>0</v>
      </c>
      <c r="BW109" s="6" t="n">
        <v>0</v>
      </c>
      <c r="BX109" s="6" t="n">
        <f aca="false">+BR109+BU109+BL109+BO109</f>
        <v>0</v>
      </c>
      <c r="BY109" s="6" t="n">
        <f aca="false">+BS109+BV109+BM109+BP109</f>
        <v>600000</v>
      </c>
      <c r="BZ109" s="6" t="n">
        <f aca="false">+BT109+BW109+BN109+BQ109</f>
        <v>0</v>
      </c>
      <c r="CA109" s="6" t="n">
        <v>0</v>
      </c>
      <c r="CB109" s="6" t="n">
        <v>0</v>
      </c>
      <c r="CC109" s="6" t="n">
        <v>0</v>
      </c>
      <c r="CD109" s="6" t="n">
        <v>0</v>
      </c>
      <c r="CE109" s="6" t="n">
        <v>0</v>
      </c>
      <c r="CF109" s="6" t="n">
        <v>0</v>
      </c>
      <c r="CG109" s="6" t="n">
        <v>0</v>
      </c>
      <c r="CH109" s="6" t="n">
        <v>0</v>
      </c>
      <c r="CI109" s="6" t="n">
        <v>0</v>
      </c>
      <c r="CJ109" s="6" t="n">
        <v>0</v>
      </c>
      <c r="CK109" s="6" t="n">
        <v>0</v>
      </c>
      <c r="CL109" s="6" t="n">
        <v>600000</v>
      </c>
      <c r="CM109" s="6" t="n">
        <f aca="false">+CG109+CJ109+CA109+CD109</f>
        <v>0</v>
      </c>
      <c r="CN109" s="6" t="n">
        <f aca="false">+CH109+CK109+CB109+CE109</f>
        <v>0</v>
      </c>
      <c r="CO109" s="6" t="n">
        <f aca="false">+CI109+CL109+CC109+CF109</f>
        <v>600000</v>
      </c>
      <c r="CP109" s="6" t="n">
        <v>0</v>
      </c>
      <c r="CQ109" s="6" t="n">
        <v>0</v>
      </c>
      <c r="CR109" s="6" t="n">
        <v>0</v>
      </c>
      <c r="CS109" s="6" t="n">
        <v>0</v>
      </c>
      <c r="CT109" s="6" t="n">
        <v>0</v>
      </c>
      <c r="CU109" s="6" t="n">
        <v>0</v>
      </c>
      <c r="CV109" s="6" t="n">
        <v>0</v>
      </c>
      <c r="CW109" s="6" t="n">
        <v>0</v>
      </c>
      <c r="CX109" s="6" t="n">
        <v>0</v>
      </c>
      <c r="CY109" s="6" t="n">
        <v>0</v>
      </c>
      <c r="CZ109" s="6" t="n">
        <v>0</v>
      </c>
      <c r="DA109" s="6" t="n">
        <v>0</v>
      </c>
      <c r="DB109" s="6" t="n">
        <f aca="false">+CV109+CY109+CP109+CS109</f>
        <v>0</v>
      </c>
      <c r="DC109" s="6" t="n">
        <f aca="false">+CW109+CZ109+CQ109+CT109</f>
        <v>0</v>
      </c>
      <c r="DD109" s="6" t="n">
        <f aca="false">+CX109+DA109+CR109+CU109</f>
        <v>0</v>
      </c>
      <c r="DE109" s="6" t="n">
        <v>0</v>
      </c>
      <c r="DF109" s="6" t="n">
        <v>0</v>
      </c>
      <c r="DG109" s="6" t="n">
        <v>0</v>
      </c>
      <c r="DH109" s="6" t="n">
        <v>0</v>
      </c>
      <c r="DI109" s="6" t="n">
        <v>0</v>
      </c>
      <c r="DJ109" s="6" t="n">
        <v>0</v>
      </c>
      <c r="DK109" s="6" t="n">
        <v>0</v>
      </c>
      <c r="DL109" s="6" t="n">
        <v>0</v>
      </c>
      <c r="DM109" s="6" t="n">
        <v>0</v>
      </c>
      <c r="DN109" s="6" t="n">
        <v>0</v>
      </c>
      <c r="DO109" s="6" t="n">
        <v>0</v>
      </c>
      <c r="DP109" s="6" t="n">
        <v>0</v>
      </c>
      <c r="DQ109" s="6" t="n">
        <f aca="false">+DK109+DN109+DE109+DH109</f>
        <v>0</v>
      </c>
      <c r="DR109" s="6" t="n">
        <f aca="false">+DL109+DO109+DF109+DI109</f>
        <v>0</v>
      </c>
      <c r="DS109" s="6" t="n">
        <f aca="false">+DM109+DP109+DG109+DJ109</f>
        <v>0</v>
      </c>
      <c r="DT109" s="31" t="n">
        <f aca="false">+P109+AE109+AT109+BI109+BX109+CM109+DB109</f>
        <v>0</v>
      </c>
      <c r="DU109" s="31" t="n">
        <f aca="false">+Q109+AF109+AU109+BJ109+BY109+CN109+DC109</f>
        <v>600000</v>
      </c>
      <c r="DV109" s="31" t="n">
        <f aca="false">+R109+AG109+AV109+BK109+BZ109+CO109+DD109</f>
        <v>600000</v>
      </c>
      <c r="DW109" s="31" t="n">
        <f aca="false">+DU109-DV109</f>
        <v>0</v>
      </c>
    </row>
    <row r="110" customFormat="false" ht="13.8" hidden="false" customHeight="false" outlineLevel="0" collapsed="false">
      <c r="A110" s="27" t="n">
        <v>45994</v>
      </c>
      <c r="B110" s="28" t="s">
        <v>469</v>
      </c>
      <c r="C110" s="28" t="s">
        <v>457</v>
      </c>
      <c r="D110" s="29" t="s">
        <v>458</v>
      </c>
      <c r="E110" s="28" t="s">
        <v>459</v>
      </c>
      <c r="F110" s="27" t="s">
        <v>460</v>
      </c>
      <c r="G110" s="27" t="s">
        <v>17</v>
      </c>
      <c r="H110" s="30"/>
      <c r="I110" s="38" t="n">
        <v>1000000</v>
      </c>
      <c r="J110" s="6" t="n">
        <v>0</v>
      </c>
      <c r="K110" s="6" t="n">
        <v>0</v>
      </c>
      <c r="L110" s="6" t="n">
        <v>0</v>
      </c>
      <c r="M110" s="6" t="n">
        <v>0</v>
      </c>
      <c r="N110" s="6" t="n">
        <v>0</v>
      </c>
      <c r="O110" s="6" t="n">
        <v>0</v>
      </c>
      <c r="P110" s="6" t="n">
        <f aca="false">+J110+M110</f>
        <v>0</v>
      </c>
      <c r="Q110" s="6" t="n">
        <f aca="false">+K110+N110</f>
        <v>0</v>
      </c>
      <c r="R110" s="6" t="n">
        <f aca="false">+L110+O110</f>
        <v>0</v>
      </c>
      <c r="S110" s="6" t="n">
        <v>0</v>
      </c>
      <c r="T110" s="6" t="n">
        <v>0</v>
      </c>
      <c r="U110" s="6" t="n">
        <v>0</v>
      </c>
      <c r="V110" s="6" t="n">
        <v>0</v>
      </c>
      <c r="W110" s="6" t="n">
        <v>0</v>
      </c>
      <c r="X110" s="6" t="n">
        <v>0</v>
      </c>
      <c r="Y110" s="6" t="n">
        <v>0</v>
      </c>
      <c r="Z110" s="6" t="n">
        <v>0</v>
      </c>
      <c r="AA110" s="6" t="n">
        <v>0</v>
      </c>
      <c r="AB110" s="6" t="n">
        <v>0</v>
      </c>
      <c r="AC110" s="6" t="n">
        <v>0</v>
      </c>
      <c r="AD110" s="6" t="n">
        <v>0</v>
      </c>
      <c r="AE110" s="6" t="n">
        <f aca="false">+Y110+AB110+S110+V110</f>
        <v>0</v>
      </c>
      <c r="AF110" s="6" t="n">
        <f aca="false">+Z110+AC110+T110+W110</f>
        <v>0</v>
      </c>
      <c r="AG110" s="6" t="n">
        <f aca="false">+AA110+AD110+U110+X110</f>
        <v>0</v>
      </c>
      <c r="AH110" s="6" t="n">
        <v>0</v>
      </c>
      <c r="AI110" s="6" t="n">
        <v>0</v>
      </c>
      <c r="AJ110" s="6" t="n">
        <v>0</v>
      </c>
      <c r="AK110" s="6" t="n">
        <v>0</v>
      </c>
      <c r="AL110" s="6" t="n">
        <v>0</v>
      </c>
      <c r="AM110" s="6" t="n">
        <v>0</v>
      </c>
      <c r="AN110" s="6" t="n">
        <v>0</v>
      </c>
      <c r="AO110" s="6" t="n">
        <v>0</v>
      </c>
      <c r="AP110" s="6" t="n">
        <v>0</v>
      </c>
      <c r="AQ110" s="6" t="n">
        <v>0</v>
      </c>
      <c r="AR110" s="6" t="n">
        <v>0</v>
      </c>
      <c r="AS110" s="6" t="n">
        <v>0</v>
      </c>
      <c r="AT110" s="6" t="n">
        <f aca="false">+AN110+AQ110+AH110+AK110</f>
        <v>0</v>
      </c>
      <c r="AU110" s="6" t="n">
        <f aca="false">+AO110+AR110+AI110+AL110</f>
        <v>0</v>
      </c>
      <c r="AV110" s="6" t="n">
        <f aca="false">+AP110+AS110+AJ110+AM110</f>
        <v>0</v>
      </c>
      <c r="AW110" s="6" t="n">
        <v>0</v>
      </c>
      <c r="AX110" s="6" t="n">
        <v>0</v>
      </c>
      <c r="AY110" s="6" t="n">
        <v>0</v>
      </c>
      <c r="AZ110" s="6" t="n">
        <v>0</v>
      </c>
      <c r="BA110" s="6" t="n">
        <v>0</v>
      </c>
      <c r="BB110" s="6" t="n">
        <v>0</v>
      </c>
      <c r="BC110" s="6" t="n">
        <v>0</v>
      </c>
      <c r="BD110" s="6" t="n">
        <v>0</v>
      </c>
      <c r="BE110" s="6" t="n">
        <v>0</v>
      </c>
      <c r="BF110" s="6" t="n">
        <v>0</v>
      </c>
      <c r="BG110" s="6" t="n">
        <v>0</v>
      </c>
      <c r="BH110" s="6" t="n">
        <v>0</v>
      </c>
      <c r="BI110" s="6" t="n">
        <f aca="false">+BC110+BF110+AW110+AZ110</f>
        <v>0</v>
      </c>
      <c r="BJ110" s="6" t="n">
        <f aca="false">+BD110+BG110+AX110+BA110</f>
        <v>0</v>
      </c>
      <c r="BK110" s="6" t="n">
        <f aca="false">+BE110+BH110+AY110+BB110</f>
        <v>0</v>
      </c>
      <c r="BL110" s="30" t="n">
        <v>0</v>
      </c>
      <c r="BM110" s="38" t="n">
        <v>1000000</v>
      </c>
      <c r="BN110" s="6" t="n">
        <v>0</v>
      </c>
      <c r="BO110" s="6" t="n">
        <v>0</v>
      </c>
      <c r="BP110" s="6" t="n">
        <v>0</v>
      </c>
      <c r="BQ110" s="6" t="n">
        <v>0</v>
      </c>
      <c r="BR110" s="6" t="n">
        <v>0</v>
      </c>
      <c r="BS110" s="6" t="n">
        <v>0</v>
      </c>
      <c r="BT110" s="6" t="n">
        <v>0</v>
      </c>
      <c r="BU110" s="6" t="n">
        <v>0</v>
      </c>
      <c r="BV110" s="6" t="n">
        <v>0</v>
      </c>
      <c r="BW110" s="6" t="n">
        <v>0</v>
      </c>
      <c r="BX110" s="6" t="n">
        <f aca="false">+BR110+BU110+BL110+BO110</f>
        <v>0</v>
      </c>
      <c r="BY110" s="6" t="n">
        <f aca="false">+BS110+BV110+BM110+BP110</f>
        <v>1000000</v>
      </c>
      <c r="BZ110" s="6" t="n">
        <f aca="false">+BT110+BW110+BN110+BQ110</f>
        <v>0</v>
      </c>
      <c r="CA110" s="6" t="n">
        <v>0</v>
      </c>
      <c r="CB110" s="6" t="n">
        <v>0</v>
      </c>
      <c r="CC110" s="6" t="n">
        <v>0</v>
      </c>
      <c r="CD110" s="6" t="n">
        <v>0</v>
      </c>
      <c r="CE110" s="6" t="n">
        <v>0</v>
      </c>
      <c r="CF110" s="6" t="n">
        <v>0</v>
      </c>
      <c r="CG110" s="6" t="n">
        <v>0</v>
      </c>
      <c r="CH110" s="6" t="n">
        <v>0</v>
      </c>
      <c r="CI110" s="6" t="n">
        <v>0</v>
      </c>
      <c r="CJ110" s="6" t="n">
        <v>0</v>
      </c>
      <c r="CK110" s="6" t="n">
        <v>0</v>
      </c>
      <c r="CL110" s="6" t="n">
        <v>0</v>
      </c>
      <c r="CM110" s="6" t="n">
        <f aca="false">+CG110+CJ110+CA110+CD110</f>
        <v>0</v>
      </c>
      <c r="CN110" s="6" t="n">
        <f aca="false">+CH110+CK110+CB110+CE110</f>
        <v>0</v>
      </c>
      <c r="CO110" s="6" t="n">
        <f aca="false">+CI110+CL110+CC110+CF110</f>
        <v>0</v>
      </c>
      <c r="CP110" s="6" t="n">
        <v>0</v>
      </c>
      <c r="CQ110" s="6" t="n">
        <v>0</v>
      </c>
      <c r="CR110" s="6" t="n">
        <v>0</v>
      </c>
      <c r="CS110" s="6" t="n">
        <v>0</v>
      </c>
      <c r="CT110" s="6" t="n">
        <v>0</v>
      </c>
      <c r="CU110" s="6" t="n">
        <v>1000000</v>
      </c>
      <c r="CV110" s="6" t="n">
        <v>0</v>
      </c>
      <c r="CW110" s="6" t="n">
        <v>0</v>
      </c>
      <c r="CX110" s="6" t="n">
        <v>0</v>
      </c>
      <c r="CY110" s="6" t="n">
        <v>0</v>
      </c>
      <c r="CZ110" s="6" t="n">
        <v>0</v>
      </c>
      <c r="DA110" s="6" t="n">
        <v>0</v>
      </c>
      <c r="DB110" s="6" t="n">
        <f aca="false">+CV110+CY110+CP110+CS110</f>
        <v>0</v>
      </c>
      <c r="DC110" s="6" t="n">
        <f aca="false">+CW110+CZ110+CQ110+CT110</f>
        <v>0</v>
      </c>
      <c r="DD110" s="6" t="n">
        <f aca="false">+CX110+DA110+CR110+CU110</f>
        <v>1000000</v>
      </c>
      <c r="DE110" s="6" t="n">
        <v>0</v>
      </c>
      <c r="DF110" s="6" t="n">
        <v>0</v>
      </c>
      <c r="DG110" s="6" t="n">
        <v>0</v>
      </c>
      <c r="DH110" s="6" t="n">
        <v>0</v>
      </c>
      <c r="DI110" s="6" t="n">
        <v>0</v>
      </c>
      <c r="DJ110" s="6" t="n">
        <v>1000000</v>
      </c>
      <c r="DK110" s="6" t="n">
        <v>0</v>
      </c>
      <c r="DL110" s="6" t="n">
        <v>0</v>
      </c>
      <c r="DM110" s="6" t="n">
        <v>0</v>
      </c>
      <c r="DN110" s="6" t="n">
        <v>0</v>
      </c>
      <c r="DO110" s="6" t="n">
        <v>0</v>
      </c>
      <c r="DP110" s="6" t="n">
        <v>0</v>
      </c>
      <c r="DQ110" s="6" t="n">
        <f aca="false">+DK110+DN110+DE110+DH110</f>
        <v>0</v>
      </c>
      <c r="DR110" s="6" t="n">
        <f aca="false">+DL110+DO110+DF110+DI110</f>
        <v>0</v>
      </c>
      <c r="DS110" s="6" t="n">
        <f aca="false">+DM110+DP110+DG110+DJ110</f>
        <v>1000000</v>
      </c>
      <c r="DT110" s="31" t="n">
        <f aca="false">+P110+AE110+AT110+BI110+BX110+CM110+DB110</f>
        <v>0</v>
      </c>
      <c r="DU110" s="31" t="n">
        <f aca="false">+Q110+AF110+AU110+BJ110+BY110+CN110+DC110</f>
        <v>1000000</v>
      </c>
      <c r="DV110" s="31" t="n">
        <f aca="false">+R110+AG110+AV110+BK110+BZ110+CO110+DD110</f>
        <v>1000000</v>
      </c>
      <c r="DW110" s="31" t="n">
        <f aca="false">+DU110-DV110</f>
        <v>0</v>
      </c>
    </row>
    <row r="111" customFormat="false" ht="13.8" hidden="false" customHeight="false" outlineLevel="0" collapsed="false">
      <c r="A111" s="27" t="n">
        <v>46098</v>
      </c>
      <c r="B111" s="28" t="s">
        <v>470</v>
      </c>
      <c r="C111" s="28" t="s">
        <v>457</v>
      </c>
      <c r="D111" s="29" t="s">
        <v>458</v>
      </c>
      <c r="E111" s="28" t="s">
        <v>459</v>
      </c>
      <c r="F111" s="27" t="s">
        <v>460</v>
      </c>
      <c r="G111" s="27" t="s">
        <v>17</v>
      </c>
      <c r="H111" s="30"/>
      <c r="I111" s="38" t="n">
        <v>655000</v>
      </c>
      <c r="J111" s="6" t="n">
        <v>0</v>
      </c>
      <c r="K111" s="6" t="n">
        <v>0</v>
      </c>
      <c r="L111" s="6" t="n">
        <v>0</v>
      </c>
      <c r="M111" s="6" t="n">
        <v>0</v>
      </c>
      <c r="N111" s="6" t="n">
        <v>0</v>
      </c>
      <c r="O111" s="6" t="n">
        <v>0</v>
      </c>
      <c r="P111" s="6" t="n">
        <f aca="false">+J111+M111</f>
        <v>0</v>
      </c>
      <c r="Q111" s="6" t="n">
        <f aca="false">+K111+N111</f>
        <v>0</v>
      </c>
      <c r="R111" s="6" t="n">
        <f aca="false">+L111+O111</f>
        <v>0</v>
      </c>
      <c r="S111" s="6" t="n">
        <v>0</v>
      </c>
      <c r="T111" s="6" t="n">
        <v>0</v>
      </c>
      <c r="U111" s="6" t="n">
        <v>0</v>
      </c>
      <c r="V111" s="6" t="n">
        <v>0</v>
      </c>
      <c r="W111" s="6" t="n">
        <v>0</v>
      </c>
      <c r="X111" s="6" t="n">
        <v>0</v>
      </c>
      <c r="Y111" s="6" t="n">
        <v>0</v>
      </c>
      <c r="Z111" s="6" t="n">
        <v>0</v>
      </c>
      <c r="AA111" s="6" t="n">
        <v>0</v>
      </c>
      <c r="AB111" s="6" t="n">
        <v>0</v>
      </c>
      <c r="AC111" s="6" t="n">
        <v>0</v>
      </c>
      <c r="AD111" s="6" t="n">
        <v>0</v>
      </c>
      <c r="AE111" s="6" t="n">
        <f aca="false">+Y111+AB111+S111+V111</f>
        <v>0</v>
      </c>
      <c r="AF111" s="6" t="n">
        <f aca="false">+Z111+AC111+T111+W111</f>
        <v>0</v>
      </c>
      <c r="AG111" s="6" t="n">
        <f aca="false">+AA111+AD111+U111+X111</f>
        <v>0</v>
      </c>
      <c r="AH111" s="6" t="n">
        <v>0</v>
      </c>
      <c r="AI111" s="6" t="n">
        <v>0</v>
      </c>
      <c r="AJ111" s="6" t="n">
        <v>0</v>
      </c>
      <c r="AK111" s="6" t="n">
        <v>0</v>
      </c>
      <c r="AL111" s="6" t="n">
        <v>0</v>
      </c>
      <c r="AM111" s="6" t="n">
        <v>0</v>
      </c>
      <c r="AN111" s="6" t="n">
        <v>0</v>
      </c>
      <c r="AO111" s="6" t="n">
        <v>0</v>
      </c>
      <c r="AP111" s="6" t="n">
        <v>0</v>
      </c>
      <c r="AQ111" s="6" t="n">
        <v>0</v>
      </c>
      <c r="AR111" s="6" t="n">
        <v>0</v>
      </c>
      <c r="AS111" s="6" t="n">
        <v>0</v>
      </c>
      <c r="AT111" s="6" t="n">
        <f aca="false">+AN111+AQ111+AH111+AK111</f>
        <v>0</v>
      </c>
      <c r="AU111" s="6" t="n">
        <f aca="false">+AO111+AR111+AI111+AL111</f>
        <v>0</v>
      </c>
      <c r="AV111" s="6" t="n">
        <f aca="false">+AP111+AS111+AJ111+AM111</f>
        <v>0</v>
      </c>
      <c r="AW111" s="6" t="n">
        <v>0</v>
      </c>
      <c r="AX111" s="6" t="n">
        <v>0</v>
      </c>
      <c r="AY111" s="6" t="n">
        <v>0</v>
      </c>
      <c r="AZ111" s="6" t="n">
        <v>0</v>
      </c>
      <c r="BA111" s="6" t="n">
        <v>0</v>
      </c>
      <c r="BB111" s="6" t="n">
        <v>0</v>
      </c>
      <c r="BC111" s="6" t="n">
        <v>0</v>
      </c>
      <c r="BD111" s="6" t="n">
        <v>0</v>
      </c>
      <c r="BE111" s="6" t="n">
        <v>0</v>
      </c>
      <c r="BF111" s="6" t="n">
        <v>0</v>
      </c>
      <c r="BG111" s="6" t="n">
        <v>0</v>
      </c>
      <c r="BH111" s="6" t="n">
        <v>0</v>
      </c>
      <c r="BI111" s="6" t="n">
        <f aca="false">+BC111+BF111+AW111+AZ111</f>
        <v>0</v>
      </c>
      <c r="BJ111" s="6" t="n">
        <f aca="false">+BD111+BG111+AX111+BA111</f>
        <v>0</v>
      </c>
      <c r="BK111" s="6" t="n">
        <f aca="false">+BE111+BH111+AY111+BB111</f>
        <v>0</v>
      </c>
      <c r="BL111" s="30" t="n">
        <v>0</v>
      </c>
      <c r="BM111" s="38" t="n">
        <v>655000</v>
      </c>
      <c r="BN111" s="6" t="n">
        <v>0</v>
      </c>
      <c r="BO111" s="6" t="n">
        <v>0</v>
      </c>
      <c r="BP111" s="6" t="n">
        <v>0</v>
      </c>
      <c r="BQ111" s="6" t="n">
        <v>0</v>
      </c>
      <c r="BR111" s="6" t="n">
        <v>0</v>
      </c>
      <c r="BS111" s="6" t="n">
        <v>0</v>
      </c>
      <c r="BT111" s="6" t="n">
        <v>0</v>
      </c>
      <c r="BU111" s="6" t="n">
        <v>0</v>
      </c>
      <c r="BV111" s="6" t="n">
        <v>0</v>
      </c>
      <c r="BW111" s="6" t="n">
        <v>0</v>
      </c>
      <c r="BX111" s="6" t="n">
        <f aca="false">+BR111+BU111+BL111+BO111</f>
        <v>0</v>
      </c>
      <c r="BY111" s="6" t="n">
        <f aca="false">+BS111+BV111+BM111+BP111</f>
        <v>655000</v>
      </c>
      <c r="BZ111" s="6" t="n">
        <f aca="false">+BT111+BW111+BN111+BQ111</f>
        <v>0</v>
      </c>
      <c r="CA111" s="6" t="n">
        <v>0</v>
      </c>
      <c r="CB111" s="6" t="n">
        <v>0</v>
      </c>
      <c r="CC111" s="6" t="n">
        <v>0</v>
      </c>
      <c r="CD111" s="6" t="n">
        <v>0</v>
      </c>
      <c r="CE111" s="6" t="n">
        <v>0</v>
      </c>
      <c r="CF111" s="6" t="n">
        <v>0</v>
      </c>
      <c r="CG111" s="6" t="n">
        <v>0</v>
      </c>
      <c r="CH111" s="6" t="n">
        <v>0</v>
      </c>
      <c r="CI111" s="6" t="n">
        <v>0</v>
      </c>
      <c r="CJ111" s="6" t="n">
        <v>0</v>
      </c>
      <c r="CK111" s="6" t="n">
        <v>0</v>
      </c>
      <c r="CL111" s="6" t="n">
        <v>0</v>
      </c>
      <c r="CM111" s="6" t="n">
        <f aca="false">+CG111+CJ111+CA111+CD111</f>
        <v>0</v>
      </c>
      <c r="CN111" s="6" t="n">
        <f aca="false">+CH111+CK111+CB111+CE111</f>
        <v>0</v>
      </c>
      <c r="CO111" s="6" t="n">
        <f aca="false">+CI111+CL111+CC111+CF111</f>
        <v>0</v>
      </c>
      <c r="CP111" s="6" t="n">
        <v>0</v>
      </c>
      <c r="CQ111" s="6" t="n">
        <v>0</v>
      </c>
      <c r="CR111" s="6" t="n">
        <v>0</v>
      </c>
      <c r="CS111" s="6" t="n">
        <v>0</v>
      </c>
      <c r="CT111" s="6" t="n">
        <v>0</v>
      </c>
      <c r="CU111" s="6" t="n">
        <v>0</v>
      </c>
      <c r="CV111" s="6" t="n">
        <v>0</v>
      </c>
      <c r="CW111" s="6" t="n">
        <v>0</v>
      </c>
      <c r="CX111" s="6" t="n">
        <v>0</v>
      </c>
      <c r="CY111" s="6" t="n">
        <v>0</v>
      </c>
      <c r="CZ111" s="6" t="n">
        <v>0</v>
      </c>
      <c r="DA111" s="6" t="n">
        <v>0</v>
      </c>
      <c r="DB111" s="6" t="n">
        <f aca="false">+CV111+CY111+CP111+CS111</f>
        <v>0</v>
      </c>
      <c r="DC111" s="6" t="n">
        <f aca="false">+CW111+CZ111+CQ111+CT111</f>
        <v>0</v>
      </c>
      <c r="DD111" s="6" t="n">
        <f aca="false">+CX111+DA111+CR111+CU111</f>
        <v>0</v>
      </c>
      <c r="DE111" s="6" t="n">
        <v>0</v>
      </c>
      <c r="DF111" s="6" t="n">
        <v>0</v>
      </c>
      <c r="DG111" s="6" t="n">
        <v>0</v>
      </c>
      <c r="DH111" s="6" t="n">
        <v>0</v>
      </c>
      <c r="DI111" s="6" t="n">
        <v>0</v>
      </c>
      <c r="DJ111" s="6" t="n">
        <v>0</v>
      </c>
      <c r="DK111" s="6" t="n">
        <v>0</v>
      </c>
      <c r="DL111" s="6" t="n">
        <v>0</v>
      </c>
      <c r="DM111" s="6" t="n">
        <v>0</v>
      </c>
      <c r="DN111" s="6" t="n">
        <v>0</v>
      </c>
      <c r="DO111" s="6" t="n">
        <v>0</v>
      </c>
      <c r="DP111" s="6" t="n">
        <v>0</v>
      </c>
      <c r="DQ111" s="6" t="n">
        <f aca="false">+DK111+DN111+DE111+DH111</f>
        <v>0</v>
      </c>
      <c r="DR111" s="6" t="n">
        <f aca="false">+DL111+DO111+DF111+DI111</f>
        <v>0</v>
      </c>
      <c r="DS111" s="6" t="n">
        <f aca="false">+DM111+DP111+DG111+DJ111</f>
        <v>0</v>
      </c>
      <c r="DT111" s="31" t="n">
        <f aca="false">+P111+AE111+AT111+BI111+BX111+CM111+DB111</f>
        <v>0</v>
      </c>
      <c r="DU111" s="31" t="n">
        <f aca="false">+Q111+AF111+AU111+BJ111+BY111+CN111+DC111</f>
        <v>655000</v>
      </c>
      <c r="DV111" s="31" t="n">
        <f aca="false">+R111+AG111+AV111+BK111+BZ111+CO111+DD111</f>
        <v>0</v>
      </c>
      <c r="DW111" s="31" t="n">
        <f aca="false">+DU111-DV111</f>
        <v>655000</v>
      </c>
    </row>
    <row r="112" customFormat="false" ht="13.8" hidden="false" customHeight="false" outlineLevel="0" collapsed="false">
      <c r="A112" s="27" t="n">
        <v>45245</v>
      </c>
      <c r="B112" s="28" t="s">
        <v>471</v>
      </c>
      <c r="C112" s="28" t="s">
        <v>472</v>
      </c>
      <c r="D112" s="29" t="s">
        <v>473</v>
      </c>
      <c r="E112" s="28" t="s">
        <v>474</v>
      </c>
      <c r="F112" s="27" t="s">
        <v>475</v>
      </c>
      <c r="G112" s="27" t="s">
        <v>17</v>
      </c>
      <c r="H112" s="30" t="n">
        <v>250000</v>
      </c>
      <c r="I112" s="30" t="n">
        <v>50000</v>
      </c>
      <c r="J112" s="6" t="n">
        <v>0</v>
      </c>
      <c r="K112" s="6" t="n">
        <v>0</v>
      </c>
      <c r="L112" s="6" t="n">
        <v>0</v>
      </c>
      <c r="M112" s="6" t="n">
        <v>0</v>
      </c>
      <c r="N112" s="6" t="n">
        <v>0</v>
      </c>
      <c r="O112" s="6" t="n">
        <v>0</v>
      </c>
      <c r="P112" s="6" t="n">
        <f aca="false">+J112+M112</f>
        <v>0</v>
      </c>
      <c r="Q112" s="6" t="n">
        <f aca="false">+K112+N112</f>
        <v>0</v>
      </c>
      <c r="R112" s="6" t="n">
        <f aca="false">+L112+O112</f>
        <v>0</v>
      </c>
      <c r="S112" s="6" t="n">
        <v>0</v>
      </c>
      <c r="T112" s="6" t="n">
        <v>0</v>
      </c>
      <c r="U112" s="6" t="n">
        <v>0</v>
      </c>
      <c r="V112" s="6" t="n">
        <v>0</v>
      </c>
      <c r="W112" s="6" t="n">
        <v>0</v>
      </c>
      <c r="X112" s="6" t="n">
        <v>0</v>
      </c>
      <c r="Y112" s="6" t="n">
        <v>0</v>
      </c>
      <c r="Z112" s="6" t="n">
        <v>0</v>
      </c>
      <c r="AA112" s="6" t="n">
        <v>0</v>
      </c>
      <c r="AB112" s="6" t="n">
        <v>0</v>
      </c>
      <c r="AC112" s="6" t="n">
        <v>0</v>
      </c>
      <c r="AD112" s="6" t="n">
        <v>0</v>
      </c>
      <c r="AE112" s="6" t="n">
        <f aca="false">+Y112+AB112+S112+V112</f>
        <v>0</v>
      </c>
      <c r="AF112" s="6" t="n">
        <f aca="false">+Z112+AC112+T112+W112</f>
        <v>0</v>
      </c>
      <c r="AG112" s="6" t="n">
        <f aca="false">+AA112+AD112+U112+X112</f>
        <v>0</v>
      </c>
      <c r="AH112" s="6" t="n">
        <v>0</v>
      </c>
      <c r="AI112" s="6" t="n">
        <v>0</v>
      </c>
      <c r="AJ112" s="6" t="n">
        <v>0</v>
      </c>
      <c r="AK112" s="6" t="n">
        <v>0</v>
      </c>
      <c r="AL112" s="6" t="n">
        <v>0</v>
      </c>
      <c r="AM112" s="6" t="n">
        <v>0</v>
      </c>
      <c r="AN112" s="6" t="n">
        <v>0</v>
      </c>
      <c r="AO112" s="6" t="n">
        <v>0</v>
      </c>
      <c r="AP112" s="6" t="n">
        <v>0</v>
      </c>
      <c r="AQ112" s="6" t="n">
        <v>0</v>
      </c>
      <c r="AR112" s="6" t="n">
        <v>0</v>
      </c>
      <c r="AS112" s="6" t="n">
        <v>0</v>
      </c>
      <c r="AT112" s="6" t="n">
        <f aca="false">+AN112+AQ112+AH112+AK112</f>
        <v>0</v>
      </c>
      <c r="AU112" s="6" t="n">
        <f aca="false">+AO112+AR112+AI112+AL112</f>
        <v>0</v>
      </c>
      <c r="AV112" s="6" t="n">
        <f aca="false">+AP112+AS112+AJ112+AM112</f>
        <v>0</v>
      </c>
      <c r="AW112" s="6" t="n">
        <v>0</v>
      </c>
      <c r="AX112" s="6" t="n">
        <v>0</v>
      </c>
      <c r="AY112" s="6" t="n">
        <v>0</v>
      </c>
      <c r="AZ112" s="6" t="n">
        <v>0</v>
      </c>
      <c r="BA112" s="6" t="n">
        <v>0</v>
      </c>
      <c r="BB112" s="6" t="n">
        <v>0</v>
      </c>
      <c r="BC112" s="6" t="n">
        <v>0</v>
      </c>
      <c r="BD112" s="6" t="n">
        <v>0</v>
      </c>
      <c r="BE112" s="6" t="n">
        <v>0</v>
      </c>
      <c r="BF112" s="6" t="n">
        <v>0</v>
      </c>
      <c r="BG112" s="6" t="n">
        <v>0</v>
      </c>
      <c r="BH112" s="6" t="n">
        <v>0</v>
      </c>
      <c r="BI112" s="6" t="n">
        <f aca="false">+BC112+BF112+AW112+AZ112</f>
        <v>0</v>
      </c>
      <c r="BJ112" s="6" t="n">
        <f aca="false">+BD112+BG112+AX112+BA112</f>
        <v>0</v>
      </c>
      <c r="BK112" s="6" t="n">
        <f aca="false">+BE112+BH112+AY112+BB112</f>
        <v>0</v>
      </c>
      <c r="BL112" s="30" t="n">
        <v>250000</v>
      </c>
      <c r="BM112" s="30" t="n">
        <v>50000</v>
      </c>
      <c r="BN112" s="6" t="n">
        <v>0</v>
      </c>
      <c r="BO112" s="6" t="n">
        <v>0</v>
      </c>
      <c r="BP112" s="6" t="n">
        <v>0</v>
      </c>
      <c r="BQ112" s="6" t="n">
        <v>50000</v>
      </c>
      <c r="BR112" s="6" t="n">
        <v>0</v>
      </c>
      <c r="BS112" s="6" t="n">
        <v>0</v>
      </c>
      <c r="BT112" s="6" t="n">
        <v>0</v>
      </c>
      <c r="BU112" s="6" t="n">
        <v>0</v>
      </c>
      <c r="BV112" s="6" t="n">
        <v>0</v>
      </c>
      <c r="BW112" s="6" t="n">
        <v>0</v>
      </c>
      <c r="BX112" s="6" t="n">
        <f aca="false">+BR112+BU112+BL112+BO112</f>
        <v>250000</v>
      </c>
      <c r="BY112" s="6" t="n">
        <f aca="false">+BS112+BV112+BM112+BP112</f>
        <v>50000</v>
      </c>
      <c r="BZ112" s="6" t="n">
        <f aca="false">+BT112+BW112+BN112+BQ112</f>
        <v>50000</v>
      </c>
      <c r="CA112" s="6" t="n">
        <v>0</v>
      </c>
      <c r="CB112" s="6" t="n">
        <v>0</v>
      </c>
      <c r="CC112" s="6" t="n">
        <v>0</v>
      </c>
      <c r="CD112" s="6" t="n">
        <v>0</v>
      </c>
      <c r="CE112" s="6" t="n">
        <v>0</v>
      </c>
      <c r="CF112" s="6" t="n">
        <v>0</v>
      </c>
      <c r="CG112" s="6" t="n">
        <v>0</v>
      </c>
      <c r="CH112" s="6" t="n">
        <v>0</v>
      </c>
      <c r="CI112" s="6" t="n">
        <v>0</v>
      </c>
      <c r="CJ112" s="6" t="n">
        <v>0</v>
      </c>
      <c r="CK112" s="6" t="n">
        <v>0</v>
      </c>
      <c r="CL112" s="6" t="n">
        <v>0</v>
      </c>
      <c r="CM112" s="6" t="n">
        <f aca="false">+CG112+CJ112+CA112+CD112</f>
        <v>0</v>
      </c>
      <c r="CN112" s="6" t="n">
        <f aca="false">+CH112+CK112+CB112+CE112</f>
        <v>0</v>
      </c>
      <c r="CO112" s="6" t="n">
        <f aca="false">+CI112+CL112+CC112+CF112</f>
        <v>0</v>
      </c>
      <c r="CP112" s="6" t="n">
        <v>0</v>
      </c>
      <c r="CQ112" s="6" t="n">
        <v>0</v>
      </c>
      <c r="CR112" s="6" t="n">
        <v>0</v>
      </c>
      <c r="CS112" s="6" t="n">
        <v>0</v>
      </c>
      <c r="CT112" s="6" t="n">
        <v>0</v>
      </c>
      <c r="CU112" s="6" t="n">
        <v>0</v>
      </c>
      <c r="CV112" s="6" t="n">
        <v>0</v>
      </c>
      <c r="CW112" s="6" t="n">
        <v>0</v>
      </c>
      <c r="CX112" s="6" t="n">
        <v>0</v>
      </c>
      <c r="CY112" s="6" t="n">
        <v>0</v>
      </c>
      <c r="CZ112" s="6" t="n">
        <v>0</v>
      </c>
      <c r="DA112" s="6" t="n">
        <v>0</v>
      </c>
      <c r="DB112" s="6" t="n">
        <f aca="false">+CV112+CY112+CP112+CS112</f>
        <v>0</v>
      </c>
      <c r="DC112" s="6" t="n">
        <f aca="false">+CW112+CZ112+CQ112+CT112</f>
        <v>0</v>
      </c>
      <c r="DD112" s="6" t="n">
        <f aca="false">+CX112+DA112+CR112+CU112</f>
        <v>0</v>
      </c>
      <c r="DE112" s="6" t="n">
        <v>0</v>
      </c>
      <c r="DF112" s="6" t="n">
        <v>0</v>
      </c>
      <c r="DG112" s="6" t="n">
        <v>0</v>
      </c>
      <c r="DH112" s="6" t="n">
        <v>0</v>
      </c>
      <c r="DI112" s="6" t="n">
        <v>0</v>
      </c>
      <c r="DJ112" s="6" t="n">
        <v>0</v>
      </c>
      <c r="DK112" s="6" t="n">
        <v>0</v>
      </c>
      <c r="DL112" s="6" t="n">
        <v>0</v>
      </c>
      <c r="DM112" s="6" t="n">
        <v>0</v>
      </c>
      <c r="DN112" s="6" t="n">
        <v>0</v>
      </c>
      <c r="DO112" s="6" t="n">
        <v>0</v>
      </c>
      <c r="DP112" s="6" t="n">
        <v>0</v>
      </c>
      <c r="DQ112" s="6" t="n">
        <f aca="false">+DK112+DN112+DE112+DH112</f>
        <v>0</v>
      </c>
      <c r="DR112" s="6" t="n">
        <f aca="false">+DL112+DO112+DF112+DI112</f>
        <v>0</v>
      </c>
      <c r="DS112" s="6" t="n">
        <f aca="false">+DM112+DP112+DG112+DJ112</f>
        <v>0</v>
      </c>
      <c r="DT112" s="31" t="n">
        <f aca="false">+P112+AE112+AT112+BI112+BX112+CM112+DB112</f>
        <v>250000</v>
      </c>
      <c r="DU112" s="31" t="n">
        <f aca="false">+Q112+AF112+AU112+BJ112+BY112+CN112+DC112</f>
        <v>50000</v>
      </c>
      <c r="DV112" s="31" t="n">
        <f aca="false">+R112+AG112+AV112+BK112+BZ112+CO112+DD112</f>
        <v>50000</v>
      </c>
      <c r="DW112" s="31" t="n">
        <f aca="false">+DU112-DV112</f>
        <v>0</v>
      </c>
    </row>
    <row r="113" customFormat="false" ht="13.8" hidden="false" customHeight="false" outlineLevel="0" collapsed="false">
      <c r="A113" s="27" t="n">
        <v>45279</v>
      </c>
      <c r="B113" s="28" t="s">
        <v>476</v>
      </c>
      <c r="C113" s="28" t="s">
        <v>472</v>
      </c>
      <c r="D113" s="29" t="s">
        <v>473</v>
      </c>
      <c r="E113" s="28" t="s">
        <v>474</v>
      </c>
      <c r="F113" s="27" t="s">
        <v>475</v>
      </c>
      <c r="G113" s="27" t="s">
        <v>17</v>
      </c>
      <c r="H113" s="30"/>
      <c r="I113" s="30" t="n">
        <v>100000</v>
      </c>
      <c r="J113" s="6" t="n">
        <v>0</v>
      </c>
      <c r="K113" s="6" t="n">
        <v>0</v>
      </c>
      <c r="L113" s="6" t="n">
        <v>0</v>
      </c>
      <c r="M113" s="6" t="n">
        <v>0</v>
      </c>
      <c r="N113" s="6" t="n">
        <v>0</v>
      </c>
      <c r="O113" s="6" t="n">
        <v>0</v>
      </c>
      <c r="P113" s="6" t="n">
        <f aca="false">+J113+M113</f>
        <v>0</v>
      </c>
      <c r="Q113" s="6" t="n">
        <f aca="false">+K113+N113</f>
        <v>0</v>
      </c>
      <c r="R113" s="6" t="n">
        <f aca="false">+L113+O113</f>
        <v>0</v>
      </c>
      <c r="S113" s="6" t="n">
        <v>0</v>
      </c>
      <c r="T113" s="6" t="n">
        <v>0</v>
      </c>
      <c r="U113" s="6" t="n">
        <v>0</v>
      </c>
      <c r="V113" s="6" t="n">
        <v>0</v>
      </c>
      <c r="W113" s="6" t="n">
        <v>0</v>
      </c>
      <c r="X113" s="6" t="n">
        <v>0</v>
      </c>
      <c r="Y113" s="6" t="n">
        <v>0</v>
      </c>
      <c r="Z113" s="6" t="n">
        <v>0</v>
      </c>
      <c r="AA113" s="6" t="n">
        <v>0</v>
      </c>
      <c r="AB113" s="6" t="n">
        <v>0</v>
      </c>
      <c r="AC113" s="6" t="n">
        <v>0</v>
      </c>
      <c r="AD113" s="6" t="n">
        <v>0</v>
      </c>
      <c r="AE113" s="6" t="n">
        <f aca="false">+Y113+AB113+S113+V113</f>
        <v>0</v>
      </c>
      <c r="AF113" s="6" t="n">
        <f aca="false">+Z113+AC113+T113+W113</f>
        <v>0</v>
      </c>
      <c r="AG113" s="6" t="n">
        <f aca="false">+AA113+AD113+U113+X113</f>
        <v>0</v>
      </c>
      <c r="AH113" s="6" t="n">
        <v>0</v>
      </c>
      <c r="AI113" s="6" t="n">
        <v>0</v>
      </c>
      <c r="AJ113" s="6" t="n">
        <v>0</v>
      </c>
      <c r="AK113" s="6" t="n">
        <v>0</v>
      </c>
      <c r="AL113" s="6" t="n">
        <v>0</v>
      </c>
      <c r="AM113" s="6" t="n">
        <v>0</v>
      </c>
      <c r="AN113" s="6" t="n">
        <v>0</v>
      </c>
      <c r="AO113" s="6" t="n">
        <v>0</v>
      </c>
      <c r="AP113" s="6" t="n">
        <v>0</v>
      </c>
      <c r="AQ113" s="6" t="n">
        <v>0</v>
      </c>
      <c r="AR113" s="6" t="n">
        <v>0</v>
      </c>
      <c r="AS113" s="6" t="n">
        <v>0</v>
      </c>
      <c r="AT113" s="6" t="n">
        <f aca="false">+AN113+AQ113+AH113+AK113</f>
        <v>0</v>
      </c>
      <c r="AU113" s="6" t="n">
        <f aca="false">+AO113+AR113+AI113+AL113</f>
        <v>0</v>
      </c>
      <c r="AV113" s="6" t="n">
        <f aca="false">+AP113+AS113+AJ113+AM113</f>
        <v>0</v>
      </c>
      <c r="AW113" s="6" t="n">
        <v>0</v>
      </c>
      <c r="AX113" s="6" t="n">
        <v>0</v>
      </c>
      <c r="AY113" s="6" t="n">
        <v>0</v>
      </c>
      <c r="AZ113" s="6" t="n">
        <v>0</v>
      </c>
      <c r="BA113" s="6" t="n">
        <v>0</v>
      </c>
      <c r="BB113" s="6" t="n">
        <v>0</v>
      </c>
      <c r="BC113" s="6" t="n">
        <v>0</v>
      </c>
      <c r="BD113" s="6" t="n">
        <v>0</v>
      </c>
      <c r="BE113" s="6" t="n">
        <v>0</v>
      </c>
      <c r="BF113" s="6" t="n">
        <v>0</v>
      </c>
      <c r="BG113" s="6" t="n">
        <v>0</v>
      </c>
      <c r="BH113" s="6" t="n">
        <v>0</v>
      </c>
      <c r="BI113" s="6" t="n">
        <f aca="false">+BC113+BF113+AW113+AZ113</f>
        <v>0</v>
      </c>
      <c r="BJ113" s="6" t="n">
        <f aca="false">+BD113+BG113+AX113+BA113</f>
        <v>0</v>
      </c>
      <c r="BK113" s="6" t="n">
        <f aca="false">+BE113+BH113+AY113+BB113</f>
        <v>0</v>
      </c>
      <c r="BL113" s="30" t="n">
        <v>0</v>
      </c>
      <c r="BM113" s="30" t="n">
        <v>100000</v>
      </c>
      <c r="BN113" s="6" t="n">
        <v>0</v>
      </c>
      <c r="BO113" s="6" t="n">
        <v>0</v>
      </c>
      <c r="BP113" s="6" t="n">
        <v>0</v>
      </c>
      <c r="BQ113" s="6" t="n">
        <v>100000</v>
      </c>
      <c r="BR113" s="6" t="n">
        <v>0</v>
      </c>
      <c r="BS113" s="6" t="n">
        <v>0</v>
      </c>
      <c r="BT113" s="6" t="n">
        <v>0</v>
      </c>
      <c r="BU113" s="6" t="n">
        <v>0</v>
      </c>
      <c r="BV113" s="6" t="n">
        <v>0</v>
      </c>
      <c r="BW113" s="6" t="n">
        <v>0</v>
      </c>
      <c r="BX113" s="6" t="n">
        <f aca="false">+BR113+BU113+BL113+BO113</f>
        <v>0</v>
      </c>
      <c r="BY113" s="6" t="n">
        <f aca="false">+BS113+BV113+BM113+BP113</f>
        <v>100000</v>
      </c>
      <c r="BZ113" s="6" t="n">
        <f aca="false">+BT113+BW113+BN113+BQ113</f>
        <v>100000</v>
      </c>
      <c r="CA113" s="6" t="n">
        <v>0</v>
      </c>
      <c r="CB113" s="6" t="n">
        <v>0</v>
      </c>
      <c r="CC113" s="6" t="n">
        <v>0</v>
      </c>
      <c r="CD113" s="6" t="n">
        <v>0</v>
      </c>
      <c r="CE113" s="6" t="n">
        <v>0</v>
      </c>
      <c r="CF113" s="6" t="n">
        <v>0</v>
      </c>
      <c r="CG113" s="6" t="n">
        <v>0</v>
      </c>
      <c r="CH113" s="6" t="n">
        <v>0</v>
      </c>
      <c r="CI113" s="6" t="n">
        <v>0</v>
      </c>
      <c r="CJ113" s="6" t="n">
        <v>0</v>
      </c>
      <c r="CK113" s="6" t="n">
        <v>0</v>
      </c>
      <c r="CL113" s="6" t="n">
        <v>0</v>
      </c>
      <c r="CM113" s="6" t="n">
        <f aca="false">+CG113+CJ113+CA113+CD113</f>
        <v>0</v>
      </c>
      <c r="CN113" s="6" t="n">
        <f aca="false">+CH113+CK113+CB113+CE113</f>
        <v>0</v>
      </c>
      <c r="CO113" s="6" t="n">
        <f aca="false">+CI113+CL113+CC113+CF113</f>
        <v>0</v>
      </c>
      <c r="CP113" s="6" t="n">
        <v>0</v>
      </c>
      <c r="CQ113" s="6" t="n">
        <v>0</v>
      </c>
      <c r="CR113" s="6" t="n">
        <v>0</v>
      </c>
      <c r="CS113" s="6" t="n">
        <v>0</v>
      </c>
      <c r="CT113" s="6" t="n">
        <v>0</v>
      </c>
      <c r="CU113" s="6" t="n">
        <v>0</v>
      </c>
      <c r="CV113" s="6" t="n">
        <v>0</v>
      </c>
      <c r="CW113" s="6" t="n">
        <v>0</v>
      </c>
      <c r="CX113" s="6" t="n">
        <v>0</v>
      </c>
      <c r="CY113" s="6" t="n">
        <v>0</v>
      </c>
      <c r="CZ113" s="6" t="n">
        <v>0</v>
      </c>
      <c r="DA113" s="6" t="n">
        <v>0</v>
      </c>
      <c r="DB113" s="6" t="n">
        <f aca="false">+CV113+CY113+CP113+CS113</f>
        <v>0</v>
      </c>
      <c r="DC113" s="6" t="n">
        <f aca="false">+CW113+CZ113+CQ113+CT113</f>
        <v>0</v>
      </c>
      <c r="DD113" s="6" t="n">
        <f aca="false">+CX113+DA113+CR113+CU113</f>
        <v>0</v>
      </c>
      <c r="DE113" s="6" t="n">
        <v>0</v>
      </c>
      <c r="DF113" s="6" t="n">
        <v>0</v>
      </c>
      <c r="DG113" s="6" t="n">
        <v>0</v>
      </c>
      <c r="DH113" s="6" t="n">
        <v>0</v>
      </c>
      <c r="DI113" s="6" t="n">
        <v>0</v>
      </c>
      <c r="DJ113" s="6" t="n">
        <v>0</v>
      </c>
      <c r="DK113" s="6" t="n">
        <v>0</v>
      </c>
      <c r="DL113" s="6" t="n">
        <v>0</v>
      </c>
      <c r="DM113" s="6" t="n">
        <v>0</v>
      </c>
      <c r="DN113" s="6" t="n">
        <v>0</v>
      </c>
      <c r="DO113" s="6" t="n">
        <v>0</v>
      </c>
      <c r="DP113" s="6" t="n">
        <v>0</v>
      </c>
      <c r="DQ113" s="6" t="n">
        <f aca="false">+DK113+DN113+DE113+DH113</f>
        <v>0</v>
      </c>
      <c r="DR113" s="6" t="n">
        <f aca="false">+DL113+DO113+DF113+DI113</f>
        <v>0</v>
      </c>
      <c r="DS113" s="6" t="n">
        <f aca="false">+DM113+DP113+DG113+DJ113</f>
        <v>0</v>
      </c>
      <c r="DT113" s="31" t="n">
        <f aca="false">+P113+AE113+AT113+BI113+BX113+CM113+DB113</f>
        <v>0</v>
      </c>
      <c r="DU113" s="31" t="n">
        <f aca="false">+Q113+AF113+AU113+BJ113+BY113+CN113+DC113</f>
        <v>100000</v>
      </c>
      <c r="DV113" s="31" t="n">
        <f aca="false">+R113+AG113+AV113+BK113+BZ113+CO113+DD113</f>
        <v>100000</v>
      </c>
      <c r="DW113" s="31" t="n">
        <f aca="false">+DU113-DV113</f>
        <v>0</v>
      </c>
    </row>
    <row r="114" customFormat="false" ht="13.8" hidden="false" customHeight="false" outlineLevel="0" collapsed="false">
      <c r="A114" s="27" t="n">
        <v>45333</v>
      </c>
      <c r="B114" s="28" t="s">
        <v>462</v>
      </c>
      <c r="C114" s="28" t="s">
        <v>472</v>
      </c>
      <c r="D114" s="29" t="s">
        <v>473</v>
      </c>
      <c r="E114" s="28" t="s">
        <v>474</v>
      </c>
      <c r="F114" s="27" t="s">
        <v>475</v>
      </c>
      <c r="G114" s="27" t="s">
        <v>17</v>
      </c>
      <c r="H114" s="30"/>
      <c r="I114" s="30" t="n">
        <v>100000</v>
      </c>
      <c r="J114" s="6" t="n">
        <v>0</v>
      </c>
      <c r="K114" s="6" t="n">
        <v>0</v>
      </c>
      <c r="L114" s="6" t="n">
        <v>0</v>
      </c>
      <c r="M114" s="6" t="n">
        <v>0</v>
      </c>
      <c r="N114" s="6" t="n">
        <v>0</v>
      </c>
      <c r="O114" s="6" t="n">
        <v>0</v>
      </c>
      <c r="P114" s="6" t="n">
        <f aca="false">+J114+M114</f>
        <v>0</v>
      </c>
      <c r="Q114" s="6" t="n">
        <f aca="false">+K114+N114</f>
        <v>0</v>
      </c>
      <c r="R114" s="6" t="n">
        <f aca="false">+L114+O114</f>
        <v>0</v>
      </c>
      <c r="S114" s="6" t="n">
        <v>0</v>
      </c>
      <c r="T114" s="6" t="n">
        <v>0</v>
      </c>
      <c r="U114" s="6" t="n">
        <v>0</v>
      </c>
      <c r="V114" s="6" t="n">
        <v>0</v>
      </c>
      <c r="W114" s="6" t="n">
        <v>0</v>
      </c>
      <c r="X114" s="6" t="n">
        <v>0</v>
      </c>
      <c r="Y114" s="6" t="n">
        <v>0</v>
      </c>
      <c r="Z114" s="6" t="n">
        <v>0</v>
      </c>
      <c r="AA114" s="6" t="n">
        <v>0</v>
      </c>
      <c r="AB114" s="6" t="n">
        <v>0</v>
      </c>
      <c r="AC114" s="6" t="n">
        <v>0</v>
      </c>
      <c r="AD114" s="6" t="n">
        <v>0</v>
      </c>
      <c r="AE114" s="6" t="n">
        <f aca="false">+Y114+AB114+S114+V114</f>
        <v>0</v>
      </c>
      <c r="AF114" s="6" t="n">
        <f aca="false">+Z114+AC114+T114+W114</f>
        <v>0</v>
      </c>
      <c r="AG114" s="6" t="n">
        <f aca="false">+AA114+AD114+U114+X114</f>
        <v>0</v>
      </c>
      <c r="AH114" s="6" t="n">
        <v>0</v>
      </c>
      <c r="AI114" s="6" t="n">
        <v>0</v>
      </c>
      <c r="AJ114" s="6" t="n">
        <v>0</v>
      </c>
      <c r="AK114" s="6" t="n">
        <v>0</v>
      </c>
      <c r="AL114" s="6" t="n">
        <v>0</v>
      </c>
      <c r="AM114" s="6" t="n">
        <v>0</v>
      </c>
      <c r="AN114" s="6" t="n">
        <v>0</v>
      </c>
      <c r="AO114" s="6" t="n">
        <v>0</v>
      </c>
      <c r="AP114" s="6" t="n">
        <v>0</v>
      </c>
      <c r="AQ114" s="6" t="n">
        <v>0</v>
      </c>
      <c r="AR114" s="6" t="n">
        <v>0</v>
      </c>
      <c r="AS114" s="6" t="n">
        <v>0</v>
      </c>
      <c r="AT114" s="6" t="n">
        <f aca="false">+AN114+AQ114+AH114+AK114</f>
        <v>0</v>
      </c>
      <c r="AU114" s="6" t="n">
        <f aca="false">+AO114+AR114+AI114+AL114</f>
        <v>0</v>
      </c>
      <c r="AV114" s="6" t="n">
        <f aca="false">+AP114+AS114+AJ114+AM114</f>
        <v>0</v>
      </c>
      <c r="AW114" s="6" t="n">
        <v>0</v>
      </c>
      <c r="AX114" s="6" t="n">
        <v>0</v>
      </c>
      <c r="AY114" s="6" t="n">
        <v>0</v>
      </c>
      <c r="AZ114" s="6" t="n">
        <v>0</v>
      </c>
      <c r="BA114" s="6" t="n">
        <v>0</v>
      </c>
      <c r="BB114" s="6" t="n">
        <v>0</v>
      </c>
      <c r="BC114" s="6" t="n">
        <v>0</v>
      </c>
      <c r="BD114" s="6" t="n">
        <v>0</v>
      </c>
      <c r="BE114" s="6" t="n">
        <v>0</v>
      </c>
      <c r="BF114" s="6" t="n">
        <v>0</v>
      </c>
      <c r="BG114" s="6" t="n">
        <v>0</v>
      </c>
      <c r="BH114" s="6" t="n">
        <v>0</v>
      </c>
      <c r="BI114" s="6" t="n">
        <f aca="false">+BC114+BF114+AW114+AZ114</f>
        <v>0</v>
      </c>
      <c r="BJ114" s="6" t="n">
        <f aca="false">+BD114+BG114+AX114+BA114</f>
        <v>0</v>
      </c>
      <c r="BK114" s="6" t="n">
        <f aca="false">+BE114+BH114+AY114+BB114</f>
        <v>0</v>
      </c>
      <c r="BL114" s="30" t="n">
        <v>0</v>
      </c>
      <c r="BM114" s="30" t="n">
        <v>100000</v>
      </c>
      <c r="BN114" s="6" t="n">
        <v>0</v>
      </c>
      <c r="BO114" s="6" t="n">
        <v>0</v>
      </c>
      <c r="BP114" s="6" t="n">
        <v>0</v>
      </c>
      <c r="BQ114" s="6" t="n">
        <v>0</v>
      </c>
      <c r="BR114" s="6" t="n">
        <v>0</v>
      </c>
      <c r="BS114" s="6" t="n">
        <v>0</v>
      </c>
      <c r="BT114" s="6" t="n">
        <v>100000</v>
      </c>
      <c r="BU114" s="6" t="n">
        <v>0</v>
      </c>
      <c r="BV114" s="6" t="n">
        <v>0</v>
      </c>
      <c r="BW114" s="6" t="n">
        <v>0</v>
      </c>
      <c r="BX114" s="6" t="n">
        <f aca="false">+BR114+BU114+BL114+BO114</f>
        <v>0</v>
      </c>
      <c r="BY114" s="6" t="n">
        <f aca="false">+BS114+BV114+BM114+BP114</f>
        <v>100000</v>
      </c>
      <c r="BZ114" s="6" t="n">
        <f aca="false">+BT114+BW114+BN114+BQ114</f>
        <v>100000</v>
      </c>
      <c r="CA114" s="6" t="n">
        <v>0</v>
      </c>
      <c r="CB114" s="6" t="n">
        <v>0</v>
      </c>
      <c r="CC114" s="6" t="n">
        <v>0</v>
      </c>
      <c r="CD114" s="6" t="n">
        <v>0</v>
      </c>
      <c r="CE114" s="6" t="n">
        <v>0</v>
      </c>
      <c r="CF114" s="6" t="n">
        <v>0</v>
      </c>
      <c r="CG114" s="6" t="n">
        <v>0</v>
      </c>
      <c r="CH114" s="6" t="n">
        <v>0</v>
      </c>
      <c r="CI114" s="6" t="n">
        <v>0</v>
      </c>
      <c r="CJ114" s="6" t="n">
        <v>0</v>
      </c>
      <c r="CK114" s="6" t="n">
        <v>0</v>
      </c>
      <c r="CL114" s="6" t="n">
        <v>0</v>
      </c>
      <c r="CM114" s="6" t="n">
        <f aca="false">+CG114+CJ114+CA114+CD114</f>
        <v>0</v>
      </c>
      <c r="CN114" s="6" t="n">
        <f aca="false">+CH114+CK114+CB114+CE114</f>
        <v>0</v>
      </c>
      <c r="CO114" s="6" t="n">
        <f aca="false">+CI114+CL114+CC114+CF114</f>
        <v>0</v>
      </c>
      <c r="CP114" s="6" t="n">
        <v>0</v>
      </c>
      <c r="CQ114" s="6" t="n">
        <v>0</v>
      </c>
      <c r="CR114" s="6" t="n">
        <v>0</v>
      </c>
      <c r="CS114" s="6" t="n">
        <v>0</v>
      </c>
      <c r="CT114" s="6" t="n">
        <v>0</v>
      </c>
      <c r="CU114" s="6" t="n">
        <v>0</v>
      </c>
      <c r="CV114" s="6" t="n">
        <v>0</v>
      </c>
      <c r="CW114" s="6" t="n">
        <v>0</v>
      </c>
      <c r="CX114" s="6" t="n">
        <v>0</v>
      </c>
      <c r="CY114" s="6" t="n">
        <v>0</v>
      </c>
      <c r="CZ114" s="6" t="n">
        <v>0</v>
      </c>
      <c r="DA114" s="6" t="n">
        <v>0</v>
      </c>
      <c r="DB114" s="6" t="n">
        <f aca="false">+CV114+CY114+CP114+CS114</f>
        <v>0</v>
      </c>
      <c r="DC114" s="6" t="n">
        <f aca="false">+CW114+CZ114+CQ114+CT114</f>
        <v>0</v>
      </c>
      <c r="DD114" s="6" t="n">
        <f aca="false">+CX114+DA114+CR114+CU114</f>
        <v>0</v>
      </c>
      <c r="DE114" s="6" t="n">
        <v>0</v>
      </c>
      <c r="DF114" s="6" t="n">
        <v>0</v>
      </c>
      <c r="DG114" s="6" t="n">
        <v>0</v>
      </c>
      <c r="DH114" s="6" t="n">
        <v>0</v>
      </c>
      <c r="DI114" s="6" t="n">
        <v>0</v>
      </c>
      <c r="DJ114" s="6" t="n">
        <v>0</v>
      </c>
      <c r="DK114" s="6" t="n">
        <v>0</v>
      </c>
      <c r="DL114" s="6" t="n">
        <v>0</v>
      </c>
      <c r="DM114" s="6" t="n">
        <v>0</v>
      </c>
      <c r="DN114" s="6" t="n">
        <v>0</v>
      </c>
      <c r="DO114" s="6" t="n">
        <v>0</v>
      </c>
      <c r="DP114" s="6" t="n">
        <v>0</v>
      </c>
      <c r="DQ114" s="6" t="n">
        <f aca="false">+DK114+DN114+DE114+DH114</f>
        <v>0</v>
      </c>
      <c r="DR114" s="6" t="n">
        <f aca="false">+DL114+DO114+DF114+DI114</f>
        <v>0</v>
      </c>
      <c r="DS114" s="6" t="n">
        <f aca="false">+DM114+DP114+DG114+DJ114</f>
        <v>0</v>
      </c>
      <c r="DT114" s="31" t="n">
        <f aca="false">+P114+AE114+AT114+BI114+BX114+CM114+DB114</f>
        <v>0</v>
      </c>
      <c r="DU114" s="31" t="n">
        <f aca="false">+Q114+AF114+AU114+BJ114+BY114+CN114+DC114</f>
        <v>100000</v>
      </c>
      <c r="DV114" s="31" t="n">
        <f aca="false">+R114+AG114+AV114+BK114+BZ114+CO114+DD114</f>
        <v>100000</v>
      </c>
      <c r="DW114" s="31" t="n">
        <f aca="false">+DU114-DV114</f>
        <v>0</v>
      </c>
    </row>
    <row r="115" customFormat="false" ht="13.8" hidden="false" customHeight="false" outlineLevel="0" collapsed="false">
      <c r="A115" s="27" t="n">
        <v>45260</v>
      </c>
      <c r="B115" s="28" t="s">
        <v>477</v>
      </c>
      <c r="C115" s="28" t="s">
        <v>478</v>
      </c>
      <c r="D115" s="29" t="s">
        <v>479</v>
      </c>
      <c r="E115" s="28" t="s">
        <v>480</v>
      </c>
      <c r="F115" s="27" t="s">
        <v>481</v>
      </c>
      <c r="G115" s="27" t="s">
        <v>17</v>
      </c>
      <c r="H115" s="30" t="n">
        <v>6000000</v>
      </c>
      <c r="I115" s="30" t="n">
        <v>6000000</v>
      </c>
      <c r="J115" s="6" t="n">
        <v>0</v>
      </c>
      <c r="K115" s="6" t="n">
        <v>0</v>
      </c>
      <c r="L115" s="6" t="n">
        <v>0</v>
      </c>
      <c r="M115" s="6" t="n">
        <v>0</v>
      </c>
      <c r="N115" s="6" t="n">
        <v>0</v>
      </c>
      <c r="O115" s="6" t="n">
        <v>0</v>
      </c>
      <c r="P115" s="6" t="n">
        <f aca="false">+J115+M115</f>
        <v>0</v>
      </c>
      <c r="Q115" s="6" t="n">
        <f aca="false">+K115+N115</f>
        <v>0</v>
      </c>
      <c r="R115" s="6" t="n">
        <f aca="false">+L115+O115</f>
        <v>0</v>
      </c>
      <c r="S115" s="6" t="n">
        <v>0</v>
      </c>
      <c r="T115" s="6" t="n">
        <v>0</v>
      </c>
      <c r="U115" s="6" t="n">
        <v>0</v>
      </c>
      <c r="V115" s="6" t="n">
        <v>0</v>
      </c>
      <c r="W115" s="6" t="n">
        <v>0</v>
      </c>
      <c r="X115" s="6" t="n">
        <v>0</v>
      </c>
      <c r="Y115" s="6" t="n">
        <v>0</v>
      </c>
      <c r="Z115" s="6" t="n">
        <v>0</v>
      </c>
      <c r="AA115" s="6" t="n">
        <v>0</v>
      </c>
      <c r="AB115" s="6" t="n">
        <v>0</v>
      </c>
      <c r="AC115" s="6" t="n">
        <v>0</v>
      </c>
      <c r="AD115" s="6" t="n">
        <v>0</v>
      </c>
      <c r="AE115" s="6" t="n">
        <f aca="false">+Y115+AB115+S115+V115</f>
        <v>0</v>
      </c>
      <c r="AF115" s="6" t="n">
        <f aca="false">+Z115+AC115+T115+W115</f>
        <v>0</v>
      </c>
      <c r="AG115" s="6" t="n">
        <f aca="false">+AA115+AD115+U115+X115</f>
        <v>0</v>
      </c>
      <c r="AH115" s="6" t="n">
        <v>0</v>
      </c>
      <c r="AI115" s="6" t="n">
        <v>0</v>
      </c>
      <c r="AJ115" s="6" t="n">
        <v>0</v>
      </c>
      <c r="AK115" s="6" t="n">
        <v>0</v>
      </c>
      <c r="AL115" s="6" t="n">
        <v>0</v>
      </c>
      <c r="AM115" s="6" t="n">
        <v>0</v>
      </c>
      <c r="AN115" s="6" t="n">
        <v>0</v>
      </c>
      <c r="AO115" s="6" t="n">
        <v>0</v>
      </c>
      <c r="AP115" s="6" t="n">
        <v>0</v>
      </c>
      <c r="AQ115" s="6" t="n">
        <v>0</v>
      </c>
      <c r="AR115" s="6" t="n">
        <v>0</v>
      </c>
      <c r="AS115" s="6" t="n">
        <v>0</v>
      </c>
      <c r="AT115" s="6" t="n">
        <f aca="false">+AN115+AQ115+AH115+AK115</f>
        <v>0</v>
      </c>
      <c r="AU115" s="6" t="n">
        <f aca="false">+AO115+AR115+AI115+AL115</f>
        <v>0</v>
      </c>
      <c r="AV115" s="6" t="n">
        <f aca="false">+AP115+AS115+AJ115+AM115</f>
        <v>0</v>
      </c>
      <c r="AW115" s="6" t="n">
        <v>0</v>
      </c>
      <c r="AX115" s="6" t="n">
        <v>0</v>
      </c>
      <c r="AY115" s="6" t="n">
        <v>0</v>
      </c>
      <c r="AZ115" s="6" t="n">
        <v>0</v>
      </c>
      <c r="BA115" s="6" t="n">
        <v>0</v>
      </c>
      <c r="BB115" s="6" t="n">
        <v>0</v>
      </c>
      <c r="BC115" s="6" t="n">
        <v>0</v>
      </c>
      <c r="BD115" s="6" t="n">
        <v>0</v>
      </c>
      <c r="BE115" s="6" t="n">
        <v>0</v>
      </c>
      <c r="BF115" s="6" t="n">
        <v>0</v>
      </c>
      <c r="BG115" s="6" t="n">
        <v>0</v>
      </c>
      <c r="BH115" s="6" t="n">
        <v>0</v>
      </c>
      <c r="BI115" s="6" t="n">
        <f aca="false">+BC115+BF115+AW115+AZ115</f>
        <v>0</v>
      </c>
      <c r="BJ115" s="6" t="n">
        <f aca="false">+BD115+BG115+AX115+BA115</f>
        <v>0</v>
      </c>
      <c r="BK115" s="6" t="n">
        <f aca="false">+BE115+BH115+AY115+BB115</f>
        <v>0</v>
      </c>
      <c r="BL115" s="30" t="n">
        <v>6000000</v>
      </c>
      <c r="BM115" s="30" t="n">
        <v>6000000</v>
      </c>
      <c r="BN115" s="6" t="n">
        <v>0</v>
      </c>
      <c r="BO115" s="6" t="n">
        <v>0</v>
      </c>
      <c r="BP115" s="6" t="n">
        <v>0</v>
      </c>
      <c r="BQ115" s="6" t="n">
        <v>4000000</v>
      </c>
      <c r="BR115" s="6" t="n">
        <v>0</v>
      </c>
      <c r="BS115" s="6" t="n">
        <v>0</v>
      </c>
      <c r="BT115" s="6" t="n">
        <v>1500000</v>
      </c>
      <c r="BU115" s="6" t="n">
        <v>0</v>
      </c>
      <c r="BV115" s="6" t="n">
        <v>0</v>
      </c>
      <c r="BW115" s="6" t="n">
        <v>500000</v>
      </c>
      <c r="BX115" s="6" t="n">
        <f aca="false">+BR115+BU115+BL115+BO115</f>
        <v>6000000</v>
      </c>
      <c r="BY115" s="6" t="n">
        <f aca="false">+BS115+BV115+BM115+BP115</f>
        <v>6000000</v>
      </c>
      <c r="BZ115" s="6" t="n">
        <f aca="false">+BT115+BW115+BN115+BQ115</f>
        <v>6000000</v>
      </c>
      <c r="CA115" s="6" t="n">
        <v>0</v>
      </c>
      <c r="CB115" s="6" t="n">
        <v>0</v>
      </c>
      <c r="CC115" s="6" t="n">
        <v>0</v>
      </c>
      <c r="CD115" s="6" t="n">
        <v>0</v>
      </c>
      <c r="CE115" s="6" t="n">
        <v>0</v>
      </c>
      <c r="CF115" s="6" t="n">
        <v>0</v>
      </c>
      <c r="CG115" s="6" t="n">
        <v>0</v>
      </c>
      <c r="CH115" s="6" t="n">
        <v>0</v>
      </c>
      <c r="CI115" s="6" t="n">
        <v>0</v>
      </c>
      <c r="CJ115" s="6" t="n">
        <v>0</v>
      </c>
      <c r="CK115" s="6" t="n">
        <v>0</v>
      </c>
      <c r="CL115" s="6" t="n">
        <v>0</v>
      </c>
      <c r="CM115" s="6" t="n">
        <f aca="false">+CG115+CJ115+CA115+CD115</f>
        <v>0</v>
      </c>
      <c r="CN115" s="6" t="n">
        <f aca="false">+CH115+CK115+CB115+CE115</f>
        <v>0</v>
      </c>
      <c r="CO115" s="6" t="n">
        <f aca="false">+CI115+CL115+CC115+CF115</f>
        <v>0</v>
      </c>
      <c r="CP115" s="6" t="n">
        <v>0</v>
      </c>
      <c r="CQ115" s="6" t="n">
        <v>0</v>
      </c>
      <c r="CR115" s="6" t="n">
        <v>0</v>
      </c>
      <c r="CS115" s="6" t="n">
        <v>0</v>
      </c>
      <c r="CT115" s="6" t="n">
        <v>0</v>
      </c>
      <c r="CU115" s="6" t="n">
        <v>0</v>
      </c>
      <c r="CV115" s="6" t="n">
        <v>0</v>
      </c>
      <c r="CW115" s="6" t="n">
        <v>0</v>
      </c>
      <c r="CX115" s="6" t="n">
        <v>0</v>
      </c>
      <c r="CY115" s="6" t="n">
        <v>0</v>
      </c>
      <c r="CZ115" s="6" t="n">
        <v>0</v>
      </c>
      <c r="DA115" s="6" t="n">
        <v>0</v>
      </c>
      <c r="DB115" s="6" t="n">
        <f aca="false">+CV115+CY115+CP115+CS115</f>
        <v>0</v>
      </c>
      <c r="DC115" s="6" t="n">
        <f aca="false">+CW115+CZ115+CQ115+CT115</f>
        <v>0</v>
      </c>
      <c r="DD115" s="6" t="n">
        <f aca="false">+CX115+DA115+CR115+CU115</f>
        <v>0</v>
      </c>
      <c r="DE115" s="6" t="n">
        <v>0</v>
      </c>
      <c r="DF115" s="6" t="n">
        <v>0</v>
      </c>
      <c r="DG115" s="6" t="n">
        <v>0</v>
      </c>
      <c r="DH115" s="6" t="n">
        <v>0</v>
      </c>
      <c r="DI115" s="6" t="n">
        <v>0</v>
      </c>
      <c r="DJ115" s="6" t="n">
        <v>0</v>
      </c>
      <c r="DK115" s="6" t="n">
        <v>0</v>
      </c>
      <c r="DL115" s="6" t="n">
        <v>0</v>
      </c>
      <c r="DM115" s="6" t="n">
        <v>0</v>
      </c>
      <c r="DN115" s="6" t="n">
        <v>0</v>
      </c>
      <c r="DO115" s="6" t="n">
        <v>0</v>
      </c>
      <c r="DP115" s="6" t="n">
        <v>0</v>
      </c>
      <c r="DQ115" s="6" t="n">
        <f aca="false">+DK115+DN115+DE115+DH115</f>
        <v>0</v>
      </c>
      <c r="DR115" s="6" t="n">
        <f aca="false">+DL115+DO115+DF115+DI115</f>
        <v>0</v>
      </c>
      <c r="DS115" s="6" t="n">
        <f aca="false">+DM115+DP115+DG115+DJ115</f>
        <v>0</v>
      </c>
      <c r="DT115" s="31" t="n">
        <f aca="false">+P115+AE115+AT115+BI115+BX115+CM115+DB115</f>
        <v>6000000</v>
      </c>
      <c r="DU115" s="31" t="n">
        <f aca="false">+Q115+AF115+AU115+BJ115+BY115+CN115+DC115</f>
        <v>6000000</v>
      </c>
      <c r="DV115" s="31" t="n">
        <f aca="false">+R115+AG115+AV115+BK115+BZ115+CO115+DD115</f>
        <v>6000000</v>
      </c>
      <c r="DW115" s="31" t="n">
        <f aca="false">+DU115-DV115</f>
        <v>0</v>
      </c>
    </row>
    <row r="116" customFormat="false" ht="13.8" hidden="false" customHeight="false" outlineLevel="0" collapsed="false">
      <c r="A116" s="27" t="n">
        <v>45271</v>
      </c>
      <c r="B116" s="28" t="s">
        <v>482</v>
      </c>
      <c r="C116" s="28" t="s">
        <v>483</v>
      </c>
      <c r="D116" s="29" t="s">
        <v>484</v>
      </c>
      <c r="E116" s="28" t="s">
        <v>485</v>
      </c>
      <c r="F116" s="27" t="s">
        <v>486</v>
      </c>
      <c r="G116" s="27" t="s">
        <v>17</v>
      </c>
      <c r="H116" s="30" t="n">
        <v>320000</v>
      </c>
      <c r="I116" s="30" t="n">
        <v>320000</v>
      </c>
      <c r="J116" s="6" t="n">
        <v>0</v>
      </c>
      <c r="K116" s="6" t="n">
        <v>0</v>
      </c>
      <c r="L116" s="6" t="n">
        <v>0</v>
      </c>
      <c r="M116" s="6" t="n">
        <v>0</v>
      </c>
      <c r="N116" s="6" t="n">
        <v>0</v>
      </c>
      <c r="O116" s="6" t="n">
        <v>0</v>
      </c>
      <c r="P116" s="6" t="n">
        <f aca="false">+J116+M116</f>
        <v>0</v>
      </c>
      <c r="Q116" s="6" t="n">
        <f aca="false">+K116+N116</f>
        <v>0</v>
      </c>
      <c r="R116" s="6" t="n">
        <f aca="false">+L116+O116</f>
        <v>0</v>
      </c>
      <c r="S116" s="6" t="n">
        <v>0</v>
      </c>
      <c r="T116" s="6" t="n">
        <v>0</v>
      </c>
      <c r="U116" s="6" t="n">
        <v>0</v>
      </c>
      <c r="V116" s="6" t="n">
        <v>0</v>
      </c>
      <c r="W116" s="6" t="n">
        <v>0</v>
      </c>
      <c r="X116" s="6" t="n">
        <v>0</v>
      </c>
      <c r="Y116" s="6" t="n">
        <v>0</v>
      </c>
      <c r="Z116" s="6" t="n">
        <v>0</v>
      </c>
      <c r="AA116" s="6" t="n">
        <v>0</v>
      </c>
      <c r="AB116" s="6" t="n">
        <v>0</v>
      </c>
      <c r="AC116" s="6" t="n">
        <v>0</v>
      </c>
      <c r="AD116" s="6" t="n">
        <v>0</v>
      </c>
      <c r="AE116" s="6" t="n">
        <f aca="false">+Y116+AB116+S116+V116</f>
        <v>0</v>
      </c>
      <c r="AF116" s="6" t="n">
        <f aca="false">+Z116+AC116+T116+W116</f>
        <v>0</v>
      </c>
      <c r="AG116" s="6" t="n">
        <f aca="false">+AA116+AD116+U116+X116</f>
        <v>0</v>
      </c>
      <c r="AH116" s="6" t="n">
        <v>0</v>
      </c>
      <c r="AI116" s="6" t="n">
        <v>0</v>
      </c>
      <c r="AJ116" s="6" t="n">
        <v>0</v>
      </c>
      <c r="AK116" s="6" t="n">
        <v>0</v>
      </c>
      <c r="AL116" s="6" t="n">
        <v>0</v>
      </c>
      <c r="AM116" s="6" t="n">
        <v>0</v>
      </c>
      <c r="AN116" s="6" t="n">
        <v>0</v>
      </c>
      <c r="AO116" s="6" t="n">
        <v>0</v>
      </c>
      <c r="AP116" s="6" t="n">
        <v>0</v>
      </c>
      <c r="AQ116" s="6" t="n">
        <v>0</v>
      </c>
      <c r="AR116" s="6" t="n">
        <v>0</v>
      </c>
      <c r="AS116" s="6" t="n">
        <v>0</v>
      </c>
      <c r="AT116" s="6" t="n">
        <f aca="false">+AN116+AQ116+AH116+AK116</f>
        <v>0</v>
      </c>
      <c r="AU116" s="6" t="n">
        <f aca="false">+AO116+AR116+AI116+AL116</f>
        <v>0</v>
      </c>
      <c r="AV116" s="6" t="n">
        <f aca="false">+AP116+AS116+AJ116+AM116</f>
        <v>0</v>
      </c>
      <c r="AW116" s="6" t="n">
        <v>0</v>
      </c>
      <c r="AX116" s="6" t="n">
        <v>0</v>
      </c>
      <c r="AY116" s="6" t="n">
        <v>0</v>
      </c>
      <c r="AZ116" s="6" t="n">
        <v>0</v>
      </c>
      <c r="BA116" s="6" t="n">
        <v>0</v>
      </c>
      <c r="BB116" s="6" t="n">
        <v>0</v>
      </c>
      <c r="BC116" s="6" t="n">
        <v>0</v>
      </c>
      <c r="BD116" s="6" t="n">
        <v>0</v>
      </c>
      <c r="BE116" s="6" t="n">
        <v>0</v>
      </c>
      <c r="BF116" s="6" t="n">
        <v>0</v>
      </c>
      <c r="BG116" s="6" t="n">
        <v>0</v>
      </c>
      <c r="BH116" s="6" t="n">
        <v>0</v>
      </c>
      <c r="BI116" s="6" t="n">
        <f aca="false">+BC116+BF116+AW116+AZ116</f>
        <v>0</v>
      </c>
      <c r="BJ116" s="6" t="n">
        <f aca="false">+BD116+BG116+AX116+BA116</f>
        <v>0</v>
      </c>
      <c r="BK116" s="6" t="n">
        <f aca="false">+BE116+BH116+AY116+BB116</f>
        <v>0</v>
      </c>
      <c r="BL116" s="30" t="n">
        <v>320000</v>
      </c>
      <c r="BM116" s="30" t="n">
        <v>320000</v>
      </c>
      <c r="BN116" s="6" t="n">
        <v>0</v>
      </c>
      <c r="BO116" s="6" t="n">
        <v>0</v>
      </c>
      <c r="BP116" s="6" t="n">
        <v>0</v>
      </c>
      <c r="BQ116" s="6" t="n">
        <v>150000</v>
      </c>
      <c r="BR116" s="6" t="n">
        <v>0</v>
      </c>
      <c r="BS116" s="6" t="n">
        <v>0</v>
      </c>
      <c r="BT116" s="6" t="n">
        <v>50000</v>
      </c>
      <c r="BU116" s="6" t="n">
        <v>0</v>
      </c>
      <c r="BV116" s="6" t="n">
        <v>0</v>
      </c>
      <c r="BW116" s="6" t="n">
        <v>20000</v>
      </c>
      <c r="BX116" s="6" t="n">
        <f aca="false">+BR116+BU116+BL116+BO116</f>
        <v>320000</v>
      </c>
      <c r="BY116" s="6" t="n">
        <f aca="false">+BS116+BV116+BM116+BP116</f>
        <v>320000</v>
      </c>
      <c r="BZ116" s="6" t="n">
        <f aca="false">+BT116+BW116+BN116+BQ116</f>
        <v>220000</v>
      </c>
      <c r="CA116" s="6" t="n">
        <v>0</v>
      </c>
      <c r="CB116" s="6" t="n">
        <v>0</v>
      </c>
      <c r="CC116" s="6" t="n">
        <v>100000</v>
      </c>
      <c r="CD116" s="6" t="n">
        <v>0</v>
      </c>
      <c r="CE116" s="6" t="n">
        <v>0</v>
      </c>
      <c r="CF116" s="6" t="n">
        <v>0</v>
      </c>
      <c r="CG116" s="6" t="n">
        <v>0</v>
      </c>
      <c r="CH116" s="6" t="n">
        <v>0</v>
      </c>
      <c r="CI116" s="6" t="n">
        <v>0</v>
      </c>
      <c r="CJ116" s="6" t="n">
        <v>0</v>
      </c>
      <c r="CK116" s="6" t="n">
        <v>0</v>
      </c>
      <c r="CL116" s="6" t="n">
        <v>0</v>
      </c>
      <c r="CM116" s="6" t="n">
        <f aca="false">+CG116+CJ116+CA116+CD116</f>
        <v>0</v>
      </c>
      <c r="CN116" s="6" t="n">
        <f aca="false">+CH116+CK116+CB116+CE116</f>
        <v>0</v>
      </c>
      <c r="CO116" s="6" t="n">
        <f aca="false">+CI116+CL116+CC116+CF116</f>
        <v>100000</v>
      </c>
      <c r="CP116" s="6" t="n">
        <v>0</v>
      </c>
      <c r="CQ116" s="6" t="n">
        <v>0</v>
      </c>
      <c r="CR116" s="6" t="n">
        <v>0</v>
      </c>
      <c r="CS116" s="6" t="n">
        <v>0</v>
      </c>
      <c r="CT116" s="6" t="n">
        <v>0</v>
      </c>
      <c r="CU116" s="6" t="n">
        <v>0</v>
      </c>
      <c r="CV116" s="6" t="n">
        <v>0</v>
      </c>
      <c r="CW116" s="6" t="n">
        <v>0</v>
      </c>
      <c r="CX116" s="6" t="n">
        <v>0</v>
      </c>
      <c r="CY116" s="6" t="n">
        <v>0</v>
      </c>
      <c r="CZ116" s="6" t="n">
        <v>0</v>
      </c>
      <c r="DA116" s="6" t="n">
        <v>0</v>
      </c>
      <c r="DB116" s="6" t="n">
        <f aca="false">+CV116+CY116+CP116+CS116</f>
        <v>0</v>
      </c>
      <c r="DC116" s="6" t="n">
        <f aca="false">+CW116+CZ116+CQ116+CT116</f>
        <v>0</v>
      </c>
      <c r="DD116" s="6" t="n">
        <f aca="false">+CX116+DA116+CR116+CU116</f>
        <v>0</v>
      </c>
      <c r="DE116" s="6" t="n">
        <v>0</v>
      </c>
      <c r="DF116" s="6" t="n">
        <v>0</v>
      </c>
      <c r="DG116" s="6" t="n">
        <v>0</v>
      </c>
      <c r="DH116" s="6" t="n">
        <v>0</v>
      </c>
      <c r="DI116" s="6" t="n">
        <v>0</v>
      </c>
      <c r="DJ116" s="6" t="n">
        <v>0</v>
      </c>
      <c r="DK116" s="6" t="n">
        <v>0</v>
      </c>
      <c r="DL116" s="6" t="n">
        <v>0</v>
      </c>
      <c r="DM116" s="6" t="n">
        <v>0</v>
      </c>
      <c r="DN116" s="6" t="n">
        <v>0</v>
      </c>
      <c r="DO116" s="6" t="n">
        <v>0</v>
      </c>
      <c r="DP116" s="6" t="n">
        <v>0</v>
      </c>
      <c r="DQ116" s="6" t="n">
        <f aca="false">+DK116+DN116+DE116+DH116</f>
        <v>0</v>
      </c>
      <c r="DR116" s="6" t="n">
        <f aca="false">+DL116+DO116+DF116+DI116</f>
        <v>0</v>
      </c>
      <c r="DS116" s="6" t="n">
        <f aca="false">+DM116+DP116+DG116+DJ116</f>
        <v>0</v>
      </c>
      <c r="DT116" s="31" t="n">
        <f aca="false">+P116+AE116+AT116+BI116+BX116+CM116+DB116</f>
        <v>320000</v>
      </c>
      <c r="DU116" s="31" t="n">
        <f aca="false">+Q116+AF116+AU116+BJ116+BY116+CN116+DC116</f>
        <v>320000</v>
      </c>
      <c r="DV116" s="31" t="n">
        <f aca="false">+R116+AG116+AV116+BK116+BZ116+CO116+DD116</f>
        <v>320000</v>
      </c>
      <c r="DW116" s="31" t="n">
        <f aca="false">+DU116-DV116</f>
        <v>0</v>
      </c>
    </row>
    <row r="117" customFormat="false" ht="13.8" hidden="false" customHeight="false" outlineLevel="0" collapsed="false">
      <c r="A117" s="27" t="n">
        <v>45323</v>
      </c>
      <c r="B117" s="28" t="s">
        <v>487</v>
      </c>
      <c r="C117" s="28" t="s">
        <v>488</v>
      </c>
      <c r="D117" s="29" t="s">
        <v>489</v>
      </c>
      <c r="E117" s="28" t="s">
        <v>490</v>
      </c>
      <c r="F117" s="27" t="s">
        <v>491</v>
      </c>
      <c r="G117" s="27" t="s">
        <v>18</v>
      </c>
      <c r="H117" s="30" t="n">
        <v>2550.37</v>
      </c>
      <c r="I117" s="30" t="n">
        <v>2550.37</v>
      </c>
      <c r="J117" s="6" t="n">
        <v>0</v>
      </c>
      <c r="K117" s="6" t="n">
        <v>0</v>
      </c>
      <c r="L117" s="6" t="n">
        <v>0</v>
      </c>
      <c r="M117" s="6" t="n">
        <v>0</v>
      </c>
      <c r="N117" s="6" t="n">
        <v>0</v>
      </c>
      <c r="O117" s="6" t="n">
        <v>0</v>
      </c>
      <c r="P117" s="6" t="n">
        <f aca="false">+J117+M117</f>
        <v>0</v>
      </c>
      <c r="Q117" s="6" t="n">
        <f aca="false">+K117+N117</f>
        <v>0</v>
      </c>
      <c r="R117" s="6" t="n">
        <f aca="false">+L117+O117</f>
        <v>0</v>
      </c>
      <c r="S117" s="6" t="n">
        <v>0</v>
      </c>
      <c r="T117" s="6" t="n">
        <v>0</v>
      </c>
      <c r="U117" s="6" t="n">
        <v>0</v>
      </c>
      <c r="V117" s="6" t="n">
        <v>0</v>
      </c>
      <c r="W117" s="6" t="n">
        <v>0</v>
      </c>
      <c r="X117" s="6" t="n">
        <v>0</v>
      </c>
      <c r="Y117" s="6" t="n">
        <v>0</v>
      </c>
      <c r="Z117" s="6" t="n">
        <v>0</v>
      </c>
      <c r="AA117" s="6" t="n">
        <v>0</v>
      </c>
      <c r="AB117" s="6" t="n">
        <v>0</v>
      </c>
      <c r="AC117" s="6" t="n">
        <v>0</v>
      </c>
      <c r="AD117" s="6" t="n">
        <v>0</v>
      </c>
      <c r="AE117" s="6" t="n">
        <f aca="false">+Y117+AB117+S117+V117</f>
        <v>0</v>
      </c>
      <c r="AF117" s="6" t="n">
        <f aca="false">+Z117+AC117+T117+W117</f>
        <v>0</v>
      </c>
      <c r="AG117" s="6" t="n">
        <f aca="false">+AA117+AD117+U117+X117</f>
        <v>0</v>
      </c>
      <c r="AH117" s="6" t="n">
        <v>0</v>
      </c>
      <c r="AI117" s="6" t="n">
        <v>0</v>
      </c>
      <c r="AJ117" s="6" t="n">
        <v>0</v>
      </c>
      <c r="AK117" s="6" t="n">
        <v>0</v>
      </c>
      <c r="AL117" s="6" t="n">
        <v>0</v>
      </c>
      <c r="AM117" s="6" t="n">
        <v>0</v>
      </c>
      <c r="AN117" s="6" t="n">
        <v>0</v>
      </c>
      <c r="AO117" s="6" t="n">
        <v>0</v>
      </c>
      <c r="AP117" s="6" t="n">
        <v>0</v>
      </c>
      <c r="AQ117" s="6" t="n">
        <v>0</v>
      </c>
      <c r="AR117" s="6" t="n">
        <v>0</v>
      </c>
      <c r="AS117" s="6" t="n">
        <v>0</v>
      </c>
      <c r="AT117" s="6" t="n">
        <f aca="false">+AN117+AQ117+AH117+AK117</f>
        <v>0</v>
      </c>
      <c r="AU117" s="6" t="n">
        <f aca="false">+AO117+AR117+AI117+AL117</f>
        <v>0</v>
      </c>
      <c r="AV117" s="6" t="n">
        <f aca="false">+AP117+AS117+AJ117+AM117</f>
        <v>0</v>
      </c>
      <c r="AW117" s="6" t="n">
        <v>0</v>
      </c>
      <c r="AX117" s="6" t="n">
        <v>0</v>
      </c>
      <c r="AY117" s="6" t="n">
        <v>0</v>
      </c>
      <c r="AZ117" s="6" t="n">
        <v>0</v>
      </c>
      <c r="BA117" s="6" t="n">
        <v>0</v>
      </c>
      <c r="BB117" s="6" t="n">
        <v>0</v>
      </c>
      <c r="BC117" s="6" t="n">
        <v>0</v>
      </c>
      <c r="BD117" s="6" t="n">
        <v>0</v>
      </c>
      <c r="BE117" s="6" t="n">
        <v>0</v>
      </c>
      <c r="BF117" s="6" t="n">
        <v>0</v>
      </c>
      <c r="BG117" s="6" t="n">
        <v>0</v>
      </c>
      <c r="BH117" s="6" t="n">
        <v>0</v>
      </c>
      <c r="BI117" s="6" t="n">
        <f aca="false">+BC117+BF117+AW117+AZ117</f>
        <v>0</v>
      </c>
      <c r="BJ117" s="6" t="n">
        <f aca="false">+BD117+BG117+AX117+BA117</f>
        <v>0</v>
      </c>
      <c r="BK117" s="6" t="n">
        <f aca="false">+BE117+BH117+AY117+BB117</f>
        <v>0</v>
      </c>
      <c r="BL117" s="6" t="n">
        <v>0</v>
      </c>
      <c r="BM117" s="6" t="n">
        <v>0</v>
      </c>
      <c r="BN117" s="6" t="n">
        <v>0</v>
      </c>
      <c r="BO117" s="30" t="n">
        <v>2550.37</v>
      </c>
      <c r="BP117" s="30" t="n">
        <v>2550.37</v>
      </c>
      <c r="BQ117" s="6" t="n">
        <v>0</v>
      </c>
      <c r="BR117" s="6" t="n">
        <v>0</v>
      </c>
      <c r="BS117" s="6" t="n">
        <v>0</v>
      </c>
      <c r="BT117" s="6" t="n">
        <v>2550.37</v>
      </c>
      <c r="BU117" s="6" t="n">
        <v>0</v>
      </c>
      <c r="BV117" s="6" t="n">
        <v>0</v>
      </c>
      <c r="BW117" s="6" t="n">
        <v>0</v>
      </c>
      <c r="BX117" s="6" t="n">
        <f aca="false">+BR117+BU117+BL117+BO117</f>
        <v>2550.37</v>
      </c>
      <c r="BY117" s="6" t="n">
        <f aca="false">+BS117+BV117+BM117+BP117</f>
        <v>2550.37</v>
      </c>
      <c r="BZ117" s="6" t="n">
        <f aca="false">+BT117+BW117+BN117+BQ117</f>
        <v>2550.37</v>
      </c>
      <c r="CA117" s="6" t="n">
        <v>0</v>
      </c>
      <c r="CB117" s="6" t="n">
        <v>0</v>
      </c>
      <c r="CC117" s="6" t="n">
        <v>0</v>
      </c>
      <c r="CD117" s="6" t="n">
        <v>0</v>
      </c>
      <c r="CE117" s="6" t="n">
        <v>0</v>
      </c>
      <c r="CF117" s="6" t="n">
        <v>0</v>
      </c>
      <c r="CG117" s="6" t="n">
        <v>0</v>
      </c>
      <c r="CH117" s="6" t="n">
        <v>0</v>
      </c>
      <c r="CI117" s="6" t="n">
        <v>0</v>
      </c>
      <c r="CJ117" s="6" t="n">
        <v>0</v>
      </c>
      <c r="CK117" s="6" t="n">
        <v>0</v>
      </c>
      <c r="CL117" s="6" t="n">
        <v>0</v>
      </c>
      <c r="CM117" s="6" t="n">
        <f aca="false">+CG117+CJ117+CA117+CD117</f>
        <v>0</v>
      </c>
      <c r="CN117" s="6" t="n">
        <f aca="false">+CH117+CK117+CB117+CE117</f>
        <v>0</v>
      </c>
      <c r="CO117" s="6" t="n">
        <f aca="false">+CI117+CL117+CC117+CF117</f>
        <v>0</v>
      </c>
      <c r="CP117" s="6" t="n">
        <v>0</v>
      </c>
      <c r="CQ117" s="6" t="n">
        <v>0</v>
      </c>
      <c r="CR117" s="6" t="n">
        <v>0</v>
      </c>
      <c r="CS117" s="6" t="n">
        <v>0</v>
      </c>
      <c r="CT117" s="6" t="n">
        <v>0</v>
      </c>
      <c r="CU117" s="6" t="n">
        <v>0</v>
      </c>
      <c r="CV117" s="6" t="n">
        <v>0</v>
      </c>
      <c r="CW117" s="6" t="n">
        <v>0</v>
      </c>
      <c r="CX117" s="6" t="n">
        <v>0</v>
      </c>
      <c r="CY117" s="6" t="n">
        <v>0</v>
      </c>
      <c r="CZ117" s="6" t="n">
        <v>0</v>
      </c>
      <c r="DA117" s="6" t="n">
        <v>0</v>
      </c>
      <c r="DB117" s="6" t="n">
        <f aca="false">+CV117+CY117+CP117+CS117</f>
        <v>0</v>
      </c>
      <c r="DC117" s="6" t="n">
        <f aca="false">+CW117+CZ117+CQ117+CT117</f>
        <v>0</v>
      </c>
      <c r="DD117" s="6" t="n">
        <f aca="false">+CX117+DA117+CR117+CU117</f>
        <v>0</v>
      </c>
      <c r="DE117" s="6" t="n">
        <v>0</v>
      </c>
      <c r="DF117" s="6" t="n">
        <v>0</v>
      </c>
      <c r="DG117" s="6" t="n">
        <v>0</v>
      </c>
      <c r="DH117" s="6" t="n">
        <v>0</v>
      </c>
      <c r="DI117" s="6" t="n">
        <v>0</v>
      </c>
      <c r="DJ117" s="6" t="n">
        <v>0</v>
      </c>
      <c r="DK117" s="6" t="n">
        <v>0</v>
      </c>
      <c r="DL117" s="6" t="n">
        <v>0</v>
      </c>
      <c r="DM117" s="6" t="n">
        <v>0</v>
      </c>
      <c r="DN117" s="6" t="n">
        <v>0</v>
      </c>
      <c r="DO117" s="6" t="n">
        <v>0</v>
      </c>
      <c r="DP117" s="6" t="n">
        <v>0</v>
      </c>
      <c r="DQ117" s="6" t="n">
        <f aca="false">+DK117+DN117+DE117+DH117</f>
        <v>0</v>
      </c>
      <c r="DR117" s="6" t="n">
        <f aca="false">+DL117+DO117+DF117+DI117</f>
        <v>0</v>
      </c>
      <c r="DS117" s="6" t="n">
        <f aca="false">+DM117+DP117+DG117+DJ117</f>
        <v>0</v>
      </c>
      <c r="DT117" s="31" t="n">
        <f aca="false">+P117+AE117+AT117+BI117+BX117+CM117+DB117</f>
        <v>2550.37</v>
      </c>
      <c r="DU117" s="31" t="n">
        <f aca="false">+Q117+AF117+AU117+BJ117+BY117+CN117+DC117</f>
        <v>2550.37</v>
      </c>
      <c r="DV117" s="31" t="n">
        <f aca="false">+R117+AG117+AV117+BK117+BZ117+CO117+DD117</f>
        <v>2550.37</v>
      </c>
      <c r="DW117" s="31" t="n">
        <f aca="false">+DU117-DV117</f>
        <v>0</v>
      </c>
    </row>
    <row r="118" customFormat="false" ht="13.8" hidden="false" customHeight="false" outlineLevel="0" collapsed="false">
      <c r="A118" s="27" t="n">
        <v>45323</v>
      </c>
      <c r="B118" s="28" t="s">
        <v>487</v>
      </c>
      <c r="C118" s="28" t="s">
        <v>488</v>
      </c>
      <c r="D118" s="29" t="s">
        <v>489</v>
      </c>
      <c r="E118" s="28" t="s">
        <v>490</v>
      </c>
      <c r="F118" s="27" t="s">
        <v>491</v>
      </c>
      <c r="G118" s="27" t="s">
        <v>18</v>
      </c>
      <c r="H118" s="30" t="n">
        <v>272449.63</v>
      </c>
      <c r="I118" s="30" t="n">
        <v>272449.63</v>
      </c>
      <c r="J118" s="6" t="n">
        <v>0</v>
      </c>
      <c r="K118" s="6" t="n">
        <v>0</v>
      </c>
      <c r="L118" s="6" t="n">
        <v>0</v>
      </c>
      <c r="M118" s="6" t="n">
        <v>0</v>
      </c>
      <c r="N118" s="6" t="n">
        <v>0</v>
      </c>
      <c r="O118" s="6" t="n">
        <v>0</v>
      </c>
      <c r="P118" s="6" t="n">
        <f aca="false">+J118+M118</f>
        <v>0</v>
      </c>
      <c r="Q118" s="6" t="n">
        <f aca="false">+K118+N118</f>
        <v>0</v>
      </c>
      <c r="R118" s="6" t="n">
        <f aca="false">+L118+O118</f>
        <v>0</v>
      </c>
      <c r="S118" s="6" t="n">
        <v>0</v>
      </c>
      <c r="T118" s="6" t="n">
        <v>0</v>
      </c>
      <c r="U118" s="6" t="n">
        <v>0</v>
      </c>
      <c r="V118" s="6" t="n">
        <v>0</v>
      </c>
      <c r="W118" s="6" t="n">
        <v>0</v>
      </c>
      <c r="X118" s="6" t="n">
        <v>0</v>
      </c>
      <c r="Y118" s="6" t="n">
        <v>0</v>
      </c>
      <c r="Z118" s="6" t="n">
        <v>0</v>
      </c>
      <c r="AA118" s="6" t="n">
        <v>0</v>
      </c>
      <c r="AB118" s="6" t="n">
        <v>0</v>
      </c>
      <c r="AC118" s="6" t="n">
        <v>0</v>
      </c>
      <c r="AD118" s="6" t="n">
        <v>0</v>
      </c>
      <c r="AE118" s="6" t="n">
        <f aca="false">+Y118+AB118+S118+V118</f>
        <v>0</v>
      </c>
      <c r="AF118" s="6" t="n">
        <f aca="false">+Z118+AC118+T118+W118</f>
        <v>0</v>
      </c>
      <c r="AG118" s="6" t="n">
        <f aca="false">+AA118+AD118+U118+X118</f>
        <v>0</v>
      </c>
      <c r="AH118" s="6" t="n">
        <v>0</v>
      </c>
      <c r="AI118" s="6" t="n">
        <v>0</v>
      </c>
      <c r="AJ118" s="6" t="n">
        <v>0</v>
      </c>
      <c r="AK118" s="6" t="n">
        <v>0</v>
      </c>
      <c r="AL118" s="6" t="n">
        <v>0</v>
      </c>
      <c r="AM118" s="6" t="n">
        <v>0</v>
      </c>
      <c r="AN118" s="6" t="n">
        <v>0</v>
      </c>
      <c r="AO118" s="6" t="n">
        <v>0</v>
      </c>
      <c r="AP118" s="6" t="n">
        <v>0</v>
      </c>
      <c r="AQ118" s="6" t="n">
        <v>0</v>
      </c>
      <c r="AR118" s="6" t="n">
        <v>0</v>
      </c>
      <c r="AS118" s="6" t="n">
        <v>0</v>
      </c>
      <c r="AT118" s="6" t="n">
        <f aca="false">+AN118+AQ118+AH118+AK118</f>
        <v>0</v>
      </c>
      <c r="AU118" s="6" t="n">
        <f aca="false">+AO118+AR118+AI118+AL118</f>
        <v>0</v>
      </c>
      <c r="AV118" s="6" t="n">
        <f aca="false">+AP118+AS118+AJ118+AM118</f>
        <v>0</v>
      </c>
      <c r="AW118" s="6" t="n">
        <v>0</v>
      </c>
      <c r="AX118" s="6" t="n">
        <v>0</v>
      </c>
      <c r="AY118" s="6" t="n">
        <v>0</v>
      </c>
      <c r="AZ118" s="6" t="n">
        <v>0</v>
      </c>
      <c r="BA118" s="6" t="n">
        <v>0</v>
      </c>
      <c r="BB118" s="6" t="n">
        <v>0</v>
      </c>
      <c r="BC118" s="6" t="n">
        <v>0</v>
      </c>
      <c r="BD118" s="6" t="n">
        <v>0</v>
      </c>
      <c r="BE118" s="6" t="n">
        <v>0</v>
      </c>
      <c r="BF118" s="6" t="n">
        <v>0</v>
      </c>
      <c r="BG118" s="6" t="n">
        <v>0</v>
      </c>
      <c r="BH118" s="6" t="n">
        <v>0</v>
      </c>
      <c r="BI118" s="6" t="n">
        <f aca="false">+BC118+BF118+AW118+AZ118</f>
        <v>0</v>
      </c>
      <c r="BJ118" s="6" t="n">
        <f aca="false">+BD118+BG118+AX118+BA118</f>
        <v>0</v>
      </c>
      <c r="BK118" s="6" t="n">
        <f aca="false">+BE118+BH118+AY118+BB118</f>
        <v>0</v>
      </c>
      <c r="BL118" s="6" t="n">
        <v>0</v>
      </c>
      <c r="BM118" s="6" t="n">
        <v>0</v>
      </c>
      <c r="BN118" s="6" t="n">
        <v>0</v>
      </c>
      <c r="BO118" s="30" t="n">
        <v>272449.63</v>
      </c>
      <c r="BP118" s="30" t="n">
        <v>272449.63</v>
      </c>
      <c r="BQ118" s="6" t="n">
        <v>0</v>
      </c>
      <c r="BR118" s="6" t="n">
        <v>0</v>
      </c>
      <c r="BS118" s="6" t="n">
        <v>0</v>
      </c>
      <c r="BT118" s="6" t="n">
        <v>100000</v>
      </c>
      <c r="BU118" s="6" t="n">
        <v>0</v>
      </c>
      <c r="BV118" s="6" t="n">
        <v>0</v>
      </c>
      <c r="BW118" s="6" t="n">
        <v>0</v>
      </c>
      <c r="BX118" s="6" t="n">
        <f aca="false">+BR118+BU118+BL118+BO118</f>
        <v>272449.63</v>
      </c>
      <c r="BY118" s="6" t="n">
        <f aca="false">+BS118+BV118+BM118+BP118</f>
        <v>272449.63</v>
      </c>
      <c r="BZ118" s="6" t="n">
        <f aca="false">+BT118+BW118+BN118+BQ118</f>
        <v>100000</v>
      </c>
      <c r="CA118" s="6" t="n">
        <v>0</v>
      </c>
      <c r="CB118" s="6" t="n">
        <v>0</v>
      </c>
      <c r="CC118" s="6" t="n">
        <v>172449.63</v>
      </c>
      <c r="CD118" s="6" t="n">
        <v>0</v>
      </c>
      <c r="CE118" s="6" t="n">
        <v>0</v>
      </c>
      <c r="CF118" s="6" t="n">
        <v>0</v>
      </c>
      <c r="CG118" s="6" t="n">
        <v>0</v>
      </c>
      <c r="CH118" s="6" t="n">
        <v>0</v>
      </c>
      <c r="CI118" s="6" t="n">
        <v>0</v>
      </c>
      <c r="CJ118" s="6" t="n">
        <v>0</v>
      </c>
      <c r="CK118" s="6" t="n">
        <v>0</v>
      </c>
      <c r="CL118" s="6" t="n">
        <v>0</v>
      </c>
      <c r="CM118" s="6" t="n">
        <f aca="false">+CG118+CJ118+CA118+CD118</f>
        <v>0</v>
      </c>
      <c r="CN118" s="6" t="n">
        <f aca="false">+CH118+CK118+CB118+CE118</f>
        <v>0</v>
      </c>
      <c r="CO118" s="6" t="n">
        <f aca="false">+CI118+CL118+CC118+CF118</f>
        <v>172449.63</v>
      </c>
      <c r="CP118" s="6" t="n">
        <v>0</v>
      </c>
      <c r="CQ118" s="6" t="n">
        <v>0</v>
      </c>
      <c r="CR118" s="6" t="n">
        <v>0</v>
      </c>
      <c r="CS118" s="6" t="n">
        <v>0</v>
      </c>
      <c r="CT118" s="6" t="n">
        <v>0</v>
      </c>
      <c r="CU118" s="6" t="n">
        <v>0</v>
      </c>
      <c r="CV118" s="6" t="n">
        <v>0</v>
      </c>
      <c r="CW118" s="6" t="n">
        <v>0</v>
      </c>
      <c r="CX118" s="6" t="n">
        <v>0</v>
      </c>
      <c r="CY118" s="6" t="n">
        <v>0</v>
      </c>
      <c r="CZ118" s="6" t="n">
        <v>0</v>
      </c>
      <c r="DA118" s="6" t="n">
        <v>0</v>
      </c>
      <c r="DB118" s="6" t="n">
        <f aca="false">+CV118+CY118+CP118+CS118</f>
        <v>0</v>
      </c>
      <c r="DC118" s="6" t="n">
        <f aca="false">+CW118+CZ118+CQ118+CT118</f>
        <v>0</v>
      </c>
      <c r="DD118" s="6" t="n">
        <f aca="false">+CX118+DA118+CR118+CU118</f>
        <v>0</v>
      </c>
      <c r="DE118" s="6" t="n">
        <v>0</v>
      </c>
      <c r="DF118" s="6" t="n">
        <v>0</v>
      </c>
      <c r="DG118" s="6" t="n">
        <v>0</v>
      </c>
      <c r="DH118" s="6" t="n">
        <v>0</v>
      </c>
      <c r="DI118" s="6" t="n">
        <v>0</v>
      </c>
      <c r="DJ118" s="6" t="n">
        <v>0</v>
      </c>
      <c r="DK118" s="6" t="n">
        <v>0</v>
      </c>
      <c r="DL118" s="6" t="n">
        <v>0</v>
      </c>
      <c r="DM118" s="6" t="n">
        <v>0</v>
      </c>
      <c r="DN118" s="6" t="n">
        <v>0</v>
      </c>
      <c r="DO118" s="6" t="n">
        <v>0</v>
      </c>
      <c r="DP118" s="6" t="n">
        <v>0</v>
      </c>
      <c r="DQ118" s="6" t="n">
        <f aca="false">+DK118+DN118+DE118+DH118</f>
        <v>0</v>
      </c>
      <c r="DR118" s="6" t="n">
        <f aca="false">+DL118+DO118+DF118+DI118</f>
        <v>0</v>
      </c>
      <c r="DS118" s="6" t="n">
        <f aca="false">+DM118+DP118+DG118+DJ118</f>
        <v>0</v>
      </c>
      <c r="DT118" s="31" t="n">
        <f aca="false">+P118+AE118+AT118+BI118+BX118+CM118+DB118</f>
        <v>272449.63</v>
      </c>
      <c r="DU118" s="31" t="n">
        <f aca="false">+Q118+AF118+AU118+BJ118+BY118+CN118+DC118</f>
        <v>272449.63</v>
      </c>
      <c r="DV118" s="31" t="n">
        <f aca="false">+R118+AG118+AV118+BK118+BZ118+CO118+DD118</f>
        <v>272449.63</v>
      </c>
      <c r="DW118" s="31" t="n">
        <f aca="false">+DU118-DV118</f>
        <v>0</v>
      </c>
    </row>
    <row r="119" customFormat="false" ht="13.8" hidden="false" customHeight="false" outlineLevel="0" collapsed="false">
      <c r="A119" s="27" t="n">
        <v>45323</v>
      </c>
      <c r="B119" s="28" t="s">
        <v>492</v>
      </c>
      <c r="C119" s="28" t="s">
        <v>493</v>
      </c>
      <c r="D119" s="29" t="s">
        <v>494</v>
      </c>
      <c r="E119" s="28" t="s">
        <v>495</v>
      </c>
      <c r="F119" s="27" t="s">
        <v>496</v>
      </c>
      <c r="G119" s="27" t="s">
        <v>18</v>
      </c>
      <c r="H119" s="30" t="n">
        <v>581338.85</v>
      </c>
      <c r="I119" s="30" t="n">
        <v>581338.85</v>
      </c>
      <c r="J119" s="6" t="n">
        <v>0</v>
      </c>
      <c r="K119" s="6" t="n">
        <v>0</v>
      </c>
      <c r="L119" s="6" t="n">
        <v>0</v>
      </c>
      <c r="M119" s="6" t="n">
        <v>0</v>
      </c>
      <c r="N119" s="6" t="n">
        <v>0</v>
      </c>
      <c r="O119" s="6" t="n">
        <v>0</v>
      </c>
      <c r="P119" s="6" t="n">
        <f aca="false">+J119+M119</f>
        <v>0</v>
      </c>
      <c r="Q119" s="6" t="n">
        <f aca="false">+K119+N119</f>
        <v>0</v>
      </c>
      <c r="R119" s="6" t="n">
        <f aca="false">+L119+O119</f>
        <v>0</v>
      </c>
      <c r="S119" s="6" t="n">
        <v>0</v>
      </c>
      <c r="T119" s="6" t="n">
        <v>0</v>
      </c>
      <c r="U119" s="6" t="n">
        <v>0</v>
      </c>
      <c r="V119" s="6" t="n">
        <v>0</v>
      </c>
      <c r="W119" s="6" t="n">
        <v>0</v>
      </c>
      <c r="X119" s="6" t="n">
        <v>0</v>
      </c>
      <c r="Y119" s="6" t="n">
        <v>0</v>
      </c>
      <c r="Z119" s="6" t="n">
        <v>0</v>
      </c>
      <c r="AA119" s="6" t="n">
        <v>0</v>
      </c>
      <c r="AB119" s="6" t="n">
        <v>0</v>
      </c>
      <c r="AC119" s="6" t="n">
        <v>0</v>
      </c>
      <c r="AD119" s="6" t="n">
        <v>0</v>
      </c>
      <c r="AE119" s="6" t="n">
        <f aca="false">+Y119+AB119+S119+V119</f>
        <v>0</v>
      </c>
      <c r="AF119" s="6" t="n">
        <f aca="false">+Z119+AC119+T119+W119</f>
        <v>0</v>
      </c>
      <c r="AG119" s="6" t="n">
        <f aca="false">+AA119+AD119+U119+X119</f>
        <v>0</v>
      </c>
      <c r="AH119" s="6" t="n">
        <v>0</v>
      </c>
      <c r="AI119" s="6" t="n">
        <v>0</v>
      </c>
      <c r="AJ119" s="6" t="n">
        <v>0</v>
      </c>
      <c r="AK119" s="6" t="n">
        <v>0</v>
      </c>
      <c r="AL119" s="6" t="n">
        <v>0</v>
      </c>
      <c r="AM119" s="6" t="n">
        <v>0</v>
      </c>
      <c r="AN119" s="6" t="n">
        <v>0</v>
      </c>
      <c r="AO119" s="6" t="n">
        <v>0</v>
      </c>
      <c r="AP119" s="6" t="n">
        <v>0</v>
      </c>
      <c r="AQ119" s="6" t="n">
        <v>0</v>
      </c>
      <c r="AR119" s="6" t="n">
        <v>0</v>
      </c>
      <c r="AS119" s="6" t="n">
        <v>0</v>
      </c>
      <c r="AT119" s="6" t="n">
        <f aca="false">+AN119+AQ119+AH119+AK119</f>
        <v>0</v>
      </c>
      <c r="AU119" s="6" t="n">
        <f aca="false">+AO119+AR119+AI119+AL119</f>
        <v>0</v>
      </c>
      <c r="AV119" s="6" t="n">
        <f aca="false">+AP119+AS119+AJ119+AM119</f>
        <v>0</v>
      </c>
      <c r="AW119" s="6" t="n">
        <v>0</v>
      </c>
      <c r="AX119" s="6" t="n">
        <v>0</v>
      </c>
      <c r="AY119" s="6" t="n">
        <v>0</v>
      </c>
      <c r="AZ119" s="6" t="n">
        <v>0</v>
      </c>
      <c r="BA119" s="6" t="n">
        <v>0</v>
      </c>
      <c r="BB119" s="6" t="n">
        <v>0</v>
      </c>
      <c r="BC119" s="6" t="n">
        <v>0</v>
      </c>
      <c r="BD119" s="6" t="n">
        <v>0</v>
      </c>
      <c r="BE119" s="6" t="n">
        <v>0</v>
      </c>
      <c r="BF119" s="6" t="n">
        <v>0</v>
      </c>
      <c r="BG119" s="6" t="n">
        <v>0</v>
      </c>
      <c r="BH119" s="6" t="n">
        <v>0</v>
      </c>
      <c r="BI119" s="6" t="n">
        <f aca="false">+BC119+BF119+AW119+AZ119</f>
        <v>0</v>
      </c>
      <c r="BJ119" s="6" t="n">
        <f aca="false">+BD119+BG119+AX119+BA119</f>
        <v>0</v>
      </c>
      <c r="BK119" s="6" t="n">
        <f aca="false">+BE119+BH119+AY119+BB119</f>
        <v>0</v>
      </c>
      <c r="BL119" s="6" t="n">
        <v>0</v>
      </c>
      <c r="BM119" s="6" t="n">
        <v>0</v>
      </c>
      <c r="BN119" s="6" t="n">
        <v>0</v>
      </c>
      <c r="BO119" s="30" t="n">
        <v>581338.85</v>
      </c>
      <c r="BP119" s="30" t="n">
        <v>581338.85</v>
      </c>
      <c r="BQ119" s="6" t="n">
        <v>0</v>
      </c>
      <c r="BR119" s="6" t="n">
        <v>0</v>
      </c>
      <c r="BS119" s="6" t="n">
        <v>0</v>
      </c>
      <c r="BT119" s="6" t="n">
        <v>100000</v>
      </c>
      <c r="BU119" s="6" t="n">
        <v>0</v>
      </c>
      <c r="BV119" s="6" t="n">
        <v>0</v>
      </c>
      <c r="BW119" s="6" t="n">
        <v>150000</v>
      </c>
      <c r="BX119" s="6" t="n">
        <f aca="false">+BR119+BU119+BL119+BO119</f>
        <v>581338.85</v>
      </c>
      <c r="BY119" s="6" t="n">
        <f aca="false">+BS119+BV119+BM119+BP119</f>
        <v>581338.85</v>
      </c>
      <c r="BZ119" s="6" t="n">
        <f aca="false">+BT119+BW119+BN119+BQ119</f>
        <v>250000</v>
      </c>
      <c r="CA119" s="6" t="n">
        <v>0</v>
      </c>
      <c r="CB119" s="6" t="n">
        <v>0</v>
      </c>
      <c r="CC119" s="6" t="n">
        <v>331338.85</v>
      </c>
      <c r="CD119" s="6" t="n">
        <v>0</v>
      </c>
      <c r="CE119" s="6" t="n">
        <v>0</v>
      </c>
      <c r="CF119" s="6" t="n">
        <v>0</v>
      </c>
      <c r="CG119" s="6" t="n">
        <v>0</v>
      </c>
      <c r="CH119" s="6" t="n">
        <v>0</v>
      </c>
      <c r="CI119" s="6" t="n">
        <v>0</v>
      </c>
      <c r="CJ119" s="6" t="n">
        <v>0</v>
      </c>
      <c r="CK119" s="6" t="n">
        <v>0</v>
      </c>
      <c r="CL119" s="6" t="n">
        <v>0</v>
      </c>
      <c r="CM119" s="6" t="n">
        <f aca="false">+CG119+CJ119+CA119+CD119</f>
        <v>0</v>
      </c>
      <c r="CN119" s="6" t="n">
        <f aca="false">+CH119+CK119+CB119+CE119</f>
        <v>0</v>
      </c>
      <c r="CO119" s="6" t="n">
        <f aca="false">+CI119+CL119+CC119+CF119</f>
        <v>331338.85</v>
      </c>
      <c r="CP119" s="6" t="n">
        <v>0</v>
      </c>
      <c r="CQ119" s="6" t="n">
        <v>0</v>
      </c>
      <c r="CR119" s="6" t="n">
        <v>0</v>
      </c>
      <c r="CS119" s="6" t="n">
        <v>0</v>
      </c>
      <c r="CT119" s="6" t="n">
        <v>0</v>
      </c>
      <c r="CU119" s="6" t="n">
        <v>0</v>
      </c>
      <c r="CV119" s="6" t="n">
        <v>0</v>
      </c>
      <c r="CW119" s="6" t="n">
        <v>0</v>
      </c>
      <c r="CX119" s="6" t="n">
        <v>0</v>
      </c>
      <c r="CY119" s="6" t="n">
        <v>0</v>
      </c>
      <c r="CZ119" s="6" t="n">
        <v>0</v>
      </c>
      <c r="DA119" s="6" t="n">
        <v>0</v>
      </c>
      <c r="DB119" s="6" t="n">
        <f aca="false">+CV119+CY119+CP119+CS119</f>
        <v>0</v>
      </c>
      <c r="DC119" s="6" t="n">
        <f aca="false">+CW119+CZ119+CQ119+CT119</f>
        <v>0</v>
      </c>
      <c r="DD119" s="6" t="n">
        <f aca="false">+CX119+DA119+CR119+CU119</f>
        <v>0</v>
      </c>
      <c r="DE119" s="6" t="n">
        <v>0</v>
      </c>
      <c r="DF119" s="6" t="n">
        <v>0</v>
      </c>
      <c r="DG119" s="6" t="n">
        <v>0</v>
      </c>
      <c r="DH119" s="6" t="n">
        <v>0</v>
      </c>
      <c r="DI119" s="6" t="n">
        <v>0</v>
      </c>
      <c r="DJ119" s="6" t="n">
        <v>0</v>
      </c>
      <c r="DK119" s="6" t="n">
        <v>0</v>
      </c>
      <c r="DL119" s="6" t="n">
        <v>0</v>
      </c>
      <c r="DM119" s="6" t="n">
        <v>0</v>
      </c>
      <c r="DN119" s="6" t="n">
        <v>0</v>
      </c>
      <c r="DO119" s="6" t="n">
        <v>0</v>
      </c>
      <c r="DP119" s="6" t="n">
        <v>0</v>
      </c>
      <c r="DQ119" s="6" t="n">
        <f aca="false">+DK119+DN119+DE119+DH119</f>
        <v>0</v>
      </c>
      <c r="DR119" s="6" t="n">
        <f aca="false">+DL119+DO119+DF119+DI119</f>
        <v>0</v>
      </c>
      <c r="DS119" s="6" t="n">
        <f aca="false">+DM119+DP119+DG119+DJ119</f>
        <v>0</v>
      </c>
      <c r="DT119" s="31" t="n">
        <f aca="false">+P119+AE119+AT119+BI119+BX119+CM119+DB119</f>
        <v>581338.85</v>
      </c>
      <c r="DU119" s="31" t="n">
        <f aca="false">+Q119+AF119+AU119+BJ119+BY119+CN119+DC119</f>
        <v>581338.85</v>
      </c>
      <c r="DV119" s="31" t="n">
        <f aca="false">+R119+AG119+AV119+BK119+BZ119+CO119+DD119</f>
        <v>581338.85</v>
      </c>
      <c r="DW119" s="31" t="n">
        <f aca="false">+DU119-DV119</f>
        <v>0</v>
      </c>
    </row>
    <row r="120" customFormat="false" ht="13.8" hidden="false" customHeight="false" outlineLevel="0" collapsed="false">
      <c r="A120" s="27" t="n">
        <v>45323</v>
      </c>
      <c r="B120" s="28" t="s">
        <v>492</v>
      </c>
      <c r="C120" s="28" t="s">
        <v>493</v>
      </c>
      <c r="D120" s="29" t="s">
        <v>494</v>
      </c>
      <c r="E120" s="28" t="s">
        <v>495</v>
      </c>
      <c r="F120" s="27" t="s">
        <v>496</v>
      </c>
      <c r="G120" s="27" t="s">
        <v>18</v>
      </c>
      <c r="H120" s="30" t="n">
        <v>54004.15</v>
      </c>
      <c r="I120" s="30" t="n">
        <v>54004.15</v>
      </c>
      <c r="J120" s="6" t="n">
        <v>0</v>
      </c>
      <c r="K120" s="6" t="n">
        <v>0</v>
      </c>
      <c r="L120" s="6" t="n">
        <v>0</v>
      </c>
      <c r="M120" s="6" t="n">
        <v>0</v>
      </c>
      <c r="N120" s="6" t="n">
        <v>0</v>
      </c>
      <c r="O120" s="6" t="n">
        <v>0</v>
      </c>
      <c r="P120" s="6" t="n">
        <f aca="false">+J120+M120</f>
        <v>0</v>
      </c>
      <c r="Q120" s="6" t="n">
        <f aca="false">+K120+N120</f>
        <v>0</v>
      </c>
      <c r="R120" s="6" t="n">
        <f aca="false">+L120+O120</f>
        <v>0</v>
      </c>
      <c r="S120" s="6" t="n">
        <v>0</v>
      </c>
      <c r="T120" s="6" t="n">
        <v>0</v>
      </c>
      <c r="U120" s="6" t="n">
        <v>0</v>
      </c>
      <c r="V120" s="6" t="n">
        <v>0</v>
      </c>
      <c r="W120" s="6" t="n">
        <v>0</v>
      </c>
      <c r="X120" s="6" t="n">
        <v>0</v>
      </c>
      <c r="Y120" s="6" t="n">
        <v>0</v>
      </c>
      <c r="Z120" s="6" t="n">
        <v>0</v>
      </c>
      <c r="AA120" s="6" t="n">
        <v>0</v>
      </c>
      <c r="AB120" s="6" t="n">
        <v>0</v>
      </c>
      <c r="AC120" s="6" t="n">
        <v>0</v>
      </c>
      <c r="AD120" s="6" t="n">
        <v>0</v>
      </c>
      <c r="AE120" s="6" t="n">
        <f aca="false">+Y120+AB120+S120+V120</f>
        <v>0</v>
      </c>
      <c r="AF120" s="6" t="n">
        <f aca="false">+Z120+AC120+T120+W120</f>
        <v>0</v>
      </c>
      <c r="AG120" s="6" t="n">
        <f aca="false">+AA120+AD120+U120+X120</f>
        <v>0</v>
      </c>
      <c r="AH120" s="6" t="n">
        <v>0</v>
      </c>
      <c r="AI120" s="6" t="n">
        <v>0</v>
      </c>
      <c r="AJ120" s="6" t="n">
        <v>0</v>
      </c>
      <c r="AK120" s="6" t="n">
        <v>0</v>
      </c>
      <c r="AL120" s="6" t="n">
        <v>0</v>
      </c>
      <c r="AM120" s="6" t="n">
        <v>0</v>
      </c>
      <c r="AN120" s="6" t="n">
        <v>0</v>
      </c>
      <c r="AO120" s="6" t="n">
        <v>0</v>
      </c>
      <c r="AP120" s="6" t="n">
        <v>0</v>
      </c>
      <c r="AQ120" s="6" t="n">
        <v>0</v>
      </c>
      <c r="AR120" s="6" t="n">
        <v>0</v>
      </c>
      <c r="AS120" s="6" t="n">
        <v>0</v>
      </c>
      <c r="AT120" s="6" t="n">
        <f aca="false">+AN120+AQ120+AH120+AK120</f>
        <v>0</v>
      </c>
      <c r="AU120" s="6" t="n">
        <f aca="false">+AO120+AR120+AI120+AL120</f>
        <v>0</v>
      </c>
      <c r="AV120" s="6" t="n">
        <f aca="false">+AP120+AS120+AJ120+AM120</f>
        <v>0</v>
      </c>
      <c r="AW120" s="6" t="n">
        <v>0</v>
      </c>
      <c r="AX120" s="6" t="n">
        <v>0</v>
      </c>
      <c r="AY120" s="6" t="n">
        <v>0</v>
      </c>
      <c r="AZ120" s="6" t="n">
        <v>0</v>
      </c>
      <c r="BA120" s="6" t="n">
        <v>0</v>
      </c>
      <c r="BB120" s="6" t="n">
        <v>0</v>
      </c>
      <c r="BC120" s="6" t="n">
        <v>0</v>
      </c>
      <c r="BD120" s="6" t="n">
        <v>0</v>
      </c>
      <c r="BE120" s="6" t="n">
        <v>0</v>
      </c>
      <c r="BF120" s="6" t="n">
        <v>0</v>
      </c>
      <c r="BG120" s="6" t="n">
        <v>0</v>
      </c>
      <c r="BH120" s="6" t="n">
        <v>0</v>
      </c>
      <c r="BI120" s="6" t="n">
        <f aca="false">+BC120+BF120+AW120+AZ120</f>
        <v>0</v>
      </c>
      <c r="BJ120" s="6" t="n">
        <f aca="false">+BD120+BG120+AX120+BA120</f>
        <v>0</v>
      </c>
      <c r="BK120" s="6" t="n">
        <f aca="false">+BE120+BH120+AY120+BB120</f>
        <v>0</v>
      </c>
      <c r="BL120" s="6" t="n">
        <v>0</v>
      </c>
      <c r="BM120" s="6" t="n">
        <v>0</v>
      </c>
      <c r="BN120" s="6" t="n">
        <v>0</v>
      </c>
      <c r="BO120" s="30" t="n">
        <v>54004.15</v>
      </c>
      <c r="BP120" s="30" t="n">
        <v>54004.15</v>
      </c>
      <c r="BQ120" s="6" t="n">
        <v>0</v>
      </c>
      <c r="BR120" s="6" t="n">
        <v>0</v>
      </c>
      <c r="BS120" s="6" t="n">
        <v>0</v>
      </c>
      <c r="BT120" s="6" t="n">
        <v>54004.15</v>
      </c>
      <c r="BU120" s="6" t="n">
        <v>0</v>
      </c>
      <c r="BV120" s="6" t="n">
        <v>0</v>
      </c>
      <c r="BW120" s="6" t="n">
        <v>0</v>
      </c>
      <c r="BX120" s="6" t="n">
        <f aca="false">+BR120+BU120+BL120+BO120</f>
        <v>54004.15</v>
      </c>
      <c r="BY120" s="6" t="n">
        <f aca="false">+BS120+BV120+BM120+BP120</f>
        <v>54004.15</v>
      </c>
      <c r="BZ120" s="6" t="n">
        <f aca="false">+BT120+BW120+BN120+BQ120</f>
        <v>54004.15</v>
      </c>
      <c r="CA120" s="6" t="n">
        <v>0</v>
      </c>
      <c r="CB120" s="6" t="n">
        <v>0</v>
      </c>
      <c r="CC120" s="6" t="n">
        <v>0</v>
      </c>
      <c r="CD120" s="6" t="n">
        <v>0</v>
      </c>
      <c r="CE120" s="6" t="n">
        <v>0</v>
      </c>
      <c r="CF120" s="6" t="n">
        <v>0</v>
      </c>
      <c r="CG120" s="6" t="n">
        <v>0</v>
      </c>
      <c r="CH120" s="6" t="n">
        <v>0</v>
      </c>
      <c r="CI120" s="6" t="n">
        <v>0</v>
      </c>
      <c r="CJ120" s="6" t="n">
        <v>0</v>
      </c>
      <c r="CK120" s="6" t="n">
        <v>0</v>
      </c>
      <c r="CL120" s="6" t="n">
        <v>0</v>
      </c>
      <c r="CM120" s="6" t="n">
        <f aca="false">+CG120+CJ120+CA120+CD120</f>
        <v>0</v>
      </c>
      <c r="CN120" s="6" t="n">
        <f aca="false">+CH120+CK120+CB120+CE120</f>
        <v>0</v>
      </c>
      <c r="CO120" s="6" t="n">
        <f aca="false">+CI120+CL120+CC120+CF120</f>
        <v>0</v>
      </c>
      <c r="CP120" s="6" t="n">
        <v>0</v>
      </c>
      <c r="CQ120" s="6" t="n">
        <v>0</v>
      </c>
      <c r="CR120" s="6" t="n">
        <v>0</v>
      </c>
      <c r="CS120" s="6" t="n">
        <v>0</v>
      </c>
      <c r="CT120" s="6" t="n">
        <v>0</v>
      </c>
      <c r="CU120" s="6" t="n">
        <v>0</v>
      </c>
      <c r="CV120" s="6" t="n">
        <v>0</v>
      </c>
      <c r="CW120" s="6" t="n">
        <v>0</v>
      </c>
      <c r="CX120" s="6" t="n">
        <v>0</v>
      </c>
      <c r="CY120" s="6" t="n">
        <v>0</v>
      </c>
      <c r="CZ120" s="6" t="n">
        <v>0</v>
      </c>
      <c r="DA120" s="6" t="n">
        <v>0</v>
      </c>
      <c r="DB120" s="6" t="n">
        <f aca="false">+CV120+CY120+CP120+CS120</f>
        <v>0</v>
      </c>
      <c r="DC120" s="6" t="n">
        <f aca="false">+CW120+CZ120+CQ120+CT120</f>
        <v>0</v>
      </c>
      <c r="DD120" s="6" t="n">
        <f aca="false">+CX120+DA120+CR120+CU120</f>
        <v>0</v>
      </c>
      <c r="DE120" s="6" t="n">
        <v>0</v>
      </c>
      <c r="DF120" s="6" t="n">
        <v>0</v>
      </c>
      <c r="DG120" s="6" t="n">
        <v>0</v>
      </c>
      <c r="DH120" s="6" t="n">
        <v>0</v>
      </c>
      <c r="DI120" s="6" t="n">
        <v>0</v>
      </c>
      <c r="DJ120" s="6" t="n">
        <v>0</v>
      </c>
      <c r="DK120" s="6" t="n">
        <v>0</v>
      </c>
      <c r="DL120" s="6" t="n">
        <v>0</v>
      </c>
      <c r="DM120" s="6" t="n">
        <v>0</v>
      </c>
      <c r="DN120" s="6" t="n">
        <v>0</v>
      </c>
      <c r="DO120" s="6" t="n">
        <v>0</v>
      </c>
      <c r="DP120" s="6" t="n">
        <v>0</v>
      </c>
      <c r="DQ120" s="6" t="n">
        <f aca="false">+DK120+DN120+DE120+DH120</f>
        <v>0</v>
      </c>
      <c r="DR120" s="6" t="n">
        <f aca="false">+DL120+DO120+DF120+DI120</f>
        <v>0</v>
      </c>
      <c r="DS120" s="6" t="n">
        <f aca="false">+DM120+DP120+DG120+DJ120</f>
        <v>0</v>
      </c>
      <c r="DT120" s="31" t="n">
        <f aca="false">+P120+AE120+AT120+BI120+BX120+CM120+DB120</f>
        <v>54004.15</v>
      </c>
      <c r="DU120" s="31" t="n">
        <f aca="false">+Q120+AF120+AU120+BJ120+BY120+CN120+DC120</f>
        <v>54004.15</v>
      </c>
      <c r="DV120" s="31" t="n">
        <f aca="false">+R120+AG120+AV120+BK120+BZ120+CO120+DD120</f>
        <v>54004.15</v>
      </c>
      <c r="DW120" s="31" t="n">
        <f aca="false">+DU120-DV120</f>
        <v>0</v>
      </c>
    </row>
    <row r="121" customFormat="false" ht="13.8" hidden="false" customHeight="false" outlineLevel="0" collapsed="false">
      <c r="A121" s="27" t="n">
        <v>45391</v>
      </c>
      <c r="B121" s="28" t="s">
        <v>497</v>
      </c>
      <c r="C121" s="28" t="s">
        <v>498</v>
      </c>
      <c r="D121" s="29" t="s">
        <v>499</v>
      </c>
      <c r="E121" s="28" t="s">
        <v>500</v>
      </c>
      <c r="F121" s="27" t="s">
        <v>501</v>
      </c>
      <c r="G121" s="27" t="s">
        <v>18</v>
      </c>
      <c r="H121" s="30" t="n">
        <v>225310</v>
      </c>
      <c r="I121" s="30" t="n">
        <v>225310</v>
      </c>
      <c r="J121" s="6" t="n">
        <v>0</v>
      </c>
      <c r="K121" s="6" t="n">
        <v>0</v>
      </c>
      <c r="L121" s="6" t="n">
        <v>0</v>
      </c>
      <c r="M121" s="6" t="n">
        <v>0</v>
      </c>
      <c r="N121" s="6" t="n">
        <v>0</v>
      </c>
      <c r="O121" s="6" t="n">
        <v>0</v>
      </c>
      <c r="P121" s="6" t="n">
        <f aca="false">+J121+M121</f>
        <v>0</v>
      </c>
      <c r="Q121" s="6" t="n">
        <f aca="false">+K121+N121</f>
        <v>0</v>
      </c>
      <c r="R121" s="6" t="n">
        <f aca="false">+L121+O121</f>
        <v>0</v>
      </c>
      <c r="S121" s="6" t="n">
        <v>0</v>
      </c>
      <c r="T121" s="6" t="n">
        <v>0</v>
      </c>
      <c r="U121" s="6" t="n">
        <v>0</v>
      </c>
      <c r="V121" s="6" t="n">
        <v>0</v>
      </c>
      <c r="W121" s="6" t="n">
        <v>0</v>
      </c>
      <c r="X121" s="6" t="n">
        <v>0</v>
      </c>
      <c r="Y121" s="6" t="n">
        <v>0</v>
      </c>
      <c r="Z121" s="6" t="n">
        <v>0</v>
      </c>
      <c r="AA121" s="6" t="n">
        <v>0</v>
      </c>
      <c r="AB121" s="6" t="n">
        <v>0</v>
      </c>
      <c r="AC121" s="6" t="n">
        <v>0</v>
      </c>
      <c r="AD121" s="6" t="n">
        <v>0</v>
      </c>
      <c r="AE121" s="6" t="n">
        <f aca="false">+Y121+AB121+S121+V121</f>
        <v>0</v>
      </c>
      <c r="AF121" s="6" t="n">
        <f aca="false">+Z121+AC121+T121+W121</f>
        <v>0</v>
      </c>
      <c r="AG121" s="6" t="n">
        <f aca="false">+AA121+AD121+U121+X121</f>
        <v>0</v>
      </c>
      <c r="AH121" s="6" t="n">
        <v>0</v>
      </c>
      <c r="AI121" s="6" t="n">
        <v>0</v>
      </c>
      <c r="AJ121" s="6" t="n">
        <v>0</v>
      </c>
      <c r="AK121" s="6" t="n">
        <v>0</v>
      </c>
      <c r="AL121" s="6" t="n">
        <v>0</v>
      </c>
      <c r="AM121" s="6" t="n">
        <v>0</v>
      </c>
      <c r="AN121" s="6" t="n">
        <v>0</v>
      </c>
      <c r="AO121" s="6" t="n">
        <v>0</v>
      </c>
      <c r="AP121" s="6" t="n">
        <v>0</v>
      </c>
      <c r="AQ121" s="6" t="n">
        <v>0</v>
      </c>
      <c r="AR121" s="6" t="n">
        <v>0</v>
      </c>
      <c r="AS121" s="6" t="n">
        <v>0</v>
      </c>
      <c r="AT121" s="6" t="n">
        <f aca="false">+AN121+AQ121+AH121+AK121</f>
        <v>0</v>
      </c>
      <c r="AU121" s="6" t="n">
        <f aca="false">+AO121+AR121+AI121+AL121</f>
        <v>0</v>
      </c>
      <c r="AV121" s="6" t="n">
        <f aca="false">+AP121+AS121+AJ121+AM121</f>
        <v>0</v>
      </c>
      <c r="AW121" s="6" t="n">
        <v>0</v>
      </c>
      <c r="AX121" s="6" t="n">
        <v>0</v>
      </c>
      <c r="AY121" s="6" t="n">
        <v>0</v>
      </c>
      <c r="AZ121" s="6" t="n">
        <v>0</v>
      </c>
      <c r="BA121" s="6" t="n">
        <v>0</v>
      </c>
      <c r="BB121" s="6" t="n">
        <v>0</v>
      </c>
      <c r="BC121" s="6" t="n">
        <v>0</v>
      </c>
      <c r="BD121" s="6" t="n">
        <v>0</v>
      </c>
      <c r="BE121" s="6" t="n">
        <v>0</v>
      </c>
      <c r="BF121" s="6" t="n">
        <v>0</v>
      </c>
      <c r="BG121" s="6" t="n">
        <v>0</v>
      </c>
      <c r="BH121" s="6" t="n">
        <v>0</v>
      </c>
      <c r="BI121" s="6" t="n">
        <f aca="false">+BC121+BF121+AW121+AZ121</f>
        <v>0</v>
      </c>
      <c r="BJ121" s="6" t="n">
        <f aca="false">+BD121+BG121+AX121+BA121</f>
        <v>0</v>
      </c>
      <c r="BK121" s="6" t="n">
        <f aca="false">+BE121+BH121+AY121+BB121</f>
        <v>0</v>
      </c>
      <c r="BL121" s="6" t="n">
        <v>0</v>
      </c>
      <c r="BM121" s="6" t="n">
        <v>0</v>
      </c>
      <c r="BN121" s="6" t="n">
        <v>0</v>
      </c>
      <c r="BO121" s="30" t="n">
        <v>225310</v>
      </c>
      <c r="BP121" s="30" t="n">
        <v>225310</v>
      </c>
      <c r="BQ121" s="6" t="n">
        <v>0</v>
      </c>
      <c r="BR121" s="6" t="n">
        <v>0</v>
      </c>
      <c r="BS121" s="6" t="n">
        <v>0</v>
      </c>
      <c r="BT121" s="6" t="n">
        <v>0</v>
      </c>
      <c r="BU121" s="6" t="n">
        <v>0</v>
      </c>
      <c r="BV121" s="6" t="n">
        <v>0</v>
      </c>
      <c r="BW121" s="6" t="n">
        <v>225310</v>
      </c>
      <c r="BX121" s="6" t="n">
        <f aca="false">+BR121+BU121+BL121+BO121</f>
        <v>225310</v>
      </c>
      <c r="BY121" s="6" t="n">
        <f aca="false">+BS121+BV121+BM121+BP121</f>
        <v>225310</v>
      </c>
      <c r="BZ121" s="6" t="n">
        <f aca="false">+BT121+BW121+BN121+BQ121</f>
        <v>225310</v>
      </c>
      <c r="CA121" s="6" t="n">
        <v>0</v>
      </c>
      <c r="CB121" s="6" t="n">
        <v>0</v>
      </c>
      <c r="CC121" s="6" t="n">
        <v>0</v>
      </c>
      <c r="CD121" s="6" t="n">
        <v>0</v>
      </c>
      <c r="CE121" s="6" t="n">
        <v>0</v>
      </c>
      <c r="CF121" s="6" t="n">
        <v>0</v>
      </c>
      <c r="CG121" s="6" t="n">
        <v>0</v>
      </c>
      <c r="CH121" s="6" t="n">
        <v>0</v>
      </c>
      <c r="CI121" s="6" t="n">
        <v>0</v>
      </c>
      <c r="CJ121" s="6" t="n">
        <v>0</v>
      </c>
      <c r="CK121" s="6" t="n">
        <v>0</v>
      </c>
      <c r="CL121" s="6" t="n">
        <v>0</v>
      </c>
      <c r="CM121" s="6" t="n">
        <f aca="false">+CG121+CJ121+CA121+CD121</f>
        <v>0</v>
      </c>
      <c r="CN121" s="6" t="n">
        <f aca="false">+CH121+CK121+CB121+CE121</f>
        <v>0</v>
      </c>
      <c r="CO121" s="6" t="n">
        <f aca="false">+CI121+CL121+CC121+CF121</f>
        <v>0</v>
      </c>
      <c r="CP121" s="6" t="n">
        <v>0</v>
      </c>
      <c r="CQ121" s="6" t="n">
        <v>0</v>
      </c>
      <c r="CR121" s="6" t="n">
        <v>0</v>
      </c>
      <c r="CS121" s="6" t="n">
        <v>0</v>
      </c>
      <c r="CT121" s="6" t="n">
        <v>0</v>
      </c>
      <c r="CU121" s="6" t="n">
        <v>0</v>
      </c>
      <c r="CV121" s="6" t="n">
        <v>0</v>
      </c>
      <c r="CW121" s="6" t="n">
        <v>0</v>
      </c>
      <c r="CX121" s="6" t="n">
        <v>0</v>
      </c>
      <c r="CY121" s="6" t="n">
        <v>0</v>
      </c>
      <c r="CZ121" s="6" t="n">
        <v>0</v>
      </c>
      <c r="DA121" s="6" t="n">
        <v>0</v>
      </c>
      <c r="DB121" s="6" t="n">
        <f aca="false">+CV121+CY121+CP121+CS121</f>
        <v>0</v>
      </c>
      <c r="DC121" s="6" t="n">
        <f aca="false">+CW121+CZ121+CQ121+CT121</f>
        <v>0</v>
      </c>
      <c r="DD121" s="6" t="n">
        <f aca="false">+CX121+DA121+CR121+CU121</f>
        <v>0</v>
      </c>
      <c r="DE121" s="6" t="n">
        <v>0</v>
      </c>
      <c r="DF121" s="6" t="n">
        <v>0</v>
      </c>
      <c r="DG121" s="6" t="n">
        <v>0</v>
      </c>
      <c r="DH121" s="6" t="n">
        <v>0</v>
      </c>
      <c r="DI121" s="6" t="n">
        <v>0</v>
      </c>
      <c r="DJ121" s="6" t="n">
        <v>0</v>
      </c>
      <c r="DK121" s="6" t="n">
        <v>0</v>
      </c>
      <c r="DL121" s="6" t="n">
        <v>0</v>
      </c>
      <c r="DM121" s="6" t="n">
        <v>0</v>
      </c>
      <c r="DN121" s="6" t="n">
        <v>0</v>
      </c>
      <c r="DO121" s="6" t="n">
        <v>0</v>
      </c>
      <c r="DP121" s="6" t="n">
        <v>0</v>
      </c>
      <c r="DQ121" s="6" t="n">
        <f aca="false">+DK121+DN121+DE121+DH121</f>
        <v>0</v>
      </c>
      <c r="DR121" s="6" t="n">
        <f aca="false">+DL121+DO121+DF121+DI121</f>
        <v>0</v>
      </c>
      <c r="DS121" s="6" t="n">
        <f aca="false">+DM121+DP121+DG121+DJ121</f>
        <v>0</v>
      </c>
      <c r="DT121" s="31" t="n">
        <f aca="false">+P121+AE121+AT121+BI121+BX121+CM121+DB121</f>
        <v>225310</v>
      </c>
      <c r="DU121" s="31" t="n">
        <f aca="false">+Q121+AF121+AU121+BJ121+BY121+CN121+DC121</f>
        <v>225310</v>
      </c>
      <c r="DV121" s="31" t="n">
        <f aca="false">+R121+AG121+AV121+BK121+BZ121+CO121+DD121</f>
        <v>225310</v>
      </c>
      <c r="DW121" s="31" t="n">
        <f aca="false">+DU121-DV121</f>
        <v>0</v>
      </c>
    </row>
    <row r="122" customFormat="false" ht="13.8" hidden="false" customHeight="false" outlineLevel="0" collapsed="false">
      <c r="A122" s="27" t="n">
        <v>45391</v>
      </c>
      <c r="B122" s="28" t="s">
        <v>497</v>
      </c>
      <c r="C122" s="28" t="s">
        <v>498</v>
      </c>
      <c r="D122" s="29" t="s">
        <v>499</v>
      </c>
      <c r="E122" s="28" t="s">
        <v>500</v>
      </c>
      <c r="F122" s="27" t="s">
        <v>501</v>
      </c>
      <c r="G122" s="27" t="s">
        <v>18</v>
      </c>
      <c r="H122" s="30" t="n">
        <v>615000</v>
      </c>
      <c r="I122" s="30" t="n">
        <v>615000</v>
      </c>
      <c r="J122" s="6" t="n">
        <v>0</v>
      </c>
      <c r="K122" s="6" t="n">
        <v>0</v>
      </c>
      <c r="L122" s="6" t="n">
        <v>0</v>
      </c>
      <c r="M122" s="6" t="n">
        <v>0</v>
      </c>
      <c r="N122" s="6" t="n">
        <v>0</v>
      </c>
      <c r="O122" s="6" t="n">
        <v>0</v>
      </c>
      <c r="P122" s="6" t="n">
        <f aca="false">+J122+M122</f>
        <v>0</v>
      </c>
      <c r="Q122" s="6" t="n">
        <f aca="false">+K122+N122</f>
        <v>0</v>
      </c>
      <c r="R122" s="6" t="n">
        <f aca="false">+L122+O122</f>
        <v>0</v>
      </c>
      <c r="S122" s="6" t="n">
        <v>0</v>
      </c>
      <c r="T122" s="6" t="n">
        <v>0</v>
      </c>
      <c r="U122" s="6" t="n">
        <v>0</v>
      </c>
      <c r="V122" s="6" t="n">
        <v>0</v>
      </c>
      <c r="W122" s="6" t="n">
        <v>0</v>
      </c>
      <c r="X122" s="6" t="n">
        <v>0</v>
      </c>
      <c r="Y122" s="6" t="n">
        <v>0</v>
      </c>
      <c r="Z122" s="6" t="n">
        <v>0</v>
      </c>
      <c r="AA122" s="6" t="n">
        <v>0</v>
      </c>
      <c r="AB122" s="6" t="n">
        <v>0</v>
      </c>
      <c r="AC122" s="6" t="n">
        <v>0</v>
      </c>
      <c r="AD122" s="6" t="n">
        <v>0</v>
      </c>
      <c r="AE122" s="6" t="n">
        <f aca="false">+Y122+AB122+S122+V122</f>
        <v>0</v>
      </c>
      <c r="AF122" s="6" t="n">
        <f aca="false">+Z122+AC122+T122+W122</f>
        <v>0</v>
      </c>
      <c r="AG122" s="6" t="n">
        <f aca="false">+AA122+AD122+U122+X122</f>
        <v>0</v>
      </c>
      <c r="AH122" s="6" t="n">
        <v>0</v>
      </c>
      <c r="AI122" s="6" t="n">
        <v>0</v>
      </c>
      <c r="AJ122" s="6" t="n">
        <v>0</v>
      </c>
      <c r="AK122" s="6" t="n">
        <v>0</v>
      </c>
      <c r="AL122" s="6" t="n">
        <v>0</v>
      </c>
      <c r="AM122" s="6" t="n">
        <v>0</v>
      </c>
      <c r="AN122" s="6" t="n">
        <v>0</v>
      </c>
      <c r="AO122" s="6" t="n">
        <v>0</v>
      </c>
      <c r="AP122" s="6" t="n">
        <v>0</v>
      </c>
      <c r="AQ122" s="6" t="n">
        <v>0</v>
      </c>
      <c r="AR122" s="6" t="n">
        <v>0</v>
      </c>
      <c r="AS122" s="6" t="n">
        <v>0</v>
      </c>
      <c r="AT122" s="6" t="n">
        <f aca="false">+AN122+AQ122+AH122+AK122</f>
        <v>0</v>
      </c>
      <c r="AU122" s="6" t="n">
        <f aca="false">+AO122+AR122+AI122+AL122</f>
        <v>0</v>
      </c>
      <c r="AV122" s="6" t="n">
        <f aca="false">+AP122+AS122+AJ122+AM122</f>
        <v>0</v>
      </c>
      <c r="AW122" s="6" t="n">
        <v>0</v>
      </c>
      <c r="AX122" s="6" t="n">
        <v>0</v>
      </c>
      <c r="AY122" s="6" t="n">
        <v>0</v>
      </c>
      <c r="AZ122" s="6" t="n">
        <v>0</v>
      </c>
      <c r="BA122" s="6" t="n">
        <v>0</v>
      </c>
      <c r="BB122" s="6" t="n">
        <v>0</v>
      </c>
      <c r="BC122" s="6" t="n">
        <v>0</v>
      </c>
      <c r="BD122" s="6" t="n">
        <v>0</v>
      </c>
      <c r="BE122" s="6" t="n">
        <v>0</v>
      </c>
      <c r="BF122" s="6" t="n">
        <v>0</v>
      </c>
      <c r="BG122" s="6" t="n">
        <v>0</v>
      </c>
      <c r="BH122" s="6" t="n">
        <v>0</v>
      </c>
      <c r="BI122" s="6" t="n">
        <f aca="false">+BC122+BF122+AW122+AZ122</f>
        <v>0</v>
      </c>
      <c r="BJ122" s="6" t="n">
        <f aca="false">+BD122+BG122+AX122+BA122</f>
        <v>0</v>
      </c>
      <c r="BK122" s="6" t="n">
        <f aca="false">+BE122+BH122+AY122+BB122</f>
        <v>0</v>
      </c>
      <c r="BL122" s="6" t="n">
        <v>0</v>
      </c>
      <c r="BM122" s="6" t="n">
        <v>0</v>
      </c>
      <c r="BN122" s="6" t="n">
        <v>0</v>
      </c>
      <c r="BO122" s="30" t="n">
        <v>615000</v>
      </c>
      <c r="BP122" s="30" t="n">
        <v>615000</v>
      </c>
      <c r="BQ122" s="6" t="n">
        <v>0</v>
      </c>
      <c r="BR122" s="6" t="n">
        <v>0</v>
      </c>
      <c r="BS122" s="6" t="n">
        <v>0</v>
      </c>
      <c r="BT122" s="6" t="n">
        <v>0</v>
      </c>
      <c r="BU122" s="6" t="n">
        <v>0</v>
      </c>
      <c r="BV122" s="6" t="n">
        <v>0</v>
      </c>
      <c r="BW122" s="6" t="n">
        <v>615000</v>
      </c>
      <c r="BX122" s="6" t="n">
        <f aca="false">+BR122+BU122+BL122+BO122</f>
        <v>615000</v>
      </c>
      <c r="BY122" s="6" t="n">
        <f aca="false">+BS122+BV122+BM122+BP122</f>
        <v>615000</v>
      </c>
      <c r="BZ122" s="6" t="n">
        <f aca="false">+BT122+BW122+BN122+BQ122</f>
        <v>615000</v>
      </c>
      <c r="CA122" s="6" t="n">
        <v>0</v>
      </c>
      <c r="CB122" s="6" t="n">
        <v>0</v>
      </c>
      <c r="CC122" s="6" t="n">
        <v>0</v>
      </c>
      <c r="CD122" s="6" t="n">
        <v>0</v>
      </c>
      <c r="CE122" s="6" t="n">
        <v>0</v>
      </c>
      <c r="CF122" s="6" t="n">
        <v>0</v>
      </c>
      <c r="CG122" s="6" t="n">
        <v>0</v>
      </c>
      <c r="CH122" s="6" t="n">
        <v>0</v>
      </c>
      <c r="CI122" s="6" t="n">
        <v>0</v>
      </c>
      <c r="CJ122" s="6" t="n">
        <v>0</v>
      </c>
      <c r="CK122" s="6" t="n">
        <v>0</v>
      </c>
      <c r="CL122" s="6" t="n">
        <v>0</v>
      </c>
      <c r="CM122" s="6" t="n">
        <f aca="false">+CG122+CJ122+CA122+CD122</f>
        <v>0</v>
      </c>
      <c r="CN122" s="6" t="n">
        <f aca="false">+CH122+CK122+CB122+CE122</f>
        <v>0</v>
      </c>
      <c r="CO122" s="6" t="n">
        <f aca="false">+CI122+CL122+CC122+CF122</f>
        <v>0</v>
      </c>
      <c r="CP122" s="6" t="n">
        <v>0</v>
      </c>
      <c r="CQ122" s="6" t="n">
        <v>0</v>
      </c>
      <c r="CR122" s="6" t="n">
        <v>0</v>
      </c>
      <c r="CS122" s="6" t="n">
        <v>0</v>
      </c>
      <c r="CT122" s="6" t="n">
        <v>0</v>
      </c>
      <c r="CU122" s="6" t="n">
        <v>0</v>
      </c>
      <c r="CV122" s="6" t="n">
        <v>0</v>
      </c>
      <c r="CW122" s="6" t="n">
        <v>0</v>
      </c>
      <c r="CX122" s="6" t="n">
        <v>0</v>
      </c>
      <c r="CY122" s="6" t="n">
        <v>0</v>
      </c>
      <c r="CZ122" s="6" t="n">
        <v>0</v>
      </c>
      <c r="DA122" s="6" t="n">
        <v>0</v>
      </c>
      <c r="DB122" s="6" t="n">
        <f aca="false">+CV122+CY122+CP122+CS122</f>
        <v>0</v>
      </c>
      <c r="DC122" s="6" t="n">
        <f aca="false">+CW122+CZ122+CQ122+CT122</f>
        <v>0</v>
      </c>
      <c r="DD122" s="6" t="n">
        <f aca="false">+CX122+DA122+CR122+CU122</f>
        <v>0</v>
      </c>
      <c r="DE122" s="6" t="n">
        <v>0</v>
      </c>
      <c r="DF122" s="6" t="n">
        <v>0</v>
      </c>
      <c r="DG122" s="6" t="n">
        <v>0</v>
      </c>
      <c r="DH122" s="6" t="n">
        <v>0</v>
      </c>
      <c r="DI122" s="6" t="n">
        <v>0</v>
      </c>
      <c r="DJ122" s="6" t="n">
        <v>0</v>
      </c>
      <c r="DK122" s="6" t="n">
        <v>0</v>
      </c>
      <c r="DL122" s="6" t="n">
        <v>0</v>
      </c>
      <c r="DM122" s="6" t="n">
        <v>0</v>
      </c>
      <c r="DN122" s="6" t="n">
        <v>0</v>
      </c>
      <c r="DO122" s="6" t="n">
        <v>0</v>
      </c>
      <c r="DP122" s="6" t="n">
        <v>0</v>
      </c>
      <c r="DQ122" s="6" t="n">
        <f aca="false">+DK122+DN122+DE122+DH122</f>
        <v>0</v>
      </c>
      <c r="DR122" s="6" t="n">
        <f aca="false">+DL122+DO122+DF122+DI122</f>
        <v>0</v>
      </c>
      <c r="DS122" s="6" t="n">
        <f aca="false">+DM122+DP122+DG122+DJ122</f>
        <v>0</v>
      </c>
      <c r="DT122" s="31" t="n">
        <f aca="false">+P122+AE122+AT122+BI122+BX122+CM122+DB122</f>
        <v>615000</v>
      </c>
      <c r="DU122" s="31" t="n">
        <f aca="false">+Q122+AF122+AU122+BJ122+BY122+CN122+DC122</f>
        <v>615000</v>
      </c>
      <c r="DV122" s="31" t="n">
        <f aca="false">+R122+AG122+AV122+BK122+BZ122+CO122+DD122</f>
        <v>615000</v>
      </c>
      <c r="DW122" s="31" t="n">
        <f aca="false">+DU122-DV122</f>
        <v>0</v>
      </c>
    </row>
    <row r="123" customFormat="false" ht="13.8" hidden="false" customHeight="false" outlineLevel="0" collapsed="false">
      <c r="A123" s="27" t="n">
        <v>45352</v>
      </c>
      <c r="B123" s="28" t="s">
        <v>502</v>
      </c>
      <c r="C123" s="28" t="s">
        <v>503</v>
      </c>
      <c r="D123" s="29" t="s">
        <v>504</v>
      </c>
      <c r="E123" s="28" t="s">
        <v>505</v>
      </c>
      <c r="F123" s="27" t="s">
        <v>506</v>
      </c>
      <c r="G123" s="27" t="s">
        <v>18</v>
      </c>
      <c r="H123" s="30" t="n">
        <v>425000</v>
      </c>
      <c r="I123" s="30" t="n">
        <v>425000</v>
      </c>
      <c r="J123" s="6" t="n">
        <v>0</v>
      </c>
      <c r="K123" s="6" t="n">
        <v>0</v>
      </c>
      <c r="L123" s="6" t="n">
        <v>0</v>
      </c>
      <c r="M123" s="6" t="n">
        <v>0</v>
      </c>
      <c r="N123" s="6" t="n">
        <v>0</v>
      </c>
      <c r="O123" s="6" t="n">
        <v>0</v>
      </c>
      <c r="P123" s="6" t="n">
        <f aca="false">+J123+M123</f>
        <v>0</v>
      </c>
      <c r="Q123" s="6" t="n">
        <f aca="false">+K123+N123</f>
        <v>0</v>
      </c>
      <c r="R123" s="6" t="n">
        <f aca="false">+L123+O123</f>
        <v>0</v>
      </c>
      <c r="S123" s="6" t="n">
        <v>0</v>
      </c>
      <c r="T123" s="6" t="n">
        <v>0</v>
      </c>
      <c r="U123" s="6" t="n">
        <v>0</v>
      </c>
      <c r="V123" s="6" t="n">
        <v>0</v>
      </c>
      <c r="W123" s="6" t="n">
        <v>0</v>
      </c>
      <c r="X123" s="6" t="n">
        <v>0</v>
      </c>
      <c r="Y123" s="6" t="n">
        <v>0</v>
      </c>
      <c r="Z123" s="6" t="n">
        <v>0</v>
      </c>
      <c r="AA123" s="6" t="n">
        <v>0</v>
      </c>
      <c r="AB123" s="6" t="n">
        <v>0</v>
      </c>
      <c r="AC123" s="6" t="n">
        <v>0</v>
      </c>
      <c r="AD123" s="6" t="n">
        <v>0</v>
      </c>
      <c r="AE123" s="6" t="n">
        <f aca="false">+Y123+AB123+S123+V123</f>
        <v>0</v>
      </c>
      <c r="AF123" s="6" t="n">
        <f aca="false">+Z123+AC123+T123+W123</f>
        <v>0</v>
      </c>
      <c r="AG123" s="6" t="n">
        <f aca="false">+AA123+AD123+U123+X123</f>
        <v>0</v>
      </c>
      <c r="AH123" s="6" t="n">
        <v>0</v>
      </c>
      <c r="AI123" s="6" t="n">
        <v>0</v>
      </c>
      <c r="AJ123" s="6" t="n">
        <v>0</v>
      </c>
      <c r="AK123" s="6" t="n">
        <v>0</v>
      </c>
      <c r="AL123" s="6" t="n">
        <v>0</v>
      </c>
      <c r="AM123" s="6" t="n">
        <v>0</v>
      </c>
      <c r="AN123" s="6" t="n">
        <v>0</v>
      </c>
      <c r="AO123" s="6" t="n">
        <v>0</v>
      </c>
      <c r="AP123" s="6" t="n">
        <v>0</v>
      </c>
      <c r="AQ123" s="6" t="n">
        <v>0</v>
      </c>
      <c r="AR123" s="6" t="n">
        <v>0</v>
      </c>
      <c r="AS123" s="6" t="n">
        <v>0</v>
      </c>
      <c r="AT123" s="6" t="n">
        <f aca="false">+AN123+AQ123+AH123+AK123</f>
        <v>0</v>
      </c>
      <c r="AU123" s="6" t="n">
        <f aca="false">+AO123+AR123+AI123+AL123</f>
        <v>0</v>
      </c>
      <c r="AV123" s="6" t="n">
        <f aca="false">+AP123+AS123+AJ123+AM123</f>
        <v>0</v>
      </c>
      <c r="AW123" s="6" t="n">
        <v>0</v>
      </c>
      <c r="AX123" s="6" t="n">
        <v>0</v>
      </c>
      <c r="AY123" s="6" t="n">
        <v>0</v>
      </c>
      <c r="AZ123" s="6" t="n">
        <v>0</v>
      </c>
      <c r="BA123" s="6" t="n">
        <v>0</v>
      </c>
      <c r="BB123" s="6" t="n">
        <v>0</v>
      </c>
      <c r="BC123" s="6" t="n">
        <v>0</v>
      </c>
      <c r="BD123" s="6" t="n">
        <v>0</v>
      </c>
      <c r="BE123" s="6" t="n">
        <v>0</v>
      </c>
      <c r="BF123" s="6" t="n">
        <v>0</v>
      </c>
      <c r="BG123" s="6" t="n">
        <v>0</v>
      </c>
      <c r="BH123" s="6" t="n">
        <v>0</v>
      </c>
      <c r="BI123" s="6" t="n">
        <f aca="false">+BC123+BF123+AW123+AZ123</f>
        <v>0</v>
      </c>
      <c r="BJ123" s="6" t="n">
        <f aca="false">+BD123+BG123+AX123+BA123</f>
        <v>0</v>
      </c>
      <c r="BK123" s="6" t="n">
        <f aca="false">+BE123+BH123+AY123+BB123</f>
        <v>0</v>
      </c>
      <c r="BL123" s="6" t="n">
        <v>0</v>
      </c>
      <c r="BM123" s="6" t="n">
        <v>0</v>
      </c>
      <c r="BN123" s="6" t="n">
        <v>0</v>
      </c>
      <c r="BO123" s="30" t="n">
        <v>425000</v>
      </c>
      <c r="BP123" s="30" t="n">
        <v>425000</v>
      </c>
      <c r="BQ123" s="6" t="n">
        <v>0</v>
      </c>
      <c r="BR123" s="6" t="n">
        <v>0</v>
      </c>
      <c r="BS123" s="6" t="n">
        <v>0</v>
      </c>
      <c r="BT123" s="6" t="n">
        <v>400000</v>
      </c>
      <c r="BU123" s="6" t="n">
        <v>0</v>
      </c>
      <c r="BV123" s="6" t="n">
        <v>0</v>
      </c>
      <c r="BW123" s="6" t="n">
        <v>25000</v>
      </c>
      <c r="BX123" s="6" t="n">
        <f aca="false">+BR123+BU123+BL123+BO123</f>
        <v>425000</v>
      </c>
      <c r="BY123" s="6" t="n">
        <f aca="false">+BS123+BV123+BM123+BP123</f>
        <v>425000</v>
      </c>
      <c r="BZ123" s="6" t="n">
        <f aca="false">+BT123+BW123+BN123+BQ123</f>
        <v>425000</v>
      </c>
      <c r="CA123" s="6" t="n">
        <v>0</v>
      </c>
      <c r="CB123" s="6" t="n">
        <v>0</v>
      </c>
      <c r="CC123" s="6" t="n">
        <v>0</v>
      </c>
      <c r="CD123" s="6" t="n">
        <v>0</v>
      </c>
      <c r="CE123" s="6" t="n">
        <v>0</v>
      </c>
      <c r="CF123" s="6" t="n">
        <v>0</v>
      </c>
      <c r="CG123" s="6" t="n">
        <v>0</v>
      </c>
      <c r="CH123" s="6" t="n">
        <v>0</v>
      </c>
      <c r="CI123" s="6" t="n">
        <v>0</v>
      </c>
      <c r="CJ123" s="6" t="n">
        <v>0</v>
      </c>
      <c r="CK123" s="6" t="n">
        <v>0</v>
      </c>
      <c r="CL123" s="6" t="n">
        <v>0</v>
      </c>
      <c r="CM123" s="6" t="n">
        <f aca="false">+CG123+CJ123+CA123+CD123</f>
        <v>0</v>
      </c>
      <c r="CN123" s="6" t="n">
        <f aca="false">+CH123+CK123+CB123+CE123</f>
        <v>0</v>
      </c>
      <c r="CO123" s="6" t="n">
        <f aca="false">+CI123+CL123+CC123+CF123</f>
        <v>0</v>
      </c>
      <c r="CP123" s="6" t="n">
        <v>0</v>
      </c>
      <c r="CQ123" s="6" t="n">
        <v>0</v>
      </c>
      <c r="CR123" s="6" t="n">
        <v>0</v>
      </c>
      <c r="CS123" s="6" t="n">
        <v>0</v>
      </c>
      <c r="CT123" s="6" t="n">
        <v>0</v>
      </c>
      <c r="CU123" s="6" t="n">
        <v>0</v>
      </c>
      <c r="CV123" s="6" t="n">
        <v>0</v>
      </c>
      <c r="CW123" s="6" t="n">
        <v>0</v>
      </c>
      <c r="CX123" s="6" t="n">
        <v>0</v>
      </c>
      <c r="CY123" s="6" t="n">
        <v>0</v>
      </c>
      <c r="CZ123" s="6" t="n">
        <v>0</v>
      </c>
      <c r="DA123" s="6" t="n">
        <v>0</v>
      </c>
      <c r="DB123" s="6" t="n">
        <f aca="false">+CV123+CY123+CP123+CS123</f>
        <v>0</v>
      </c>
      <c r="DC123" s="6" t="n">
        <f aca="false">+CW123+CZ123+CQ123+CT123</f>
        <v>0</v>
      </c>
      <c r="DD123" s="6" t="n">
        <f aca="false">+CX123+DA123+CR123+CU123</f>
        <v>0</v>
      </c>
      <c r="DE123" s="6" t="n">
        <v>0</v>
      </c>
      <c r="DF123" s="6" t="n">
        <v>0</v>
      </c>
      <c r="DG123" s="6" t="n">
        <v>0</v>
      </c>
      <c r="DH123" s="6" t="n">
        <v>0</v>
      </c>
      <c r="DI123" s="6" t="n">
        <v>0</v>
      </c>
      <c r="DJ123" s="6" t="n">
        <v>0</v>
      </c>
      <c r="DK123" s="6" t="n">
        <v>0</v>
      </c>
      <c r="DL123" s="6" t="n">
        <v>0</v>
      </c>
      <c r="DM123" s="6" t="n">
        <v>0</v>
      </c>
      <c r="DN123" s="6" t="n">
        <v>0</v>
      </c>
      <c r="DO123" s="6" t="n">
        <v>0</v>
      </c>
      <c r="DP123" s="6" t="n">
        <v>0</v>
      </c>
      <c r="DQ123" s="6" t="n">
        <f aca="false">+DK123+DN123+DE123+DH123</f>
        <v>0</v>
      </c>
      <c r="DR123" s="6" t="n">
        <f aca="false">+DL123+DO123+DF123+DI123</f>
        <v>0</v>
      </c>
      <c r="DS123" s="6" t="n">
        <f aca="false">+DM123+DP123+DG123+DJ123</f>
        <v>0</v>
      </c>
      <c r="DT123" s="31" t="n">
        <f aca="false">+P123+AE123+AT123+BI123+BX123+CM123+DB123</f>
        <v>425000</v>
      </c>
      <c r="DU123" s="31" t="n">
        <f aca="false">+Q123+AF123+AU123+BJ123+BY123+CN123+DC123</f>
        <v>425000</v>
      </c>
      <c r="DV123" s="31" t="n">
        <f aca="false">+R123+AG123+AV123+BK123+BZ123+CO123+DD123</f>
        <v>425000</v>
      </c>
      <c r="DW123" s="31" t="n">
        <f aca="false">+DU123-DV123</f>
        <v>0</v>
      </c>
    </row>
    <row r="124" customFormat="false" ht="13.8" hidden="false" customHeight="false" outlineLevel="0" collapsed="false">
      <c r="A124" s="27" t="n">
        <v>45348</v>
      </c>
      <c r="B124" s="28" t="s">
        <v>507</v>
      </c>
      <c r="C124" s="28" t="s">
        <v>508</v>
      </c>
      <c r="D124" s="29" t="s">
        <v>509</v>
      </c>
      <c r="E124" s="28" t="s">
        <v>510</v>
      </c>
      <c r="F124" s="27" t="s">
        <v>511</v>
      </c>
      <c r="G124" s="27" t="s">
        <v>18</v>
      </c>
      <c r="H124" s="30" t="n">
        <v>515300</v>
      </c>
      <c r="I124" s="30" t="n">
        <v>515300</v>
      </c>
      <c r="J124" s="6" t="n">
        <v>0</v>
      </c>
      <c r="K124" s="6" t="n">
        <v>0</v>
      </c>
      <c r="L124" s="6" t="n">
        <v>0</v>
      </c>
      <c r="M124" s="6" t="n">
        <v>0</v>
      </c>
      <c r="N124" s="6" t="n">
        <v>0</v>
      </c>
      <c r="O124" s="6" t="n">
        <v>0</v>
      </c>
      <c r="P124" s="6" t="n">
        <f aca="false">+J124+M124</f>
        <v>0</v>
      </c>
      <c r="Q124" s="6" t="n">
        <f aca="false">+K124+N124</f>
        <v>0</v>
      </c>
      <c r="R124" s="6" t="n">
        <f aca="false">+L124+O124</f>
        <v>0</v>
      </c>
      <c r="S124" s="6" t="n">
        <v>0</v>
      </c>
      <c r="T124" s="6" t="n">
        <v>0</v>
      </c>
      <c r="U124" s="6" t="n">
        <v>0</v>
      </c>
      <c r="V124" s="6" t="n">
        <v>0</v>
      </c>
      <c r="W124" s="6" t="n">
        <v>0</v>
      </c>
      <c r="X124" s="6" t="n">
        <v>0</v>
      </c>
      <c r="Y124" s="6" t="n">
        <v>0</v>
      </c>
      <c r="Z124" s="6" t="n">
        <v>0</v>
      </c>
      <c r="AA124" s="6" t="n">
        <v>0</v>
      </c>
      <c r="AB124" s="6" t="n">
        <v>0</v>
      </c>
      <c r="AC124" s="6" t="n">
        <v>0</v>
      </c>
      <c r="AD124" s="6" t="n">
        <v>0</v>
      </c>
      <c r="AE124" s="6" t="n">
        <f aca="false">+Y124+AB124+S124+V124</f>
        <v>0</v>
      </c>
      <c r="AF124" s="6" t="n">
        <f aca="false">+Z124+AC124+T124+W124</f>
        <v>0</v>
      </c>
      <c r="AG124" s="6" t="n">
        <f aca="false">+AA124+AD124+U124+X124</f>
        <v>0</v>
      </c>
      <c r="AH124" s="6" t="n">
        <v>0</v>
      </c>
      <c r="AI124" s="6" t="n">
        <v>0</v>
      </c>
      <c r="AJ124" s="6" t="n">
        <v>0</v>
      </c>
      <c r="AK124" s="6" t="n">
        <v>0</v>
      </c>
      <c r="AL124" s="6" t="n">
        <v>0</v>
      </c>
      <c r="AM124" s="6" t="n">
        <v>0</v>
      </c>
      <c r="AN124" s="6" t="n">
        <v>0</v>
      </c>
      <c r="AO124" s="6" t="n">
        <v>0</v>
      </c>
      <c r="AP124" s="6" t="n">
        <v>0</v>
      </c>
      <c r="AQ124" s="6" t="n">
        <v>0</v>
      </c>
      <c r="AR124" s="6" t="n">
        <v>0</v>
      </c>
      <c r="AS124" s="6" t="n">
        <v>0</v>
      </c>
      <c r="AT124" s="6" t="n">
        <f aca="false">+AN124+AQ124+AH124+AK124</f>
        <v>0</v>
      </c>
      <c r="AU124" s="6" t="n">
        <f aca="false">+AO124+AR124+AI124+AL124</f>
        <v>0</v>
      </c>
      <c r="AV124" s="6" t="n">
        <f aca="false">+AP124+AS124+AJ124+AM124</f>
        <v>0</v>
      </c>
      <c r="AW124" s="6" t="n">
        <v>0</v>
      </c>
      <c r="AX124" s="6" t="n">
        <v>0</v>
      </c>
      <c r="AY124" s="6" t="n">
        <v>0</v>
      </c>
      <c r="AZ124" s="6" t="n">
        <v>0</v>
      </c>
      <c r="BA124" s="6" t="n">
        <v>0</v>
      </c>
      <c r="BB124" s="6" t="n">
        <v>0</v>
      </c>
      <c r="BC124" s="6" t="n">
        <v>0</v>
      </c>
      <c r="BD124" s="6" t="n">
        <v>0</v>
      </c>
      <c r="BE124" s="6" t="n">
        <v>0</v>
      </c>
      <c r="BF124" s="6" t="n">
        <v>0</v>
      </c>
      <c r="BG124" s="6" t="n">
        <v>0</v>
      </c>
      <c r="BH124" s="6" t="n">
        <v>0</v>
      </c>
      <c r="BI124" s="6" t="n">
        <f aca="false">+BC124+BF124+AW124+AZ124</f>
        <v>0</v>
      </c>
      <c r="BJ124" s="6" t="n">
        <f aca="false">+BD124+BG124+AX124+BA124</f>
        <v>0</v>
      </c>
      <c r="BK124" s="6" t="n">
        <f aca="false">+BE124+BH124+AY124+BB124</f>
        <v>0</v>
      </c>
      <c r="BL124" s="6" t="n">
        <v>0</v>
      </c>
      <c r="BM124" s="6" t="n">
        <v>0</v>
      </c>
      <c r="BN124" s="6" t="n">
        <v>0</v>
      </c>
      <c r="BO124" s="30" t="n">
        <v>515300</v>
      </c>
      <c r="BP124" s="30" t="n">
        <v>515300</v>
      </c>
      <c r="BQ124" s="6" t="n">
        <v>0</v>
      </c>
      <c r="BR124" s="6" t="n">
        <v>0</v>
      </c>
      <c r="BS124" s="6" t="n">
        <v>0</v>
      </c>
      <c r="BT124" s="6" t="n">
        <v>0</v>
      </c>
      <c r="BU124" s="6" t="n">
        <v>0</v>
      </c>
      <c r="BV124" s="6" t="n">
        <v>0</v>
      </c>
      <c r="BW124" s="6" t="n">
        <v>75000</v>
      </c>
      <c r="BX124" s="6" t="n">
        <f aca="false">+BR124+BU124+BL124+BO124</f>
        <v>515300</v>
      </c>
      <c r="BY124" s="6" t="n">
        <f aca="false">+BS124+BV124+BM124+BP124</f>
        <v>515300</v>
      </c>
      <c r="BZ124" s="6" t="n">
        <f aca="false">+BT124+BW124+BN124+BQ124</f>
        <v>75000</v>
      </c>
      <c r="CA124" s="6" t="n">
        <v>0</v>
      </c>
      <c r="CB124" s="6" t="n">
        <v>0</v>
      </c>
      <c r="CC124" s="6" t="n">
        <v>440300</v>
      </c>
      <c r="CD124" s="6" t="n">
        <v>0</v>
      </c>
      <c r="CE124" s="6" t="n">
        <v>0</v>
      </c>
      <c r="CF124" s="6" t="n">
        <v>0</v>
      </c>
      <c r="CG124" s="6" t="n">
        <v>0</v>
      </c>
      <c r="CH124" s="6" t="n">
        <v>0</v>
      </c>
      <c r="CI124" s="6" t="n">
        <v>0</v>
      </c>
      <c r="CJ124" s="6" t="n">
        <v>0</v>
      </c>
      <c r="CK124" s="6" t="n">
        <v>0</v>
      </c>
      <c r="CL124" s="6" t="n">
        <v>0</v>
      </c>
      <c r="CM124" s="6" t="n">
        <f aca="false">+CG124+CJ124+CA124+CD124</f>
        <v>0</v>
      </c>
      <c r="CN124" s="6" t="n">
        <f aca="false">+CH124+CK124+CB124+CE124</f>
        <v>0</v>
      </c>
      <c r="CO124" s="6" t="n">
        <f aca="false">+CI124+CL124+CC124+CF124</f>
        <v>440300</v>
      </c>
      <c r="CP124" s="6" t="n">
        <v>0</v>
      </c>
      <c r="CQ124" s="6" t="n">
        <v>0</v>
      </c>
      <c r="CR124" s="6" t="n">
        <v>0</v>
      </c>
      <c r="CS124" s="6" t="n">
        <v>0</v>
      </c>
      <c r="CT124" s="6" t="n">
        <v>0</v>
      </c>
      <c r="CU124" s="6" t="n">
        <v>0</v>
      </c>
      <c r="CV124" s="6" t="n">
        <v>0</v>
      </c>
      <c r="CW124" s="6" t="n">
        <v>0</v>
      </c>
      <c r="CX124" s="6" t="n">
        <v>0</v>
      </c>
      <c r="CY124" s="6" t="n">
        <v>0</v>
      </c>
      <c r="CZ124" s="6" t="n">
        <v>0</v>
      </c>
      <c r="DA124" s="6" t="n">
        <v>0</v>
      </c>
      <c r="DB124" s="6" t="n">
        <f aca="false">+CV124+CY124+CP124+CS124</f>
        <v>0</v>
      </c>
      <c r="DC124" s="6" t="n">
        <f aca="false">+CW124+CZ124+CQ124+CT124</f>
        <v>0</v>
      </c>
      <c r="DD124" s="6" t="n">
        <f aca="false">+CX124+DA124+CR124+CU124</f>
        <v>0</v>
      </c>
      <c r="DE124" s="6" t="n">
        <v>0</v>
      </c>
      <c r="DF124" s="6" t="n">
        <v>0</v>
      </c>
      <c r="DG124" s="6" t="n">
        <v>0</v>
      </c>
      <c r="DH124" s="6" t="n">
        <v>0</v>
      </c>
      <c r="DI124" s="6" t="n">
        <v>0</v>
      </c>
      <c r="DJ124" s="6" t="n">
        <v>0</v>
      </c>
      <c r="DK124" s="6" t="n">
        <v>0</v>
      </c>
      <c r="DL124" s="6" t="n">
        <v>0</v>
      </c>
      <c r="DM124" s="6" t="n">
        <v>0</v>
      </c>
      <c r="DN124" s="6" t="n">
        <v>0</v>
      </c>
      <c r="DO124" s="6" t="n">
        <v>0</v>
      </c>
      <c r="DP124" s="6" t="n">
        <v>0</v>
      </c>
      <c r="DQ124" s="6" t="n">
        <f aca="false">+DK124+DN124+DE124+DH124</f>
        <v>0</v>
      </c>
      <c r="DR124" s="6" t="n">
        <f aca="false">+DL124+DO124+DF124+DI124</f>
        <v>0</v>
      </c>
      <c r="DS124" s="6" t="n">
        <f aca="false">+DM124+DP124+DG124+DJ124</f>
        <v>0</v>
      </c>
      <c r="DT124" s="31" t="n">
        <f aca="false">+P124+AE124+AT124+BI124+BX124+CM124+DB124</f>
        <v>515300</v>
      </c>
      <c r="DU124" s="31" t="n">
        <f aca="false">+Q124+AF124+AU124+BJ124+BY124+CN124+DC124</f>
        <v>515300</v>
      </c>
      <c r="DV124" s="31" t="n">
        <f aca="false">+R124+AG124+AV124+BK124+BZ124+CO124+DD124</f>
        <v>515300</v>
      </c>
      <c r="DW124" s="31" t="n">
        <f aca="false">+DU124-DV124</f>
        <v>0</v>
      </c>
    </row>
    <row r="125" customFormat="false" ht="13.8" hidden="false" customHeight="false" outlineLevel="0" collapsed="false">
      <c r="A125" s="27" t="n">
        <v>45348</v>
      </c>
      <c r="B125" s="28" t="s">
        <v>507</v>
      </c>
      <c r="C125" s="28" t="s">
        <v>508</v>
      </c>
      <c r="D125" s="29" t="s">
        <v>509</v>
      </c>
      <c r="E125" s="28" t="s">
        <v>510</v>
      </c>
      <c r="F125" s="27" t="s">
        <v>512</v>
      </c>
      <c r="G125" s="27" t="s">
        <v>18</v>
      </c>
      <c r="H125" s="30" t="n">
        <v>775073.28</v>
      </c>
      <c r="I125" s="30" t="n">
        <v>775073.28</v>
      </c>
      <c r="J125" s="6" t="n">
        <v>0</v>
      </c>
      <c r="K125" s="6" t="n">
        <v>0</v>
      </c>
      <c r="L125" s="6" t="n">
        <v>0</v>
      </c>
      <c r="M125" s="6" t="n">
        <v>0</v>
      </c>
      <c r="N125" s="6" t="n">
        <v>0</v>
      </c>
      <c r="O125" s="6" t="n">
        <v>0</v>
      </c>
      <c r="P125" s="6" t="n">
        <f aca="false">+J125+M125</f>
        <v>0</v>
      </c>
      <c r="Q125" s="6" t="n">
        <f aca="false">+K125+N125</f>
        <v>0</v>
      </c>
      <c r="R125" s="6" t="n">
        <f aca="false">+L125+O125</f>
        <v>0</v>
      </c>
      <c r="S125" s="6" t="n">
        <v>0</v>
      </c>
      <c r="T125" s="6" t="n">
        <v>0</v>
      </c>
      <c r="U125" s="6" t="n">
        <v>0</v>
      </c>
      <c r="V125" s="6" t="n">
        <v>0</v>
      </c>
      <c r="W125" s="6" t="n">
        <v>0</v>
      </c>
      <c r="X125" s="6" t="n">
        <v>0</v>
      </c>
      <c r="Y125" s="6" t="n">
        <v>0</v>
      </c>
      <c r="Z125" s="6" t="n">
        <v>0</v>
      </c>
      <c r="AA125" s="6" t="n">
        <v>0</v>
      </c>
      <c r="AB125" s="6" t="n">
        <v>0</v>
      </c>
      <c r="AC125" s="6" t="n">
        <v>0</v>
      </c>
      <c r="AD125" s="6" t="n">
        <v>0</v>
      </c>
      <c r="AE125" s="6" t="n">
        <f aca="false">+Y125+AB125+S125+V125</f>
        <v>0</v>
      </c>
      <c r="AF125" s="6" t="n">
        <f aca="false">+Z125+AC125+T125+W125</f>
        <v>0</v>
      </c>
      <c r="AG125" s="6" t="n">
        <f aca="false">+AA125+AD125+U125+X125</f>
        <v>0</v>
      </c>
      <c r="AH125" s="6" t="n">
        <v>0</v>
      </c>
      <c r="AI125" s="6" t="n">
        <v>0</v>
      </c>
      <c r="AJ125" s="6" t="n">
        <v>0</v>
      </c>
      <c r="AK125" s="6" t="n">
        <v>0</v>
      </c>
      <c r="AL125" s="6" t="n">
        <v>0</v>
      </c>
      <c r="AM125" s="6" t="n">
        <v>0</v>
      </c>
      <c r="AN125" s="6" t="n">
        <v>0</v>
      </c>
      <c r="AO125" s="6" t="n">
        <v>0</v>
      </c>
      <c r="AP125" s="6" t="n">
        <v>0</v>
      </c>
      <c r="AQ125" s="6" t="n">
        <v>0</v>
      </c>
      <c r="AR125" s="6" t="n">
        <v>0</v>
      </c>
      <c r="AS125" s="6" t="n">
        <v>0</v>
      </c>
      <c r="AT125" s="6" t="n">
        <f aca="false">+AN125+AQ125+AH125+AK125</f>
        <v>0</v>
      </c>
      <c r="AU125" s="6" t="n">
        <f aca="false">+AO125+AR125+AI125+AL125</f>
        <v>0</v>
      </c>
      <c r="AV125" s="6" t="n">
        <f aca="false">+AP125+AS125+AJ125+AM125</f>
        <v>0</v>
      </c>
      <c r="AW125" s="6" t="n">
        <v>0</v>
      </c>
      <c r="AX125" s="6" t="n">
        <v>0</v>
      </c>
      <c r="AY125" s="6" t="n">
        <v>0</v>
      </c>
      <c r="AZ125" s="6" t="n">
        <v>0</v>
      </c>
      <c r="BA125" s="6" t="n">
        <v>0</v>
      </c>
      <c r="BB125" s="6" t="n">
        <v>0</v>
      </c>
      <c r="BC125" s="6" t="n">
        <v>0</v>
      </c>
      <c r="BD125" s="6" t="n">
        <v>0</v>
      </c>
      <c r="BE125" s="6" t="n">
        <v>0</v>
      </c>
      <c r="BF125" s="6" t="n">
        <v>0</v>
      </c>
      <c r="BG125" s="6" t="n">
        <v>0</v>
      </c>
      <c r="BH125" s="6" t="n">
        <v>0</v>
      </c>
      <c r="BI125" s="6" t="n">
        <f aca="false">+BC125+BF125+AW125+AZ125</f>
        <v>0</v>
      </c>
      <c r="BJ125" s="6" t="n">
        <f aca="false">+BD125+BG125+AX125+BA125</f>
        <v>0</v>
      </c>
      <c r="BK125" s="6" t="n">
        <f aca="false">+BE125+BH125+AY125+BB125</f>
        <v>0</v>
      </c>
      <c r="BL125" s="6" t="n">
        <v>0</v>
      </c>
      <c r="BM125" s="6" t="n">
        <v>0</v>
      </c>
      <c r="BN125" s="6" t="n">
        <v>0</v>
      </c>
      <c r="BO125" s="30" t="n">
        <v>775073.28</v>
      </c>
      <c r="BP125" s="30" t="n">
        <v>775073.28</v>
      </c>
      <c r="BQ125" s="6" t="n">
        <v>0</v>
      </c>
      <c r="BR125" s="6" t="n">
        <v>0</v>
      </c>
      <c r="BS125" s="6" t="n">
        <v>0</v>
      </c>
      <c r="BT125" s="6" t="n">
        <v>775073.28</v>
      </c>
      <c r="BU125" s="6" t="n">
        <v>0</v>
      </c>
      <c r="BV125" s="6" t="n">
        <v>0</v>
      </c>
      <c r="BW125" s="6" t="n">
        <v>0</v>
      </c>
      <c r="BX125" s="6" t="n">
        <f aca="false">+BR125+BU125+BL125+BO125</f>
        <v>775073.28</v>
      </c>
      <c r="BY125" s="6" t="n">
        <f aca="false">+BS125+BV125+BM125+BP125</f>
        <v>775073.28</v>
      </c>
      <c r="BZ125" s="6" t="n">
        <f aca="false">+BT125+BW125+BN125+BQ125</f>
        <v>775073.28</v>
      </c>
      <c r="CA125" s="6" t="n">
        <v>0</v>
      </c>
      <c r="CB125" s="6" t="n">
        <v>0</v>
      </c>
      <c r="CC125" s="6" t="n">
        <v>0</v>
      </c>
      <c r="CD125" s="6" t="n">
        <v>0</v>
      </c>
      <c r="CE125" s="6" t="n">
        <v>0</v>
      </c>
      <c r="CF125" s="6" t="n">
        <v>0</v>
      </c>
      <c r="CG125" s="6" t="n">
        <v>0</v>
      </c>
      <c r="CH125" s="6" t="n">
        <v>0</v>
      </c>
      <c r="CI125" s="6" t="n">
        <v>0</v>
      </c>
      <c r="CJ125" s="6" t="n">
        <v>0</v>
      </c>
      <c r="CK125" s="6" t="n">
        <v>0</v>
      </c>
      <c r="CL125" s="6" t="n">
        <v>0</v>
      </c>
      <c r="CM125" s="6" t="n">
        <f aca="false">+CG125+CJ125+CA125+CD125</f>
        <v>0</v>
      </c>
      <c r="CN125" s="6" t="n">
        <f aca="false">+CH125+CK125+CB125+CE125</f>
        <v>0</v>
      </c>
      <c r="CO125" s="6" t="n">
        <f aca="false">+CI125+CL125+CC125+CF125</f>
        <v>0</v>
      </c>
      <c r="CP125" s="30" t="n">
        <v>65046.88</v>
      </c>
      <c r="CQ125" s="30" t="n">
        <v>65046.88</v>
      </c>
      <c r="CR125" s="6" t="n">
        <v>0</v>
      </c>
      <c r="CS125" s="6" t="n">
        <v>0</v>
      </c>
      <c r="CT125" s="6" t="n">
        <v>0</v>
      </c>
      <c r="CU125" s="6" t="n">
        <v>0</v>
      </c>
      <c r="CV125" s="6" t="n">
        <v>0</v>
      </c>
      <c r="CW125" s="6" t="n">
        <v>0</v>
      </c>
      <c r="CX125" s="6" t="n">
        <v>0</v>
      </c>
      <c r="CY125" s="6" t="n">
        <v>0</v>
      </c>
      <c r="CZ125" s="6" t="n">
        <v>0</v>
      </c>
      <c r="DA125" s="6" t="n">
        <v>0</v>
      </c>
      <c r="DB125" s="6" t="n">
        <f aca="false">+CV125+CY125+CP125+CS125</f>
        <v>65046.88</v>
      </c>
      <c r="DC125" s="6" t="n">
        <f aca="false">+CW125+CZ125+CQ125+CT125</f>
        <v>65046.88</v>
      </c>
      <c r="DD125" s="6" t="n">
        <f aca="false">+CX125+DA125+CR125+CU125</f>
        <v>0</v>
      </c>
      <c r="DE125" s="30" t="n">
        <v>65046.88</v>
      </c>
      <c r="DF125" s="30" t="n">
        <v>65046.88</v>
      </c>
      <c r="DG125" s="6" t="n">
        <v>0</v>
      </c>
      <c r="DH125" s="6" t="n">
        <v>0</v>
      </c>
      <c r="DI125" s="6" t="n">
        <v>0</v>
      </c>
      <c r="DJ125" s="6" t="n">
        <v>0</v>
      </c>
      <c r="DK125" s="6" t="n">
        <v>0</v>
      </c>
      <c r="DL125" s="6" t="n">
        <v>0</v>
      </c>
      <c r="DM125" s="6" t="n">
        <v>0</v>
      </c>
      <c r="DN125" s="6" t="n">
        <v>0</v>
      </c>
      <c r="DO125" s="6" t="n">
        <v>0</v>
      </c>
      <c r="DP125" s="6" t="n">
        <v>0</v>
      </c>
      <c r="DQ125" s="6" t="n">
        <f aca="false">+DK125+DN125+DE125+DH125</f>
        <v>65046.88</v>
      </c>
      <c r="DR125" s="6" t="n">
        <f aca="false">+DL125+DO125+DF125+DI125</f>
        <v>65046.88</v>
      </c>
      <c r="DS125" s="6" t="n">
        <f aca="false">+DM125+DP125+DG125+DJ125</f>
        <v>0</v>
      </c>
      <c r="DT125" s="31" t="n">
        <f aca="false">+P125+AE125+AT125+BI125+BX125+CM125+DB125</f>
        <v>840120.16</v>
      </c>
      <c r="DU125" s="31" t="n">
        <f aca="false">+Q125+AF125+AU125+BJ125+BY125+CN125+DC125</f>
        <v>840120.16</v>
      </c>
      <c r="DV125" s="31" t="n">
        <f aca="false">+R125+AG125+AV125+BK125+BZ125+CO125+DD125</f>
        <v>775073.28</v>
      </c>
      <c r="DW125" s="31" t="n">
        <f aca="false">+DU125-DV125</f>
        <v>65046.88</v>
      </c>
    </row>
    <row r="126" customFormat="false" ht="13.8" hidden="false" customHeight="false" outlineLevel="0" collapsed="false">
      <c r="A126" s="27" t="n">
        <v>45364</v>
      </c>
      <c r="B126" s="28" t="s">
        <v>513</v>
      </c>
      <c r="C126" s="28" t="s">
        <v>514</v>
      </c>
      <c r="D126" s="29" t="s">
        <v>515</v>
      </c>
      <c r="E126" s="28" t="s">
        <v>516</v>
      </c>
      <c r="F126" s="27" t="s">
        <v>517</v>
      </c>
      <c r="G126" s="27" t="s">
        <v>18</v>
      </c>
      <c r="H126" s="30" t="n">
        <v>1644300</v>
      </c>
      <c r="I126" s="30" t="n">
        <v>1644300</v>
      </c>
      <c r="J126" s="6" t="n">
        <v>0</v>
      </c>
      <c r="K126" s="6" t="n">
        <v>0</v>
      </c>
      <c r="L126" s="6" t="n">
        <v>0</v>
      </c>
      <c r="M126" s="6" t="n">
        <v>0</v>
      </c>
      <c r="N126" s="6" t="n">
        <v>0</v>
      </c>
      <c r="O126" s="6" t="n">
        <v>0</v>
      </c>
      <c r="P126" s="6" t="n">
        <f aca="false">+J126+M126</f>
        <v>0</v>
      </c>
      <c r="Q126" s="6" t="n">
        <f aca="false">+K126+N126</f>
        <v>0</v>
      </c>
      <c r="R126" s="6" t="n">
        <f aca="false">+L126+O126</f>
        <v>0</v>
      </c>
      <c r="S126" s="6" t="n">
        <v>0</v>
      </c>
      <c r="T126" s="6" t="n">
        <v>0</v>
      </c>
      <c r="U126" s="6" t="n">
        <v>0</v>
      </c>
      <c r="V126" s="6" t="n">
        <v>0</v>
      </c>
      <c r="W126" s="6" t="n">
        <v>0</v>
      </c>
      <c r="X126" s="6" t="n">
        <v>0</v>
      </c>
      <c r="Y126" s="6" t="n">
        <v>0</v>
      </c>
      <c r="Z126" s="6" t="n">
        <v>0</v>
      </c>
      <c r="AA126" s="6" t="n">
        <v>0</v>
      </c>
      <c r="AB126" s="6" t="n">
        <v>0</v>
      </c>
      <c r="AC126" s="6" t="n">
        <v>0</v>
      </c>
      <c r="AD126" s="6" t="n">
        <v>0</v>
      </c>
      <c r="AE126" s="6" t="n">
        <f aca="false">+Y126+AB126+S126+V126</f>
        <v>0</v>
      </c>
      <c r="AF126" s="6" t="n">
        <f aca="false">+Z126+AC126+T126+W126</f>
        <v>0</v>
      </c>
      <c r="AG126" s="6" t="n">
        <f aca="false">+AA126+AD126+U126+X126</f>
        <v>0</v>
      </c>
      <c r="AH126" s="6" t="n">
        <v>0</v>
      </c>
      <c r="AI126" s="6" t="n">
        <v>0</v>
      </c>
      <c r="AJ126" s="6" t="n">
        <v>0</v>
      </c>
      <c r="AK126" s="6" t="n">
        <v>0</v>
      </c>
      <c r="AL126" s="6" t="n">
        <v>0</v>
      </c>
      <c r="AM126" s="6" t="n">
        <v>0</v>
      </c>
      <c r="AN126" s="6" t="n">
        <v>0</v>
      </c>
      <c r="AO126" s="6" t="n">
        <v>0</v>
      </c>
      <c r="AP126" s="6" t="n">
        <v>0</v>
      </c>
      <c r="AQ126" s="6" t="n">
        <v>0</v>
      </c>
      <c r="AR126" s="6" t="n">
        <v>0</v>
      </c>
      <c r="AS126" s="6" t="n">
        <v>0</v>
      </c>
      <c r="AT126" s="6" t="n">
        <f aca="false">+AN126+AQ126+AH126+AK126</f>
        <v>0</v>
      </c>
      <c r="AU126" s="6" t="n">
        <f aca="false">+AO126+AR126+AI126+AL126</f>
        <v>0</v>
      </c>
      <c r="AV126" s="6" t="n">
        <f aca="false">+AP126+AS126+AJ126+AM126</f>
        <v>0</v>
      </c>
      <c r="AW126" s="6" t="n">
        <v>0</v>
      </c>
      <c r="AX126" s="6" t="n">
        <v>0</v>
      </c>
      <c r="AY126" s="6" t="n">
        <v>0</v>
      </c>
      <c r="AZ126" s="6" t="n">
        <v>0</v>
      </c>
      <c r="BA126" s="6" t="n">
        <v>0</v>
      </c>
      <c r="BB126" s="6" t="n">
        <v>0</v>
      </c>
      <c r="BC126" s="6" t="n">
        <v>0</v>
      </c>
      <c r="BD126" s="6" t="n">
        <v>0</v>
      </c>
      <c r="BE126" s="6" t="n">
        <v>0</v>
      </c>
      <c r="BF126" s="6" t="n">
        <v>0</v>
      </c>
      <c r="BG126" s="6" t="n">
        <v>0</v>
      </c>
      <c r="BH126" s="6" t="n">
        <v>0</v>
      </c>
      <c r="BI126" s="6" t="n">
        <f aca="false">+BC126+BF126+AW126+AZ126</f>
        <v>0</v>
      </c>
      <c r="BJ126" s="6" t="n">
        <f aca="false">+BD126+BG126+AX126+BA126</f>
        <v>0</v>
      </c>
      <c r="BK126" s="6" t="n">
        <f aca="false">+BE126+BH126+AY126+BB126</f>
        <v>0</v>
      </c>
      <c r="BL126" s="6" t="n">
        <v>0</v>
      </c>
      <c r="BM126" s="6" t="n">
        <v>0</v>
      </c>
      <c r="BN126" s="6" t="n">
        <v>0</v>
      </c>
      <c r="BO126" s="30" t="n">
        <v>1644300</v>
      </c>
      <c r="BP126" s="30" t="n">
        <v>1644300</v>
      </c>
      <c r="BQ126" s="6" t="n">
        <v>0</v>
      </c>
      <c r="BR126" s="6" t="n">
        <v>0</v>
      </c>
      <c r="BS126" s="6" t="n">
        <v>0</v>
      </c>
      <c r="BT126" s="6" t="n">
        <v>30000</v>
      </c>
      <c r="BU126" s="6" t="n">
        <v>0</v>
      </c>
      <c r="BV126" s="6" t="n">
        <v>0</v>
      </c>
      <c r="BW126" s="6" t="n">
        <v>100000</v>
      </c>
      <c r="BX126" s="6" t="n">
        <f aca="false">+BR126+BU126+BL126+BO126</f>
        <v>1644300</v>
      </c>
      <c r="BY126" s="6" t="n">
        <f aca="false">+BS126+BV126+BM126+BP126</f>
        <v>1644300</v>
      </c>
      <c r="BZ126" s="6" t="n">
        <f aca="false">+BT126+BW126+BN126+BQ126</f>
        <v>130000</v>
      </c>
      <c r="CA126" s="6" t="n">
        <v>0</v>
      </c>
      <c r="CB126" s="6" t="n">
        <v>0</v>
      </c>
      <c r="CC126" s="6" t="n">
        <v>1214226.72</v>
      </c>
      <c r="CD126" s="6" t="n">
        <v>0</v>
      </c>
      <c r="CE126" s="6" t="n">
        <v>0</v>
      </c>
      <c r="CF126" s="6" t="n">
        <v>300073.28</v>
      </c>
      <c r="CG126" s="6" t="n">
        <v>0</v>
      </c>
      <c r="CH126" s="6" t="n">
        <v>0</v>
      </c>
      <c r="CI126" s="6" t="n">
        <v>0</v>
      </c>
      <c r="CJ126" s="6" t="n">
        <v>0</v>
      </c>
      <c r="CK126" s="6" t="n">
        <v>0</v>
      </c>
      <c r="CL126" s="6" t="n">
        <v>0</v>
      </c>
      <c r="CM126" s="6" t="n">
        <f aca="false">+CG126+CJ126+CA126+CD126</f>
        <v>0</v>
      </c>
      <c r="CN126" s="6" t="n">
        <f aca="false">+CH126+CK126+CB126+CE126</f>
        <v>0</v>
      </c>
      <c r="CO126" s="6" t="n">
        <f aca="false">+CI126+CL126+CC126+CF126</f>
        <v>1514300</v>
      </c>
      <c r="CP126" s="6" t="n">
        <v>0</v>
      </c>
      <c r="CQ126" s="6" t="n">
        <v>0</v>
      </c>
      <c r="CR126" s="6" t="n">
        <v>0</v>
      </c>
      <c r="CS126" s="6" t="n">
        <v>0</v>
      </c>
      <c r="CT126" s="6" t="n">
        <v>0</v>
      </c>
      <c r="CU126" s="6" t="n">
        <v>0</v>
      </c>
      <c r="CV126" s="6" t="n">
        <v>0</v>
      </c>
      <c r="CW126" s="6" t="n">
        <v>0</v>
      </c>
      <c r="CX126" s="6" t="n">
        <v>0</v>
      </c>
      <c r="CY126" s="6" t="n">
        <v>0</v>
      </c>
      <c r="CZ126" s="6" t="n">
        <v>0</v>
      </c>
      <c r="DA126" s="6" t="n">
        <v>0</v>
      </c>
      <c r="DB126" s="6" t="n">
        <f aca="false">+CV126+CY126+CP126+CS126</f>
        <v>0</v>
      </c>
      <c r="DC126" s="6" t="n">
        <f aca="false">+CW126+CZ126+CQ126+CT126</f>
        <v>0</v>
      </c>
      <c r="DD126" s="6" t="n">
        <f aca="false">+CX126+DA126+CR126+CU126</f>
        <v>0</v>
      </c>
      <c r="DE126" s="6" t="n">
        <v>0</v>
      </c>
      <c r="DF126" s="6" t="n">
        <v>0</v>
      </c>
      <c r="DG126" s="6" t="n">
        <v>0</v>
      </c>
      <c r="DH126" s="6" t="n">
        <v>0</v>
      </c>
      <c r="DI126" s="6" t="n">
        <v>0</v>
      </c>
      <c r="DJ126" s="6" t="n">
        <v>0</v>
      </c>
      <c r="DK126" s="6" t="n">
        <v>0</v>
      </c>
      <c r="DL126" s="6" t="n">
        <v>0</v>
      </c>
      <c r="DM126" s="6" t="n">
        <v>0</v>
      </c>
      <c r="DN126" s="6" t="n">
        <v>0</v>
      </c>
      <c r="DO126" s="6" t="n">
        <v>0</v>
      </c>
      <c r="DP126" s="6" t="n">
        <v>0</v>
      </c>
      <c r="DQ126" s="6" t="n">
        <f aca="false">+DK126+DN126+DE126+DH126</f>
        <v>0</v>
      </c>
      <c r="DR126" s="6" t="n">
        <f aca="false">+DL126+DO126+DF126+DI126</f>
        <v>0</v>
      </c>
      <c r="DS126" s="6" t="n">
        <f aca="false">+DM126+DP126+DG126+DJ126</f>
        <v>0</v>
      </c>
      <c r="DT126" s="31" t="n">
        <f aca="false">+P126+AE126+AT126+BI126+BX126+CM126+DB126</f>
        <v>1644300</v>
      </c>
      <c r="DU126" s="31" t="n">
        <f aca="false">+Q126+AF126+AU126+BJ126+BY126+CN126+DC126</f>
        <v>1644300</v>
      </c>
      <c r="DV126" s="31" t="n">
        <f aca="false">+R126+AG126+AV126+BK126+BZ126+CO126+DD126</f>
        <v>1644300</v>
      </c>
      <c r="DW126" s="31" t="n">
        <f aca="false">+DU126-DV126</f>
        <v>0</v>
      </c>
    </row>
    <row r="127" customFormat="false" ht="13.8" hidden="false" customHeight="false" outlineLevel="0" collapsed="false">
      <c r="A127" s="27" t="n">
        <v>45372</v>
      </c>
      <c r="B127" s="28" t="s">
        <v>518</v>
      </c>
      <c r="C127" s="28" t="s">
        <v>519</v>
      </c>
      <c r="D127" s="29" t="s">
        <v>520</v>
      </c>
      <c r="E127" s="28" t="s">
        <v>521</v>
      </c>
      <c r="F127" s="27" t="s">
        <v>522</v>
      </c>
      <c r="G127" s="27" t="s">
        <v>18</v>
      </c>
      <c r="H127" s="30" t="n">
        <v>1000000</v>
      </c>
      <c r="I127" s="30" t="n">
        <v>1000000</v>
      </c>
      <c r="J127" s="6" t="n">
        <v>0</v>
      </c>
      <c r="K127" s="6" t="n">
        <v>0</v>
      </c>
      <c r="L127" s="6" t="n">
        <v>0</v>
      </c>
      <c r="M127" s="6" t="n">
        <v>0</v>
      </c>
      <c r="N127" s="6" t="n">
        <v>0</v>
      </c>
      <c r="O127" s="6" t="n">
        <v>0</v>
      </c>
      <c r="P127" s="6" t="n">
        <f aca="false">+J127+M127</f>
        <v>0</v>
      </c>
      <c r="Q127" s="6" t="n">
        <f aca="false">+K127+N127</f>
        <v>0</v>
      </c>
      <c r="R127" s="6" t="n">
        <f aca="false">+L127+O127</f>
        <v>0</v>
      </c>
      <c r="S127" s="6" t="n">
        <v>0</v>
      </c>
      <c r="T127" s="6" t="n">
        <v>0</v>
      </c>
      <c r="U127" s="6" t="n">
        <v>0</v>
      </c>
      <c r="V127" s="6" t="n">
        <v>0</v>
      </c>
      <c r="W127" s="6" t="n">
        <v>0</v>
      </c>
      <c r="X127" s="6" t="n">
        <v>0</v>
      </c>
      <c r="Y127" s="6" t="n">
        <v>0</v>
      </c>
      <c r="Z127" s="6" t="n">
        <v>0</v>
      </c>
      <c r="AA127" s="6" t="n">
        <v>0</v>
      </c>
      <c r="AB127" s="6" t="n">
        <v>0</v>
      </c>
      <c r="AC127" s="6" t="n">
        <v>0</v>
      </c>
      <c r="AD127" s="6" t="n">
        <v>0</v>
      </c>
      <c r="AE127" s="6" t="n">
        <f aca="false">+Y127+AB127+S127+V127</f>
        <v>0</v>
      </c>
      <c r="AF127" s="6" t="n">
        <f aca="false">+Z127+AC127+T127+W127</f>
        <v>0</v>
      </c>
      <c r="AG127" s="6" t="n">
        <f aca="false">+AA127+AD127+U127+X127</f>
        <v>0</v>
      </c>
      <c r="AH127" s="6" t="n">
        <v>0</v>
      </c>
      <c r="AI127" s="6" t="n">
        <v>0</v>
      </c>
      <c r="AJ127" s="6" t="n">
        <v>0</v>
      </c>
      <c r="AK127" s="6" t="n">
        <v>0</v>
      </c>
      <c r="AL127" s="6" t="n">
        <v>0</v>
      </c>
      <c r="AM127" s="6" t="n">
        <v>0</v>
      </c>
      <c r="AN127" s="6" t="n">
        <v>0</v>
      </c>
      <c r="AO127" s="6" t="n">
        <v>0</v>
      </c>
      <c r="AP127" s="6" t="n">
        <v>0</v>
      </c>
      <c r="AQ127" s="6" t="n">
        <v>0</v>
      </c>
      <c r="AR127" s="6" t="n">
        <v>0</v>
      </c>
      <c r="AS127" s="6" t="n">
        <v>0</v>
      </c>
      <c r="AT127" s="6" t="n">
        <f aca="false">+AN127+AQ127+AH127+AK127</f>
        <v>0</v>
      </c>
      <c r="AU127" s="6" t="n">
        <f aca="false">+AO127+AR127+AI127+AL127</f>
        <v>0</v>
      </c>
      <c r="AV127" s="6" t="n">
        <f aca="false">+AP127+AS127+AJ127+AM127</f>
        <v>0</v>
      </c>
      <c r="AW127" s="6" t="n">
        <v>0</v>
      </c>
      <c r="AX127" s="6" t="n">
        <v>0</v>
      </c>
      <c r="AY127" s="6" t="n">
        <v>0</v>
      </c>
      <c r="AZ127" s="6" t="n">
        <v>0</v>
      </c>
      <c r="BA127" s="6" t="n">
        <v>0</v>
      </c>
      <c r="BB127" s="6" t="n">
        <v>0</v>
      </c>
      <c r="BC127" s="6" t="n">
        <v>0</v>
      </c>
      <c r="BD127" s="6" t="n">
        <v>0</v>
      </c>
      <c r="BE127" s="6" t="n">
        <v>0</v>
      </c>
      <c r="BF127" s="6" t="n">
        <v>0</v>
      </c>
      <c r="BG127" s="6" t="n">
        <v>0</v>
      </c>
      <c r="BH127" s="6" t="n">
        <v>0</v>
      </c>
      <c r="BI127" s="6" t="n">
        <f aca="false">+BC127+BF127+AW127+AZ127</f>
        <v>0</v>
      </c>
      <c r="BJ127" s="6" t="n">
        <f aca="false">+BD127+BG127+AX127+BA127</f>
        <v>0</v>
      </c>
      <c r="BK127" s="6" t="n">
        <f aca="false">+BE127+BH127+AY127+BB127</f>
        <v>0</v>
      </c>
      <c r="BL127" s="6" t="n">
        <v>0</v>
      </c>
      <c r="BM127" s="6" t="n">
        <v>0</v>
      </c>
      <c r="BN127" s="6" t="n">
        <v>0</v>
      </c>
      <c r="BO127" s="30" t="n">
        <v>1000000</v>
      </c>
      <c r="BP127" s="30" t="n">
        <v>1000000</v>
      </c>
      <c r="BQ127" s="6" t="n">
        <v>0</v>
      </c>
      <c r="BR127" s="6" t="n">
        <v>0</v>
      </c>
      <c r="BS127" s="6" t="n">
        <v>0</v>
      </c>
      <c r="BT127" s="6" t="n">
        <v>0</v>
      </c>
      <c r="BU127" s="6" t="n">
        <v>0</v>
      </c>
      <c r="BV127" s="6" t="n">
        <v>0</v>
      </c>
      <c r="BW127" s="6" t="n">
        <v>300000</v>
      </c>
      <c r="BX127" s="6" t="n">
        <f aca="false">+BR127+BU127+BL127+BO127</f>
        <v>1000000</v>
      </c>
      <c r="BY127" s="6" t="n">
        <f aca="false">+BS127+BV127+BM127+BP127</f>
        <v>1000000</v>
      </c>
      <c r="BZ127" s="6" t="n">
        <f aca="false">+BT127+BW127+BN127+BQ127</f>
        <v>300000</v>
      </c>
      <c r="CA127" s="6" t="n">
        <v>0</v>
      </c>
      <c r="CB127" s="6" t="n">
        <v>0</v>
      </c>
      <c r="CC127" s="6" t="n">
        <v>700000</v>
      </c>
      <c r="CD127" s="6" t="n">
        <v>0</v>
      </c>
      <c r="CE127" s="6" t="n">
        <v>0</v>
      </c>
      <c r="CF127" s="6" t="n">
        <v>0</v>
      </c>
      <c r="CG127" s="6" t="n">
        <v>0</v>
      </c>
      <c r="CH127" s="6" t="n">
        <v>0</v>
      </c>
      <c r="CI127" s="6" t="n">
        <v>0</v>
      </c>
      <c r="CJ127" s="6" t="n">
        <v>0</v>
      </c>
      <c r="CK127" s="6" t="n">
        <v>0</v>
      </c>
      <c r="CL127" s="6" t="n">
        <v>0</v>
      </c>
      <c r="CM127" s="6" t="n">
        <f aca="false">+CG127+CJ127+CA127+CD127</f>
        <v>0</v>
      </c>
      <c r="CN127" s="6" t="n">
        <f aca="false">+CH127+CK127+CB127+CE127</f>
        <v>0</v>
      </c>
      <c r="CO127" s="6" t="n">
        <f aca="false">+CI127+CL127+CC127+CF127</f>
        <v>700000</v>
      </c>
      <c r="CP127" s="6" t="n">
        <v>0</v>
      </c>
      <c r="CQ127" s="6" t="n">
        <v>0</v>
      </c>
      <c r="CR127" s="6" t="n">
        <v>0</v>
      </c>
      <c r="CS127" s="6" t="n">
        <v>0</v>
      </c>
      <c r="CT127" s="6" t="n">
        <v>0</v>
      </c>
      <c r="CU127" s="6" t="n">
        <v>0</v>
      </c>
      <c r="CV127" s="6" t="n">
        <v>0</v>
      </c>
      <c r="CW127" s="6" t="n">
        <v>0</v>
      </c>
      <c r="CX127" s="6" t="n">
        <v>0</v>
      </c>
      <c r="CY127" s="6" t="n">
        <v>0</v>
      </c>
      <c r="CZ127" s="6" t="n">
        <v>0</v>
      </c>
      <c r="DA127" s="6" t="n">
        <v>0</v>
      </c>
      <c r="DB127" s="6" t="n">
        <f aca="false">+CV127+CY127+CP127+CS127</f>
        <v>0</v>
      </c>
      <c r="DC127" s="6" t="n">
        <f aca="false">+CW127+CZ127+CQ127+CT127</f>
        <v>0</v>
      </c>
      <c r="DD127" s="6" t="n">
        <f aca="false">+CX127+DA127+CR127+CU127</f>
        <v>0</v>
      </c>
      <c r="DE127" s="6" t="n">
        <v>0</v>
      </c>
      <c r="DF127" s="6" t="n">
        <v>0</v>
      </c>
      <c r="DG127" s="6" t="n">
        <v>0</v>
      </c>
      <c r="DH127" s="6" t="n">
        <v>0</v>
      </c>
      <c r="DI127" s="6" t="n">
        <v>0</v>
      </c>
      <c r="DJ127" s="6" t="n">
        <v>0</v>
      </c>
      <c r="DK127" s="6" t="n">
        <v>0</v>
      </c>
      <c r="DL127" s="6" t="n">
        <v>0</v>
      </c>
      <c r="DM127" s="6" t="n">
        <v>0</v>
      </c>
      <c r="DN127" s="6" t="n">
        <v>0</v>
      </c>
      <c r="DO127" s="6" t="n">
        <v>0</v>
      </c>
      <c r="DP127" s="6" t="n">
        <v>0</v>
      </c>
      <c r="DQ127" s="6" t="n">
        <f aca="false">+DK127+DN127+DE127+DH127</f>
        <v>0</v>
      </c>
      <c r="DR127" s="6" t="n">
        <f aca="false">+DL127+DO127+DF127+DI127</f>
        <v>0</v>
      </c>
      <c r="DS127" s="6" t="n">
        <f aca="false">+DM127+DP127+DG127+DJ127</f>
        <v>0</v>
      </c>
      <c r="DT127" s="31" t="n">
        <f aca="false">+P127+AE127+AT127+BI127+BX127+CM127+DB127</f>
        <v>1000000</v>
      </c>
      <c r="DU127" s="31" t="n">
        <f aca="false">+Q127+AF127+AU127+BJ127+BY127+CN127+DC127</f>
        <v>1000000</v>
      </c>
      <c r="DV127" s="31" t="n">
        <f aca="false">+R127+AG127+AV127+BK127+BZ127+CO127+DD127</f>
        <v>1000000</v>
      </c>
      <c r="DW127" s="31" t="n">
        <f aca="false">+DU127-DV127</f>
        <v>0</v>
      </c>
    </row>
    <row r="128" customFormat="false" ht="13.8" hidden="false" customHeight="false" outlineLevel="0" collapsed="false">
      <c r="A128" s="27" t="n">
        <v>45436</v>
      </c>
      <c r="B128" s="28" t="s">
        <v>523</v>
      </c>
      <c r="C128" s="28" t="s">
        <v>524</v>
      </c>
      <c r="D128" s="29" t="s">
        <v>525</v>
      </c>
      <c r="E128" s="28" t="s">
        <v>526</v>
      </c>
      <c r="F128" s="27" t="s">
        <v>527</v>
      </c>
      <c r="G128" s="27" t="s">
        <v>19</v>
      </c>
      <c r="H128" s="30" t="n">
        <v>1500000</v>
      </c>
      <c r="I128" s="30" t="n">
        <v>500000</v>
      </c>
      <c r="J128" s="6" t="n">
        <v>0</v>
      </c>
      <c r="K128" s="6" t="n">
        <v>0</v>
      </c>
      <c r="L128" s="6" t="n">
        <v>0</v>
      </c>
      <c r="M128" s="6" t="n">
        <v>0</v>
      </c>
      <c r="N128" s="6" t="n">
        <v>0</v>
      </c>
      <c r="O128" s="6" t="n">
        <v>0</v>
      </c>
      <c r="P128" s="6" t="n">
        <f aca="false">+J128+M128</f>
        <v>0</v>
      </c>
      <c r="Q128" s="6" t="n">
        <f aca="false">+K128+N128</f>
        <v>0</v>
      </c>
      <c r="R128" s="6" t="n">
        <f aca="false">+L128+O128</f>
        <v>0</v>
      </c>
      <c r="S128" s="6" t="n">
        <v>0</v>
      </c>
      <c r="T128" s="6" t="n">
        <v>0</v>
      </c>
      <c r="U128" s="6" t="n">
        <v>0</v>
      </c>
      <c r="V128" s="6" t="n">
        <v>0</v>
      </c>
      <c r="W128" s="6" t="n">
        <v>0</v>
      </c>
      <c r="X128" s="6" t="n">
        <v>0</v>
      </c>
      <c r="Y128" s="6" t="n">
        <v>0</v>
      </c>
      <c r="Z128" s="6" t="n">
        <v>0</v>
      </c>
      <c r="AA128" s="6" t="n">
        <v>0</v>
      </c>
      <c r="AB128" s="6" t="n">
        <v>0</v>
      </c>
      <c r="AC128" s="6" t="n">
        <v>0</v>
      </c>
      <c r="AD128" s="6" t="n">
        <v>0</v>
      </c>
      <c r="AE128" s="6" t="n">
        <f aca="false">+Y128+AB128+S128+V128</f>
        <v>0</v>
      </c>
      <c r="AF128" s="6" t="n">
        <f aca="false">+Z128+AC128+T128+W128</f>
        <v>0</v>
      </c>
      <c r="AG128" s="6" t="n">
        <f aca="false">+AA128+AD128+U128+X128</f>
        <v>0</v>
      </c>
      <c r="AH128" s="6" t="n">
        <v>0</v>
      </c>
      <c r="AI128" s="6" t="n">
        <v>0</v>
      </c>
      <c r="AJ128" s="6" t="n">
        <v>0</v>
      </c>
      <c r="AK128" s="6" t="n">
        <v>0</v>
      </c>
      <c r="AL128" s="6" t="n">
        <v>0</v>
      </c>
      <c r="AM128" s="6" t="n">
        <v>0</v>
      </c>
      <c r="AN128" s="6" t="n">
        <v>0</v>
      </c>
      <c r="AO128" s="6" t="n">
        <v>0</v>
      </c>
      <c r="AP128" s="6" t="n">
        <v>0</v>
      </c>
      <c r="AQ128" s="6" t="n">
        <v>0</v>
      </c>
      <c r="AR128" s="6" t="n">
        <v>0</v>
      </c>
      <c r="AS128" s="6" t="n">
        <v>0</v>
      </c>
      <c r="AT128" s="6" t="n">
        <f aca="false">+AN128+AQ128+AH128+AK128</f>
        <v>0</v>
      </c>
      <c r="AU128" s="6" t="n">
        <f aca="false">+AO128+AR128+AI128+AL128</f>
        <v>0</v>
      </c>
      <c r="AV128" s="6" t="n">
        <f aca="false">+AP128+AS128+AJ128+AM128</f>
        <v>0</v>
      </c>
      <c r="AW128" s="6" t="n">
        <v>0</v>
      </c>
      <c r="AX128" s="6" t="n">
        <v>0</v>
      </c>
      <c r="AY128" s="6" t="n">
        <v>0</v>
      </c>
      <c r="AZ128" s="6" t="n">
        <v>0</v>
      </c>
      <c r="BA128" s="6" t="n">
        <v>0</v>
      </c>
      <c r="BB128" s="6" t="n">
        <v>0</v>
      </c>
      <c r="BC128" s="6" t="n">
        <v>0</v>
      </c>
      <c r="BD128" s="6" t="n">
        <v>0</v>
      </c>
      <c r="BE128" s="6" t="n">
        <v>0</v>
      </c>
      <c r="BF128" s="6" t="n">
        <v>0</v>
      </c>
      <c r="BG128" s="6" t="n">
        <v>0</v>
      </c>
      <c r="BH128" s="6" t="n">
        <v>0</v>
      </c>
      <c r="BI128" s="6" t="n">
        <f aca="false">+BC128+BF128+AW128+AZ128</f>
        <v>0</v>
      </c>
      <c r="BJ128" s="6" t="n">
        <f aca="false">+BD128+BG128+AX128+BA128</f>
        <v>0</v>
      </c>
      <c r="BK128" s="6" t="n">
        <f aca="false">+BE128+BH128+AY128+BB128</f>
        <v>0</v>
      </c>
      <c r="BL128" s="6" t="n">
        <v>0</v>
      </c>
      <c r="BM128" s="6" t="n">
        <v>0</v>
      </c>
      <c r="BN128" s="6" t="n">
        <v>0</v>
      </c>
      <c r="BO128" s="6" t="n">
        <v>0</v>
      </c>
      <c r="BP128" s="6" t="n">
        <v>0</v>
      </c>
      <c r="BQ128" s="6" t="n">
        <v>0</v>
      </c>
      <c r="BR128" s="30" t="n">
        <v>1500000</v>
      </c>
      <c r="BS128" s="30" t="n">
        <v>500000</v>
      </c>
      <c r="BT128" s="6" t="n">
        <v>0</v>
      </c>
      <c r="BU128" s="6" t="n">
        <v>0</v>
      </c>
      <c r="BV128" s="6" t="n">
        <v>0</v>
      </c>
      <c r="BW128" s="6" t="n">
        <v>100000</v>
      </c>
      <c r="BX128" s="6" t="n">
        <f aca="false">+BR128+BU128+BL128+BO128</f>
        <v>1500000</v>
      </c>
      <c r="BY128" s="6" t="n">
        <f aca="false">+BS128+BV128+BM128+BP128</f>
        <v>500000</v>
      </c>
      <c r="BZ128" s="6" t="n">
        <f aca="false">+BT128+BW128+BN128+BQ128</f>
        <v>100000</v>
      </c>
      <c r="CA128" s="6" t="n">
        <v>0</v>
      </c>
      <c r="CB128" s="6" t="n">
        <v>0</v>
      </c>
      <c r="CC128" s="6" t="n">
        <v>300000</v>
      </c>
      <c r="CD128" s="6" t="n">
        <v>0</v>
      </c>
      <c r="CE128" s="6" t="n">
        <v>0</v>
      </c>
      <c r="CF128" s="6" t="n">
        <v>100000</v>
      </c>
      <c r="CG128" s="6" t="n">
        <v>0</v>
      </c>
      <c r="CH128" s="6" t="n">
        <v>0</v>
      </c>
      <c r="CI128" s="6" t="n">
        <v>0</v>
      </c>
      <c r="CJ128" s="6" t="n">
        <v>0</v>
      </c>
      <c r="CK128" s="6" t="n">
        <v>0</v>
      </c>
      <c r="CL128" s="6" t="n">
        <v>0</v>
      </c>
      <c r="CM128" s="6" t="n">
        <f aca="false">+CG128+CJ128+CA128+CD128</f>
        <v>0</v>
      </c>
      <c r="CN128" s="6" t="n">
        <f aca="false">+CH128+CK128+CB128+CE128</f>
        <v>0</v>
      </c>
      <c r="CO128" s="6" t="n">
        <f aca="false">+CI128+CL128+CC128+CF128</f>
        <v>400000</v>
      </c>
      <c r="CP128" s="6" t="n">
        <v>0</v>
      </c>
      <c r="CQ128" s="6" t="n">
        <v>0</v>
      </c>
      <c r="CR128" s="6" t="n">
        <v>0</v>
      </c>
      <c r="CS128" s="6" t="n">
        <v>0</v>
      </c>
      <c r="CT128" s="6" t="n">
        <v>0</v>
      </c>
      <c r="CU128" s="6" t="n">
        <v>0</v>
      </c>
      <c r="CV128" s="6" t="n">
        <v>0</v>
      </c>
      <c r="CW128" s="6" t="n">
        <v>0</v>
      </c>
      <c r="CX128" s="6" t="n">
        <v>0</v>
      </c>
      <c r="CY128" s="6" t="n">
        <v>0</v>
      </c>
      <c r="CZ128" s="6" t="n">
        <v>0</v>
      </c>
      <c r="DA128" s="6" t="n">
        <v>0</v>
      </c>
      <c r="DB128" s="6" t="n">
        <f aca="false">+CV128+CY128+CP128+CS128</f>
        <v>0</v>
      </c>
      <c r="DC128" s="6" t="n">
        <f aca="false">+CW128+CZ128+CQ128+CT128</f>
        <v>0</v>
      </c>
      <c r="DD128" s="6" t="n">
        <f aca="false">+CX128+DA128+CR128+CU128</f>
        <v>0</v>
      </c>
      <c r="DE128" s="6" t="n">
        <v>0</v>
      </c>
      <c r="DF128" s="6" t="n">
        <v>0</v>
      </c>
      <c r="DG128" s="6" t="n">
        <v>0</v>
      </c>
      <c r="DH128" s="6" t="n">
        <v>0</v>
      </c>
      <c r="DI128" s="6" t="n">
        <v>0</v>
      </c>
      <c r="DJ128" s="6" t="n">
        <v>0</v>
      </c>
      <c r="DK128" s="6" t="n">
        <v>0</v>
      </c>
      <c r="DL128" s="6" t="n">
        <v>0</v>
      </c>
      <c r="DM128" s="6" t="n">
        <v>0</v>
      </c>
      <c r="DN128" s="6" t="n">
        <v>0</v>
      </c>
      <c r="DO128" s="6" t="n">
        <v>0</v>
      </c>
      <c r="DP128" s="6" t="n">
        <v>0</v>
      </c>
      <c r="DQ128" s="6" t="n">
        <f aca="false">+DK128+DN128+DE128+DH128</f>
        <v>0</v>
      </c>
      <c r="DR128" s="6" t="n">
        <f aca="false">+DL128+DO128+DF128+DI128</f>
        <v>0</v>
      </c>
      <c r="DS128" s="6" t="n">
        <f aca="false">+DM128+DP128+DG128+DJ128</f>
        <v>0</v>
      </c>
      <c r="DT128" s="31" t="n">
        <f aca="false">+P128+AE128+AT128+BI128+BX128+CM128+DB128</f>
        <v>1500000</v>
      </c>
      <c r="DU128" s="31" t="n">
        <f aca="false">+Q128+AF128+AU128+BJ128+BY128+CN128+DC128</f>
        <v>500000</v>
      </c>
      <c r="DV128" s="31" t="n">
        <f aca="false">+R128+AG128+AV128+BK128+BZ128+CO128+DD128</f>
        <v>500000</v>
      </c>
      <c r="DW128" s="31" t="n">
        <f aca="false">+DU128-DV128</f>
        <v>0</v>
      </c>
    </row>
    <row r="129" customFormat="false" ht="13.8" hidden="false" customHeight="false" outlineLevel="0" collapsed="false">
      <c r="A129" s="27"/>
      <c r="B129" s="39" t="s">
        <v>528</v>
      </c>
      <c r="C129" s="28" t="s">
        <v>524</v>
      </c>
      <c r="D129" s="29" t="s">
        <v>525</v>
      </c>
      <c r="E129" s="28" t="s">
        <v>526</v>
      </c>
      <c r="F129" s="27" t="s">
        <v>527</v>
      </c>
      <c r="G129" s="27" t="s">
        <v>19</v>
      </c>
      <c r="H129" s="30" t="n">
        <v>-1000000</v>
      </c>
      <c r="I129" s="30" t="n">
        <v>0</v>
      </c>
      <c r="J129" s="6" t="n">
        <v>0</v>
      </c>
      <c r="K129" s="6" t="n">
        <v>0</v>
      </c>
      <c r="L129" s="6" t="n">
        <v>0</v>
      </c>
      <c r="M129" s="6" t="n">
        <v>0</v>
      </c>
      <c r="N129" s="6" t="n">
        <v>0</v>
      </c>
      <c r="O129" s="6" t="n">
        <v>0</v>
      </c>
      <c r="P129" s="6" t="n">
        <f aca="false">+J129+M129</f>
        <v>0</v>
      </c>
      <c r="Q129" s="6" t="n">
        <f aca="false">+K129+N129</f>
        <v>0</v>
      </c>
      <c r="R129" s="6" t="n">
        <f aca="false">+L129+O129</f>
        <v>0</v>
      </c>
      <c r="S129" s="6" t="n">
        <v>0</v>
      </c>
      <c r="T129" s="6" t="n">
        <v>0</v>
      </c>
      <c r="U129" s="6" t="n">
        <v>0</v>
      </c>
      <c r="V129" s="6" t="n">
        <v>0</v>
      </c>
      <c r="W129" s="6" t="n">
        <v>0</v>
      </c>
      <c r="X129" s="6" t="n">
        <v>0</v>
      </c>
      <c r="Y129" s="6" t="n">
        <v>0</v>
      </c>
      <c r="Z129" s="6" t="n">
        <v>0</v>
      </c>
      <c r="AA129" s="6" t="n">
        <v>0</v>
      </c>
      <c r="AB129" s="6" t="n">
        <v>0</v>
      </c>
      <c r="AC129" s="6" t="n">
        <v>0</v>
      </c>
      <c r="AD129" s="6" t="n">
        <v>0</v>
      </c>
      <c r="AE129" s="6" t="n">
        <f aca="false">+Y129+AB129+S129+V129</f>
        <v>0</v>
      </c>
      <c r="AF129" s="6" t="n">
        <f aca="false">+Z129+AC129+T129+W129</f>
        <v>0</v>
      </c>
      <c r="AG129" s="6" t="n">
        <f aca="false">+AA129+AD129+U129+X129</f>
        <v>0</v>
      </c>
      <c r="AH129" s="6" t="n">
        <v>0</v>
      </c>
      <c r="AI129" s="6" t="n">
        <v>0</v>
      </c>
      <c r="AJ129" s="6" t="n">
        <v>0</v>
      </c>
      <c r="AK129" s="6" t="n">
        <v>0</v>
      </c>
      <c r="AL129" s="6" t="n">
        <v>0</v>
      </c>
      <c r="AM129" s="6" t="n">
        <v>0</v>
      </c>
      <c r="AN129" s="6" t="n">
        <v>0</v>
      </c>
      <c r="AO129" s="6" t="n">
        <v>0</v>
      </c>
      <c r="AP129" s="6" t="n">
        <v>0</v>
      </c>
      <c r="AQ129" s="6" t="n">
        <v>0</v>
      </c>
      <c r="AR129" s="6" t="n">
        <v>0</v>
      </c>
      <c r="AS129" s="6" t="n">
        <v>0</v>
      </c>
      <c r="AT129" s="6" t="n">
        <f aca="false">+AN129+AQ129+AH129+AK129</f>
        <v>0</v>
      </c>
      <c r="AU129" s="6" t="n">
        <f aca="false">+AO129+AR129+AI129+AL129</f>
        <v>0</v>
      </c>
      <c r="AV129" s="6" t="n">
        <f aca="false">+AP129+AS129+AJ129+AM129</f>
        <v>0</v>
      </c>
      <c r="AW129" s="6" t="n">
        <v>0</v>
      </c>
      <c r="AX129" s="6" t="n">
        <v>0</v>
      </c>
      <c r="AY129" s="6" t="n">
        <v>0</v>
      </c>
      <c r="AZ129" s="6" t="n">
        <v>0</v>
      </c>
      <c r="BA129" s="6" t="n">
        <v>0</v>
      </c>
      <c r="BB129" s="6" t="n">
        <v>0</v>
      </c>
      <c r="BC129" s="6" t="n">
        <v>0</v>
      </c>
      <c r="BD129" s="6" t="n">
        <v>0</v>
      </c>
      <c r="BE129" s="6" t="n">
        <v>0</v>
      </c>
      <c r="BF129" s="6" t="n">
        <v>0</v>
      </c>
      <c r="BG129" s="6" t="n">
        <v>0</v>
      </c>
      <c r="BH129" s="6" t="n">
        <v>0</v>
      </c>
      <c r="BI129" s="6" t="n">
        <f aca="false">+BC129+BF129+AW129+AZ129</f>
        <v>0</v>
      </c>
      <c r="BJ129" s="6" t="n">
        <f aca="false">+BD129+BG129+AX129+BA129</f>
        <v>0</v>
      </c>
      <c r="BK129" s="6" t="n">
        <f aca="false">+BE129+BH129+AY129+BB129</f>
        <v>0</v>
      </c>
      <c r="BL129" s="6" t="n">
        <v>0</v>
      </c>
      <c r="BM129" s="6" t="n">
        <v>0</v>
      </c>
      <c r="BN129" s="6" t="n">
        <v>0</v>
      </c>
      <c r="BO129" s="6" t="n">
        <v>0</v>
      </c>
      <c r="BP129" s="6" t="n">
        <v>0</v>
      </c>
      <c r="BQ129" s="6" t="n">
        <v>0</v>
      </c>
      <c r="BR129" s="30" t="n">
        <v>-1000000</v>
      </c>
      <c r="BS129" s="30" t="n">
        <v>0</v>
      </c>
      <c r="BT129" s="6" t="n">
        <v>0</v>
      </c>
      <c r="BU129" s="6" t="n">
        <v>0</v>
      </c>
      <c r="BV129" s="6" t="n">
        <v>0</v>
      </c>
      <c r="BW129" s="6" t="n">
        <v>0</v>
      </c>
      <c r="BX129" s="6" t="n">
        <f aca="false">+BR129+BU129+BL129+BO129</f>
        <v>-1000000</v>
      </c>
      <c r="BY129" s="6" t="n">
        <f aca="false">+BS129+BV129+BM129+BP129</f>
        <v>0</v>
      </c>
      <c r="BZ129" s="6" t="n">
        <f aca="false">+BT129+BW129+BN129+BQ129</f>
        <v>0</v>
      </c>
      <c r="CA129" s="6" t="n">
        <v>0</v>
      </c>
      <c r="CB129" s="6" t="n">
        <v>0</v>
      </c>
      <c r="CC129" s="6" t="n">
        <v>0</v>
      </c>
      <c r="CD129" s="6" t="n">
        <v>0</v>
      </c>
      <c r="CE129" s="6" t="n">
        <v>0</v>
      </c>
      <c r="CF129" s="6" t="n">
        <v>0</v>
      </c>
      <c r="CG129" s="6" t="n">
        <v>0</v>
      </c>
      <c r="CH129" s="6" t="n">
        <v>0</v>
      </c>
      <c r="CI129" s="6" t="n">
        <v>0</v>
      </c>
      <c r="CJ129" s="6" t="n">
        <v>0</v>
      </c>
      <c r="CK129" s="6" t="n">
        <v>0</v>
      </c>
      <c r="CL129" s="6" t="n">
        <v>0</v>
      </c>
      <c r="CM129" s="6" t="n">
        <f aca="false">+CG129+CJ129+CA129+CD129</f>
        <v>0</v>
      </c>
      <c r="CN129" s="6" t="n">
        <f aca="false">+CH129+CK129+CB129+CE129</f>
        <v>0</v>
      </c>
      <c r="CO129" s="6" t="n">
        <f aca="false">+CI129+CL129+CC129+CF129</f>
        <v>0</v>
      </c>
      <c r="CP129" s="30" t="n">
        <v>2805000</v>
      </c>
      <c r="CQ129" s="30" t="n">
        <v>2805000</v>
      </c>
      <c r="CR129" s="6" t="n">
        <v>0</v>
      </c>
      <c r="CS129" s="6" t="n">
        <v>0</v>
      </c>
      <c r="CT129" s="6" t="n">
        <v>0</v>
      </c>
      <c r="CU129" s="6" t="n">
        <v>0</v>
      </c>
      <c r="CV129" s="6" t="n">
        <v>0</v>
      </c>
      <c r="CW129" s="6" t="n">
        <v>0</v>
      </c>
      <c r="CX129" s="6" t="n">
        <v>0</v>
      </c>
      <c r="CY129" s="6" t="n">
        <v>0</v>
      </c>
      <c r="CZ129" s="6" t="n">
        <v>0</v>
      </c>
      <c r="DA129" s="6" t="n">
        <v>0</v>
      </c>
      <c r="DB129" s="6" t="n">
        <f aca="false">+CV129+CY129+CP129+CS129</f>
        <v>2805000</v>
      </c>
      <c r="DC129" s="6" t="n">
        <f aca="false">+CW129+CZ129+CQ129+CT129</f>
        <v>2805000</v>
      </c>
      <c r="DD129" s="6" t="n">
        <f aca="false">+CX129+DA129+CR129+CU129</f>
        <v>0</v>
      </c>
      <c r="DE129" s="30" t="n">
        <v>2805000</v>
      </c>
      <c r="DF129" s="30" t="n">
        <v>2805000</v>
      </c>
      <c r="DG129" s="6" t="n">
        <v>0</v>
      </c>
      <c r="DH129" s="6" t="n">
        <v>0</v>
      </c>
      <c r="DI129" s="6" t="n">
        <v>0</v>
      </c>
      <c r="DJ129" s="6" t="n">
        <v>0</v>
      </c>
      <c r="DK129" s="6" t="n">
        <v>0</v>
      </c>
      <c r="DL129" s="6" t="n">
        <v>0</v>
      </c>
      <c r="DM129" s="6" t="n">
        <v>0</v>
      </c>
      <c r="DN129" s="6" t="n">
        <v>0</v>
      </c>
      <c r="DO129" s="6" t="n">
        <v>0</v>
      </c>
      <c r="DP129" s="6" t="n">
        <v>0</v>
      </c>
      <c r="DQ129" s="6" t="n">
        <f aca="false">+DK129+DN129+DE129+DH129</f>
        <v>2805000</v>
      </c>
      <c r="DR129" s="6" t="n">
        <f aca="false">+DL129+DO129+DF129+DI129</f>
        <v>2805000</v>
      </c>
      <c r="DS129" s="6" t="n">
        <f aca="false">+DM129+DP129+DG129+DJ129</f>
        <v>0</v>
      </c>
      <c r="DT129" s="31" t="n">
        <f aca="false">+P129+AE129+AT129+BI129+BX129+CM129+DB129</f>
        <v>1805000</v>
      </c>
      <c r="DU129" s="31" t="n">
        <f aca="false">+Q129+AF129+AU129+BJ129+BY129+CN129+DC129</f>
        <v>2805000</v>
      </c>
      <c r="DV129" s="31" t="n">
        <f aca="false">+R129+AG129+AV129+BK129+BZ129+CO129+DD129</f>
        <v>0</v>
      </c>
      <c r="DW129" s="31" t="n">
        <f aca="false">+DU129-DV129</f>
        <v>2805000</v>
      </c>
    </row>
    <row r="130" customFormat="false" ht="13.8" hidden="false" customHeight="false" outlineLevel="0" collapsed="false">
      <c r="A130" s="27" t="n">
        <v>45392</v>
      </c>
      <c r="B130" s="28" t="s">
        <v>529</v>
      </c>
      <c r="C130" s="28" t="s">
        <v>530</v>
      </c>
      <c r="D130" s="29" t="s">
        <v>531</v>
      </c>
      <c r="E130" s="28" t="s">
        <v>532</v>
      </c>
      <c r="F130" s="27" t="s">
        <v>533</v>
      </c>
      <c r="G130" s="27" t="s">
        <v>19</v>
      </c>
      <c r="H130" s="30" t="n">
        <v>1000000</v>
      </c>
      <c r="I130" s="30" t="n">
        <v>1000000</v>
      </c>
      <c r="J130" s="6" t="n">
        <v>0</v>
      </c>
      <c r="K130" s="6" t="n">
        <v>0</v>
      </c>
      <c r="L130" s="6" t="n">
        <v>0</v>
      </c>
      <c r="M130" s="6" t="n">
        <v>0</v>
      </c>
      <c r="N130" s="6" t="n">
        <v>0</v>
      </c>
      <c r="O130" s="6" t="n">
        <v>0</v>
      </c>
      <c r="P130" s="6" t="n">
        <f aca="false">+J130+M130</f>
        <v>0</v>
      </c>
      <c r="Q130" s="6" t="n">
        <f aca="false">+K130+N130</f>
        <v>0</v>
      </c>
      <c r="R130" s="6" t="n">
        <f aca="false">+L130+O130</f>
        <v>0</v>
      </c>
      <c r="S130" s="6" t="n">
        <v>0</v>
      </c>
      <c r="T130" s="6" t="n">
        <v>0</v>
      </c>
      <c r="U130" s="6" t="n">
        <v>0</v>
      </c>
      <c r="V130" s="6" t="n">
        <v>0</v>
      </c>
      <c r="W130" s="6" t="n">
        <v>0</v>
      </c>
      <c r="X130" s="6" t="n">
        <v>0</v>
      </c>
      <c r="Y130" s="6" t="n">
        <v>0</v>
      </c>
      <c r="Z130" s="6" t="n">
        <v>0</v>
      </c>
      <c r="AA130" s="6" t="n">
        <v>0</v>
      </c>
      <c r="AB130" s="6" t="n">
        <v>0</v>
      </c>
      <c r="AC130" s="6" t="n">
        <v>0</v>
      </c>
      <c r="AD130" s="6" t="n">
        <v>0</v>
      </c>
      <c r="AE130" s="6" t="n">
        <f aca="false">+Y130+AB130+S130+V130</f>
        <v>0</v>
      </c>
      <c r="AF130" s="6" t="n">
        <f aca="false">+Z130+AC130+T130+W130</f>
        <v>0</v>
      </c>
      <c r="AG130" s="6" t="n">
        <f aca="false">+AA130+AD130+U130+X130</f>
        <v>0</v>
      </c>
      <c r="AH130" s="6" t="n">
        <v>0</v>
      </c>
      <c r="AI130" s="6" t="n">
        <v>0</v>
      </c>
      <c r="AJ130" s="6" t="n">
        <v>0</v>
      </c>
      <c r="AK130" s="6" t="n">
        <v>0</v>
      </c>
      <c r="AL130" s="6" t="n">
        <v>0</v>
      </c>
      <c r="AM130" s="6" t="n">
        <v>0</v>
      </c>
      <c r="AN130" s="6" t="n">
        <v>0</v>
      </c>
      <c r="AO130" s="6" t="n">
        <v>0</v>
      </c>
      <c r="AP130" s="6" t="n">
        <v>0</v>
      </c>
      <c r="AQ130" s="6" t="n">
        <v>0</v>
      </c>
      <c r="AR130" s="6" t="n">
        <v>0</v>
      </c>
      <c r="AS130" s="6" t="n">
        <v>0</v>
      </c>
      <c r="AT130" s="6" t="n">
        <f aca="false">+AN130+AQ130+AH130+AK130</f>
        <v>0</v>
      </c>
      <c r="AU130" s="6" t="n">
        <f aca="false">+AO130+AR130+AI130+AL130</f>
        <v>0</v>
      </c>
      <c r="AV130" s="6" t="n">
        <f aca="false">+AP130+AS130+AJ130+AM130</f>
        <v>0</v>
      </c>
      <c r="AW130" s="6" t="n">
        <v>0</v>
      </c>
      <c r="AX130" s="6" t="n">
        <v>0</v>
      </c>
      <c r="AY130" s="6" t="n">
        <v>0</v>
      </c>
      <c r="AZ130" s="6" t="n">
        <v>0</v>
      </c>
      <c r="BA130" s="6" t="n">
        <v>0</v>
      </c>
      <c r="BB130" s="6" t="n">
        <v>0</v>
      </c>
      <c r="BC130" s="6" t="n">
        <v>0</v>
      </c>
      <c r="BD130" s="6" t="n">
        <v>0</v>
      </c>
      <c r="BE130" s="6" t="n">
        <v>0</v>
      </c>
      <c r="BF130" s="6" t="n">
        <v>0</v>
      </c>
      <c r="BG130" s="6" t="n">
        <v>0</v>
      </c>
      <c r="BH130" s="6" t="n">
        <v>0</v>
      </c>
      <c r="BI130" s="6" t="n">
        <f aca="false">+BC130+BF130+AW130+AZ130</f>
        <v>0</v>
      </c>
      <c r="BJ130" s="6" t="n">
        <f aca="false">+BD130+BG130+AX130+BA130</f>
        <v>0</v>
      </c>
      <c r="BK130" s="6" t="n">
        <f aca="false">+BE130+BH130+AY130+BB130</f>
        <v>0</v>
      </c>
      <c r="BL130" s="6" t="n">
        <v>0</v>
      </c>
      <c r="BM130" s="6" t="n">
        <v>0</v>
      </c>
      <c r="BN130" s="6" t="n">
        <v>0</v>
      </c>
      <c r="BO130" s="6" t="n">
        <v>0</v>
      </c>
      <c r="BP130" s="6" t="n">
        <v>0</v>
      </c>
      <c r="BQ130" s="6" t="n">
        <v>0</v>
      </c>
      <c r="BR130" s="30" t="n">
        <v>1000000</v>
      </c>
      <c r="BS130" s="30" t="n">
        <v>1000000</v>
      </c>
      <c r="BT130" s="6" t="n">
        <v>0</v>
      </c>
      <c r="BU130" s="6" t="n">
        <v>0</v>
      </c>
      <c r="BV130" s="6" t="n">
        <v>0</v>
      </c>
      <c r="BW130" s="6" t="n">
        <v>200000</v>
      </c>
      <c r="BX130" s="6" t="n">
        <f aca="false">+BR130+BU130+BL130+BO130</f>
        <v>1000000</v>
      </c>
      <c r="BY130" s="6" t="n">
        <f aca="false">+BS130+BV130+BM130+BP130</f>
        <v>1000000</v>
      </c>
      <c r="BZ130" s="6" t="n">
        <f aca="false">+BT130+BW130+BN130+BQ130</f>
        <v>200000</v>
      </c>
      <c r="CA130" s="6" t="n">
        <v>0</v>
      </c>
      <c r="CB130" s="6" t="n">
        <v>0</v>
      </c>
      <c r="CC130" s="6" t="n">
        <v>800000</v>
      </c>
      <c r="CD130" s="6" t="n">
        <v>0</v>
      </c>
      <c r="CE130" s="6" t="n">
        <v>0</v>
      </c>
      <c r="CF130" s="6" t="n">
        <v>0</v>
      </c>
      <c r="CG130" s="6" t="n">
        <v>0</v>
      </c>
      <c r="CH130" s="6" t="n">
        <v>0</v>
      </c>
      <c r="CI130" s="6" t="n">
        <v>0</v>
      </c>
      <c r="CJ130" s="6" t="n">
        <v>0</v>
      </c>
      <c r="CK130" s="6" t="n">
        <v>0</v>
      </c>
      <c r="CL130" s="6" t="n">
        <v>0</v>
      </c>
      <c r="CM130" s="6" t="n">
        <f aca="false">+CG130+CJ130+CA130+CD130</f>
        <v>0</v>
      </c>
      <c r="CN130" s="6" t="n">
        <f aca="false">+CH130+CK130+CB130+CE130</f>
        <v>0</v>
      </c>
      <c r="CO130" s="6" t="n">
        <f aca="false">+CI130+CL130+CC130+CF130</f>
        <v>800000</v>
      </c>
      <c r="CP130" s="6" t="n">
        <v>0</v>
      </c>
      <c r="CQ130" s="6" t="n">
        <v>0</v>
      </c>
      <c r="CR130" s="6" t="n">
        <v>0</v>
      </c>
      <c r="CS130" s="6" t="n">
        <v>0</v>
      </c>
      <c r="CT130" s="6" t="n">
        <v>0</v>
      </c>
      <c r="CU130" s="6" t="n">
        <v>0</v>
      </c>
      <c r="CV130" s="6" t="n">
        <v>0</v>
      </c>
      <c r="CW130" s="6" t="n">
        <v>0</v>
      </c>
      <c r="CX130" s="6" t="n">
        <v>0</v>
      </c>
      <c r="CY130" s="6" t="n">
        <v>0</v>
      </c>
      <c r="CZ130" s="6" t="n">
        <v>0</v>
      </c>
      <c r="DA130" s="6" t="n">
        <v>0</v>
      </c>
      <c r="DB130" s="6" t="n">
        <f aca="false">+CV130+CY130+CP130+CS130</f>
        <v>0</v>
      </c>
      <c r="DC130" s="6" t="n">
        <f aca="false">+CW130+CZ130+CQ130+CT130</f>
        <v>0</v>
      </c>
      <c r="DD130" s="6" t="n">
        <f aca="false">+CX130+DA130+CR130+CU130</f>
        <v>0</v>
      </c>
      <c r="DE130" s="6" t="n">
        <v>0</v>
      </c>
      <c r="DF130" s="6" t="n">
        <v>0</v>
      </c>
      <c r="DG130" s="6" t="n">
        <v>0</v>
      </c>
      <c r="DH130" s="6" t="n">
        <v>0</v>
      </c>
      <c r="DI130" s="6" t="n">
        <v>0</v>
      </c>
      <c r="DJ130" s="6" t="n">
        <v>0</v>
      </c>
      <c r="DK130" s="6" t="n">
        <v>0</v>
      </c>
      <c r="DL130" s="6" t="n">
        <v>0</v>
      </c>
      <c r="DM130" s="6" t="n">
        <v>0</v>
      </c>
      <c r="DN130" s="6" t="n">
        <v>0</v>
      </c>
      <c r="DO130" s="6" t="n">
        <v>0</v>
      </c>
      <c r="DP130" s="6" t="n">
        <v>0</v>
      </c>
      <c r="DQ130" s="6" t="n">
        <f aca="false">+DK130+DN130+DE130+DH130</f>
        <v>0</v>
      </c>
      <c r="DR130" s="6" t="n">
        <f aca="false">+DL130+DO130+DF130+DI130</f>
        <v>0</v>
      </c>
      <c r="DS130" s="6" t="n">
        <f aca="false">+DM130+DP130+DG130+DJ130</f>
        <v>0</v>
      </c>
      <c r="DT130" s="31" t="n">
        <f aca="false">+P130+AE130+AT130+BI130+BX130+CM130+DB130</f>
        <v>1000000</v>
      </c>
      <c r="DU130" s="31" t="n">
        <f aca="false">+Q130+AF130+AU130+BJ130+BY130+CN130+DC130</f>
        <v>1000000</v>
      </c>
      <c r="DV130" s="31" t="n">
        <f aca="false">+R130+AG130+AV130+BK130+BZ130+CO130+DD130</f>
        <v>1000000</v>
      </c>
      <c r="DW130" s="31" t="n">
        <f aca="false">+DU130-DV130</f>
        <v>0</v>
      </c>
    </row>
    <row r="131" customFormat="false" ht="13.8" hidden="false" customHeight="false" outlineLevel="0" collapsed="false">
      <c r="A131" s="27" t="n">
        <v>45392</v>
      </c>
      <c r="B131" s="28" t="s">
        <v>534</v>
      </c>
      <c r="C131" s="28" t="s">
        <v>535</v>
      </c>
      <c r="D131" s="29" t="s">
        <v>536</v>
      </c>
      <c r="E131" s="28" t="s">
        <v>537</v>
      </c>
      <c r="F131" s="27" t="s">
        <v>538</v>
      </c>
      <c r="G131" s="27" t="s">
        <v>19</v>
      </c>
      <c r="H131" s="30" t="n">
        <v>500000</v>
      </c>
      <c r="I131" s="30" t="n">
        <v>500000</v>
      </c>
      <c r="J131" s="6" t="n">
        <v>0</v>
      </c>
      <c r="K131" s="6" t="n">
        <v>0</v>
      </c>
      <c r="L131" s="6" t="n">
        <v>0</v>
      </c>
      <c r="M131" s="6" t="n">
        <v>0</v>
      </c>
      <c r="N131" s="6" t="n">
        <v>0</v>
      </c>
      <c r="O131" s="6" t="n">
        <v>0</v>
      </c>
      <c r="P131" s="6" t="n">
        <f aca="false">+J131+M131</f>
        <v>0</v>
      </c>
      <c r="Q131" s="6" t="n">
        <f aca="false">+K131+N131</f>
        <v>0</v>
      </c>
      <c r="R131" s="6" t="n">
        <f aca="false">+L131+O131</f>
        <v>0</v>
      </c>
      <c r="S131" s="6" t="n">
        <v>0</v>
      </c>
      <c r="T131" s="6" t="n">
        <v>0</v>
      </c>
      <c r="U131" s="6" t="n">
        <v>0</v>
      </c>
      <c r="V131" s="6" t="n">
        <v>0</v>
      </c>
      <c r="W131" s="6" t="n">
        <v>0</v>
      </c>
      <c r="X131" s="6" t="n">
        <v>0</v>
      </c>
      <c r="Y131" s="6" t="n">
        <v>0</v>
      </c>
      <c r="Z131" s="6" t="n">
        <v>0</v>
      </c>
      <c r="AA131" s="6" t="n">
        <v>0</v>
      </c>
      <c r="AB131" s="6" t="n">
        <v>0</v>
      </c>
      <c r="AC131" s="6" t="n">
        <v>0</v>
      </c>
      <c r="AD131" s="6" t="n">
        <v>0</v>
      </c>
      <c r="AE131" s="6" t="n">
        <f aca="false">+Y131+AB131+S131+V131</f>
        <v>0</v>
      </c>
      <c r="AF131" s="6" t="n">
        <f aca="false">+Z131+AC131+T131+W131</f>
        <v>0</v>
      </c>
      <c r="AG131" s="6" t="n">
        <f aca="false">+AA131+AD131+U131+X131</f>
        <v>0</v>
      </c>
      <c r="AH131" s="6" t="n">
        <v>0</v>
      </c>
      <c r="AI131" s="6" t="n">
        <v>0</v>
      </c>
      <c r="AJ131" s="6" t="n">
        <v>0</v>
      </c>
      <c r="AK131" s="6" t="n">
        <v>0</v>
      </c>
      <c r="AL131" s="6" t="n">
        <v>0</v>
      </c>
      <c r="AM131" s="6" t="n">
        <v>0</v>
      </c>
      <c r="AN131" s="6" t="n">
        <v>0</v>
      </c>
      <c r="AO131" s="6" t="n">
        <v>0</v>
      </c>
      <c r="AP131" s="6" t="n">
        <v>0</v>
      </c>
      <c r="AQ131" s="6" t="n">
        <v>0</v>
      </c>
      <c r="AR131" s="6" t="n">
        <v>0</v>
      </c>
      <c r="AS131" s="6" t="n">
        <v>0</v>
      </c>
      <c r="AT131" s="6" t="n">
        <f aca="false">+AN131+AQ131+AH131+AK131</f>
        <v>0</v>
      </c>
      <c r="AU131" s="6" t="n">
        <f aca="false">+AO131+AR131+AI131+AL131</f>
        <v>0</v>
      </c>
      <c r="AV131" s="6" t="n">
        <f aca="false">+AP131+AS131+AJ131+AM131</f>
        <v>0</v>
      </c>
      <c r="AW131" s="6" t="n">
        <v>0</v>
      </c>
      <c r="AX131" s="6" t="n">
        <v>0</v>
      </c>
      <c r="AY131" s="6" t="n">
        <v>0</v>
      </c>
      <c r="AZ131" s="6" t="n">
        <v>0</v>
      </c>
      <c r="BA131" s="6" t="n">
        <v>0</v>
      </c>
      <c r="BB131" s="6" t="n">
        <v>0</v>
      </c>
      <c r="BC131" s="6" t="n">
        <v>0</v>
      </c>
      <c r="BD131" s="6" t="n">
        <v>0</v>
      </c>
      <c r="BE131" s="6" t="n">
        <v>0</v>
      </c>
      <c r="BF131" s="6" t="n">
        <v>0</v>
      </c>
      <c r="BG131" s="6" t="n">
        <v>0</v>
      </c>
      <c r="BH131" s="6" t="n">
        <v>0</v>
      </c>
      <c r="BI131" s="6" t="n">
        <f aca="false">+BC131+BF131+AW131+AZ131</f>
        <v>0</v>
      </c>
      <c r="BJ131" s="6" t="n">
        <f aca="false">+BD131+BG131+AX131+BA131</f>
        <v>0</v>
      </c>
      <c r="BK131" s="6" t="n">
        <f aca="false">+BE131+BH131+AY131+BB131</f>
        <v>0</v>
      </c>
      <c r="BL131" s="6" t="n">
        <v>0</v>
      </c>
      <c r="BM131" s="6" t="n">
        <v>0</v>
      </c>
      <c r="BN131" s="6" t="n">
        <v>0</v>
      </c>
      <c r="BO131" s="6" t="n">
        <v>0</v>
      </c>
      <c r="BP131" s="6" t="n">
        <v>0</v>
      </c>
      <c r="BQ131" s="6" t="n">
        <v>0</v>
      </c>
      <c r="BR131" s="30" t="n">
        <v>500000</v>
      </c>
      <c r="BS131" s="30" t="n">
        <v>500000</v>
      </c>
      <c r="BT131" s="6" t="n">
        <v>0</v>
      </c>
      <c r="BU131" s="6" t="n">
        <v>0</v>
      </c>
      <c r="BV131" s="6" t="n">
        <v>0</v>
      </c>
      <c r="BW131" s="6" t="n">
        <v>250000</v>
      </c>
      <c r="BX131" s="6" t="n">
        <f aca="false">+BR131+BU131+BL131+BO131</f>
        <v>500000</v>
      </c>
      <c r="BY131" s="6" t="n">
        <f aca="false">+BS131+BV131+BM131+BP131</f>
        <v>500000</v>
      </c>
      <c r="BZ131" s="6" t="n">
        <f aca="false">+BT131+BW131+BN131+BQ131</f>
        <v>250000</v>
      </c>
      <c r="CA131" s="6" t="n">
        <v>0</v>
      </c>
      <c r="CB131" s="6" t="n">
        <v>0</v>
      </c>
      <c r="CC131" s="6" t="n">
        <v>250000</v>
      </c>
      <c r="CD131" s="6" t="n">
        <v>0</v>
      </c>
      <c r="CE131" s="6" t="n">
        <v>0</v>
      </c>
      <c r="CF131" s="6" t="n">
        <v>0</v>
      </c>
      <c r="CG131" s="6" t="n">
        <v>0</v>
      </c>
      <c r="CH131" s="6" t="n">
        <v>0</v>
      </c>
      <c r="CI131" s="6" t="n">
        <v>0</v>
      </c>
      <c r="CJ131" s="6" t="n">
        <v>0</v>
      </c>
      <c r="CK131" s="6" t="n">
        <v>0</v>
      </c>
      <c r="CL131" s="6" t="n">
        <v>0</v>
      </c>
      <c r="CM131" s="6" t="n">
        <f aca="false">+CG131+CJ131+CA131+CD131</f>
        <v>0</v>
      </c>
      <c r="CN131" s="6" t="n">
        <f aca="false">+CH131+CK131+CB131+CE131</f>
        <v>0</v>
      </c>
      <c r="CO131" s="6" t="n">
        <f aca="false">+CI131+CL131+CC131+CF131</f>
        <v>250000</v>
      </c>
      <c r="CP131" s="6" t="n">
        <v>0</v>
      </c>
      <c r="CQ131" s="6" t="n">
        <v>0</v>
      </c>
      <c r="CR131" s="6" t="n">
        <v>0</v>
      </c>
      <c r="CS131" s="6" t="n">
        <v>0</v>
      </c>
      <c r="CT131" s="6" t="n">
        <v>0</v>
      </c>
      <c r="CU131" s="6" t="n">
        <v>0</v>
      </c>
      <c r="CV131" s="6" t="n">
        <v>0</v>
      </c>
      <c r="CW131" s="6" t="n">
        <v>0</v>
      </c>
      <c r="CX131" s="6" t="n">
        <v>0</v>
      </c>
      <c r="CY131" s="6" t="n">
        <v>0</v>
      </c>
      <c r="CZ131" s="6" t="n">
        <v>0</v>
      </c>
      <c r="DA131" s="6" t="n">
        <v>0</v>
      </c>
      <c r="DB131" s="6" t="n">
        <f aca="false">+CV131+CY131+CP131+CS131</f>
        <v>0</v>
      </c>
      <c r="DC131" s="6" t="n">
        <f aca="false">+CW131+CZ131+CQ131+CT131</f>
        <v>0</v>
      </c>
      <c r="DD131" s="6" t="n">
        <f aca="false">+CX131+DA131+CR131+CU131</f>
        <v>0</v>
      </c>
      <c r="DE131" s="6" t="n">
        <v>0</v>
      </c>
      <c r="DF131" s="6" t="n">
        <v>0</v>
      </c>
      <c r="DG131" s="6" t="n">
        <v>0</v>
      </c>
      <c r="DH131" s="6" t="n">
        <v>0</v>
      </c>
      <c r="DI131" s="6" t="n">
        <v>0</v>
      </c>
      <c r="DJ131" s="6" t="n">
        <v>0</v>
      </c>
      <c r="DK131" s="6" t="n">
        <v>0</v>
      </c>
      <c r="DL131" s="6" t="n">
        <v>0</v>
      </c>
      <c r="DM131" s="6" t="n">
        <v>0</v>
      </c>
      <c r="DN131" s="6" t="n">
        <v>0</v>
      </c>
      <c r="DO131" s="6" t="n">
        <v>0</v>
      </c>
      <c r="DP131" s="6" t="n">
        <v>0</v>
      </c>
      <c r="DQ131" s="6" t="n">
        <f aca="false">+DK131+DN131+DE131+DH131</f>
        <v>0</v>
      </c>
      <c r="DR131" s="6" t="n">
        <f aca="false">+DL131+DO131+DF131+DI131</f>
        <v>0</v>
      </c>
      <c r="DS131" s="6" t="n">
        <f aca="false">+DM131+DP131+DG131+DJ131</f>
        <v>0</v>
      </c>
      <c r="DT131" s="31" t="n">
        <f aca="false">+P131+AE131+AT131+BI131+BX131+CM131+DB131</f>
        <v>500000</v>
      </c>
      <c r="DU131" s="31" t="n">
        <f aca="false">+Q131+AF131+AU131+BJ131+BY131+CN131+DC131</f>
        <v>500000</v>
      </c>
      <c r="DV131" s="31" t="n">
        <f aca="false">+R131+AG131+AV131+BK131+BZ131+CO131+DD131</f>
        <v>500000</v>
      </c>
      <c r="DW131" s="31" t="n">
        <f aca="false">+DU131-DV131</f>
        <v>0</v>
      </c>
    </row>
    <row r="132" customFormat="false" ht="13.8" hidden="false" customHeight="false" outlineLevel="0" collapsed="false">
      <c r="A132" s="27" t="n">
        <v>45399</v>
      </c>
      <c r="B132" s="28" t="s">
        <v>539</v>
      </c>
      <c r="C132" s="28" t="s">
        <v>540</v>
      </c>
      <c r="D132" s="29" t="s">
        <v>541</v>
      </c>
      <c r="E132" s="28" t="s">
        <v>542</v>
      </c>
      <c r="F132" s="27" t="s">
        <v>543</v>
      </c>
      <c r="G132" s="27" t="s">
        <v>19</v>
      </c>
      <c r="H132" s="30" t="n">
        <v>1500000</v>
      </c>
      <c r="I132" s="30" t="n">
        <v>1500000</v>
      </c>
      <c r="J132" s="6" t="n">
        <v>0</v>
      </c>
      <c r="K132" s="6" t="n">
        <v>0</v>
      </c>
      <c r="L132" s="6" t="n">
        <v>0</v>
      </c>
      <c r="M132" s="6" t="n">
        <v>0</v>
      </c>
      <c r="N132" s="6" t="n">
        <v>0</v>
      </c>
      <c r="O132" s="6" t="n">
        <v>0</v>
      </c>
      <c r="P132" s="6" t="n">
        <f aca="false">+J132+M132</f>
        <v>0</v>
      </c>
      <c r="Q132" s="6" t="n">
        <f aca="false">+K132+N132</f>
        <v>0</v>
      </c>
      <c r="R132" s="6" t="n">
        <f aca="false">+L132+O132</f>
        <v>0</v>
      </c>
      <c r="S132" s="6" t="n">
        <v>0</v>
      </c>
      <c r="T132" s="6" t="n">
        <v>0</v>
      </c>
      <c r="U132" s="6" t="n">
        <v>0</v>
      </c>
      <c r="V132" s="6" t="n">
        <v>0</v>
      </c>
      <c r="W132" s="6" t="n">
        <v>0</v>
      </c>
      <c r="X132" s="6" t="n">
        <v>0</v>
      </c>
      <c r="Y132" s="6" t="n">
        <v>0</v>
      </c>
      <c r="Z132" s="6" t="n">
        <v>0</v>
      </c>
      <c r="AA132" s="6" t="n">
        <v>0</v>
      </c>
      <c r="AB132" s="6" t="n">
        <v>0</v>
      </c>
      <c r="AC132" s="6" t="n">
        <v>0</v>
      </c>
      <c r="AD132" s="6" t="n">
        <v>0</v>
      </c>
      <c r="AE132" s="6" t="n">
        <f aca="false">+Y132+AB132+S132+V132</f>
        <v>0</v>
      </c>
      <c r="AF132" s="6" t="n">
        <f aca="false">+Z132+AC132+T132+W132</f>
        <v>0</v>
      </c>
      <c r="AG132" s="6" t="n">
        <f aca="false">+AA132+AD132+U132+X132</f>
        <v>0</v>
      </c>
      <c r="AH132" s="6" t="n">
        <v>0</v>
      </c>
      <c r="AI132" s="6" t="n">
        <v>0</v>
      </c>
      <c r="AJ132" s="6" t="n">
        <v>0</v>
      </c>
      <c r="AK132" s="6" t="n">
        <v>0</v>
      </c>
      <c r="AL132" s="6" t="n">
        <v>0</v>
      </c>
      <c r="AM132" s="6" t="n">
        <v>0</v>
      </c>
      <c r="AN132" s="6" t="n">
        <v>0</v>
      </c>
      <c r="AO132" s="6" t="n">
        <v>0</v>
      </c>
      <c r="AP132" s="6" t="n">
        <v>0</v>
      </c>
      <c r="AQ132" s="6" t="n">
        <v>0</v>
      </c>
      <c r="AR132" s="6" t="n">
        <v>0</v>
      </c>
      <c r="AS132" s="6" t="n">
        <v>0</v>
      </c>
      <c r="AT132" s="6" t="n">
        <f aca="false">+AN132+AQ132+AH132+AK132</f>
        <v>0</v>
      </c>
      <c r="AU132" s="6" t="n">
        <f aca="false">+AO132+AR132+AI132+AL132</f>
        <v>0</v>
      </c>
      <c r="AV132" s="6" t="n">
        <f aca="false">+AP132+AS132+AJ132+AM132</f>
        <v>0</v>
      </c>
      <c r="AW132" s="6" t="n">
        <v>0</v>
      </c>
      <c r="AX132" s="6" t="n">
        <v>0</v>
      </c>
      <c r="AY132" s="6" t="n">
        <v>0</v>
      </c>
      <c r="AZ132" s="6" t="n">
        <v>0</v>
      </c>
      <c r="BA132" s="6" t="n">
        <v>0</v>
      </c>
      <c r="BB132" s="6" t="n">
        <v>0</v>
      </c>
      <c r="BC132" s="6" t="n">
        <v>0</v>
      </c>
      <c r="BD132" s="6" t="n">
        <v>0</v>
      </c>
      <c r="BE132" s="6" t="n">
        <v>0</v>
      </c>
      <c r="BF132" s="6" t="n">
        <v>0</v>
      </c>
      <c r="BG132" s="6" t="n">
        <v>0</v>
      </c>
      <c r="BH132" s="6" t="n">
        <v>0</v>
      </c>
      <c r="BI132" s="6" t="n">
        <f aca="false">+BC132+BF132+AW132+AZ132</f>
        <v>0</v>
      </c>
      <c r="BJ132" s="6" t="n">
        <f aca="false">+BD132+BG132+AX132+BA132</f>
        <v>0</v>
      </c>
      <c r="BK132" s="6" t="n">
        <f aca="false">+BE132+BH132+AY132+BB132</f>
        <v>0</v>
      </c>
      <c r="BL132" s="6" t="n">
        <v>0</v>
      </c>
      <c r="BM132" s="6" t="n">
        <v>0</v>
      </c>
      <c r="BN132" s="6" t="n">
        <v>0</v>
      </c>
      <c r="BO132" s="6" t="n">
        <v>0</v>
      </c>
      <c r="BP132" s="6" t="n">
        <v>0</v>
      </c>
      <c r="BQ132" s="6" t="n">
        <v>0</v>
      </c>
      <c r="BR132" s="30" t="n">
        <v>1500000</v>
      </c>
      <c r="BS132" s="30" t="n">
        <v>1500000</v>
      </c>
      <c r="BT132" s="6" t="n">
        <v>0</v>
      </c>
      <c r="BU132" s="6" t="n">
        <v>0</v>
      </c>
      <c r="BV132" s="6" t="n">
        <v>0</v>
      </c>
      <c r="BW132" s="6" t="n">
        <v>0</v>
      </c>
      <c r="BX132" s="6" t="n">
        <f aca="false">+BR132+BU132+BL132+BO132</f>
        <v>1500000</v>
      </c>
      <c r="BY132" s="6" t="n">
        <f aca="false">+BS132+BV132+BM132+BP132</f>
        <v>1500000</v>
      </c>
      <c r="BZ132" s="6" t="n">
        <f aca="false">+BT132+BW132+BN132+BQ132</f>
        <v>0</v>
      </c>
      <c r="CA132" s="6" t="n">
        <v>0</v>
      </c>
      <c r="CB132" s="6" t="n">
        <v>0</v>
      </c>
      <c r="CC132" s="6" t="n">
        <v>700000</v>
      </c>
      <c r="CD132" s="6" t="n">
        <v>0</v>
      </c>
      <c r="CE132" s="6" t="n">
        <v>0</v>
      </c>
      <c r="CF132" s="6" t="n">
        <v>0</v>
      </c>
      <c r="CG132" s="6" t="n">
        <v>0</v>
      </c>
      <c r="CH132" s="6" t="n">
        <v>0</v>
      </c>
      <c r="CI132" s="6" t="n">
        <v>0</v>
      </c>
      <c r="CJ132" s="6" t="n">
        <v>0</v>
      </c>
      <c r="CK132" s="6" t="n">
        <v>0</v>
      </c>
      <c r="CL132" s="6" t="n">
        <v>0</v>
      </c>
      <c r="CM132" s="6" t="n">
        <f aca="false">+CG132+CJ132+CA132+CD132</f>
        <v>0</v>
      </c>
      <c r="CN132" s="6" t="n">
        <f aca="false">+CH132+CK132+CB132+CE132</f>
        <v>0</v>
      </c>
      <c r="CO132" s="6" t="n">
        <f aca="false">+CI132+CL132+CC132+CF132</f>
        <v>700000</v>
      </c>
      <c r="CP132" s="6" t="n">
        <v>0</v>
      </c>
      <c r="CQ132" s="6" t="n">
        <v>0</v>
      </c>
      <c r="CR132" s="6" t="n">
        <v>0</v>
      </c>
      <c r="CS132" s="30" t="n">
        <v>822150</v>
      </c>
      <c r="CT132" s="30" t="n">
        <v>822150</v>
      </c>
      <c r="CU132" s="6" t="n">
        <v>87844</v>
      </c>
      <c r="CV132" s="6" t="n">
        <v>0</v>
      </c>
      <c r="CW132" s="6" t="n">
        <v>0</v>
      </c>
      <c r="CX132" s="6" t="n">
        <v>0</v>
      </c>
      <c r="CY132" s="6" t="n">
        <v>0</v>
      </c>
      <c r="CZ132" s="6" t="n">
        <v>0</v>
      </c>
      <c r="DA132" s="6" t="n">
        <v>0</v>
      </c>
      <c r="DB132" s="6" t="n">
        <f aca="false">+CV132+CY132+CP132+CS132</f>
        <v>822150</v>
      </c>
      <c r="DC132" s="6" t="n">
        <f aca="false">+CW132+CZ132+CQ132+CT132</f>
        <v>822150</v>
      </c>
      <c r="DD132" s="6" t="n">
        <f aca="false">+CX132+DA132+CR132+CU132</f>
        <v>87844</v>
      </c>
      <c r="DE132" s="6" t="n">
        <v>0</v>
      </c>
      <c r="DF132" s="6" t="n">
        <v>0</v>
      </c>
      <c r="DG132" s="6" t="n">
        <v>0</v>
      </c>
      <c r="DH132" s="30" t="n">
        <v>822150</v>
      </c>
      <c r="DI132" s="30" t="n">
        <v>822150</v>
      </c>
      <c r="DJ132" s="6" t="n">
        <v>87844</v>
      </c>
      <c r="DK132" s="6" t="n">
        <v>0</v>
      </c>
      <c r="DL132" s="6" t="n">
        <v>0</v>
      </c>
      <c r="DM132" s="6" t="n">
        <v>0</v>
      </c>
      <c r="DN132" s="6" t="n">
        <v>0</v>
      </c>
      <c r="DO132" s="6" t="n">
        <v>0</v>
      </c>
      <c r="DP132" s="6" t="n">
        <v>0</v>
      </c>
      <c r="DQ132" s="6" t="n">
        <f aca="false">+DK132+DN132+DE132+DH132</f>
        <v>822150</v>
      </c>
      <c r="DR132" s="6" t="n">
        <f aca="false">+DL132+DO132+DF132+DI132</f>
        <v>822150</v>
      </c>
      <c r="DS132" s="6" t="n">
        <f aca="false">+DM132+DP132+DG132+DJ132</f>
        <v>87844</v>
      </c>
      <c r="DT132" s="31" t="n">
        <f aca="false">+P132+AE132+AT132+BI132+BX132+CM132+DB132</f>
        <v>2322150</v>
      </c>
      <c r="DU132" s="31" t="n">
        <f aca="false">+Q132+AF132+AU132+BJ132+BY132+CN132+DC132</f>
        <v>2322150</v>
      </c>
      <c r="DV132" s="31" t="n">
        <f aca="false">+R132+AG132+AV132+BK132+BZ132+CO132+DD132</f>
        <v>787844</v>
      </c>
      <c r="DW132" s="31" t="n">
        <f aca="false">+DU132-DV132</f>
        <v>1534306</v>
      </c>
    </row>
    <row r="133" customFormat="false" ht="13.8" hidden="false" customHeight="false" outlineLevel="0" collapsed="false">
      <c r="A133" s="27" t="n">
        <v>45399</v>
      </c>
      <c r="B133" s="28" t="s">
        <v>539</v>
      </c>
      <c r="C133" s="28" t="s">
        <v>540</v>
      </c>
      <c r="D133" s="29" t="s">
        <v>541</v>
      </c>
      <c r="E133" s="28" t="s">
        <v>542</v>
      </c>
      <c r="F133" s="27" t="s">
        <v>543</v>
      </c>
      <c r="G133" s="27" t="s">
        <v>19</v>
      </c>
      <c r="H133" s="30" t="n">
        <v>472232</v>
      </c>
      <c r="I133" s="30" t="n">
        <v>472232</v>
      </c>
      <c r="J133" s="6" t="n">
        <v>0</v>
      </c>
      <c r="K133" s="6" t="n">
        <v>0</v>
      </c>
      <c r="L133" s="6" t="n">
        <v>0</v>
      </c>
      <c r="M133" s="6" t="n">
        <v>0</v>
      </c>
      <c r="N133" s="6" t="n">
        <v>0</v>
      </c>
      <c r="O133" s="6" t="n">
        <v>0</v>
      </c>
      <c r="P133" s="6" t="n">
        <f aca="false">+J133+M133</f>
        <v>0</v>
      </c>
      <c r="Q133" s="6" t="n">
        <f aca="false">+K133+N133</f>
        <v>0</v>
      </c>
      <c r="R133" s="6" t="n">
        <f aca="false">+L133+O133</f>
        <v>0</v>
      </c>
      <c r="S133" s="6" t="n">
        <v>0</v>
      </c>
      <c r="T133" s="6" t="n">
        <v>0</v>
      </c>
      <c r="U133" s="6" t="n">
        <v>0</v>
      </c>
      <c r="V133" s="6" t="n">
        <v>0</v>
      </c>
      <c r="W133" s="6" t="n">
        <v>0</v>
      </c>
      <c r="X133" s="6" t="n">
        <v>0</v>
      </c>
      <c r="Y133" s="6" t="n">
        <v>0</v>
      </c>
      <c r="Z133" s="6" t="n">
        <v>0</v>
      </c>
      <c r="AA133" s="6" t="n">
        <v>0</v>
      </c>
      <c r="AB133" s="6" t="n">
        <v>0</v>
      </c>
      <c r="AC133" s="6" t="n">
        <v>0</v>
      </c>
      <c r="AD133" s="6" t="n">
        <v>0</v>
      </c>
      <c r="AE133" s="6" t="n">
        <f aca="false">+Y133+AB133+S133+V133</f>
        <v>0</v>
      </c>
      <c r="AF133" s="6" t="n">
        <f aca="false">+Z133+AC133+T133+W133</f>
        <v>0</v>
      </c>
      <c r="AG133" s="6" t="n">
        <f aca="false">+AA133+AD133+U133+X133</f>
        <v>0</v>
      </c>
      <c r="AH133" s="6" t="n">
        <v>0</v>
      </c>
      <c r="AI133" s="6" t="n">
        <v>0</v>
      </c>
      <c r="AJ133" s="6" t="n">
        <v>0</v>
      </c>
      <c r="AK133" s="6" t="n">
        <v>0</v>
      </c>
      <c r="AL133" s="6" t="n">
        <v>0</v>
      </c>
      <c r="AM133" s="6" t="n">
        <v>0</v>
      </c>
      <c r="AN133" s="6" t="n">
        <v>0</v>
      </c>
      <c r="AO133" s="6" t="n">
        <v>0</v>
      </c>
      <c r="AP133" s="6" t="n">
        <v>0</v>
      </c>
      <c r="AQ133" s="6" t="n">
        <v>0</v>
      </c>
      <c r="AR133" s="6" t="n">
        <v>0</v>
      </c>
      <c r="AS133" s="6" t="n">
        <v>0</v>
      </c>
      <c r="AT133" s="6" t="n">
        <f aca="false">+AN133+AQ133+AH133+AK133</f>
        <v>0</v>
      </c>
      <c r="AU133" s="6" t="n">
        <f aca="false">+AO133+AR133+AI133+AL133</f>
        <v>0</v>
      </c>
      <c r="AV133" s="6" t="n">
        <f aca="false">+AP133+AS133+AJ133+AM133</f>
        <v>0</v>
      </c>
      <c r="AW133" s="6" t="n">
        <v>0</v>
      </c>
      <c r="AX133" s="6" t="n">
        <v>0</v>
      </c>
      <c r="AY133" s="6" t="n">
        <v>0</v>
      </c>
      <c r="AZ133" s="6" t="n">
        <v>0</v>
      </c>
      <c r="BA133" s="6" t="n">
        <v>0</v>
      </c>
      <c r="BB133" s="6" t="n">
        <v>0</v>
      </c>
      <c r="BC133" s="6" t="n">
        <v>0</v>
      </c>
      <c r="BD133" s="6" t="n">
        <v>0</v>
      </c>
      <c r="BE133" s="6" t="n">
        <v>0</v>
      </c>
      <c r="BF133" s="6" t="n">
        <v>0</v>
      </c>
      <c r="BG133" s="6" t="n">
        <v>0</v>
      </c>
      <c r="BH133" s="6" t="n">
        <v>0</v>
      </c>
      <c r="BI133" s="6" t="n">
        <f aca="false">+BC133+BF133+AW133+AZ133</f>
        <v>0</v>
      </c>
      <c r="BJ133" s="6" t="n">
        <f aca="false">+BD133+BG133+AX133+BA133</f>
        <v>0</v>
      </c>
      <c r="BK133" s="6" t="n">
        <f aca="false">+BE133+BH133+AY133+BB133</f>
        <v>0</v>
      </c>
      <c r="BL133" s="6" t="n">
        <v>0</v>
      </c>
      <c r="BM133" s="6" t="n">
        <v>0</v>
      </c>
      <c r="BN133" s="6" t="n">
        <v>0</v>
      </c>
      <c r="BO133" s="6" t="n">
        <v>0</v>
      </c>
      <c r="BP133" s="6" t="n">
        <v>0</v>
      </c>
      <c r="BQ133" s="6" t="n">
        <v>0</v>
      </c>
      <c r="BR133" s="30" t="n">
        <v>472232</v>
      </c>
      <c r="BS133" s="30" t="n">
        <v>472232</v>
      </c>
      <c r="BT133" s="6" t="n">
        <v>0</v>
      </c>
      <c r="BU133" s="6" t="n">
        <v>0</v>
      </c>
      <c r="BV133" s="6" t="n">
        <v>0</v>
      </c>
      <c r="BW133" s="6" t="n">
        <v>0</v>
      </c>
      <c r="BX133" s="6" t="n">
        <f aca="false">+BR133+BU133+BL133+BO133</f>
        <v>472232</v>
      </c>
      <c r="BY133" s="6" t="n">
        <f aca="false">+BS133+BV133+BM133+BP133</f>
        <v>472232</v>
      </c>
      <c r="BZ133" s="6" t="n">
        <f aca="false">+BT133+BW133+BN133+BQ133</f>
        <v>0</v>
      </c>
      <c r="CA133" s="6" t="n">
        <v>0</v>
      </c>
      <c r="CB133" s="6" t="n">
        <v>0</v>
      </c>
      <c r="CC133" s="6" t="n">
        <v>0</v>
      </c>
      <c r="CD133" s="6" t="n">
        <v>0</v>
      </c>
      <c r="CE133" s="6" t="n">
        <v>0</v>
      </c>
      <c r="CF133" s="6" t="n">
        <v>0</v>
      </c>
      <c r="CG133" s="6" t="n">
        <v>0</v>
      </c>
      <c r="CH133" s="6" t="n">
        <v>0</v>
      </c>
      <c r="CI133" s="6" t="n">
        <v>0</v>
      </c>
      <c r="CJ133" s="6" t="n">
        <v>0</v>
      </c>
      <c r="CK133" s="6" t="n">
        <v>0</v>
      </c>
      <c r="CL133" s="6" t="n">
        <v>0</v>
      </c>
      <c r="CM133" s="6" t="n">
        <f aca="false">+CG133+CJ133+CA133+CD133</f>
        <v>0</v>
      </c>
      <c r="CN133" s="6" t="n">
        <f aca="false">+CH133+CK133+CB133+CE133</f>
        <v>0</v>
      </c>
      <c r="CO133" s="6" t="n">
        <f aca="false">+CI133+CL133+CC133+CF133</f>
        <v>0</v>
      </c>
      <c r="CP133" s="6" t="n">
        <v>0</v>
      </c>
      <c r="CQ133" s="6" t="n">
        <v>0</v>
      </c>
      <c r="CR133" s="6" t="n">
        <v>0</v>
      </c>
      <c r="CS133" s="30" t="n">
        <v>250000</v>
      </c>
      <c r="CT133" s="30" t="n">
        <v>250000</v>
      </c>
      <c r="CU133" s="6" t="n">
        <v>0</v>
      </c>
      <c r="CV133" s="6" t="n">
        <v>0</v>
      </c>
      <c r="CW133" s="6" t="n">
        <v>0</v>
      </c>
      <c r="CX133" s="6" t="n">
        <v>0</v>
      </c>
      <c r="CY133" s="6" t="n">
        <v>0</v>
      </c>
      <c r="CZ133" s="6" t="n">
        <v>0</v>
      </c>
      <c r="DA133" s="6" t="n">
        <v>0</v>
      </c>
      <c r="DB133" s="6" t="n">
        <f aca="false">+CV133+CY133+CP133+CS133</f>
        <v>250000</v>
      </c>
      <c r="DC133" s="6" t="n">
        <f aca="false">+CW133+CZ133+CQ133+CT133</f>
        <v>250000</v>
      </c>
      <c r="DD133" s="6" t="n">
        <f aca="false">+CX133+DA133+CR133+CU133</f>
        <v>0</v>
      </c>
      <c r="DE133" s="6" t="n">
        <v>0</v>
      </c>
      <c r="DF133" s="6" t="n">
        <v>0</v>
      </c>
      <c r="DG133" s="6" t="n">
        <v>0</v>
      </c>
      <c r="DH133" s="30" t="n">
        <v>250000</v>
      </c>
      <c r="DI133" s="30" t="n">
        <v>250000</v>
      </c>
      <c r="DJ133" s="6" t="n">
        <v>0</v>
      </c>
      <c r="DK133" s="6" t="n">
        <v>0</v>
      </c>
      <c r="DL133" s="6" t="n">
        <v>0</v>
      </c>
      <c r="DM133" s="6" t="n">
        <v>0</v>
      </c>
      <c r="DN133" s="6" t="n">
        <v>0</v>
      </c>
      <c r="DO133" s="6" t="n">
        <v>0</v>
      </c>
      <c r="DP133" s="6" t="n">
        <v>0</v>
      </c>
      <c r="DQ133" s="6" t="n">
        <f aca="false">+DK133+DN133+DE133+DH133</f>
        <v>250000</v>
      </c>
      <c r="DR133" s="6" t="n">
        <f aca="false">+DL133+DO133+DF133+DI133</f>
        <v>250000</v>
      </c>
      <c r="DS133" s="6" t="n">
        <f aca="false">+DM133+DP133+DG133+DJ133</f>
        <v>0</v>
      </c>
      <c r="DT133" s="31" t="n">
        <f aca="false">+P133+AE133+AT133+BI133+BX133+CM133+DB133</f>
        <v>722232</v>
      </c>
      <c r="DU133" s="31" t="n">
        <f aca="false">+Q133+AF133+AU133+BJ133+BY133+CN133+DC133</f>
        <v>722232</v>
      </c>
      <c r="DV133" s="31" t="n">
        <f aca="false">+R133+AG133+AV133+BK133+BZ133+CO133+DD133</f>
        <v>0</v>
      </c>
      <c r="DW133" s="31" t="n">
        <f aca="false">+DU133-DV133</f>
        <v>722232</v>
      </c>
    </row>
    <row r="134" customFormat="false" ht="13.8" hidden="false" customHeight="false" outlineLevel="0" collapsed="false">
      <c r="A134" s="27" t="n">
        <v>45727</v>
      </c>
      <c r="B134" s="28" t="s">
        <v>544</v>
      </c>
      <c r="C134" s="28" t="s">
        <v>540</v>
      </c>
      <c r="D134" s="29" t="s">
        <v>541</v>
      </c>
      <c r="E134" s="28" t="s">
        <v>542</v>
      </c>
      <c r="F134" s="27" t="s">
        <v>543</v>
      </c>
      <c r="G134" s="27" t="s">
        <v>19</v>
      </c>
      <c r="H134" s="30" t="n">
        <v>-1500000</v>
      </c>
      <c r="I134" s="30" t="n">
        <v>-1500000</v>
      </c>
      <c r="J134" s="6" t="n">
        <v>0</v>
      </c>
      <c r="K134" s="6" t="n">
        <v>0</v>
      </c>
      <c r="L134" s="6" t="n">
        <v>0</v>
      </c>
      <c r="M134" s="6" t="n">
        <v>0</v>
      </c>
      <c r="N134" s="6" t="n">
        <v>0</v>
      </c>
      <c r="O134" s="6" t="n">
        <v>0</v>
      </c>
      <c r="P134" s="6" t="n">
        <f aca="false">+J134+M134</f>
        <v>0</v>
      </c>
      <c r="Q134" s="6" t="n">
        <f aca="false">+K134+N134</f>
        <v>0</v>
      </c>
      <c r="R134" s="6" t="n">
        <f aca="false">+L134+O134</f>
        <v>0</v>
      </c>
      <c r="S134" s="6" t="n">
        <v>0</v>
      </c>
      <c r="T134" s="6" t="n">
        <v>0</v>
      </c>
      <c r="U134" s="6" t="n">
        <v>0</v>
      </c>
      <c r="V134" s="6" t="n">
        <v>0</v>
      </c>
      <c r="W134" s="6" t="n">
        <v>0</v>
      </c>
      <c r="X134" s="6" t="n">
        <v>0</v>
      </c>
      <c r="Y134" s="6" t="n">
        <v>0</v>
      </c>
      <c r="Z134" s="6" t="n">
        <v>0</v>
      </c>
      <c r="AA134" s="6" t="n">
        <v>0</v>
      </c>
      <c r="AB134" s="6" t="n">
        <v>0</v>
      </c>
      <c r="AC134" s="6" t="n">
        <v>0</v>
      </c>
      <c r="AD134" s="6" t="n">
        <v>0</v>
      </c>
      <c r="AE134" s="6" t="n">
        <f aca="false">+Y134+AB134+S134+V134</f>
        <v>0</v>
      </c>
      <c r="AF134" s="6" t="n">
        <f aca="false">+Z134+AC134+T134+W134</f>
        <v>0</v>
      </c>
      <c r="AG134" s="6" t="n">
        <f aca="false">+AA134+AD134+U134+X134</f>
        <v>0</v>
      </c>
      <c r="AH134" s="6" t="n">
        <v>0</v>
      </c>
      <c r="AI134" s="6" t="n">
        <v>0</v>
      </c>
      <c r="AJ134" s="6" t="n">
        <v>0</v>
      </c>
      <c r="AK134" s="6" t="n">
        <v>0</v>
      </c>
      <c r="AL134" s="6" t="n">
        <v>0</v>
      </c>
      <c r="AM134" s="6" t="n">
        <v>0</v>
      </c>
      <c r="AN134" s="6" t="n">
        <v>0</v>
      </c>
      <c r="AO134" s="6" t="n">
        <v>0</v>
      </c>
      <c r="AP134" s="6" t="n">
        <v>0</v>
      </c>
      <c r="AQ134" s="6" t="n">
        <v>0</v>
      </c>
      <c r="AR134" s="6" t="n">
        <v>0</v>
      </c>
      <c r="AS134" s="6" t="n">
        <v>0</v>
      </c>
      <c r="AT134" s="6" t="n">
        <f aca="false">+AN134+AQ134+AH134+AK134</f>
        <v>0</v>
      </c>
      <c r="AU134" s="6" t="n">
        <f aca="false">+AO134+AR134+AI134+AL134</f>
        <v>0</v>
      </c>
      <c r="AV134" s="6" t="n">
        <f aca="false">+AP134+AS134+AJ134+AM134</f>
        <v>0</v>
      </c>
      <c r="AW134" s="6" t="n">
        <v>0</v>
      </c>
      <c r="AX134" s="6" t="n">
        <v>0</v>
      </c>
      <c r="AY134" s="6" t="n">
        <v>0</v>
      </c>
      <c r="AZ134" s="6" t="n">
        <v>0</v>
      </c>
      <c r="BA134" s="6" t="n">
        <v>0</v>
      </c>
      <c r="BB134" s="6" t="n">
        <v>0</v>
      </c>
      <c r="BC134" s="6" t="n">
        <v>0</v>
      </c>
      <c r="BD134" s="6" t="n">
        <v>0</v>
      </c>
      <c r="BE134" s="6" t="n">
        <v>0</v>
      </c>
      <c r="BF134" s="6" t="n">
        <v>0</v>
      </c>
      <c r="BG134" s="6" t="n">
        <v>0</v>
      </c>
      <c r="BH134" s="6" t="n">
        <v>0</v>
      </c>
      <c r="BI134" s="6" t="n">
        <f aca="false">+BC134+BF134+AW134+AZ134</f>
        <v>0</v>
      </c>
      <c r="BJ134" s="6" t="n">
        <f aca="false">+BD134+BG134+AX134+BA134</f>
        <v>0</v>
      </c>
      <c r="BK134" s="6" t="n">
        <f aca="false">+BE134+BH134+AY134+BB134</f>
        <v>0</v>
      </c>
      <c r="BL134" s="6" t="n">
        <v>0</v>
      </c>
      <c r="BM134" s="6" t="n">
        <v>0</v>
      </c>
      <c r="BN134" s="6" t="n">
        <v>0</v>
      </c>
      <c r="BO134" s="6" t="n">
        <v>0</v>
      </c>
      <c r="BP134" s="6" t="n">
        <v>0</v>
      </c>
      <c r="BQ134" s="6" t="n">
        <v>0</v>
      </c>
      <c r="BR134" s="30" t="n">
        <v>-1500000</v>
      </c>
      <c r="BS134" s="30" t="n">
        <v>-1500000</v>
      </c>
      <c r="BT134" s="6" t="n">
        <v>0</v>
      </c>
      <c r="BU134" s="6" t="n">
        <v>0</v>
      </c>
      <c r="BV134" s="6" t="n">
        <v>0</v>
      </c>
      <c r="BW134" s="6" t="n">
        <v>0</v>
      </c>
      <c r="BX134" s="6" t="n">
        <f aca="false">+BR134+BU134+BL134+BO134</f>
        <v>-1500000</v>
      </c>
      <c r="BY134" s="6" t="n">
        <f aca="false">+BS134+BV134+BM134+BP134</f>
        <v>-1500000</v>
      </c>
      <c r="BZ134" s="6" t="n">
        <f aca="false">+BT134+BW134+BN134+BQ134</f>
        <v>0</v>
      </c>
      <c r="CA134" s="6" t="n">
        <v>0</v>
      </c>
      <c r="CB134" s="6" t="n">
        <v>0</v>
      </c>
      <c r="CC134" s="6" t="n">
        <v>0</v>
      </c>
      <c r="CD134" s="6" t="n">
        <v>0</v>
      </c>
      <c r="CE134" s="6" t="n">
        <v>0</v>
      </c>
      <c r="CF134" s="6" t="n">
        <v>0</v>
      </c>
      <c r="CG134" s="6" t="n">
        <v>0</v>
      </c>
      <c r="CH134" s="6" t="n">
        <v>0</v>
      </c>
      <c r="CI134" s="6" t="n">
        <v>0</v>
      </c>
      <c r="CJ134" s="6" t="n">
        <v>0</v>
      </c>
      <c r="CK134" s="6" t="n">
        <v>0</v>
      </c>
      <c r="CL134" s="6" t="n">
        <v>0</v>
      </c>
      <c r="CM134" s="6" t="n">
        <f aca="false">+CG134+CJ134+CA134+CD134</f>
        <v>0</v>
      </c>
      <c r="CN134" s="6" t="n">
        <f aca="false">+CH134+CK134+CB134+CE134</f>
        <v>0</v>
      </c>
      <c r="CO134" s="6" t="n">
        <f aca="false">+CI134+CL134+CC134+CF134</f>
        <v>0</v>
      </c>
      <c r="CP134" s="6" t="n">
        <v>0</v>
      </c>
      <c r="CQ134" s="6" t="n">
        <v>0</v>
      </c>
      <c r="CR134" s="6" t="n">
        <v>0</v>
      </c>
      <c r="CS134" s="30" t="n">
        <v>1479870</v>
      </c>
      <c r="CT134" s="30" t="n">
        <v>1479870</v>
      </c>
      <c r="CU134" s="6" t="n">
        <v>0</v>
      </c>
      <c r="CV134" s="6" t="n">
        <v>0</v>
      </c>
      <c r="CW134" s="6" t="n">
        <v>0</v>
      </c>
      <c r="CX134" s="6" t="n">
        <v>0</v>
      </c>
      <c r="CY134" s="6" t="n">
        <v>0</v>
      </c>
      <c r="CZ134" s="6" t="n">
        <v>0</v>
      </c>
      <c r="DA134" s="6" t="n">
        <v>0</v>
      </c>
      <c r="DB134" s="6" t="n">
        <f aca="false">+CV134+CY134+CP134+CS134</f>
        <v>1479870</v>
      </c>
      <c r="DC134" s="6" t="n">
        <f aca="false">+CW134+CZ134+CQ134+CT134</f>
        <v>1479870</v>
      </c>
      <c r="DD134" s="6" t="n">
        <f aca="false">+CX134+DA134+CR134+CU134</f>
        <v>0</v>
      </c>
      <c r="DE134" s="6" t="n">
        <v>0</v>
      </c>
      <c r="DF134" s="6" t="n">
        <v>0</v>
      </c>
      <c r="DG134" s="6" t="n">
        <v>0</v>
      </c>
      <c r="DH134" s="30" t="n">
        <v>1479870</v>
      </c>
      <c r="DI134" s="30" t="n">
        <v>1479870</v>
      </c>
      <c r="DJ134" s="6" t="n">
        <v>0</v>
      </c>
      <c r="DK134" s="6" t="n">
        <v>0</v>
      </c>
      <c r="DL134" s="6" t="n">
        <v>0</v>
      </c>
      <c r="DM134" s="6" t="n">
        <v>0</v>
      </c>
      <c r="DN134" s="6" t="n">
        <v>0</v>
      </c>
      <c r="DO134" s="6" t="n">
        <v>0</v>
      </c>
      <c r="DP134" s="6" t="n">
        <v>0</v>
      </c>
      <c r="DQ134" s="6" t="n">
        <f aca="false">+DK134+DN134+DE134+DH134</f>
        <v>1479870</v>
      </c>
      <c r="DR134" s="6" t="n">
        <f aca="false">+DL134+DO134+DF134+DI134</f>
        <v>1479870</v>
      </c>
      <c r="DS134" s="6" t="n">
        <f aca="false">+DM134+DP134+DG134+DJ134</f>
        <v>0</v>
      </c>
      <c r="DT134" s="31" t="n">
        <f aca="false">+P134+AE134+AT134+BI134+BX134+CM134+DB134</f>
        <v>-20130</v>
      </c>
      <c r="DU134" s="31" t="n">
        <f aca="false">+Q134+AF134+AU134+BJ134+BY134+CN134+DC134</f>
        <v>-20130</v>
      </c>
      <c r="DV134" s="31" t="n">
        <f aca="false">+R134+AG134+AV134+BK134+BZ134+CO134+DD134</f>
        <v>0</v>
      </c>
      <c r="DW134" s="31" t="n">
        <f aca="false">+DU134-DV134</f>
        <v>-20130</v>
      </c>
    </row>
    <row r="135" customFormat="false" ht="13.8" hidden="false" customHeight="false" outlineLevel="0" collapsed="false">
      <c r="A135" s="27" t="n">
        <v>45727</v>
      </c>
      <c r="B135" s="28" t="s">
        <v>544</v>
      </c>
      <c r="C135" s="28" t="s">
        <v>540</v>
      </c>
      <c r="D135" s="29" t="s">
        <v>541</v>
      </c>
      <c r="E135" s="28" t="s">
        <v>542</v>
      </c>
      <c r="F135" s="27" t="s">
        <v>543</v>
      </c>
      <c r="G135" s="27" t="s">
        <v>19</v>
      </c>
      <c r="H135" s="30" t="n">
        <v>-472232</v>
      </c>
      <c r="I135" s="30" t="n">
        <v>-472232</v>
      </c>
      <c r="J135" s="6" t="n">
        <v>0</v>
      </c>
      <c r="K135" s="6" t="n">
        <v>0</v>
      </c>
      <c r="L135" s="6" t="n">
        <v>0</v>
      </c>
      <c r="M135" s="6" t="n">
        <v>0</v>
      </c>
      <c r="N135" s="6" t="n">
        <v>0</v>
      </c>
      <c r="O135" s="6" t="n">
        <v>0</v>
      </c>
      <c r="P135" s="6" t="n">
        <f aca="false">+J135+M135</f>
        <v>0</v>
      </c>
      <c r="Q135" s="6" t="n">
        <f aca="false">+K135+N135</f>
        <v>0</v>
      </c>
      <c r="R135" s="6" t="n">
        <f aca="false">+L135+O135</f>
        <v>0</v>
      </c>
      <c r="S135" s="6" t="n">
        <v>0</v>
      </c>
      <c r="T135" s="6" t="n">
        <v>0</v>
      </c>
      <c r="U135" s="6" t="n">
        <v>0</v>
      </c>
      <c r="V135" s="6" t="n">
        <v>0</v>
      </c>
      <c r="W135" s="6" t="n">
        <v>0</v>
      </c>
      <c r="X135" s="6" t="n">
        <v>0</v>
      </c>
      <c r="Y135" s="6" t="n">
        <v>0</v>
      </c>
      <c r="Z135" s="6" t="n">
        <v>0</v>
      </c>
      <c r="AA135" s="6" t="n">
        <v>0</v>
      </c>
      <c r="AB135" s="6" t="n">
        <v>0</v>
      </c>
      <c r="AC135" s="6" t="n">
        <v>0</v>
      </c>
      <c r="AD135" s="6" t="n">
        <v>0</v>
      </c>
      <c r="AE135" s="6" t="n">
        <f aca="false">+Y135+AB135+S135+V135</f>
        <v>0</v>
      </c>
      <c r="AF135" s="6" t="n">
        <f aca="false">+Z135+AC135+T135+W135</f>
        <v>0</v>
      </c>
      <c r="AG135" s="6" t="n">
        <f aca="false">+AA135+AD135+U135+X135</f>
        <v>0</v>
      </c>
      <c r="AH135" s="6" t="n">
        <v>0</v>
      </c>
      <c r="AI135" s="6" t="n">
        <v>0</v>
      </c>
      <c r="AJ135" s="6" t="n">
        <v>0</v>
      </c>
      <c r="AK135" s="6" t="n">
        <v>0</v>
      </c>
      <c r="AL135" s="6" t="n">
        <v>0</v>
      </c>
      <c r="AM135" s="6" t="n">
        <v>0</v>
      </c>
      <c r="AN135" s="6" t="n">
        <v>0</v>
      </c>
      <c r="AO135" s="6" t="n">
        <v>0</v>
      </c>
      <c r="AP135" s="6" t="n">
        <v>0</v>
      </c>
      <c r="AQ135" s="6" t="n">
        <v>0</v>
      </c>
      <c r="AR135" s="6" t="n">
        <v>0</v>
      </c>
      <c r="AS135" s="6" t="n">
        <v>0</v>
      </c>
      <c r="AT135" s="6" t="n">
        <f aca="false">+AN135+AQ135+AH135+AK135</f>
        <v>0</v>
      </c>
      <c r="AU135" s="6" t="n">
        <f aca="false">+AO135+AR135+AI135+AL135</f>
        <v>0</v>
      </c>
      <c r="AV135" s="6" t="n">
        <f aca="false">+AP135+AS135+AJ135+AM135</f>
        <v>0</v>
      </c>
      <c r="AW135" s="6" t="n">
        <v>0</v>
      </c>
      <c r="AX135" s="6" t="n">
        <v>0</v>
      </c>
      <c r="AY135" s="6" t="n">
        <v>0</v>
      </c>
      <c r="AZ135" s="6" t="n">
        <v>0</v>
      </c>
      <c r="BA135" s="6" t="n">
        <v>0</v>
      </c>
      <c r="BB135" s="6" t="n">
        <v>0</v>
      </c>
      <c r="BC135" s="6" t="n">
        <v>0</v>
      </c>
      <c r="BD135" s="6" t="n">
        <v>0</v>
      </c>
      <c r="BE135" s="6" t="n">
        <v>0</v>
      </c>
      <c r="BF135" s="6" t="n">
        <v>0</v>
      </c>
      <c r="BG135" s="6" t="n">
        <v>0</v>
      </c>
      <c r="BH135" s="6" t="n">
        <v>0</v>
      </c>
      <c r="BI135" s="6" t="n">
        <f aca="false">+BC135+BF135+AW135+AZ135</f>
        <v>0</v>
      </c>
      <c r="BJ135" s="6" t="n">
        <f aca="false">+BD135+BG135+AX135+BA135</f>
        <v>0</v>
      </c>
      <c r="BK135" s="6" t="n">
        <f aca="false">+BE135+BH135+AY135+BB135</f>
        <v>0</v>
      </c>
      <c r="BL135" s="6" t="n">
        <v>0</v>
      </c>
      <c r="BM135" s="6" t="n">
        <v>0</v>
      </c>
      <c r="BN135" s="6" t="n">
        <v>0</v>
      </c>
      <c r="BO135" s="6" t="n">
        <v>0</v>
      </c>
      <c r="BP135" s="6" t="n">
        <v>0</v>
      </c>
      <c r="BQ135" s="6" t="n">
        <v>0</v>
      </c>
      <c r="BR135" s="30" t="n">
        <v>-472232</v>
      </c>
      <c r="BS135" s="30" t="n">
        <v>-472232</v>
      </c>
      <c r="BT135" s="6" t="n">
        <v>0</v>
      </c>
      <c r="BU135" s="6" t="n">
        <v>0</v>
      </c>
      <c r="BV135" s="6" t="n">
        <v>0</v>
      </c>
      <c r="BW135" s="6" t="n">
        <v>0</v>
      </c>
      <c r="BX135" s="6" t="n">
        <f aca="false">+BR135+BU135+BL135+BO135</f>
        <v>-472232</v>
      </c>
      <c r="BY135" s="6" t="n">
        <f aca="false">+BS135+BV135+BM135+BP135</f>
        <v>-472232</v>
      </c>
      <c r="BZ135" s="6" t="n">
        <f aca="false">+BT135+BW135+BN135+BQ135</f>
        <v>0</v>
      </c>
      <c r="CA135" s="6" t="n">
        <v>0</v>
      </c>
      <c r="CB135" s="6" t="n">
        <v>0</v>
      </c>
      <c r="CC135" s="6" t="n">
        <v>0</v>
      </c>
      <c r="CD135" s="6" t="n">
        <v>0</v>
      </c>
      <c r="CE135" s="6" t="n">
        <v>0</v>
      </c>
      <c r="CF135" s="6" t="n">
        <v>0</v>
      </c>
      <c r="CG135" s="6" t="n">
        <v>0</v>
      </c>
      <c r="CH135" s="6" t="n">
        <v>0</v>
      </c>
      <c r="CI135" s="6" t="n">
        <v>0</v>
      </c>
      <c r="CJ135" s="6" t="n">
        <v>0</v>
      </c>
      <c r="CK135" s="6" t="n">
        <v>0</v>
      </c>
      <c r="CL135" s="6" t="n">
        <v>0</v>
      </c>
      <c r="CM135" s="6" t="n">
        <f aca="false">+CG135+CJ135+CA135+CD135</f>
        <v>0</v>
      </c>
      <c r="CN135" s="6" t="n">
        <f aca="false">+CH135+CK135+CB135+CE135</f>
        <v>0</v>
      </c>
      <c r="CO135" s="6" t="n">
        <f aca="false">+CI135+CL135+CC135+CF135</f>
        <v>0</v>
      </c>
      <c r="CP135" s="6" t="n">
        <v>0</v>
      </c>
      <c r="CQ135" s="6" t="n">
        <v>0</v>
      </c>
      <c r="CR135" s="6" t="n">
        <v>0</v>
      </c>
      <c r="CS135" s="30" t="n">
        <v>265000</v>
      </c>
      <c r="CT135" s="30" t="n">
        <v>265000</v>
      </c>
      <c r="CU135" s="6" t="n">
        <v>0</v>
      </c>
      <c r="CV135" s="6" t="n">
        <v>0</v>
      </c>
      <c r="CW135" s="6" t="n">
        <v>0</v>
      </c>
      <c r="CX135" s="6" t="n">
        <v>0</v>
      </c>
      <c r="CY135" s="6" t="n">
        <v>0</v>
      </c>
      <c r="CZ135" s="6" t="n">
        <v>0</v>
      </c>
      <c r="DA135" s="6" t="n">
        <v>0</v>
      </c>
      <c r="DB135" s="6" t="n">
        <f aca="false">+CV135+CY135+CP135+CS135</f>
        <v>265000</v>
      </c>
      <c r="DC135" s="6" t="n">
        <f aca="false">+CW135+CZ135+CQ135+CT135</f>
        <v>265000</v>
      </c>
      <c r="DD135" s="6" t="n">
        <f aca="false">+CX135+DA135+CR135+CU135</f>
        <v>0</v>
      </c>
      <c r="DE135" s="6" t="n">
        <v>0</v>
      </c>
      <c r="DF135" s="6" t="n">
        <v>0</v>
      </c>
      <c r="DG135" s="6" t="n">
        <v>0</v>
      </c>
      <c r="DH135" s="30" t="n">
        <v>265000</v>
      </c>
      <c r="DI135" s="30" t="n">
        <v>265000</v>
      </c>
      <c r="DJ135" s="6" t="n">
        <v>0</v>
      </c>
      <c r="DK135" s="6" t="n">
        <v>0</v>
      </c>
      <c r="DL135" s="6" t="n">
        <v>0</v>
      </c>
      <c r="DM135" s="6" t="n">
        <v>0</v>
      </c>
      <c r="DN135" s="6" t="n">
        <v>0</v>
      </c>
      <c r="DO135" s="6" t="n">
        <v>0</v>
      </c>
      <c r="DP135" s="6" t="n">
        <v>0</v>
      </c>
      <c r="DQ135" s="6" t="n">
        <f aca="false">+DK135+DN135+DE135+DH135</f>
        <v>265000</v>
      </c>
      <c r="DR135" s="6" t="n">
        <f aca="false">+DL135+DO135+DF135+DI135</f>
        <v>265000</v>
      </c>
      <c r="DS135" s="6" t="n">
        <f aca="false">+DM135+DP135+DG135+DJ135</f>
        <v>0</v>
      </c>
      <c r="DT135" s="31" t="n">
        <f aca="false">+P135+AE135+AT135+BI135+BX135+CM135+DB135</f>
        <v>-207232</v>
      </c>
      <c r="DU135" s="31" t="n">
        <f aca="false">+Q135+AF135+AU135+BJ135+BY135+CN135+DC135</f>
        <v>-207232</v>
      </c>
      <c r="DV135" s="31" t="n">
        <f aca="false">+R135+AG135+AV135+BK135+BZ135+CO135+DD135</f>
        <v>0</v>
      </c>
      <c r="DW135" s="31" t="n">
        <f aca="false">+DU135-DV135</f>
        <v>-207232</v>
      </c>
    </row>
    <row r="136" customFormat="false" ht="13.8" hidden="false" customHeight="false" outlineLevel="0" collapsed="false">
      <c r="A136" s="27" t="n">
        <v>45729</v>
      </c>
      <c r="B136" s="28" t="s">
        <v>545</v>
      </c>
      <c r="C136" s="28" t="s">
        <v>540</v>
      </c>
      <c r="D136" s="29" t="s">
        <v>541</v>
      </c>
      <c r="E136" s="28" t="s">
        <v>542</v>
      </c>
      <c r="F136" s="27" t="s">
        <v>543</v>
      </c>
      <c r="G136" s="27" t="s">
        <v>19</v>
      </c>
      <c r="H136" s="30" t="n">
        <v>1260076</v>
      </c>
      <c r="I136" s="30" t="n">
        <v>1260076</v>
      </c>
      <c r="J136" s="6" t="n">
        <v>0</v>
      </c>
      <c r="K136" s="6" t="n">
        <v>0</v>
      </c>
      <c r="L136" s="6" t="n">
        <v>0</v>
      </c>
      <c r="M136" s="6" t="n">
        <v>0</v>
      </c>
      <c r="N136" s="6" t="n">
        <v>0</v>
      </c>
      <c r="O136" s="6" t="n">
        <v>0</v>
      </c>
      <c r="P136" s="6" t="n">
        <f aca="false">+J136+M136</f>
        <v>0</v>
      </c>
      <c r="Q136" s="6" t="n">
        <f aca="false">+K136+N136</f>
        <v>0</v>
      </c>
      <c r="R136" s="6" t="n">
        <f aca="false">+L136+O136</f>
        <v>0</v>
      </c>
      <c r="S136" s="6" t="n">
        <v>0</v>
      </c>
      <c r="T136" s="6" t="n">
        <v>0</v>
      </c>
      <c r="U136" s="6" t="n">
        <v>0</v>
      </c>
      <c r="V136" s="6" t="n">
        <v>0</v>
      </c>
      <c r="W136" s="6" t="n">
        <v>0</v>
      </c>
      <c r="X136" s="6" t="n">
        <v>0</v>
      </c>
      <c r="Y136" s="6" t="n">
        <v>0</v>
      </c>
      <c r="Z136" s="6" t="n">
        <v>0</v>
      </c>
      <c r="AA136" s="6" t="n">
        <v>0</v>
      </c>
      <c r="AB136" s="6" t="n">
        <v>0</v>
      </c>
      <c r="AC136" s="6" t="n">
        <v>0</v>
      </c>
      <c r="AD136" s="6" t="n">
        <v>0</v>
      </c>
      <c r="AE136" s="6" t="n">
        <f aca="false">+Y136+AB136+S136+V136</f>
        <v>0</v>
      </c>
      <c r="AF136" s="6" t="n">
        <f aca="false">+Z136+AC136+T136+W136</f>
        <v>0</v>
      </c>
      <c r="AG136" s="6" t="n">
        <f aca="false">+AA136+AD136+U136+X136</f>
        <v>0</v>
      </c>
      <c r="AH136" s="6" t="n">
        <v>0</v>
      </c>
      <c r="AI136" s="6" t="n">
        <v>0</v>
      </c>
      <c r="AJ136" s="6" t="n">
        <v>0</v>
      </c>
      <c r="AK136" s="6" t="n">
        <v>0</v>
      </c>
      <c r="AL136" s="6" t="n">
        <v>0</v>
      </c>
      <c r="AM136" s="6" t="n">
        <v>0</v>
      </c>
      <c r="AN136" s="6" t="n">
        <v>0</v>
      </c>
      <c r="AO136" s="6" t="n">
        <v>0</v>
      </c>
      <c r="AP136" s="6" t="n">
        <v>0</v>
      </c>
      <c r="AQ136" s="6" t="n">
        <v>0</v>
      </c>
      <c r="AR136" s="6" t="n">
        <v>0</v>
      </c>
      <c r="AS136" s="6" t="n">
        <v>0</v>
      </c>
      <c r="AT136" s="6" t="n">
        <f aca="false">+AN136+AQ136+AH136+AK136</f>
        <v>0</v>
      </c>
      <c r="AU136" s="6" t="n">
        <f aca="false">+AO136+AR136+AI136+AL136</f>
        <v>0</v>
      </c>
      <c r="AV136" s="6" t="n">
        <f aca="false">+AP136+AS136+AJ136+AM136</f>
        <v>0</v>
      </c>
      <c r="AW136" s="6" t="n">
        <v>0</v>
      </c>
      <c r="AX136" s="6" t="n">
        <v>0</v>
      </c>
      <c r="AY136" s="6" t="n">
        <v>0</v>
      </c>
      <c r="AZ136" s="6" t="n">
        <v>0</v>
      </c>
      <c r="BA136" s="6" t="n">
        <v>0</v>
      </c>
      <c r="BB136" s="6" t="n">
        <v>0</v>
      </c>
      <c r="BC136" s="6" t="n">
        <v>0</v>
      </c>
      <c r="BD136" s="6" t="n">
        <v>0</v>
      </c>
      <c r="BE136" s="6" t="n">
        <v>0</v>
      </c>
      <c r="BF136" s="6" t="n">
        <v>0</v>
      </c>
      <c r="BG136" s="6" t="n">
        <v>0</v>
      </c>
      <c r="BH136" s="6" t="n">
        <v>0</v>
      </c>
      <c r="BI136" s="6" t="n">
        <f aca="false">+BC136+BF136+AW136+AZ136</f>
        <v>0</v>
      </c>
      <c r="BJ136" s="6" t="n">
        <f aca="false">+BD136+BG136+AX136+BA136</f>
        <v>0</v>
      </c>
      <c r="BK136" s="6" t="n">
        <f aca="false">+BE136+BH136+AY136+BB136</f>
        <v>0</v>
      </c>
      <c r="BL136" s="6" t="n">
        <v>0</v>
      </c>
      <c r="BM136" s="6" t="n">
        <v>0</v>
      </c>
      <c r="BN136" s="6" t="n">
        <v>0</v>
      </c>
      <c r="BO136" s="6" t="n">
        <v>0</v>
      </c>
      <c r="BP136" s="6" t="n">
        <v>0</v>
      </c>
      <c r="BQ136" s="6" t="n">
        <v>0</v>
      </c>
      <c r="BR136" s="30" t="n">
        <v>1260076</v>
      </c>
      <c r="BS136" s="30" t="n">
        <v>1260076</v>
      </c>
      <c r="BT136" s="6" t="n">
        <v>0</v>
      </c>
      <c r="BU136" s="6" t="n">
        <v>0</v>
      </c>
      <c r="BV136" s="6" t="n">
        <v>0</v>
      </c>
      <c r="BW136" s="6" t="n">
        <v>472232</v>
      </c>
      <c r="BX136" s="6" t="n">
        <f aca="false">+BR136+BU136+BL136+BO136</f>
        <v>1260076</v>
      </c>
      <c r="BY136" s="6" t="n">
        <f aca="false">+BS136+BV136+BM136+BP136</f>
        <v>1260076</v>
      </c>
      <c r="BZ136" s="6" t="n">
        <f aca="false">+BT136+BW136+BN136+BQ136</f>
        <v>472232</v>
      </c>
      <c r="CA136" s="6" t="n">
        <v>0</v>
      </c>
      <c r="CB136" s="6" t="n">
        <v>0</v>
      </c>
      <c r="CC136" s="6" t="n">
        <v>0</v>
      </c>
      <c r="CD136" s="6" t="n">
        <v>0</v>
      </c>
      <c r="CE136" s="6" t="n">
        <v>0</v>
      </c>
      <c r="CF136" s="6" t="n">
        <v>0</v>
      </c>
      <c r="CG136" s="6" t="n">
        <v>0</v>
      </c>
      <c r="CH136" s="6" t="n">
        <v>0</v>
      </c>
      <c r="CI136" s="6" t="n">
        <v>0</v>
      </c>
      <c r="CJ136" s="6" t="n">
        <v>0</v>
      </c>
      <c r="CK136" s="6" t="n">
        <v>0</v>
      </c>
      <c r="CL136" s="6" t="n">
        <v>0</v>
      </c>
      <c r="CM136" s="6" t="n">
        <f aca="false">+CG136+CJ136+CA136+CD136</f>
        <v>0</v>
      </c>
      <c r="CN136" s="6" t="n">
        <f aca="false">+CH136+CK136+CB136+CE136</f>
        <v>0</v>
      </c>
      <c r="CO136" s="6" t="n">
        <f aca="false">+CI136+CL136+CC136+CF136</f>
        <v>0</v>
      </c>
      <c r="CP136" s="6" t="n">
        <v>0</v>
      </c>
      <c r="CQ136" s="6" t="n">
        <v>0</v>
      </c>
      <c r="CR136" s="6" t="n">
        <v>0</v>
      </c>
      <c r="CS136" s="30" t="n">
        <v>750000</v>
      </c>
      <c r="CT136" s="30" t="n">
        <v>750000</v>
      </c>
      <c r="CU136" s="6" t="n">
        <v>0</v>
      </c>
      <c r="CV136" s="6" t="n">
        <v>0</v>
      </c>
      <c r="CW136" s="6" t="n">
        <v>0</v>
      </c>
      <c r="CX136" s="6" t="n">
        <v>0</v>
      </c>
      <c r="CY136" s="6" t="n">
        <v>0</v>
      </c>
      <c r="CZ136" s="6" t="n">
        <v>0</v>
      </c>
      <c r="DA136" s="6" t="n">
        <v>0</v>
      </c>
      <c r="DB136" s="6" t="n">
        <f aca="false">+CV136+CY136+CP136+CS136</f>
        <v>750000</v>
      </c>
      <c r="DC136" s="6" t="n">
        <f aca="false">+CW136+CZ136+CQ136+CT136</f>
        <v>750000</v>
      </c>
      <c r="DD136" s="6" t="n">
        <f aca="false">+CX136+DA136+CR136+CU136</f>
        <v>0</v>
      </c>
      <c r="DE136" s="6" t="n">
        <v>0</v>
      </c>
      <c r="DF136" s="6" t="n">
        <v>0</v>
      </c>
      <c r="DG136" s="6" t="n">
        <v>0</v>
      </c>
      <c r="DH136" s="30" t="n">
        <v>750000</v>
      </c>
      <c r="DI136" s="30" t="n">
        <v>750000</v>
      </c>
      <c r="DJ136" s="6" t="n">
        <v>0</v>
      </c>
      <c r="DK136" s="6" t="n">
        <v>0</v>
      </c>
      <c r="DL136" s="6" t="n">
        <v>0</v>
      </c>
      <c r="DM136" s="6" t="n">
        <v>0</v>
      </c>
      <c r="DN136" s="6" t="n">
        <v>0</v>
      </c>
      <c r="DO136" s="6" t="n">
        <v>0</v>
      </c>
      <c r="DP136" s="6" t="n">
        <v>0</v>
      </c>
      <c r="DQ136" s="6" t="n">
        <f aca="false">+DK136+DN136+DE136+DH136</f>
        <v>750000</v>
      </c>
      <c r="DR136" s="6" t="n">
        <f aca="false">+DL136+DO136+DF136+DI136</f>
        <v>750000</v>
      </c>
      <c r="DS136" s="6" t="n">
        <f aca="false">+DM136+DP136+DG136+DJ136</f>
        <v>0</v>
      </c>
      <c r="DT136" s="31" t="n">
        <f aca="false">+P136+AE136+AT136+BI136+BX136+CM136+DB136</f>
        <v>2010076</v>
      </c>
      <c r="DU136" s="31" t="n">
        <f aca="false">+Q136+AF136+AU136+BJ136+BY136+CN136+DC136</f>
        <v>2010076</v>
      </c>
      <c r="DV136" s="31" t="n">
        <f aca="false">+R136+AG136+AV136+BK136+BZ136+CO136+DD136</f>
        <v>472232</v>
      </c>
      <c r="DW136" s="31" t="n">
        <f aca="false">+DU136-DV136</f>
        <v>1537844</v>
      </c>
    </row>
    <row r="137" customFormat="false" ht="13.8" hidden="false" customHeight="false" outlineLevel="0" collapsed="false">
      <c r="A137" s="27" t="n">
        <v>45741</v>
      </c>
      <c r="B137" s="28" t="s">
        <v>546</v>
      </c>
      <c r="C137" s="28" t="s">
        <v>540</v>
      </c>
      <c r="D137" s="29" t="s">
        <v>541</v>
      </c>
      <c r="E137" s="28" t="s">
        <v>542</v>
      </c>
      <c r="F137" s="27" t="s">
        <v>543</v>
      </c>
      <c r="G137" s="27" t="s">
        <v>19</v>
      </c>
      <c r="H137" s="30" t="n">
        <v>-472232</v>
      </c>
      <c r="I137" s="30" t="n">
        <v>-472232</v>
      </c>
      <c r="J137" s="6" t="n">
        <v>0</v>
      </c>
      <c r="K137" s="6" t="n">
        <v>0</v>
      </c>
      <c r="L137" s="6" t="n">
        <v>0</v>
      </c>
      <c r="M137" s="6" t="n">
        <v>0</v>
      </c>
      <c r="N137" s="6" t="n">
        <v>0</v>
      </c>
      <c r="O137" s="6" t="n">
        <v>0</v>
      </c>
      <c r="P137" s="6" t="n">
        <f aca="false">+J137+M137</f>
        <v>0</v>
      </c>
      <c r="Q137" s="6" t="n">
        <f aca="false">+K137+N137</f>
        <v>0</v>
      </c>
      <c r="R137" s="6" t="n">
        <f aca="false">+L137+O137</f>
        <v>0</v>
      </c>
      <c r="S137" s="6" t="n">
        <v>0</v>
      </c>
      <c r="T137" s="6" t="n">
        <v>0</v>
      </c>
      <c r="U137" s="6" t="n">
        <v>0</v>
      </c>
      <c r="V137" s="6" t="n">
        <v>0</v>
      </c>
      <c r="W137" s="6" t="n">
        <v>0</v>
      </c>
      <c r="X137" s="6" t="n">
        <v>0</v>
      </c>
      <c r="Y137" s="6" t="n">
        <v>0</v>
      </c>
      <c r="Z137" s="6" t="n">
        <v>0</v>
      </c>
      <c r="AA137" s="6" t="n">
        <v>0</v>
      </c>
      <c r="AB137" s="6" t="n">
        <v>0</v>
      </c>
      <c r="AC137" s="6" t="n">
        <v>0</v>
      </c>
      <c r="AD137" s="6" t="n">
        <v>0</v>
      </c>
      <c r="AE137" s="6" t="n">
        <f aca="false">+Y137+AB137+S137+V137</f>
        <v>0</v>
      </c>
      <c r="AF137" s="6" t="n">
        <f aca="false">+Z137+AC137+T137+W137</f>
        <v>0</v>
      </c>
      <c r="AG137" s="6" t="n">
        <f aca="false">+AA137+AD137+U137+X137</f>
        <v>0</v>
      </c>
      <c r="AH137" s="6" t="n">
        <v>0</v>
      </c>
      <c r="AI137" s="6" t="n">
        <v>0</v>
      </c>
      <c r="AJ137" s="6" t="n">
        <v>0</v>
      </c>
      <c r="AK137" s="6" t="n">
        <v>0</v>
      </c>
      <c r="AL137" s="6" t="n">
        <v>0</v>
      </c>
      <c r="AM137" s="6" t="n">
        <v>0</v>
      </c>
      <c r="AN137" s="6" t="n">
        <v>0</v>
      </c>
      <c r="AO137" s="6" t="n">
        <v>0</v>
      </c>
      <c r="AP137" s="6" t="n">
        <v>0</v>
      </c>
      <c r="AQ137" s="6" t="n">
        <v>0</v>
      </c>
      <c r="AR137" s="6" t="n">
        <v>0</v>
      </c>
      <c r="AS137" s="6" t="n">
        <v>0</v>
      </c>
      <c r="AT137" s="6" t="n">
        <f aca="false">+AN137+AQ137+AH137+AK137</f>
        <v>0</v>
      </c>
      <c r="AU137" s="6" t="n">
        <f aca="false">+AO137+AR137+AI137+AL137</f>
        <v>0</v>
      </c>
      <c r="AV137" s="6" t="n">
        <f aca="false">+AP137+AS137+AJ137+AM137</f>
        <v>0</v>
      </c>
      <c r="AW137" s="6" t="n">
        <v>0</v>
      </c>
      <c r="AX137" s="6" t="n">
        <v>0</v>
      </c>
      <c r="AY137" s="6" t="n">
        <v>0</v>
      </c>
      <c r="AZ137" s="6" t="n">
        <v>0</v>
      </c>
      <c r="BA137" s="6" t="n">
        <v>0</v>
      </c>
      <c r="BB137" s="6" t="n">
        <v>0</v>
      </c>
      <c r="BC137" s="6" t="n">
        <v>0</v>
      </c>
      <c r="BD137" s="6" t="n">
        <v>0</v>
      </c>
      <c r="BE137" s="6" t="n">
        <v>0</v>
      </c>
      <c r="BF137" s="6" t="n">
        <v>0</v>
      </c>
      <c r="BG137" s="6" t="n">
        <v>0</v>
      </c>
      <c r="BH137" s="6" t="n">
        <v>0</v>
      </c>
      <c r="BI137" s="6" t="n">
        <f aca="false">+BC137+BF137+AW137+AZ137</f>
        <v>0</v>
      </c>
      <c r="BJ137" s="6" t="n">
        <f aca="false">+BD137+BG137+AX137+BA137</f>
        <v>0</v>
      </c>
      <c r="BK137" s="6" t="n">
        <f aca="false">+BE137+BH137+AY137+BB137</f>
        <v>0</v>
      </c>
      <c r="BL137" s="6" t="n">
        <v>0</v>
      </c>
      <c r="BM137" s="6" t="n">
        <v>0</v>
      </c>
      <c r="BN137" s="6" t="n">
        <v>0</v>
      </c>
      <c r="BO137" s="6" t="n">
        <v>0</v>
      </c>
      <c r="BP137" s="6" t="n">
        <v>0</v>
      </c>
      <c r="BQ137" s="6" t="n">
        <v>0</v>
      </c>
      <c r="BR137" s="30" t="n">
        <v>-472232</v>
      </c>
      <c r="BS137" s="30" t="n">
        <v>-472232</v>
      </c>
      <c r="BT137" s="6" t="n">
        <v>0</v>
      </c>
      <c r="BU137" s="6" t="n">
        <v>0</v>
      </c>
      <c r="BV137" s="6" t="n">
        <v>0</v>
      </c>
      <c r="BW137" s="6" t="n">
        <v>0</v>
      </c>
      <c r="BX137" s="6" t="n">
        <f aca="false">+BR137+BU137+BL137+BO137</f>
        <v>-472232</v>
      </c>
      <c r="BY137" s="6" t="n">
        <f aca="false">+BS137+BV137+BM137+BP137</f>
        <v>-472232</v>
      </c>
      <c r="BZ137" s="6" t="n">
        <f aca="false">+BT137+BW137+BN137+BQ137</f>
        <v>0</v>
      </c>
      <c r="CA137" s="6" t="n">
        <v>0</v>
      </c>
      <c r="CB137" s="6" t="n">
        <v>0</v>
      </c>
      <c r="CC137" s="6" t="n">
        <v>0</v>
      </c>
      <c r="CD137" s="6" t="n">
        <v>0</v>
      </c>
      <c r="CE137" s="6" t="n">
        <v>0</v>
      </c>
      <c r="CF137" s="6" t="n">
        <v>0</v>
      </c>
      <c r="CG137" s="6" t="n">
        <v>0</v>
      </c>
      <c r="CH137" s="6" t="n">
        <v>0</v>
      </c>
      <c r="CI137" s="6" t="n">
        <v>0</v>
      </c>
      <c r="CJ137" s="6" t="n">
        <v>0</v>
      </c>
      <c r="CK137" s="6" t="n">
        <v>0</v>
      </c>
      <c r="CL137" s="6" t="n">
        <v>0</v>
      </c>
      <c r="CM137" s="6" t="n">
        <f aca="false">+CG137+CJ137+CA137+CD137</f>
        <v>0</v>
      </c>
      <c r="CN137" s="6" t="n">
        <f aca="false">+CH137+CK137+CB137+CE137</f>
        <v>0</v>
      </c>
      <c r="CO137" s="6" t="n">
        <f aca="false">+CI137+CL137+CC137+CF137</f>
        <v>0</v>
      </c>
      <c r="CP137" s="6" t="n">
        <v>0</v>
      </c>
      <c r="CQ137" s="6" t="n">
        <v>0</v>
      </c>
      <c r="CR137" s="6" t="n">
        <v>0</v>
      </c>
      <c r="CS137" s="30" t="n">
        <v>800000</v>
      </c>
      <c r="CT137" s="30" t="n">
        <v>800000</v>
      </c>
      <c r="CU137" s="6" t="n">
        <v>0</v>
      </c>
      <c r="CV137" s="6" t="n">
        <v>0</v>
      </c>
      <c r="CW137" s="6" t="n">
        <v>0</v>
      </c>
      <c r="CX137" s="6" t="n">
        <v>0</v>
      </c>
      <c r="CY137" s="6" t="n">
        <v>0</v>
      </c>
      <c r="CZ137" s="6" t="n">
        <v>0</v>
      </c>
      <c r="DA137" s="6" t="n">
        <v>0</v>
      </c>
      <c r="DB137" s="6" t="n">
        <f aca="false">+CV137+CY137+CP137+CS137</f>
        <v>800000</v>
      </c>
      <c r="DC137" s="6" t="n">
        <f aca="false">+CW137+CZ137+CQ137+CT137</f>
        <v>800000</v>
      </c>
      <c r="DD137" s="6" t="n">
        <f aca="false">+CX137+DA137+CR137+CU137</f>
        <v>0</v>
      </c>
      <c r="DE137" s="6" t="n">
        <v>0</v>
      </c>
      <c r="DF137" s="6" t="n">
        <v>0</v>
      </c>
      <c r="DG137" s="6" t="n">
        <v>0</v>
      </c>
      <c r="DH137" s="30" t="n">
        <v>800000</v>
      </c>
      <c r="DI137" s="30" t="n">
        <v>800000</v>
      </c>
      <c r="DJ137" s="6" t="n">
        <v>0</v>
      </c>
      <c r="DK137" s="6" t="n">
        <v>0</v>
      </c>
      <c r="DL137" s="6" t="n">
        <v>0</v>
      </c>
      <c r="DM137" s="6" t="n">
        <v>0</v>
      </c>
      <c r="DN137" s="6" t="n">
        <v>0</v>
      </c>
      <c r="DO137" s="6" t="n">
        <v>0</v>
      </c>
      <c r="DP137" s="6" t="n">
        <v>0</v>
      </c>
      <c r="DQ137" s="6" t="n">
        <f aca="false">+DK137+DN137+DE137+DH137</f>
        <v>800000</v>
      </c>
      <c r="DR137" s="6" t="n">
        <f aca="false">+DL137+DO137+DF137+DI137</f>
        <v>800000</v>
      </c>
      <c r="DS137" s="6" t="n">
        <f aca="false">+DM137+DP137+DG137+DJ137</f>
        <v>0</v>
      </c>
      <c r="DT137" s="31" t="n">
        <f aca="false">+P137+AE137+AT137+BI137+BX137+CM137+DB137</f>
        <v>327768</v>
      </c>
      <c r="DU137" s="31" t="n">
        <f aca="false">+Q137+AF137+AU137+BJ137+BY137+CN137+DC137</f>
        <v>327768</v>
      </c>
      <c r="DV137" s="31" t="n">
        <f aca="false">+R137+AG137+AV137+BK137+BZ137+CO137+DD137</f>
        <v>0</v>
      </c>
      <c r="DW137" s="31" t="n">
        <f aca="false">+DU137-DV137</f>
        <v>327768</v>
      </c>
    </row>
    <row r="138" customFormat="false" ht="13.8" hidden="false" customHeight="false" outlineLevel="0" collapsed="false">
      <c r="A138" s="27" t="n">
        <v>45741</v>
      </c>
      <c r="B138" s="28" t="s">
        <v>546</v>
      </c>
      <c r="C138" s="28" t="s">
        <v>540</v>
      </c>
      <c r="D138" s="29" t="s">
        <v>541</v>
      </c>
      <c r="E138" s="28" t="s">
        <v>542</v>
      </c>
      <c r="F138" s="27" t="s">
        <v>543</v>
      </c>
      <c r="G138" s="27" t="s">
        <v>19</v>
      </c>
      <c r="H138" s="30" t="n">
        <v>472232</v>
      </c>
      <c r="I138" s="30" t="n">
        <v>472232</v>
      </c>
      <c r="J138" s="6" t="n">
        <v>0</v>
      </c>
      <c r="K138" s="6" t="n">
        <v>0</v>
      </c>
      <c r="L138" s="6" t="n">
        <v>0</v>
      </c>
      <c r="M138" s="6" t="n">
        <v>0</v>
      </c>
      <c r="N138" s="6" t="n">
        <v>0</v>
      </c>
      <c r="O138" s="6" t="n">
        <v>0</v>
      </c>
      <c r="P138" s="6" t="n">
        <f aca="false">+J138+M138</f>
        <v>0</v>
      </c>
      <c r="Q138" s="6" t="n">
        <f aca="false">+K138+N138</f>
        <v>0</v>
      </c>
      <c r="R138" s="6" t="n">
        <f aca="false">+L138+O138</f>
        <v>0</v>
      </c>
      <c r="S138" s="6" t="n">
        <v>0</v>
      </c>
      <c r="T138" s="6" t="n">
        <v>0</v>
      </c>
      <c r="U138" s="6" t="n">
        <v>0</v>
      </c>
      <c r="V138" s="6" t="n">
        <v>0</v>
      </c>
      <c r="W138" s="6" t="n">
        <v>0</v>
      </c>
      <c r="X138" s="6" t="n">
        <v>0</v>
      </c>
      <c r="Y138" s="6" t="n">
        <v>0</v>
      </c>
      <c r="Z138" s="6" t="n">
        <v>0</v>
      </c>
      <c r="AA138" s="6" t="n">
        <v>0</v>
      </c>
      <c r="AB138" s="6" t="n">
        <v>0</v>
      </c>
      <c r="AC138" s="6" t="n">
        <v>0</v>
      </c>
      <c r="AD138" s="6" t="n">
        <v>0</v>
      </c>
      <c r="AE138" s="6" t="n">
        <f aca="false">+Y138+AB138+S138+V138</f>
        <v>0</v>
      </c>
      <c r="AF138" s="6" t="n">
        <f aca="false">+Z138+AC138+T138+W138</f>
        <v>0</v>
      </c>
      <c r="AG138" s="6" t="n">
        <f aca="false">+AA138+AD138+U138+X138</f>
        <v>0</v>
      </c>
      <c r="AH138" s="6" t="n">
        <v>0</v>
      </c>
      <c r="AI138" s="6" t="n">
        <v>0</v>
      </c>
      <c r="AJ138" s="6" t="n">
        <v>0</v>
      </c>
      <c r="AK138" s="6" t="n">
        <v>0</v>
      </c>
      <c r="AL138" s="6" t="n">
        <v>0</v>
      </c>
      <c r="AM138" s="6" t="n">
        <v>0</v>
      </c>
      <c r="AN138" s="6" t="n">
        <v>0</v>
      </c>
      <c r="AO138" s="6" t="n">
        <v>0</v>
      </c>
      <c r="AP138" s="6" t="n">
        <v>0</v>
      </c>
      <c r="AQ138" s="6" t="n">
        <v>0</v>
      </c>
      <c r="AR138" s="6" t="n">
        <v>0</v>
      </c>
      <c r="AS138" s="6" t="n">
        <v>0</v>
      </c>
      <c r="AT138" s="6" t="n">
        <f aca="false">+AN138+AQ138+AH138+AK138</f>
        <v>0</v>
      </c>
      <c r="AU138" s="6" t="n">
        <f aca="false">+AO138+AR138+AI138+AL138</f>
        <v>0</v>
      </c>
      <c r="AV138" s="6" t="n">
        <f aca="false">+AP138+AS138+AJ138+AM138</f>
        <v>0</v>
      </c>
      <c r="AW138" s="6" t="n">
        <v>0</v>
      </c>
      <c r="AX138" s="6" t="n">
        <v>0</v>
      </c>
      <c r="AY138" s="6" t="n">
        <v>0</v>
      </c>
      <c r="AZ138" s="6" t="n">
        <v>0</v>
      </c>
      <c r="BA138" s="6" t="n">
        <v>0</v>
      </c>
      <c r="BB138" s="6" t="n">
        <v>0</v>
      </c>
      <c r="BC138" s="6" t="n">
        <v>0</v>
      </c>
      <c r="BD138" s="6" t="n">
        <v>0</v>
      </c>
      <c r="BE138" s="6" t="n">
        <v>0</v>
      </c>
      <c r="BF138" s="6" t="n">
        <v>0</v>
      </c>
      <c r="BG138" s="6" t="n">
        <v>0</v>
      </c>
      <c r="BH138" s="6" t="n">
        <v>0</v>
      </c>
      <c r="BI138" s="6" t="n">
        <f aca="false">+BC138+BF138+AW138+AZ138</f>
        <v>0</v>
      </c>
      <c r="BJ138" s="6" t="n">
        <f aca="false">+BD138+BG138+AX138+BA138</f>
        <v>0</v>
      </c>
      <c r="BK138" s="6" t="n">
        <f aca="false">+BE138+BH138+AY138+BB138</f>
        <v>0</v>
      </c>
      <c r="BL138" s="6" t="n">
        <v>0</v>
      </c>
      <c r="BM138" s="6" t="n">
        <v>0</v>
      </c>
      <c r="BN138" s="6" t="n">
        <v>0</v>
      </c>
      <c r="BO138" s="6" t="n">
        <v>0</v>
      </c>
      <c r="BP138" s="6" t="n">
        <v>0</v>
      </c>
      <c r="BQ138" s="6" t="n">
        <v>0</v>
      </c>
      <c r="BR138" s="30" t="n">
        <v>472232</v>
      </c>
      <c r="BS138" s="30" t="n">
        <v>472232</v>
      </c>
      <c r="BT138" s="6" t="n">
        <v>0</v>
      </c>
      <c r="BU138" s="6" t="n">
        <v>0</v>
      </c>
      <c r="BV138" s="6" t="n">
        <v>0</v>
      </c>
      <c r="BW138" s="6" t="n">
        <v>0</v>
      </c>
      <c r="BX138" s="6" t="n">
        <f aca="false">+BR138+BU138+BL138+BO138</f>
        <v>472232</v>
      </c>
      <c r="BY138" s="6" t="n">
        <f aca="false">+BS138+BV138+BM138+BP138</f>
        <v>472232</v>
      </c>
      <c r="BZ138" s="6" t="n">
        <f aca="false">+BT138+BW138+BN138+BQ138</f>
        <v>0</v>
      </c>
      <c r="CA138" s="6" t="n">
        <v>0</v>
      </c>
      <c r="CB138" s="6" t="n">
        <v>0</v>
      </c>
      <c r="CC138" s="6" t="n">
        <v>0</v>
      </c>
      <c r="CD138" s="6" t="n">
        <v>0</v>
      </c>
      <c r="CE138" s="6" t="n">
        <v>0</v>
      </c>
      <c r="CF138" s="6" t="n">
        <v>0</v>
      </c>
      <c r="CG138" s="6" t="n">
        <v>0</v>
      </c>
      <c r="CH138" s="6" t="n">
        <v>0</v>
      </c>
      <c r="CI138" s="6" t="n">
        <v>0</v>
      </c>
      <c r="CJ138" s="6" t="n">
        <v>0</v>
      </c>
      <c r="CK138" s="6" t="n">
        <v>0</v>
      </c>
      <c r="CL138" s="6" t="n">
        <v>0</v>
      </c>
      <c r="CM138" s="6" t="n">
        <f aca="false">+CG138+CJ138+CA138+CD138</f>
        <v>0</v>
      </c>
      <c r="CN138" s="6" t="n">
        <f aca="false">+CH138+CK138+CB138+CE138</f>
        <v>0</v>
      </c>
      <c r="CO138" s="6" t="n">
        <f aca="false">+CI138+CL138+CC138+CF138</f>
        <v>0</v>
      </c>
      <c r="CP138" s="6" t="n">
        <v>0</v>
      </c>
      <c r="CQ138" s="6" t="n">
        <v>0</v>
      </c>
      <c r="CR138" s="6" t="n">
        <v>0</v>
      </c>
      <c r="CS138" s="30" t="n">
        <v>1000000</v>
      </c>
      <c r="CT138" s="30" t="n">
        <v>1000000</v>
      </c>
      <c r="CU138" s="6" t="n">
        <v>0</v>
      </c>
      <c r="CV138" s="6" t="n">
        <v>0</v>
      </c>
      <c r="CW138" s="6" t="n">
        <v>0</v>
      </c>
      <c r="CX138" s="6" t="n">
        <v>0</v>
      </c>
      <c r="CY138" s="6" t="n">
        <v>0</v>
      </c>
      <c r="CZ138" s="6" t="n">
        <v>0</v>
      </c>
      <c r="DA138" s="6" t="n">
        <v>0</v>
      </c>
      <c r="DB138" s="6" t="n">
        <f aca="false">+CV138+CY138+CP138+CS138</f>
        <v>1000000</v>
      </c>
      <c r="DC138" s="6" t="n">
        <f aca="false">+CW138+CZ138+CQ138+CT138</f>
        <v>1000000</v>
      </c>
      <c r="DD138" s="6" t="n">
        <f aca="false">+CX138+DA138+CR138+CU138</f>
        <v>0</v>
      </c>
      <c r="DE138" s="6" t="n">
        <v>0</v>
      </c>
      <c r="DF138" s="6" t="n">
        <v>0</v>
      </c>
      <c r="DG138" s="6" t="n">
        <v>0</v>
      </c>
      <c r="DH138" s="30" t="n">
        <v>1000000</v>
      </c>
      <c r="DI138" s="30" t="n">
        <v>1000000</v>
      </c>
      <c r="DJ138" s="6" t="n">
        <v>0</v>
      </c>
      <c r="DK138" s="6" t="n">
        <v>0</v>
      </c>
      <c r="DL138" s="6" t="n">
        <v>0</v>
      </c>
      <c r="DM138" s="6" t="n">
        <v>0</v>
      </c>
      <c r="DN138" s="6" t="n">
        <v>0</v>
      </c>
      <c r="DO138" s="6" t="n">
        <v>0</v>
      </c>
      <c r="DP138" s="6" t="n">
        <v>0</v>
      </c>
      <c r="DQ138" s="6" t="n">
        <f aca="false">+DK138+DN138+DE138+DH138</f>
        <v>1000000</v>
      </c>
      <c r="DR138" s="6" t="n">
        <f aca="false">+DL138+DO138+DF138+DI138</f>
        <v>1000000</v>
      </c>
      <c r="DS138" s="6" t="n">
        <f aca="false">+DM138+DP138+DG138+DJ138</f>
        <v>0</v>
      </c>
      <c r="DT138" s="31" t="n">
        <f aca="false">+P138+AE138+AT138+BI138+BX138+CM138+DB138</f>
        <v>1472232</v>
      </c>
      <c r="DU138" s="31" t="n">
        <f aca="false">+Q138+AF138+AU138+BJ138+BY138+CN138+DC138</f>
        <v>1472232</v>
      </c>
      <c r="DV138" s="31" t="n">
        <f aca="false">+R138+AG138+AV138+BK138+BZ138+CO138+DD138</f>
        <v>0</v>
      </c>
      <c r="DW138" s="31" t="n">
        <f aca="false">+DU138-DV138</f>
        <v>1472232</v>
      </c>
    </row>
    <row r="139" customFormat="false" ht="13.8" hidden="false" customHeight="false" outlineLevel="0" collapsed="false">
      <c r="A139" s="27" t="n">
        <v>45470</v>
      </c>
      <c r="B139" s="28" t="s">
        <v>547</v>
      </c>
      <c r="C139" s="28" t="s">
        <v>548</v>
      </c>
      <c r="D139" s="29" t="s">
        <v>549</v>
      </c>
      <c r="E139" s="28" t="s">
        <v>550</v>
      </c>
      <c r="F139" s="27" t="s">
        <v>551</v>
      </c>
      <c r="G139" s="27" t="s">
        <v>19</v>
      </c>
      <c r="H139" s="30" t="n">
        <v>2025256.87</v>
      </c>
      <c r="I139" s="30" t="n">
        <v>2025256.87</v>
      </c>
      <c r="J139" s="6" t="n">
        <v>0</v>
      </c>
      <c r="K139" s="6" t="n">
        <v>0</v>
      </c>
      <c r="L139" s="6" t="n">
        <v>0</v>
      </c>
      <c r="M139" s="6" t="n">
        <v>0</v>
      </c>
      <c r="N139" s="6" t="n">
        <v>0</v>
      </c>
      <c r="O139" s="6" t="n">
        <v>0</v>
      </c>
      <c r="P139" s="6" t="n">
        <f aca="false">+J139+M139</f>
        <v>0</v>
      </c>
      <c r="Q139" s="6" t="n">
        <f aca="false">+K139+N139</f>
        <v>0</v>
      </c>
      <c r="R139" s="6" t="n">
        <f aca="false">+L139+O139</f>
        <v>0</v>
      </c>
      <c r="S139" s="6" t="n">
        <v>0</v>
      </c>
      <c r="T139" s="6" t="n">
        <v>0</v>
      </c>
      <c r="U139" s="6" t="n">
        <v>0</v>
      </c>
      <c r="V139" s="6" t="n">
        <v>0</v>
      </c>
      <c r="W139" s="6" t="n">
        <v>0</v>
      </c>
      <c r="X139" s="6" t="n">
        <v>0</v>
      </c>
      <c r="Y139" s="6" t="n">
        <v>0</v>
      </c>
      <c r="Z139" s="6" t="n">
        <v>0</v>
      </c>
      <c r="AA139" s="6" t="n">
        <v>0</v>
      </c>
      <c r="AB139" s="6" t="n">
        <v>0</v>
      </c>
      <c r="AC139" s="6" t="n">
        <v>0</v>
      </c>
      <c r="AD139" s="6" t="n">
        <v>0</v>
      </c>
      <c r="AE139" s="6" t="n">
        <f aca="false">+Y139+AB139+S139+V139</f>
        <v>0</v>
      </c>
      <c r="AF139" s="6" t="n">
        <f aca="false">+Z139+AC139+T139+W139</f>
        <v>0</v>
      </c>
      <c r="AG139" s="6" t="n">
        <f aca="false">+AA139+AD139+U139+X139</f>
        <v>0</v>
      </c>
      <c r="AH139" s="6" t="n">
        <v>0</v>
      </c>
      <c r="AI139" s="6" t="n">
        <v>0</v>
      </c>
      <c r="AJ139" s="6" t="n">
        <v>0</v>
      </c>
      <c r="AK139" s="6" t="n">
        <v>0</v>
      </c>
      <c r="AL139" s="6" t="n">
        <v>0</v>
      </c>
      <c r="AM139" s="6" t="n">
        <v>0</v>
      </c>
      <c r="AN139" s="6" t="n">
        <v>0</v>
      </c>
      <c r="AO139" s="6" t="n">
        <v>0</v>
      </c>
      <c r="AP139" s="6" t="n">
        <v>0</v>
      </c>
      <c r="AQ139" s="6" t="n">
        <v>0</v>
      </c>
      <c r="AR139" s="6" t="n">
        <v>0</v>
      </c>
      <c r="AS139" s="6" t="n">
        <v>0</v>
      </c>
      <c r="AT139" s="6" t="n">
        <f aca="false">+AN139+AQ139+AH139+AK139</f>
        <v>0</v>
      </c>
      <c r="AU139" s="6" t="n">
        <f aca="false">+AO139+AR139+AI139+AL139</f>
        <v>0</v>
      </c>
      <c r="AV139" s="6" t="n">
        <f aca="false">+AP139+AS139+AJ139+AM139</f>
        <v>0</v>
      </c>
      <c r="AW139" s="6" t="n">
        <v>0</v>
      </c>
      <c r="AX139" s="6" t="n">
        <v>0</v>
      </c>
      <c r="AY139" s="6" t="n">
        <v>0</v>
      </c>
      <c r="AZ139" s="6" t="n">
        <v>0</v>
      </c>
      <c r="BA139" s="6" t="n">
        <v>0</v>
      </c>
      <c r="BB139" s="6" t="n">
        <v>0</v>
      </c>
      <c r="BC139" s="6" t="n">
        <v>0</v>
      </c>
      <c r="BD139" s="6" t="n">
        <v>0</v>
      </c>
      <c r="BE139" s="6" t="n">
        <v>0</v>
      </c>
      <c r="BF139" s="6" t="n">
        <v>0</v>
      </c>
      <c r="BG139" s="6" t="n">
        <v>0</v>
      </c>
      <c r="BH139" s="6" t="n">
        <v>0</v>
      </c>
      <c r="BI139" s="6" t="n">
        <f aca="false">+BC139+BF139+AW139+AZ139</f>
        <v>0</v>
      </c>
      <c r="BJ139" s="6" t="n">
        <f aca="false">+BD139+BG139+AX139+BA139</f>
        <v>0</v>
      </c>
      <c r="BK139" s="6" t="n">
        <f aca="false">+BE139+BH139+AY139+BB139</f>
        <v>0</v>
      </c>
      <c r="BL139" s="6" t="n">
        <v>0</v>
      </c>
      <c r="BM139" s="6" t="n">
        <v>0</v>
      </c>
      <c r="BN139" s="6" t="n">
        <v>0</v>
      </c>
      <c r="BO139" s="6" t="n">
        <v>0</v>
      </c>
      <c r="BP139" s="6" t="n">
        <v>0</v>
      </c>
      <c r="BQ139" s="6" t="n">
        <v>0</v>
      </c>
      <c r="BR139" s="30" t="n">
        <v>2025256.87</v>
      </c>
      <c r="BS139" s="30" t="n">
        <v>2025256.87</v>
      </c>
      <c r="BT139" s="6" t="n">
        <v>0</v>
      </c>
      <c r="BU139" s="6" t="n">
        <v>0</v>
      </c>
      <c r="BV139" s="6" t="n">
        <v>0</v>
      </c>
      <c r="BW139" s="6" t="n">
        <v>0</v>
      </c>
      <c r="BX139" s="6" t="n">
        <f aca="false">+BR139+BU139+BL139+BO139</f>
        <v>2025256.87</v>
      </c>
      <c r="BY139" s="6" t="n">
        <f aca="false">+BS139+BV139+BM139+BP139</f>
        <v>2025256.87</v>
      </c>
      <c r="BZ139" s="6" t="n">
        <f aca="false">+BT139+BW139+BN139+BQ139</f>
        <v>0</v>
      </c>
      <c r="CA139" s="6" t="n">
        <v>0</v>
      </c>
      <c r="CB139" s="6" t="n">
        <v>0</v>
      </c>
      <c r="CC139" s="6" t="n">
        <v>1000000</v>
      </c>
      <c r="CD139" s="6" t="n">
        <v>0</v>
      </c>
      <c r="CE139" s="6" t="n">
        <v>0</v>
      </c>
      <c r="CF139" s="6" t="n">
        <v>1025256.87</v>
      </c>
      <c r="CG139" s="6" t="n">
        <v>0</v>
      </c>
      <c r="CH139" s="6" t="n">
        <v>0</v>
      </c>
      <c r="CI139" s="6" t="n">
        <v>0</v>
      </c>
      <c r="CJ139" s="6" t="n">
        <v>0</v>
      </c>
      <c r="CK139" s="6" t="n">
        <v>0</v>
      </c>
      <c r="CL139" s="6" t="n">
        <v>0</v>
      </c>
      <c r="CM139" s="6" t="n">
        <f aca="false">+CG139+CJ139+CA139+CD139</f>
        <v>0</v>
      </c>
      <c r="CN139" s="6" t="n">
        <f aca="false">+CH139+CK139+CB139+CE139</f>
        <v>0</v>
      </c>
      <c r="CO139" s="6" t="n">
        <f aca="false">+CI139+CL139+CC139+CF139</f>
        <v>2025256.87</v>
      </c>
      <c r="CP139" s="6" t="n">
        <v>0</v>
      </c>
      <c r="CQ139" s="6" t="n">
        <v>0</v>
      </c>
      <c r="CR139" s="6" t="n">
        <v>0</v>
      </c>
      <c r="CS139" s="6" t="n">
        <v>0</v>
      </c>
      <c r="CT139" s="6" t="n">
        <v>0</v>
      </c>
      <c r="CU139" s="6" t="n">
        <v>0</v>
      </c>
      <c r="CV139" s="6" t="n">
        <v>0</v>
      </c>
      <c r="CW139" s="6" t="n">
        <v>0</v>
      </c>
      <c r="CX139" s="6" t="n">
        <v>0</v>
      </c>
      <c r="CY139" s="6" t="n">
        <v>0</v>
      </c>
      <c r="CZ139" s="6" t="n">
        <v>0</v>
      </c>
      <c r="DA139" s="6" t="n">
        <v>0</v>
      </c>
      <c r="DB139" s="6" t="n">
        <f aca="false">+CV139+CY139+CP139+CS139</f>
        <v>0</v>
      </c>
      <c r="DC139" s="6" t="n">
        <f aca="false">+CW139+CZ139+CQ139+CT139</f>
        <v>0</v>
      </c>
      <c r="DD139" s="6" t="n">
        <f aca="false">+CX139+DA139+CR139+CU139</f>
        <v>0</v>
      </c>
      <c r="DE139" s="6" t="n">
        <v>0</v>
      </c>
      <c r="DF139" s="6" t="n">
        <v>0</v>
      </c>
      <c r="DG139" s="6" t="n">
        <v>0</v>
      </c>
      <c r="DH139" s="6" t="n">
        <v>0</v>
      </c>
      <c r="DI139" s="6" t="n">
        <v>0</v>
      </c>
      <c r="DJ139" s="6" t="n">
        <v>0</v>
      </c>
      <c r="DK139" s="6" t="n">
        <v>0</v>
      </c>
      <c r="DL139" s="6" t="n">
        <v>0</v>
      </c>
      <c r="DM139" s="6" t="n">
        <v>0</v>
      </c>
      <c r="DN139" s="6" t="n">
        <v>0</v>
      </c>
      <c r="DO139" s="6" t="n">
        <v>0</v>
      </c>
      <c r="DP139" s="6" t="n">
        <v>0</v>
      </c>
      <c r="DQ139" s="6" t="n">
        <f aca="false">+DK139+DN139+DE139+DH139</f>
        <v>0</v>
      </c>
      <c r="DR139" s="6" t="n">
        <f aca="false">+DL139+DO139+DF139+DI139</f>
        <v>0</v>
      </c>
      <c r="DS139" s="6" t="n">
        <f aca="false">+DM139+DP139+DG139+DJ139</f>
        <v>0</v>
      </c>
      <c r="DT139" s="31" t="n">
        <f aca="false">+P139+AE139+AT139+BI139+BX139+CM139+DB139</f>
        <v>2025256.87</v>
      </c>
      <c r="DU139" s="31" t="n">
        <f aca="false">+Q139+AF139+AU139+BJ139+BY139+CN139+DC139</f>
        <v>2025256.87</v>
      </c>
      <c r="DV139" s="31" t="n">
        <f aca="false">+R139+AG139+AV139+BK139+BZ139+CO139+DD139</f>
        <v>2025256.87</v>
      </c>
      <c r="DW139" s="31" t="n">
        <f aca="false">+DU139-DV139</f>
        <v>0</v>
      </c>
    </row>
    <row r="140" customFormat="false" ht="13.8" hidden="false" customHeight="false" outlineLevel="0" collapsed="false">
      <c r="A140" s="27" t="n">
        <v>45470</v>
      </c>
      <c r="B140" s="28" t="s">
        <v>547</v>
      </c>
      <c r="C140" s="28" t="s">
        <v>548</v>
      </c>
      <c r="D140" s="29" t="s">
        <v>549</v>
      </c>
      <c r="E140" s="28" t="s">
        <v>550</v>
      </c>
      <c r="F140" s="27" t="s">
        <v>551</v>
      </c>
      <c r="G140" s="27" t="s">
        <v>19</v>
      </c>
      <c r="H140" s="30" t="n">
        <v>188138.62</v>
      </c>
      <c r="I140" s="30" t="n">
        <v>188138.62</v>
      </c>
      <c r="J140" s="6" t="n">
        <v>0</v>
      </c>
      <c r="K140" s="6" t="n">
        <v>0</v>
      </c>
      <c r="L140" s="6" t="n">
        <v>0</v>
      </c>
      <c r="M140" s="6" t="n">
        <v>0</v>
      </c>
      <c r="N140" s="6" t="n">
        <v>0</v>
      </c>
      <c r="O140" s="6" t="n">
        <v>0</v>
      </c>
      <c r="P140" s="6" t="n">
        <f aca="false">+J140+M140</f>
        <v>0</v>
      </c>
      <c r="Q140" s="6" t="n">
        <f aca="false">+K140+N140</f>
        <v>0</v>
      </c>
      <c r="R140" s="6" t="n">
        <f aca="false">+L140+O140</f>
        <v>0</v>
      </c>
      <c r="S140" s="6" t="n">
        <v>0</v>
      </c>
      <c r="T140" s="6" t="n">
        <v>0</v>
      </c>
      <c r="U140" s="6" t="n">
        <v>0</v>
      </c>
      <c r="V140" s="6" t="n">
        <v>0</v>
      </c>
      <c r="W140" s="6" t="n">
        <v>0</v>
      </c>
      <c r="X140" s="6" t="n">
        <v>0</v>
      </c>
      <c r="Y140" s="6" t="n">
        <v>0</v>
      </c>
      <c r="Z140" s="6" t="n">
        <v>0</v>
      </c>
      <c r="AA140" s="6" t="n">
        <v>0</v>
      </c>
      <c r="AB140" s="6" t="n">
        <v>0</v>
      </c>
      <c r="AC140" s="6" t="n">
        <v>0</v>
      </c>
      <c r="AD140" s="6" t="n">
        <v>0</v>
      </c>
      <c r="AE140" s="6" t="n">
        <f aca="false">+Y140+AB140+S140+V140</f>
        <v>0</v>
      </c>
      <c r="AF140" s="6" t="n">
        <f aca="false">+Z140+AC140+T140+W140</f>
        <v>0</v>
      </c>
      <c r="AG140" s="6" t="n">
        <f aca="false">+AA140+AD140+U140+X140</f>
        <v>0</v>
      </c>
      <c r="AH140" s="6" t="n">
        <v>0</v>
      </c>
      <c r="AI140" s="6" t="n">
        <v>0</v>
      </c>
      <c r="AJ140" s="6" t="n">
        <v>0</v>
      </c>
      <c r="AK140" s="6" t="n">
        <v>0</v>
      </c>
      <c r="AL140" s="6" t="n">
        <v>0</v>
      </c>
      <c r="AM140" s="6" t="n">
        <v>0</v>
      </c>
      <c r="AN140" s="6" t="n">
        <v>0</v>
      </c>
      <c r="AO140" s="6" t="n">
        <v>0</v>
      </c>
      <c r="AP140" s="6" t="n">
        <v>0</v>
      </c>
      <c r="AQ140" s="6" t="n">
        <v>0</v>
      </c>
      <c r="AR140" s="6" t="n">
        <v>0</v>
      </c>
      <c r="AS140" s="6" t="n">
        <v>0</v>
      </c>
      <c r="AT140" s="6" t="n">
        <f aca="false">+AN140+AQ140+AH140+AK140</f>
        <v>0</v>
      </c>
      <c r="AU140" s="6" t="n">
        <f aca="false">+AO140+AR140+AI140+AL140</f>
        <v>0</v>
      </c>
      <c r="AV140" s="6" t="n">
        <f aca="false">+AP140+AS140+AJ140+AM140</f>
        <v>0</v>
      </c>
      <c r="AW140" s="6" t="n">
        <v>0</v>
      </c>
      <c r="AX140" s="6" t="n">
        <v>0</v>
      </c>
      <c r="AY140" s="6" t="n">
        <v>0</v>
      </c>
      <c r="AZ140" s="6" t="n">
        <v>0</v>
      </c>
      <c r="BA140" s="6" t="n">
        <v>0</v>
      </c>
      <c r="BB140" s="6" t="n">
        <v>0</v>
      </c>
      <c r="BC140" s="6" t="n">
        <v>0</v>
      </c>
      <c r="BD140" s="6" t="n">
        <v>0</v>
      </c>
      <c r="BE140" s="6" t="n">
        <v>0</v>
      </c>
      <c r="BF140" s="6" t="n">
        <v>0</v>
      </c>
      <c r="BG140" s="6" t="n">
        <v>0</v>
      </c>
      <c r="BH140" s="6" t="n">
        <v>0</v>
      </c>
      <c r="BI140" s="6" t="n">
        <f aca="false">+BC140+BF140+AW140+AZ140</f>
        <v>0</v>
      </c>
      <c r="BJ140" s="6" t="n">
        <f aca="false">+BD140+BG140+AX140+BA140</f>
        <v>0</v>
      </c>
      <c r="BK140" s="6" t="n">
        <f aca="false">+BE140+BH140+AY140+BB140</f>
        <v>0</v>
      </c>
      <c r="BL140" s="6" t="n">
        <v>0</v>
      </c>
      <c r="BM140" s="6" t="n">
        <v>0</v>
      </c>
      <c r="BN140" s="6" t="n">
        <v>0</v>
      </c>
      <c r="BO140" s="6" t="n">
        <v>0</v>
      </c>
      <c r="BP140" s="6" t="n">
        <v>0</v>
      </c>
      <c r="BQ140" s="6" t="n">
        <v>0</v>
      </c>
      <c r="BR140" s="30" t="n">
        <v>188138.62</v>
      </c>
      <c r="BS140" s="30" t="n">
        <v>188138.62</v>
      </c>
      <c r="BT140" s="6" t="n">
        <v>0</v>
      </c>
      <c r="BU140" s="6" t="n">
        <v>0</v>
      </c>
      <c r="BV140" s="6" t="n">
        <v>0</v>
      </c>
      <c r="BW140" s="6" t="n">
        <v>0</v>
      </c>
      <c r="BX140" s="6" t="n">
        <f aca="false">+BR140+BU140+BL140+BO140</f>
        <v>188138.62</v>
      </c>
      <c r="BY140" s="6" t="n">
        <f aca="false">+BS140+BV140+BM140+BP140</f>
        <v>188138.62</v>
      </c>
      <c r="BZ140" s="6" t="n">
        <f aca="false">+BT140+BW140+BN140+BQ140</f>
        <v>0</v>
      </c>
      <c r="CA140" s="6" t="n">
        <v>0</v>
      </c>
      <c r="CB140" s="6" t="n">
        <v>0</v>
      </c>
      <c r="CC140" s="6" t="n">
        <v>188138.62</v>
      </c>
      <c r="CD140" s="6" t="n">
        <v>0</v>
      </c>
      <c r="CE140" s="6" t="n">
        <v>0</v>
      </c>
      <c r="CF140" s="6" t="n">
        <v>0</v>
      </c>
      <c r="CG140" s="6" t="n">
        <v>0</v>
      </c>
      <c r="CH140" s="6" t="n">
        <v>0</v>
      </c>
      <c r="CI140" s="6" t="n">
        <v>0</v>
      </c>
      <c r="CJ140" s="6" t="n">
        <v>0</v>
      </c>
      <c r="CK140" s="6" t="n">
        <v>0</v>
      </c>
      <c r="CL140" s="6" t="n">
        <v>0</v>
      </c>
      <c r="CM140" s="6" t="n">
        <f aca="false">+CG140+CJ140+CA140+CD140</f>
        <v>0</v>
      </c>
      <c r="CN140" s="6" t="n">
        <f aca="false">+CH140+CK140+CB140+CE140</f>
        <v>0</v>
      </c>
      <c r="CO140" s="6" t="n">
        <f aca="false">+CI140+CL140+CC140+CF140</f>
        <v>188138.62</v>
      </c>
      <c r="CP140" s="6" t="n">
        <v>0</v>
      </c>
      <c r="CQ140" s="6" t="n">
        <v>0</v>
      </c>
      <c r="CR140" s="6" t="n">
        <v>0</v>
      </c>
      <c r="CS140" s="6" t="n">
        <v>0</v>
      </c>
      <c r="CT140" s="6" t="n">
        <v>0</v>
      </c>
      <c r="CU140" s="6" t="n">
        <v>0</v>
      </c>
      <c r="CV140" s="6" t="n">
        <v>0</v>
      </c>
      <c r="CW140" s="6" t="n">
        <v>0</v>
      </c>
      <c r="CX140" s="6" t="n">
        <v>0</v>
      </c>
      <c r="CY140" s="6" t="n">
        <v>0</v>
      </c>
      <c r="CZ140" s="6" t="n">
        <v>0</v>
      </c>
      <c r="DA140" s="6" t="n">
        <v>0</v>
      </c>
      <c r="DB140" s="6" t="n">
        <f aca="false">+CV140+CY140+CP140+CS140</f>
        <v>0</v>
      </c>
      <c r="DC140" s="6" t="n">
        <f aca="false">+CW140+CZ140+CQ140+CT140</f>
        <v>0</v>
      </c>
      <c r="DD140" s="6" t="n">
        <f aca="false">+CX140+DA140+CR140+CU140</f>
        <v>0</v>
      </c>
      <c r="DE140" s="6" t="n">
        <v>0</v>
      </c>
      <c r="DF140" s="6" t="n">
        <v>0</v>
      </c>
      <c r="DG140" s="6" t="n">
        <v>0</v>
      </c>
      <c r="DH140" s="6" t="n">
        <v>0</v>
      </c>
      <c r="DI140" s="6" t="n">
        <v>0</v>
      </c>
      <c r="DJ140" s="6" t="n">
        <v>0</v>
      </c>
      <c r="DK140" s="6" t="n">
        <v>0</v>
      </c>
      <c r="DL140" s="6" t="n">
        <v>0</v>
      </c>
      <c r="DM140" s="6" t="n">
        <v>0</v>
      </c>
      <c r="DN140" s="6" t="n">
        <v>0</v>
      </c>
      <c r="DO140" s="6" t="n">
        <v>0</v>
      </c>
      <c r="DP140" s="6" t="n">
        <v>0</v>
      </c>
      <c r="DQ140" s="6" t="n">
        <f aca="false">+DK140+DN140+DE140+DH140</f>
        <v>0</v>
      </c>
      <c r="DR140" s="6" t="n">
        <f aca="false">+DL140+DO140+DF140+DI140</f>
        <v>0</v>
      </c>
      <c r="DS140" s="6" t="n">
        <f aca="false">+DM140+DP140+DG140+DJ140</f>
        <v>0</v>
      </c>
      <c r="DT140" s="31" t="n">
        <f aca="false">+P140+AE140+AT140+BI140+BX140+CM140+DB140</f>
        <v>188138.62</v>
      </c>
      <c r="DU140" s="31" t="n">
        <f aca="false">+Q140+AF140+AU140+BJ140+BY140+CN140+DC140</f>
        <v>188138.62</v>
      </c>
      <c r="DV140" s="31" t="n">
        <f aca="false">+R140+AG140+AV140+BK140+BZ140+CO140+DD140</f>
        <v>188138.62</v>
      </c>
      <c r="DW140" s="31" t="n">
        <f aca="false">+DU140-DV140</f>
        <v>0</v>
      </c>
    </row>
    <row r="141" customFormat="false" ht="13.8" hidden="false" customHeight="false" outlineLevel="0" collapsed="false">
      <c r="A141" s="27" t="n">
        <v>45470</v>
      </c>
      <c r="B141" s="28" t="s">
        <v>547</v>
      </c>
      <c r="C141" s="28" t="s">
        <v>548</v>
      </c>
      <c r="D141" s="29" t="s">
        <v>549</v>
      </c>
      <c r="E141" s="28" t="s">
        <v>550</v>
      </c>
      <c r="F141" s="27" t="s">
        <v>551</v>
      </c>
      <c r="G141" s="27" t="s">
        <v>19</v>
      </c>
      <c r="H141" s="30" t="n">
        <v>622945.71</v>
      </c>
      <c r="I141" s="30" t="n">
        <v>622945.71</v>
      </c>
      <c r="J141" s="6" t="n">
        <v>0</v>
      </c>
      <c r="K141" s="6" t="n">
        <v>0</v>
      </c>
      <c r="L141" s="6" t="n">
        <v>0</v>
      </c>
      <c r="M141" s="6" t="n">
        <v>0</v>
      </c>
      <c r="N141" s="6" t="n">
        <v>0</v>
      </c>
      <c r="O141" s="6" t="n">
        <v>0</v>
      </c>
      <c r="P141" s="6" t="n">
        <f aca="false">+J141+M141</f>
        <v>0</v>
      </c>
      <c r="Q141" s="6" t="n">
        <f aca="false">+K141+N141</f>
        <v>0</v>
      </c>
      <c r="R141" s="6" t="n">
        <f aca="false">+L141+O141</f>
        <v>0</v>
      </c>
      <c r="S141" s="6" t="n">
        <v>0</v>
      </c>
      <c r="T141" s="6" t="n">
        <v>0</v>
      </c>
      <c r="U141" s="6" t="n">
        <v>0</v>
      </c>
      <c r="V141" s="6" t="n">
        <v>0</v>
      </c>
      <c r="W141" s="6" t="n">
        <v>0</v>
      </c>
      <c r="X141" s="6" t="n">
        <v>0</v>
      </c>
      <c r="Y141" s="6" t="n">
        <v>0</v>
      </c>
      <c r="Z141" s="6" t="n">
        <v>0</v>
      </c>
      <c r="AA141" s="6" t="n">
        <v>0</v>
      </c>
      <c r="AB141" s="6" t="n">
        <v>0</v>
      </c>
      <c r="AC141" s="6" t="n">
        <v>0</v>
      </c>
      <c r="AD141" s="6" t="n">
        <v>0</v>
      </c>
      <c r="AE141" s="6" t="n">
        <f aca="false">+Y141+AB141+S141+V141</f>
        <v>0</v>
      </c>
      <c r="AF141" s="6" t="n">
        <f aca="false">+Z141+AC141+T141+W141</f>
        <v>0</v>
      </c>
      <c r="AG141" s="6" t="n">
        <f aca="false">+AA141+AD141+U141+X141</f>
        <v>0</v>
      </c>
      <c r="AH141" s="6" t="n">
        <v>0</v>
      </c>
      <c r="AI141" s="6" t="n">
        <v>0</v>
      </c>
      <c r="AJ141" s="6" t="n">
        <v>0</v>
      </c>
      <c r="AK141" s="6" t="n">
        <v>0</v>
      </c>
      <c r="AL141" s="6" t="n">
        <v>0</v>
      </c>
      <c r="AM141" s="6" t="n">
        <v>0</v>
      </c>
      <c r="AN141" s="6" t="n">
        <v>0</v>
      </c>
      <c r="AO141" s="6" t="n">
        <v>0</v>
      </c>
      <c r="AP141" s="6" t="n">
        <v>0</v>
      </c>
      <c r="AQ141" s="6" t="n">
        <v>0</v>
      </c>
      <c r="AR141" s="6" t="n">
        <v>0</v>
      </c>
      <c r="AS141" s="6" t="n">
        <v>0</v>
      </c>
      <c r="AT141" s="6" t="n">
        <f aca="false">+AN141+AQ141+AH141+AK141</f>
        <v>0</v>
      </c>
      <c r="AU141" s="6" t="n">
        <f aca="false">+AO141+AR141+AI141+AL141</f>
        <v>0</v>
      </c>
      <c r="AV141" s="6" t="n">
        <f aca="false">+AP141+AS141+AJ141+AM141</f>
        <v>0</v>
      </c>
      <c r="AW141" s="6" t="n">
        <v>0</v>
      </c>
      <c r="AX141" s="6" t="n">
        <v>0</v>
      </c>
      <c r="AY141" s="6" t="n">
        <v>0</v>
      </c>
      <c r="AZ141" s="6" t="n">
        <v>0</v>
      </c>
      <c r="BA141" s="6" t="n">
        <v>0</v>
      </c>
      <c r="BB141" s="6" t="n">
        <v>0</v>
      </c>
      <c r="BC141" s="6" t="n">
        <v>0</v>
      </c>
      <c r="BD141" s="6" t="n">
        <v>0</v>
      </c>
      <c r="BE141" s="6" t="n">
        <v>0</v>
      </c>
      <c r="BF141" s="6" t="n">
        <v>0</v>
      </c>
      <c r="BG141" s="6" t="n">
        <v>0</v>
      </c>
      <c r="BH141" s="6" t="n">
        <v>0</v>
      </c>
      <c r="BI141" s="6" t="n">
        <f aca="false">+BC141+BF141+AW141+AZ141</f>
        <v>0</v>
      </c>
      <c r="BJ141" s="6" t="n">
        <f aca="false">+BD141+BG141+AX141+BA141</f>
        <v>0</v>
      </c>
      <c r="BK141" s="6" t="n">
        <f aca="false">+BE141+BH141+AY141+BB141</f>
        <v>0</v>
      </c>
      <c r="BL141" s="6" t="n">
        <v>0</v>
      </c>
      <c r="BM141" s="6" t="n">
        <v>0</v>
      </c>
      <c r="BN141" s="6" t="n">
        <v>0</v>
      </c>
      <c r="BO141" s="6" t="n">
        <v>0</v>
      </c>
      <c r="BP141" s="6" t="n">
        <v>0</v>
      </c>
      <c r="BQ141" s="6" t="n">
        <v>0</v>
      </c>
      <c r="BR141" s="30" t="n">
        <v>622945.71</v>
      </c>
      <c r="BS141" s="30" t="n">
        <v>622945.71</v>
      </c>
      <c r="BT141" s="6" t="n">
        <v>0</v>
      </c>
      <c r="BU141" s="6" t="n">
        <v>0</v>
      </c>
      <c r="BV141" s="6" t="n">
        <v>0</v>
      </c>
      <c r="BW141" s="6" t="n">
        <v>0</v>
      </c>
      <c r="BX141" s="6" t="n">
        <f aca="false">+BR141+BU141+BL141+BO141</f>
        <v>622945.71</v>
      </c>
      <c r="BY141" s="6" t="n">
        <f aca="false">+BS141+BV141+BM141+BP141</f>
        <v>622945.71</v>
      </c>
      <c r="BZ141" s="6" t="n">
        <f aca="false">+BT141+BW141+BN141+BQ141</f>
        <v>0</v>
      </c>
      <c r="CA141" s="6" t="n">
        <v>0</v>
      </c>
      <c r="CB141" s="6" t="n">
        <v>0</v>
      </c>
      <c r="CC141" s="6" t="n">
        <v>622945.71</v>
      </c>
      <c r="CD141" s="6" t="n">
        <v>0</v>
      </c>
      <c r="CE141" s="6" t="n">
        <v>0</v>
      </c>
      <c r="CF141" s="6" t="n">
        <v>0</v>
      </c>
      <c r="CG141" s="6" t="n">
        <v>0</v>
      </c>
      <c r="CH141" s="6" t="n">
        <v>0</v>
      </c>
      <c r="CI141" s="6" t="n">
        <v>0</v>
      </c>
      <c r="CJ141" s="6" t="n">
        <v>0</v>
      </c>
      <c r="CK141" s="6" t="n">
        <v>0</v>
      </c>
      <c r="CL141" s="6" t="n">
        <v>0</v>
      </c>
      <c r="CM141" s="6" t="n">
        <f aca="false">+CG141+CJ141+CA141+CD141</f>
        <v>0</v>
      </c>
      <c r="CN141" s="6" t="n">
        <f aca="false">+CH141+CK141+CB141+CE141</f>
        <v>0</v>
      </c>
      <c r="CO141" s="6" t="n">
        <f aca="false">+CI141+CL141+CC141+CF141</f>
        <v>622945.71</v>
      </c>
      <c r="CP141" s="6" t="n">
        <v>0</v>
      </c>
      <c r="CQ141" s="6" t="n">
        <v>0</v>
      </c>
      <c r="CR141" s="6" t="n">
        <v>0</v>
      </c>
      <c r="CS141" s="6" t="n">
        <v>0</v>
      </c>
      <c r="CT141" s="6" t="n">
        <v>0</v>
      </c>
      <c r="CU141" s="6" t="n">
        <v>0</v>
      </c>
      <c r="CV141" s="6" t="n">
        <v>0</v>
      </c>
      <c r="CW141" s="6" t="n">
        <v>0</v>
      </c>
      <c r="CX141" s="6" t="n">
        <v>0</v>
      </c>
      <c r="CY141" s="6" t="n">
        <v>0</v>
      </c>
      <c r="CZ141" s="6" t="n">
        <v>0</v>
      </c>
      <c r="DA141" s="6" t="n">
        <v>0</v>
      </c>
      <c r="DB141" s="6" t="n">
        <f aca="false">+CV141+CY141+CP141+CS141</f>
        <v>0</v>
      </c>
      <c r="DC141" s="6" t="n">
        <f aca="false">+CW141+CZ141+CQ141+CT141</f>
        <v>0</v>
      </c>
      <c r="DD141" s="6" t="n">
        <f aca="false">+CX141+DA141+CR141+CU141</f>
        <v>0</v>
      </c>
      <c r="DE141" s="6" t="n">
        <v>0</v>
      </c>
      <c r="DF141" s="6" t="n">
        <v>0</v>
      </c>
      <c r="DG141" s="6" t="n">
        <v>0</v>
      </c>
      <c r="DH141" s="6" t="n">
        <v>0</v>
      </c>
      <c r="DI141" s="6" t="n">
        <v>0</v>
      </c>
      <c r="DJ141" s="6" t="n">
        <v>0</v>
      </c>
      <c r="DK141" s="6" t="n">
        <v>0</v>
      </c>
      <c r="DL141" s="6" t="n">
        <v>0</v>
      </c>
      <c r="DM141" s="6" t="n">
        <v>0</v>
      </c>
      <c r="DN141" s="6" t="n">
        <v>0</v>
      </c>
      <c r="DO141" s="6" t="n">
        <v>0</v>
      </c>
      <c r="DP141" s="6" t="n">
        <v>0</v>
      </c>
      <c r="DQ141" s="6" t="n">
        <f aca="false">+DK141+DN141+DE141+DH141</f>
        <v>0</v>
      </c>
      <c r="DR141" s="6" t="n">
        <f aca="false">+DL141+DO141+DF141+DI141</f>
        <v>0</v>
      </c>
      <c r="DS141" s="6" t="n">
        <f aca="false">+DM141+DP141+DG141+DJ141</f>
        <v>0</v>
      </c>
      <c r="DT141" s="31" t="n">
        <f aca="false">+P141+AE141+AT141+BI141+BX141+CM141+DB141</f>
        <v>622945.71</v>
      </c>
      <c r="DU141" s="31" t="n">
        <f aca="false">+Q141+AF141+AU141+BJ141+BY141+CN141+DC141</f>
        <v>622945.71</v>
      </c>
      <c r="DV141" s="31" t="n">
        <f aca="false">+R141+AG141+AV141+BK141+BZ141+CO141+DD141</f>
        <v>622945.71</v>
      </c>
      <c r="DW141" s="31" t="n">
        <f aca="false">+DU141-DV141</f>
        <v>0</v>
      </c>
    </row>
    <row r="142" customFormat="false" ht="13.8" hidden="false" customHeight="false" outlineLevel="0" collapsed="false">
      <c r="A142" s="27" t="n">
        <v>45470</v>
      </c>
      <c r="B142" s="28" t="s">
        <v>547</v>
      </c>
      <c r="C142" s="28" t="s">
        <v>548</v>
      </c>
      <c r="D142" s="29" t="s">
        <v>549</v>
      </c>
      <c r="E142" s="28" t="s">
        <v>550</v>
      </c>
      <c r="F142" s="27" t="s">
        <v>551</v>
      </c>
      <c r="G142" s="27" t="s">
        <v>19</v>
      </c>
      <c r="H142" s="30" t="n">
        <v>57869.27</v>
      </c>
      <c r="I142" s="30" t="n">
        <v>57869.27</v>
      </c>
      <c r="J142" s="6" t="n">
        <v>0</v>
      </c>
      <c r="K142" s="6" t="n">
        <v>0</v>
      </c>
      <c r="L142" s="6" t="n">
        <v>0</v>
      </c>
      <c r="M142" s="6" t="n">
        <v>0</v>
      </c>
      <c r="N142" s="6" t="n">
        <v>0</v>
      </c>
      <c r="O142" s="6" t="n">
        <v>0</v>
      </c>
      <c r="P142" s="6" t="n">
        <f aca="false">+J142+M142</f>
        <v>0</v>
      </c>
      <c r="Q142" s="6" t="n">
        <f aca="false">+K142+N142</f>
        <v>0</v>
      </c>
      <c r="R142" s="6" t="n">
        <f aca="false">+L142+O142</f>
        <v>0</v>
      </c>
      <c r="S142" s="6" t="n">
        <v>0</v>
      </c>
      <c r="T142" s="6" t="n">
        <v>0</v>
      </c>
      <c r="U142" s="6" t="n">
        <v>0</v>
      </c>
      <c r="V142" s="6" t="n">
        <v>0</v>
      </c>
      <c r="W142" s="6" t="n">
        <v>0</v>
      </c>
      <c r="X142" s="6" t="n">
        <v>0</v>
      </c>
      <c r="Y142" s="6" t="n">
        <v>0</v>
      </c>
      <c r="Z142" s="6" t="n">
        <v>0</v>
      </c>
      <c r="AA142" s="6" t="n">
        <v>0</v>
      </c>
      <c r="AB142" s="6" t="n">
        <v>0</v>
      </c>
      <c r="AC142" s="6" t="n">
        <v>0</v>
      </c>
      <c r="AD142" s="6" t="n">
        <v>0</v>
      </c>
      <c r="AE142" s="6" t="n">
        <f aca="false">+Y142+AB142+S142+V142</f>
        <v>0</v>
      </c>
      <c r="AF142" s="6" t="n">
        <f aca="false">+Z142+AC142+T142+W142</f>
        <v>0</v>
      </c>
      <c r="AG142" s="6" t="n">
        <f aca="false">+AA142+AD142+U142+X142</f>
        <v>0</v>
      </c>
      <c r="AH142" s="6" t="n">
        <v>0</v>
      </c>
      <c r="AI142" s="6" t="n">
        <v>0</v>
      </c>
      <c r="AJ142" s="6" t="n">
        <v>0</v>
      </c>
      <c r="AK142" s="6" t="n">
        <v>0</v>
      </c>
      <c r="AL142" s="6" t="n">
        <v>0</v>
      </c>
      <c r="AM142" s="6" t="n">
        <v>0</v>
      </c>
      <c r="AN142" s="6" t="n">
        <v>0</v>
      </c>
      <c r="AO142" s="6" t="n">
        <v>0</v>
      </c>
      <c r="AP142" s="6" t="n">
        <v>0</v>
      </c>
      <c r="AQ142" s="6" t="n">
        <v>0</v>
      </c>
      <c r="AR142" s="6" t="n">
        <v>0</v>
      </c>
      <c r="AS142" s="6" t="n">
        <v>0</v>
      </c>
      <c r="AT142" s="6" t="n">
        <f aca="false">+AN142+AQ142+AH142+AK142</f>
        <v>0</v>
      </c>
      <c r="AU142" s="6" t="n">
        <f aca="false">+AO142+AR142+AI142+AL142</f>
        <v>0</v>
      </c>
      <c r="AV142" s="6" t="n">
        <f aca="false">+AP142+AS142+AJ142+AM142</f>
        <v>0</v>
      </c>
      <c r="AW142" s="6" t="n">
        <v>0</v>
      </c>
      <c r="AX142" s="6" t="n">
        <v>0</v>
      </c>
      <c r="AY142" s="6" t="n">
        <v>0</v>
      </c>
      <c r="AZ142" s="6" t="n">
        <v>0</v>
      </c>
      <c r="BA142" s="6" t="n">
        <v>0</v>
      </c>
      <c r="BB142" s="6" t="n">
        <v>0</v>
      </c>
      <c r="BC142" s="6" t="n">
        <v>0</v>
      </c>
      <c r="BD142" s="6" t="n">
        <v>0</v>
      </c>
      <c r="BE142" s="6" t="n">
        <v>0</v>
      </c>
      <c r="BF142" s="6" t="n">
        <v>0</v>
      </c>
      <c r="BG142" s="6" t="n">
        <v>0</v>
      </c>
      <c r="BH142" s="6" t="n">
        <v>0</v>
      </c>
      <c r="BI142" s="6" t="n">
        <f aca="false">+BC142+BF142+AW142+AZ142</f>
        <v>0</v>
      </c>
      <c r="BJ142" s="6" t="n">
        <f aca="false">+BD142+BG142+AX142+BA142</f>
        <v>0</v>
      </c>
      <c r="BK142" s="6" t="n">
        <f aca="false">+BE142+BH142+AY142+BB142</f>
        <v>0</v>
      </c>
      <c r="BL142" s="6" t="n">
        <v>0</v>
      </c>
      <c r="BM142" s="6" t="n">
        <v>0</v>
      </c>
      <c r="BN142" s="6" t="n">
        <v>0</v>
      </c>
      <c r="BO142" s="6" t="n">
        <v>0</v>
      </c>
      <c r="BP142" s="6" t="n">
        <v>0</v>
      </c>
      <c r="BQ142" s="6" t="n">
        <v>0</v>
      </c>
      <c r="BR142" s="30" t="n">
        <v>57869.27</v>
      </c>
      <c r="BS142" s="30" t="n">
        <v>57869.27</v>
      </c>
      <c r="BT142" s="6" t="n">
        <v>0</v>
      </c>
      <c r="BU142" s="6" t="n">
        <v>0</v>
      </c>
      <c r="BV142" s="6" t="n">
        <v>0</v>
      </c>
      <c r="BW142" s="6" t="n">
        <v>0</v>
      </c>
      <c r="BX142" s="6" t="n">
        <f aca="false">+BR142+BU142+BL142+BO142</f>
        <v>57869.27</v>
      </c>
      <c r="BY142" s="6" t="n">
        <f aca="false">+BS142+BV142+BM142+BP142</f>
        <v>57869.27</v>
      </c>
      <c r="BZ142" s="6" t="n">
        <f aca="false">+BT142+BW142+BN142+BQ142</f>
        <v>0</v>
      </c>
      <c r="CA142" s="6" t="n">
        <v>0</v>
      </c>
      <c r="CB142" s="6" t="n">
        <v>0</v>
      </c>
      <c r="CC142" s="6" t="n">
        <v>57869.27</v>
      </c>
      <c r="CD142" s="6" t="n">
        <v>0</v>
      </c>
      <c r="CE142" s="6" t="n">
        <v>0</v>
      </c>
      <c r="CF142" s="6" t="n">
        <v>0</v>
      </c>
      <c r="CG142" s="6" t="n">
        <v>0</v>
      </c>
      <c r="CH142" s="6" t="n">
        <v>0</v>
      </c>
      <c r="CI142" s="6" t="n">
        <v>0</v>
      </c>
      <c r="CJ142" s="6" t="n">
        <v>0</v>
      </c>
      <c r="CK142" s="6" t="n">
        <v>0</v>
      </c>
      <c r="CL142" s="6" t="n">
        <v>0</v>
      </c>
      <c r="CM142" s="6" t="n">
        <f aca="false">+CG142+CJ142+CA142+CD142</f>
        <v>0</v>
      </c>
      <c r="CN142" s="6" t="n">
        <f aca="false">+CH142+CK142+CB142+CE142</f>
        <v>0</v>
      </c>
      <c r="CO142" s="6" t="n">
        <f aca="false">+CI142+CL142+CC142+CF142</f>
        <v>57869.27</v>
      </c>
      <c r="CP142" s="6" t="n">
        <v>0</v>
      </c>
      <c r="CQ142" s="6" t="n">
        <v>0</v>
      </c>
      <c r="CR142" s="6" t="n">
        <v>0</v>
      </c>
      <c r="CS142" s="6" t="n">
        <v>0</v>
      </c>
      <c r="CT142" s="6" t="n">
        <v>0</v>
      </c>
      <c r="CU142" s="6" t="n">
        <v>0</v>
      </c>
      <c r="CV142" s="6" t="n">
        <v>0</v>
      </c>
      <c r="CW142" s="6" t="n">
        <v>0</v>
      </c>
      <c r="CX142" s="6" t="n">
        <v>0</v>
      </c>
      <c r="CY142" s="6" t="n">
        <v>0</v>
      </c>
      <c r="CZ142" s="6" t="n">
        <v>0</v>
      </c>
      <c r="DA142" s="6" t="n">
        <v>0</v>
      </c>
      <c r="DB142" s="6" t="n">
        <f aca="false">+CV142+CY142+CP142+CS142</f>
        <v>0</v>
      </c>
      <c r="DC142" s="6" t="n">
        <f aca="false">+CW142+CZ142+CQ142+CT142</f>
        <v>0</v>
      </c>
      <c r="DD142" s="6" t="n">
        <f aca="false">+CX142+DA142+CR142+CU142</f>
        <v>0</v>
      </c>
      <c r="DE142" s="6" t="n">
        <v>0</v>
      </c>
      <c r="DF142" s="6" t="n">
        <v>0</v>
      </c>
      <c r="DG142" s="6" t="n">
        <v>0</v>
      </c>
      <c r="DH142" s="6" t="n">
        <v>0</v>
      </c>
      <c r="DI142" s="6" t="n">
        <v>0</v>
      </c>
      <c r="DJ142" s="6" t="n">
        <v>0</v>
      </c>
      <c r="DK142" s="6" t="n">
        <v>0</v>
      </c>
      <c r="DL142" s="6" t="n">
        <v>0</v>
      </c>
      <c r="DM142" s="6" t="n">
        <v>0</v>
      </c>
      <c r="DN142" s="6" t="n">
        <v>0</v>
      </c>
      <c r="DO142" s="6" t="n">
        <v>0</v>
      </c>
      <c r="DP142" s="6" t="n">
        <v>0</v>
      </c>
      <c r="DQ142" s="6" t="n">
        <f aca="false">+DK142+DN142+DE142+DH142</f>
        <v>0</v>
      </c>
      <c r="DR142" s="6" t="n">
        <f aca="false">+DL142+DO142+DF142+DI142</f>
        <v>0</v>
      </c>
      <c r="DS142" s="6" t="n">
        <f aca="false">+DM142+DP142+DG142+DJ142</f>
        <v>0</v>
      </c>
      <c r="DT142" s="31" t="n">
        <f aca="false">+P142+AE142+AT142+BI142+BX142+CM142+DB142</f>
        <v>57869.27</v>
      </c>
      <c r="DU142" s="31" t="n">
        <f aca="false">+Q142+AF142+AU142+BJ142+BY142+CN142+DC142</f>
        <v>57869.27</v>
      </c>
      <c r="DV142" s="31" t="n">
        <f aca="false">+R142+AG142+AV142+BK142+BZ142+CO142+DD142</f>
        <v>57869.27</v>
      </c>
      <c r="DW142" s="31" t="n">
        <f aca="false">+DU142-DV142</f>
        <v>0</v>
      </c>
    </row>
    <row r="143" customFormat="false" ht="13.8" hidden="false" customHeight="false" outlineLevel="0" collapsed="false">
      <c r="A143" s="27" t="n">
        <v>45454</v>
      </c>
      <c r="B143" s="28" t="s">
        <v>552</v>
      </c>
      <c r="C143" s="28" t="s">
        <v>553</v>
      </c>
      <c r="D143" s="29" t="s">
        <v>554</v>
      </c>
      <c r="E143" s="28" t="s">
        <v>555</v>
      </c>
      <c r="F143" s="27" t="s">
        <v>556</v>
      </c>
      <c r="G143" s="27" t="s">
        <v>19</v>
      </c>
      <c r="H143" s="30" t="n">
        <v>1357305.89</v>
      </c>
      <c r="I143" s="30" t="n">
        <v>1357305.89</v>
      </c>
      <c r="J143" s="6" t="n">
        <v>0</v>
      </c>
      <c r="K143" s="6" t="n">
        <v>0</v>
      </c>
      <c r="L143" s="6" t="n">
        <v>0</v>
      </c>
      <c r="M143" s="6" t="n">
        <v>0</v>
      </c>
      <c r="N143" s="6" t="n">
        <v>0</v>
      </c>
      <c r="O143" s="6" t="n">
        <v>0</v>
      </c>
      <c r="P143" s="6" t="n">
        <f aca="false">+J143+M143</f>
        <v>0</v>
      </c>
      <c r="Q143" s="6" t="n">
        <f aca="false">+K143+N143</f>
        <v>0</v>
      </c>
      <c r="R143" s="6" t="n">
        <f aca="false">+L143+O143</f>
        <v>0</v>
      </c>
      <c r="S143" s="6" t="n">
        <v>0</v>
      </c>
      <c r="T143" s="6" t="n">
        <v>0</v>
      </c>
      <c r="U143" s="6" t="n">
        <v>0</v>
      </c>
      <c r="V143" s="6" t="n">
        <v>0</v>
      </c>
      <c r="W143" s="6" t="n">
        <v>0</v>
      </c>
      <c r="X143" s="6" t="n">
        <v>0</v>
      </c>
      <c r="Y143" s="6" t="n">
        <v>0</v>
      </c>
      <c r="Z143" s="6" t="n">
        <v>0</v>
      </c>
      <c r="AA143" s="6" t="n">
        <v>0</v>
      </c>
      <c r="AB143" s="6" t="n">
        <v>0</v>
      </c>
      <c r="AC143" s="6" t="n">
        <v>0</v>
      </c>
      <c r="AD143" s="6" t="n">
        <v>0</v>
      </c>
      <c r="AE143" s="6" t="n">
        <f aca="false">+Y143+AB143+S143+V143</f>
        <v>0</v>
      </c>
      <c r="AF143" s="6" t="n">
        <f aca="false">+Z143+AC143+T143+W143</f>
        <v>0</v>
      </c>
      <c r="AG143" s="6" t="n">
        <f aca="false">+AA143+AD143+U143+X143</f>
        <v>0</v>
      </c>
      <c r="AH143" s="6" t="n">
        <v>0</v>
      </c>
      <c r="AI143" s="6" t="n">
        <v>0</v>
      </c>
      <c r="AJ143" s="6" t="n">
        <v>0</v>
      </c>
      <c r="AK143" s="6" t="n">
        <v>0</v>
      </c>
      <c r="AL143" s="6" t="n">
        <v>0</v>
      </c>
      <c r="AM143" s="6" t="n">
        <v>0</v>
      </c>
      <c r="AN143" s="6" t="n">
        <v>0</v>
      </c>
      <c r="AO143" s="6" t="n">
        <v>0</v>
      </c>
      <c r="AP143" s="6" t="n">
        <v>0</v>
      </c>
      <c r="AQ143" s="6" t="n">
        <v>0</v>
      </c>
      <c r="AR143" s="6" t="n">
        <v>0</v>
      </c>
      <c r="AS143" s="6" t="n">
        <v>0</v>
      </c>
      <c r="AT143" s="6" t="n">
        <f aca="false">+AN143+AQ143+AH143+AK143</f>
        <v>0</v>
      </c>
      <c r="AU143" s="6" t="n">
        <f aca="false">+AO143+AR143+AI143+AL143</f>
        <v>0</v>
      </c>
      <c r="AV143" s="6" t="n">
        <f aca="false">+AP143+AS143+AJ143+AM143</f>
        <v>0</v>
      </c>
      <c r="AW143" s="6" t="n">
        <v>0</v>
      </c>
      <c r="AX143" s="6" t="n">
        <v>0</v>
      </c>
      <c r="AY143" s="6" t="n">
        <v>0</v>
      </c>
      <c r="AZ143" s="6" t="n">
        <v>0</v>
      </c>
      <c r="BA143" s="6" t="n">
        <v>0</v>
      </c>
      <c r="BB143" s="6" t="n">
        <v>0</v>
      </c>
      <c r="BC143" s="6" t="n">
        <v>0</v>
      </c>
      <c r="BD143" s="6" t="n">
        <v>0</v>
      </c>
      <c r="BE143" s="6" t="n">
        <v>0</v>
      </c>
      <c r="BF143" s="6" t="n">
        <v>0</v>
      </c>
      <c r="BG143" s="6" t="n">
        <v>0</v>
      </c>
      <c r="BH143" s="6" t="n">
        <v>0</v>
      </c>
      <c r="BI143" s="6" t="n">
        <f aca="false">+BC143+BF143+AW143+AZ143</f>
        <v>0</v>
      </c>
      <c r="BJ143" s="6" t="n">
        <f aca="false">+BD143+BG143+AX143+BA143</f>
        <v>0</v>
      </c>
      <c r="BK143" s="6" t="n">
        <f aca="false">+BE143+BH143+AY143+BB143</f>
        <v>0</v>
      </c>
      <c r="BL143" s="6" t="n">
        <v>0</v>
      </c>
      <c r="BM143" s="6" t="n">
        <v>0</v>
      </c>
      <c r="BN143" s="6" t="n">
        <v>0</v>
      </c>
      <c r="BO143" s="6" t="n">
        <v>0</v>
      </c>
      <c r="BP143" s="6" t="n">
        <v>0</v>
      </c>
      <c r="BQ143" s="6" t="n">
        <v>0</v>
      </c>
      <c r="BR143" s="30" t="n">
        <v>1357305.89</v>
      </c>
      <c r="BS143" s="30" t="n">
        <v>1357305.89</v>
      </c>
      <c r="BT143" s="6" t="n">
        <v>0</v>
      </c>
      <c r="BU143" s="6" t="n">
        <v>0</v>
      </c>
      <c r="BV143" s="6" t="n">
        <v>0</v>
      </c>
      <c r="BW143" s="6" t="n">
        <v>0</v>
      </c>
      <c r="BX143" s="6" t="n">
        <f aca="false">+BR143+BU143+BL143+BO143</f>
        <v>1357305.89</v>
      </c>
      <c r="BY143" s="6" t="n">
        <f aca="false">+BS143+BV143+BM143+BP143</f>
        <v>1357305.89</v>
      </c>
      <c r="BZ143" s="6" t="n">
        <f aca="false">+BT143+BW143+BN143+BQ143</f>
        <v>0</v>
      </c>
      <c r="CA143" s="6" t="n">
        <v>0</v>
      </c>
      <c r="CB143" s="6" t="n">
        <v>0</v>
      </c>
      <c r="CC143" s="6" t="n">
        <v>1357305.89</v>
      </c>
      <c r="CD143" s="6" t="n">
        <v>0</v>
      </c>
      <c r="CE143" s="6" t="n">
        <v>0</v>
      </c>
      <c r="CF143" s="6" t="n">
        <v>0</v>
      </c>
      <c r="CG143" s="6" t="n">
        <v>0</v>
      </c>
      <c r="CH143" s="6" t="n">
        <v>0</v>
      </c>
      <c r="CI143" s="6" t="n">
        <v>0</v>
      </c>
      <c r="CJ143" s="6" t="n">
        <v>0</v>
      </c>
      <c r="CK143" s="6" t="n">
        <v>0</v>
      </c>
      <c r="CL143" s="6" t="n">
        <v>0</v>
      </c>
      <c r="CM143" s="6" t="n">
        <f aca="false">+CG143+CJ143+CA143+CD143</f>
        <v>0</v>
      </c>
      <c r="CN143" s="6" t="n">
        <f aca="false">+CH143+CK143+CB143+CE143</f>
        <v>0</v>
      </c>
      <c r="CO143" s="6" t="n">
        <f aca="false">+CI143+CL143+CC143+CF143</f>
        <v>1357305.89</v>
      </c>
      <c r="CP143" s="6" t="n">
        <v>0</v>
      </c>
      <c r="CQ143" s="6" t="n">
        <v>0</v>
      </c>
      <c r="CR143" s="6" t="n">
        <v>0</v>
      </c>
      <c r="CS143" s="6" t="n">
        <v>0</v>
      </c>
      <c r="CT143" s="6" t="n">
        <v>0</v>
      </c>
      <c r="CU143" s="6" t="n">
        <v>0</v>
      </c>
      <c r="CV143" s="6" t="n">
        <v>0</v>
      </c>
      <c r="CW143" s="6" t="n">
        <v>0</v>
      </c>
      <c r="CX143" s="6" t="n">
        <v>0</v>
      </c>
      <c r="CY143" s="6" t="n">
        <v>0</v>
      </c>
      <c r="CZ143" s="6" t="n">
        <v>0</v>
      </c>
      <c r="DA143" s="6" t="n">
        <v>0</v>
      </c>
      <c r="DB143" s="6" t="n">
        <f aca="false">+CV143+CY143+CP143+CS143</f>
        <v>0</v>
      </c>
      <c r="DC143" s="6" t="n">
        <f aca="false">+CW143+CZ143+CQ143+CT143</f>
        <v>0</v>
      </c>
      <c r="DD143" s="6" t="n">
        <f aca="false">+CX143+DA143+CR143+CU143</f>
        <v>0</v>
      </c>
      <c r="DE143" s="6" t="n">
        <v>0</v>
      </c>
      <c r="DF143" s="6" t="n">
        <v>0</v>
      </c>
      <c r="DG143" s="6" t="n">
        <v>0</v>
      </c>
      <c r="DH143" s="6" t="n">
        <v>0</v>
      </c>
      <c r="DI143" s="6" t="n">
        <v>0</v>
      </c>
      <c r="DJ143" s="6" t="n">
        <v>0</v>
      </c>
      <c r="DK143" s="6" t="n">
        <v>0</v>
      </c>
      <c r="DL143" s="6" t="n">
        <v>0</v>
      </c>
      <c r="DM143" s="6" t="n">
        <v>0</v>
      </c>
      <c r="DN143" s="6" t="n">
        <v>0</v>
      </c>
      <c r="DO143" s="6" t="n">
        <v>0</v>
      </c>
      <c r="DP143" s="6" t="n">
        <v>0</v>
      </c>
      <c r="DQ143" s="6" t="n">
        <f aca="false">+DK143+DN143+DE143+DH143</f>
        <v>0</v>
      </c>
      <c r="DR143" s="6" t="n">
        <f aca="false">+DL143+DO143+DF143+DI143</f>
        <v>0</v>
      </c>
      <c r="DS143" s="6" t="n">
        <f aca="false">+DM143+DP143+DG143+DJ143</f>
        <v>0</v>
      </c>
      <c r="DT143" s="31" t="n">
        <f aca="false">+P143+AE143+AT143+BI143+BX143+CM143+DB143</f>
        <v>1357305.89</v>
      </c>
      <c r="DU143" s="31" t="n">
        <f aca="false">+Q143+AF143+AU143+BJ143+BY143+CN143+DC143</f>
        <v>1357305.89</v>
      </c>
      <c r="DV143" s="31" t="n">
        <f aca="false">+R143+AG143+AV143+BK143+BZ143+CO143+DD143</f>
        <v>1357305.89</v>
      </c>
      <c r="DW143" s="31" t="n">
        <f aca="false">+DU143-DV143</f>
        <v>0</v>
      </c>
    </row>
    <row r="144" customFormat="false" ht="13.8" hidden="false" customHeight="false" outlineLevel="0" collapsed="false">
      <c r="A144" s="27" t="n">
        <v>45454</v>
      </c>
      <c r="B144" s="28" t="s">
        <v>552</v>
      </c>
      <c r="C144" s="28" t="s">
        <v>553</v>
      </c>
      <c r="D144" s="29" t="s">
        <v>554</v>
      </c>
      <c r="E144" s="28" t="s">
        <v>555</v>
      </c>
      <c r="F144" s="27" t="s">
        <v>556</v>
      </c>
      <c r="G144" s="27" t="s">
        <v>19</v>
      </c>
      <c r="H144" s="30" t="n">
        <v>263495.86</v>
      </c>
      <c r="I144" s="30" t="n">
        <v>263495.86</v>
      </c>
      <c r="J144" s="6" t="n">
        <v>0</v>
      </c>
      <c r="K144" s="6" t="n">
        <v>0</v>
      </c>
      <c r="L144" s="6" t="n">
        <v>0</v>
      </c>
      <c r="M144" s="6" t="n">
        <v>0</v>
      </c>
      <c r="N144" s="6" t="n">
        <v>0</v>
      </c>
      <c r="O144" s="6" t="n">
        <v>0</v>
      </c>
      <c r="P144" s="6" t="n">
        <f aca="false">+J144+M144</f>
        <v>0</v>
      </c>
      <c r="Q144" s="6" t="n">
        <f aca="false">+K144+N144</f>
        <v>0</v>
      </c>
      <c r="R144" s="6" t="n">
        <f aca="false">+L144+O144</f>
        <v>0</v>
      </c>
      <c r="S144" s="6" t="n">
        <v>0</v>
      </c>
      <c r="T144" s="6" t="n">
        <v>0</v>
      </c>
      <c r="U144" s="6" t="n">
        <v>0</v>
      </c>
      <c r="V144" s="6" t="n">
        <v>0</v>
      </c>
      <c r="W144" s="6" t="n">
        <v>0</v>
      </c>
      <c r="X144" s="6" t="n">
        <v>0</v>
      </c>
      <c r="Y144" s="6" t="n">
        <v>0</v>
      </c>
      <c r="Z144" s="6" t="n">
        <v>0</v>
      </c>
      <c r="AA144" s="6" t="n">
        <v>0</v>
      </c>
      <c r="AB144" s="6" t="n">
        <v>0</v>
      </c>
      <c r="AC144" s="6" t="n">
        <v>0</v>
      </c>
      <c r="AD144" s="6" t="n">
        <v>0</v>
      </c>
      <c r="AE144" s="6" t="n">
        <f aca="false">+Y144+AB144+S144+V144</f>
        <v>0</v>
      </c>
      <c r="AF144" s="6" t="n">
        <f aca="false">+Z144+AC144+T144+W144</f>
        <v>0</v>
      </c>
      <c r="AG144" s="6" t="n">
        <f aca="false">+AA144+AD144+U144+X144</f>
        <v>0</v>
      </c>
      <c r="AH144" s="6" t="n">
        <v>0</v>
      </c>
      <c r="AI144" s="6" t="n">
        <v>0</v>
      </c>
      <c r="AJ144" s="6" t="n">
        <v>0</v>
      </c>
      <c r="AK144" s="6" t="n">
        <v>0</v>
      </c>
      <c r="AL144" s="6" t="n">
        <v>0</v>
      </c>
      <c r="AM144" s="6" t="n">
        <v>0</v>
      </c>
      <c r="AN144" s="6" t="n">
        <v>0</v>
      </c>
      <c r="AO144" s="6" t="n">
        <v>0</v>
      </c>
      <c r="AP144" s="6" t="n">
        <v>0</v>
      </c>
      <c r="AQ144" s="6" t="n">
        <v>0</v>
      </c>
      <c r="AR144" s="6" t="n">
        <v>0</v>
      </c>
      <c r="AS144" s="6" t="n">
        <v>0</v>
      </c>
      <c r="AT144" s="6" t="n">
        <f aca="false">+AN144+AQ144+AH144+AK144</f>
        <v>0</v>
      </c>
      <c r="AU144" s="6" t="n">
        <f aca="false">+AO144+AR144+AI144+AL144</f>
        <v>0</v>
      </c>
      <c r="AV144" s="6" t="n">
        <f aca="false">+AP144+AS144+AJ144+AM144</f>
        <v>0</v>
      </c>
      <c r="AW144" s="6" t="n">
        <v>0</v>
      </c>
      <c r="AX144" s="6" t="n">
        <v>0</v>
      </c>
      <c r="AY144" s="6" t="n">
        <v>0</v>
      </c>
      <c r="AZ144" s="6" t="n">
        <v>0</v>
      </c>
      <c r="BA144" s="6" t="n">
        <v>0</v>
      </c>
      <c r="BB144" s="6" t="n">
        <v>0</v>
      </c>
      <c r="BC144" s="6" t="n">
        <v>0</v>
      </c>
      <c r="BD144" s="6" t="n">
        <v>0</v>
      </c>
      <c r="BE144" s="6" t="n">
        <v>0</v>
      </c>
      <c r="BF144" s="6" t="n">
        <v>0</v>
      </c>
      <c r="BG144" s="6" t="n">
        <v>0</v>
      </c>
      <c r="BH144" s="6" t="n">
        <v>0</v>
      </c>
      <c r="BI144" s="6" t="n">
        <f aca="false">+BC144+BF144+AW144+AZ144</f>
        <v>0</v>
      </c>
      <c r="BJ144" s="6" t="n">
        <f aca="false">+BD144+BG144+AX144+BA144</f>
        <v>0</v>
      </c>
      <c r="BK144" s="6" t="n">
        <f aca="false">+BE144+BH144+AY144+BB144</f>
        <v>0</v>
      </c>
      <c r="BL144" s="6" t="n">
        <v>0</v>
      </c>
      <c r="BM144" s="6" t="n">
        <v>0</v>
      </c>
      <c r="BN144" s="6" t="n">
        <v>0</v>
      </c>
      <c r="BO144" s="6" t="n">
        <v>0</v>
      </c>
      <c r="BP144" s="6" t="n">
        <v>0</v>
      </c>
      <c r="BQ144" s="6" t="n">
        <v>0</v>
      </c>
      <c r="BR144" s="30" t="n">
        <v>263495.86</v>
      </c>
      <c r="BS144" s="30" t="n">
        <v>263495.86</v>
      </c>
      <c r="BT144" s="6" t="n">
        <v>0</v>
      </c>
      <c r="BU144" s="6" t="n">
        <v>0</v>
      </c>
      <c r="BV144" s="6" t="n">
        <v>0</v>
      </c>
      <c r="BW144" s="6" t="n">
        <v>0</v>
      </c>
      <c r="BX144" s="6" t="n">
        <f aca="false">+BR144+BU144+BL144+BO144</f>
        <v>263495.86</v>
      </c>
      <c r="BY144" s="6" t="n">
        <f aca="false">+BS144+BV144+BM144+BP144</f>
        <v>263495.86</v>
      </c>
      <c r="BZ144" s="6" t="n">
        <f aca="false">+BT144+BW144+BN144+BQ144</f>
        <v>0</v>
      </c>
      <c r="CA144" s="6" t="n">
        <v>0</v>
      </c>
      <c r="CB144" s="6" t="n">
        <v>0</v>
      </c>
      <c r="CC144" s="6" t="n">
        <v>263495.86</v>
      </c>
      <c r="CD144" s="6" t="n">
        <v>0</v>
      </c>
      <c r="CE144" s="6" t="n">
        <v>0</v>
      </c>
      <c r="CF144" s="6" t="n">
        <v>0</v>
      </c>
      <c r="CG144" s="6" t="n">
        <v>0</v>
      </c>
      <c r="CH144" s="6" t="n">
        <v>0</v>
      </c>
      <c r="CI144" s="6" t="n">
        <v>0</v>
      </c>
      <c r="CJ144" s="6" t="n">
        <v>0</v>
      </c>
      <c r="CK144" s="6" t="n">
        <v>0</v>
      </c>
      <c r="CL144" s="6" t="n">
        <v>0</v>
      </c>
      <c r="CM144" s="6" t="n">
        <f aca="false">+CG144+CJ144+CA144+CD144</f>
        <v>0</v>
      </c>
      <c r="CN144" s="6" t="n">
        <f aca="false">+CH144+CK144+CB144+CE144</f>
        <v>0</v>
      </c>
      <c r="CO144" s="6" t="n">
        <f aca="false">+CI144+CL144+CC144+CF144</f>
        <v>263495.86</v>
      </c>
      <c r="CP144" s="6" t="n">
        <v>0</v>
      </c>
      <c r="CQ144" s="6" t="n">
        <v>0</v>
      </c>
      <c r="CR144" s="6" t="n">
        <v>0</v>
      </c>
      <c r="CS144" s="6" t="n">
        <v>0</v>
      </c>
      <c r="CT144" s="6" t="n">
        <v>0</v>
      </c>
      <c r="CU144" s="6" t="n">
        <v>0</v>
      </c>
      <c r="CV144" s="6" t="n">
        <v>0</v>
      </c>
      <c r="CW144" s="6" t="n">
        <v>0</v>
      </c>
      <c r="CX144" s="6" t="n">
        <v>0</v>
      </c>
      <c r="CY144" s="6" t="n">
        <v>0</v>
      </c>
      <c r="CZ144" s="6" t="n">
        <v>0</v>
      </c>
      <c r="DA144" s="6" t="n">
        <v>0</v>
      </c>
      <c r="DB144" s="6" t="n">
        <f aca="false">+CV144+CY144+CP144+CS144</f>
        <v>0</v>
      </c>
      <c r="DC144" s="6" t="n">
        <f aca="false">+CW144+CZ144+CQ144+CT144</f>
        <v>0</v>
      </c>
      <c r="DD144" s="6" t="n">
        <f aca="false">+CX144+DA144+CR144+CU144</f>
        <v>0</v>
      </c>
      <c r="DE144" s="6" t="n">
        <v>0</v>
      </c>
      <c r="DF144" s="6" t="n">
        <v>0</v>
      </c>
      <c r="DG144" s="6" t="n">
        <v>0</v>
      </c>
      <c r="DH144" s="6" t="n">
        <v>0</v>
      </c>
      <c r="DI144" s="6" t="n">
        <v>0</v>
      </c>
      <c r="DJ144" s="6" t="n">
        <v>0</v>
      </c>
      <c r="DK144" s="6" t="n">
        <v>0</v>
      </c>
      <c r="DL144" s="6" t="n">
        <v>0</v>
      </c>
      <c r="DM144" s="6" t="n">
        <v>0</v>
      </c>
      <c r="DN144" s="6" t="n">
        <v>0</v>
      </c>
      <c r="DO144" s="6" t="n">
        <v>0</v>
      </c>
      <c r="DP144" s="6" t="n">
        <v>0</v>
      </c>
      <c r="DQ144" s="6" t="n">
        <f aca="false">+DK144+DN144+DE144+DH144</f>
        <v>0</v>
      </c>
      <c r="DR144" s="6" t="n">
        <f aca="false">+DL144+DO144+DF144+DI144</f>
        <v>0</v>
      </c>
      <c r="DS144" s="6" t="n">
        <f aca="false">+DM144+DP144+DG144+DJ144</f>
        <v>0</v>
      </c>
      <c r="DT144" s="31" t="n">
        <f aca="false">+P144+AE144+AT144+BI144+BX144+CM144+DB144</f>
        <v>263495.86</v>
      </c>
      <c r="DU144" s="31" t="n">
        <f aca="false">+Q144+AF144+AU144+BJ144+BY144+CN144+DC144</f>
        <v>263495.86</v>
      </c>
      <c r="DV144" s="31" t="n">
        <f aca="false">+R144+AG144+AV144+BK144+BZ144+CO144+DD144</f>
        <v>263495.86</v>
      </c>
      <c r="DW144" s="31" t="n">
        <f aca="false">+DU144-DV144</f>
        <v>0</v>
      </c>
    </row>
    <row r="145" customFormat="false" ht="13.8" hidden="false" customHeight="false" outlineLevel="0" collapsed="false">
      <c r="A145" s="27" t="n">
        <v>45509</v>
      </c>
      <c r="B145" s="28" t="s">
        <v>557</v>
      </c>
      <c r="C145" s="28" t="s">
        <v>558</v>
      </c>
      <c r="D145" s="29" t="s">
        <v>559</v>
      </c>
      <c r="E145" s="28" t="s">
        <v>560</v>
      </c>
      <c r="F145" s="27" t="s">
        <v>561</v>
      </c>
      <c r="G145" s="27" t="s">
        <v>20</v>
      </c>
      <c r="H145" s="30" t="n">
        <v>500000</v>
      </c>
      <c r="I145" s="30" t="n">
        <v>500000</v>
      </c>
      <c r="J145" s="6" t="n">
        <v>0</v>
      </c>
      <c r="K145" s="6" t="n">
        <v>0</v>
      </c>
      <c r="L145" s="6" t="n">
        <v>0</v>
      </c>
      <c r="M145" s="6" t="n">
        <v>0</v>
      </c>
      <c r="N145" s="6" t="n">
        <v>0</v>
      </c>
      <c r="O145" s="6" t="n">
        <v>0</v>
      </c>
      <c r="P145" s="6" t="n">
        <f aca="false">+J145+M145</f>
        <v>0</v>
      </c>
      <c r="Q145" s="6" t="n">
        <f aca="false">+K145+N145</f>
        <v>0</v>
      </c>
      <c r="R145" s="6" t="n">
        <f aca="false">+L145+O145</f>
        <v>0</v>
      </c>
      <c r="S145" s="6" t="n">
        <v>0</v>
      </c>
      <c r="T145" s="6" t="n">
        <v>0</v>
      </c>
      <c r="U145" s="6" t="n">
        <v>0</v>
      </c>
      <c r="V145" s="6" t="n">
        <v>0</v>
      </c>
      <c r="W145" s="6" t="n">
        <v>0</v>
      </c>
      <c r="X145" s="6" t="n">
        <v>0</v>
      </c>
      <c r="Y145" s="6" t="n">
        <v>0</v>
      </c>
      <c r="Z145" s="6" t="n">
        <v>0</v>
      </c>
      <c r="AA145" s="6" t="n">
        <v>0</v>
      </c>
      <c r="AB145" s="6" t="n">
        <v>0</v>
      </c>
      <c r="AC145" s="6" t="n">
        <v>0</v>
      </c>
      <c r="AD145" s="6" t="n">
        <v>0</v>
      </c>
      <c r="AE145" s="6" t="n">
        <f aca="false">+Y145+AB145+S145+V145</f>
        <v>0</v>
      </c>
      <c r="AF145" s="6" t="n">
        <f aca="false">+Z145+AC145+T145+W145</f>
        <v>0</v>
      </c>
      <c r="AG145" s="6" t="n">
        <f aca="false">+AA145+AD145+U145+X145</f>
        <v>0</v>
      </c>
      <c r="AH145" s="6" t="n">
        <v>0</v>
      </c>
      <c r="AI145" s="6" t="n">
        <v>0</v>
      </c>
      <c r="AJ145" s="6" t="n">
        <v>0</v>
      </c>
      <c r="AK145" s="6" t="n">
        <v>0</v>
      </c>
      <c r="AL145" s="6" t="n">
        <v>0</v>
      </c>
      <c r="AM145" s="6" t="n">
        <v>0</v>
      </c>
      <c r="AN145" s="6" t="n">
        <v>0</v>
      </c>
      <c r="AO145" s="6" t="n">
        <v>0</v>
      </c>
      <c r="AP145" s="6" t="n">
        <v>0</v>
      </c>
      <c r="AQ145" s="6" t="n">
        <v>0</v>
      </c>
      <c r="AR145" s="6" t="n">
        <v>0</v>
      </c>
      <c r="AS145" s="6" t="n">
        <v>0</v>
      </c>
      <c r="AT145" s="6" t="n">
        <f aca="false">+AN145+AQ145+AH145+AK145</f>
        <v>0</v>
      </c>
      <c r="AU145" s="6" t="n">
        <f aca="false">+AO145+AR145+AI145+AL145</f>
        <v>0</v>
      </c>
      <c r="AV145" s="6" t="n">
        <f aca="false">+AP145+AS145+AJ145+AM145</f>
        <v>0</v>
      </c>
      <c r="AW145" s="6" t="n">
        <v>0</v>
      </c>
      <c r="AX145" s="6" t="n">
        <v>0</v>
      </c>
      <c r="AY145" s="6" t="n">
        <v>0</v>
      </c>
      <c r="AZ145" s="6" t="n">
        <v>0</v>
      </c>
      <c r="BA145" s="6" t="n">
        <v>0</v>
      </c>
      <c r="BB145" s="6" t="n">
        <v>0</v>
      </c>
      <c r="BC145" s="6" t="n">
        <v>0</v>
      </c>
      <c r="BD145" s="6" t="n">
        <v>0</v>
      </c>
      <c r="BE145" s="6" t="n">
        <v>0</v>
      </c>
      <c r="BF145" s="6" t="n">
        <v>0</v>
      </c>
      <c r="BG145" s="6" t="n">
        <v>0</v>
      </c>
      <c r="BH145" s="6" t="n">
        <v>0</v>
      </c>
      <c r="BI145" s="6" t="n">
        <f aca="false">+BC145+BF145+AW145+AZ145</f>
        <v>0</v>
      </c>
      <c r="BJ145" s="6" t="n">
        <f aca="false">+BD145+BG145+AX145+BA145</f>
        <v>0</v>
      </c>
      <c r="BK145" s="6" t="n">
        <f aca="false">+BE145+BH145+AY145+BB145</f>
        <v>0</v>
      </c>
      <c r="BL145" s="6" t="n">
        <v>0</v>
      </c>
      <c r="BM145" s="6" t="n">
        <v>0</v>
      </c>
      <c r="BN145" s="6" t="n">
        <v>0</v>
      </c>
      <c r="BO145" s="6" t="n">
        <v>0</v>
      </c>
      <c r="BP145" s="6" t="n">
        <v>0</v>
      </c>
      <c r="BQ145" s="6" t="n">
        <v>0</v>
      </c>
      <c r="BR145" s="6" t="n">
        <v>0</v>
      </c>
      <c r="BS145" s="6" t="n">
        <v>0</v>
      </c>
      <c r="BT145" s="6" t="n">
        <v>0</v>
      </c>
      <c r="BU145" s="30" t="n">
        <v>500000</v>
      </c>
      <c r="BV145" s="30" t="n">
        <v>500000</v>
      </c>
      <c r="BW145" s="6" t="n">
        <v>0</v>
      </c>
      <c r="BX145" s="6" t="n">
        <f aca="false">+BR145+BU145+BL145+BO145</f>
        <v>500000</v>
      </c>
      <c r="BY145" s="6" t="n">
        <f aca="false">+BS145+BV145+BM145+BP145</f>
        <v>500000</v>
      </c>
      <c r="BZ145" s="6" t="n">
        <f aca="false">+BT145+BW145+BN145+BQ145</f>
        <v>0</v>
      </c>
      <c r="CA145" s="6" t="n">
        <v>0</v>
      </c>
      <c r="CB145" s="6" t="n">
        <v>0</v>
      </c>
      <c r="CC145" s="6" t="n">
        <v>500000</v>
      </c>
      <c r="CD145" s="6" t="n">
        <v>0</v>
      </c>
      <c r="CE145" s="6" t="n">
        <v>0</v>
      </c>
      <c r="CF145" s="6" t="n">
        <v>0</v>
      </c>
      <c r="CG145" s="6" t="n">
        <v>0</v>
      </c>
      <c r="CH145" s="6" t="n">
        <v>0</v>
      </c>
      <c r="CI145" s="6" t="n">
        <v>0</v>
      </c>
      <c r="CJ145" s="6" t="n">
        <v>0</v>
      </c>
      <c r="CK145" s="6" t="n">
        <v>0</v>
      </c>
      <c r="CL145" s="6" t="n">
        <v>0</v>
      </c>
      <c r="CM145" s="6" t="n">
        <f aca="false">+CG145+CJ145+CA145+CD145</f>
        <v>0</v>
      </c>
      <c r="CN145" s="6" t="n">
        <f aca="false">+CH145+CK145+CB145+CE145</f>
        <v>0</v>
      </c>
      <c r="CO145" s="6" t="n">
        <f aca="false">+CI145+CL145+CC145+CF145</f>
        <v>500000</v>
      </c>
      <c r="CP145" s="6" t="n">
        <v>0</v>
      </c>
      <c r="CQ145" s="6" t="n">
        <v>0</v>
      </c>
      <c r="CR145" s="6" t="n">
        <v>0</v>
      </c>
      <c r="CS145" s="6" t="n">
        <v>0</v>
      </c>
      <c r="CT145" s="6" t="n">
        <v>0</v>
      </c>
      <c r="CU145" s="6" t="n">
        <v>0</v>
      </c>
      <c r="CV145" s="6" t="n">
        <v>0</v>
      </c>
      <c r="CW145" s="6" t="n">
        <v>0</v>
      </c>
      <c r="CX145" s="6" t="n">
        <v>0</v>
      </c>
      <c r="CY145" s="6" t="n">
        <v>0</v>
      </c>
      <c r="CZ145" s="6" t="n">
        <v>0</v>
      </c>
      <c r="DA145" s="6" t="n">
        <v>0</v>
      </c>
      <c r="DB145" s="6" t="n">
        <f aca="false">+CV145+CY145+CP145+CS145</f>
        <v>0</v>
      </c>
      <c r="DC145" s="6" t="n">
        <f aca="false">+CW145+CZ145+CQ145+CT145</f>
        <v>0</v>
      </c>
      <c r="DD145" s="6" t="n">
        <f aca="false">+CX145+DA145+CR145+CU145</f>
        <v>0</v>
      </c>
      <c r="DE145" s="6" t="n">
        <v>0</v>
      </c>
      <c r="DF145" s="6" t="n">
        <v>0</v>
      </c>
      <c r="DG145" s="6" t="n">
        <v>0</v>
      </c>
      <c r="DH145" s="6" t="n">
        <v>0</v>
      </c>
      <c r="DI145" s="6" t="n">
        <v>0</v>
      </c>
      <c r="DJ145" s="6" t="n">
        <v>0</v>
      </c>
      <c r="DK145" s="6" t="n">
        <v>0</v>
      </c>
      <c r="DL145" s="6" t="n">
        <v>0</v>
      </c>
      <c r="DM145" s="6" t="n">
        <v>0</v>
      </c>
      <c r="DN145" s="6" t="n">
        <v>0</v>
      </c>
      <c r="DO145" s="6" t="n">
        <v>0</v>
      </c>
      <c r="DP145" s="6" t="n">
        <v>0</v>
      </c>
      <c r="DQ145" s="6" t="n">
        <f aca="false">+DK145+DN145+DE145+DH145</f>
        <v>0</v>
      </c>
      <c r="DR145" s="6" t="n">
        <f aca="false">+DL145+DO145+DF145+DI145</f>
        <v>0</v>
      </c>
      <c r="DS145" s="6" t="n">
        <f aca="false">+DM145+DP145+DG145+DJ145</f>
        <v>0</v>
      </c>
      <c r="DT145" s="31" t="n">
        <f aca="false">+P145+AE145+AT145+BI145+BX145+CM145+DB145</f>
        <v>500000</v>
      </c>
      <c r="DU145" s="31" t="n">
        <f aca="false">+Q145+AF145+AU145+BJ145+BY145+CN145+DC145</f>
        <v>500000</v>
      </c>
      <c r="DV145" s="31" t="n">
        <f aca="false">+R145+AG145+AV145+BK145+BZ145+CO145+DD145</f>
        <v>500000</v>
      </c>
      <c r="DW145" s="31" t="n">
        <f aca="false">+DU145-DV145</f>
        <v>0</v>
      </c>
    </row>
    <row r="146" customFormat="false" ht="13.8" hidden="false" customHeight="false" outlineLevel="0" collapsed="false">
      <c r="A146" s="27" t="n">
        <v>45541</v>
      </c>
      <c r="B146" s="28" t="s">
        <v>562</v>
      </c>
      <c r="C146" s="28" t="s">
        <v>563</v>
      </c>
      <c r="D146" s="29" t="s">
        <v>564</v>
      </c>
      <c r="E146" s="28" t="s">
        <v>565</v>
      </c>
      <c r="F146" s="27" t="s">
        <v>566</v>
      </c>
      <c r="G146" s="27" t="s">
        <v>20</v>
      </c>
      <c r="H146" s="30" t="n">
        <v>250000</v>
      </c>
      <c r="I146" s="30" t="n">
        <v>250000</v>
      </c>
      <c r="J146" s="6" t="n">
        <v>0</v>
      </c>
      <c r="K146" s="6" t="n">
        <v>0</v>
      </c>
      <c r="L146" s="6" t="n">
        <v>0</v>
      </c>
      <c r="M146" s="6" t="n">
        <v>0</v>
      </c>
      <c r="N146" s="6" t="n">
        <v>0</v>
      </c>
      <c r="O146" s="6" t="n">
        <v>0</v>
      </c>
      <c r="P146" s="6" t="n">
        <f aca="false">+J146+M146</f>
        <v>0</v>
      </c>
      <c r="Q146" s="6" t="n">
        <f aca="false">+K146+N146</f>
        <v>0</v>
      </c>
      <c r="R146" s="6" t="n">
        <f aca="false">+L146+O146</f>
        <v>0</v>
      </c>
      <c r="S146" s="6" t="n">
        <v>0</v>
      </c>
      <c r="T146" s="6" t="n">
        <v>0</v>
      </c>
      <c r="U146" s="6" t="n">
        <v>0</v>
      </c>
      <c r="V146" s="6" t="n">
        <v>0</v>
      </c>
      <c r="W146" s="6" t="n">
        <v>0</v>
      </c>
      <c r="X146" s="6" t="n">
        <v>0</v>
      </c>
      <c r="Y146" s="6" t="n">
        <v>0</v>
      </c>
      <c r="Z146" s="6" t="n">
        <v>0</v>
      </c>
      <c r="AA146" s="6" t="n">
        <v>0</v>
      </c>
      <c r="AB146" s="6" t="n">
        <v>0</v>
      </c>
      <c r="AC146" s="6" t="n">
        <v>0</v>
      </c>
      <c r="AD146" s="6" t="n">
        <v>0</v>
      </c>
      <c r="AE146" s="6" t="n">
        <f aca="false">+Y146+AB146+S146+V146</f>
        <v>0</v>
      </c>
      <c r="AF146" s="6" t="n">
        <f aca="false">+Z146+AC146+T146+W146</f>
        <v>0</v>
      </c>
      <c r="AG146" s="6" t="n">
        <f aca="false">+AA146+AD146+U146+X146</f>
        <v>0</v>
      </c>
      <c r="AH146" s="6" t="n">
        <v>0</v>
      </c>
      <c r="AI146" s="6" t="n">
        <v>0</v>
      </c>
      <c r="AJ146" s="6" t="n">
        <v>0</v>
      </c>
      <c r="AK146" s="6" t="n">
        <v>0</v>
      </c>
      <c r="AL146" s="6" t="n">
        <v>0</v>
      </c>
      <c r="AM146" s="6" t="n">
        <v>0</v>
      </c>
      <c r="AN146" s="6" t="n">
        <v>0</v>
      </c>
      <c r="AO146" s="6" t="n">
        <v>0</v>
      </c>
      <c r="AP146" s="6" t="n">
        <v>0</v>
      </c>
      <c r="AQ146" s="6" t="n">
        <v>0</v>
      </c>
      <c r="AR146" s="6" t="n">
        <v>0</v>
      </c>
      <c r="AS146" s="6" t="n">
        <v>0</v>
      </c>
      <c r="AT146" s="6" t="n">
        <f aca="false">+AN146+AQ146+AH146+AK146</f>
        <v>0</v>
      </c>
      <c r="AU146" s="6" t="n">
        <f aca="false">+AO146+AR146+AI146+AL146</f>
        <v>0</v>
      </c>
      <c r="AV146" s="6" t="n">
        <f aca="false">+AP146+AS146+AJ146+AM146</f>
        <v>0</v>
      </c>
      <c r="AW146" s="6" t="n">
        <v>0</v>
      </c>
      <c r="AX146" s="6" t="n">
        <v>0</v>
      </c>
      <c r="AY146" s="6" t="n">
        <v>0</v>
      </c>
      <c r="AZ146" s="6" t="n">
        <v>0</v>
      </c>
      <c r="BA146" s="6" t="n">
        <v>0</v>
      </c>
      <c r="BB146" s="6" t="n">
        <v>0</v>
      </c>
      <c r="BC146" s="6" t="n">
        <v>0</v>
      </c>
      <c r="BD146" s="6" t="n">
        <v>0</v>
      </c>
      <c r="BE146" s="6" t="n">
        <v>0</v>
      </c>
      <c r="BF146" s="6" t="n">
        <v>0</v>
      </c>
      <c r="BG146" s="6" t="n">
        <v>0</v>
      </c>
      <c r="BH146" s="6" t="n">
        <v>0</v>
      </c>
      <c r="BI146" s="6" t="n">
        <f aca="false">+BC146+BF146+AW146+AZ146</f>
        <v>0</v>
      </c>
      <c r="BJ146" s="6" t="n">
        <f aca="false">+BD146+BG146+AX146+BA146</f>
        <v>0</v>
      </c>
      <c r="BK146" s="6" t="n">
        <f aca="false">+BE146+BH146+AY146+BB146</f>
        <v>0</v>
      </c>
      <c r="BL146" s="6" t="n">
        <v>0</v>
      </c>
      <c r="BM146" s="6" t="n">
        <v>0</v>
      </c>
      <c r="BN146" s="6" t="n">
        <v>0</v>
      </c>
      <c r="BO146" s="6" t="n">
        <v>0</v>
      </c>
      <c r="BP146" s="6" t="n">
        <v>0</v>
      </c>
      <c r="BQ146" s="6" t="n">
        <v>0</v>
      </c>
      <c r="BR146" s="6" t="n">
        <v>0</v>
      </c>
      <c r="BS146" s="6" t="n">
        <v>0</v>
      </c>
      <c r="BT146" s="6" t="n">
        <v>0</v>
      </c>
      <c r="BU146" s="30" t="n">
        <v>250000</v>
      </c>
      <c r="BV146" s="30" t="n">
        <v>250000</v>
      </c>
      <c r="BW146" s="6" t="n">
        <v>0</v>
      </c>
      <c r="BX146" s="6" t="n">
        <f aca="false">+BR146+BU146+BL146+BO146</f>
        <v>250000</v>
      </c>
      <c r="BY146" s="6" t="n">
        <f aca="false">+BS146+BV146+BM146+BP146</f>
        <v>250000</v>
      </c>
      <c r="BZ146" s="6" t="n">
        <f aca="false">+BT146+BW146+BN146+BQ146</f>
        <v>0</v>
      </c>
      <c r="CA146" s="6" t="n">
        <v>0</v>
      </c>
      <c r="CB146" s="6" t="n">
        <v>0</v>
      </c>
      <c r="CC146" s="6" t="n">
        <v>250000</v>
      </c>
      <c r="CD146" s="6" t="n">
        <v>0</v>
      </c>
      <c r="CE146" s="6" t="n">
        <v>0</v>
      </c>
      <c r="CF146" s="6" t="n">
        <v>0</v>
      </c>
      <c r="CG146" s="6" t="n">
        <v>0</v>
      </c>
      <c r="CH146" s="6" t="n">
        <v>0</v>
      </c>
      <c r="CI146" s="6" t="n">
        <v>0</v>
      </c>
      <c r="CJ146" s="6" t="n">
        <v>0</v>
      </c>
      <c r="CK146" s="6" t="n">
        <v>0</v>
      </c>
      <c r="CL146" s="6" t="n">
        <v>0</v>
      </c>
      <c r="CM146" s="6" t="n">
        <f aca="false">+CG146+CJ146+CA146+CD146</f>
        <v>0</v>
      </c>
      <c r="CN146" s="6" t="n">
        <f aca="false">+CH146+CK146+CB146+CE146</f>
        <v>0</v>
      </c>
      <c r="CO146" s="6" t="n">
        <f aca="false">+CI146+CL146+CC146+CF146</f>
        <v>250000</v>
      </c>
      <c r="CP146" s="6" t="n">
        <v>0</v>
      </c>
      <c r="CQ146" s="6" t="n">
        <v>0</v>
      </c>
      <c r="CR146" s="6" t="n">
        <v>0</v>
      </c>
      <c r="CS146" s="6" t="n">
        <v>0</v>
      </c>
      <c r="CT146" s="6" t="n">
        <v>0</v>
      </c>
      <c r="CU146" s="6" t="n">
        <v>0</v>
      </c>
      <c r="CV146" s="6" t="n">
        <v>0</v>
      </c>
      <c r="CW146" s="6" t="n">
        <v>0</v>
      </c>
      <c r="CX146" s="6" t="n">
        <v>0</v>
      </c>
      <c r="CY146" s="6" t="n">
        <v>0</v>
      </c>
      <c r="CZ146" s="6" t="n">
        <v>0</v>
      </c>
      <c r="DA146" s="6" t="n">
        <v>0</v>
      </c>
      <c r="DB146" s="6" t="n">
        <f aca="false">+CV146+CY146+CP146+CS146</f>
        <v>0</v>
      </c>
      <c r="DC146" s="6" t="n">
        <f aca="false">+CW146+CZ146+CQ146+CT146</f>
        <v>0</v>
      </c>
      <c r="DD146" s="6" t="n">
        <f aca="false">+CX146+DA146+CR146+CU146</f>
        <v>0</v>
      </c>
      <c r="DE146" s="6" t="n">
        <v>0</v>
      </c>
      <c r="DF146" s="6" t="n">
        <v>0</v>
      </c>
      <c r="DG146" s="6" t="n">
        <v>0</v>
      </c>
      <c r="DH146" s="6" t="n">
        <v>0</v>
      </c>
      <c r="DI146" s="6" t="n">
        <v>0</v>
      </c>
      <c r="DJ146" s="6" t="n">
        <v>0</v>
      </c>
      <c r="DK146" s="6" t="n">
        <v>0</v>
      </c>
      <c r="DL146" s="6" t="n">
        <v>0</v>
      </c>
      <c r="DM146" s="6" t="n">
        <v>0</v>
      </c>
      <c r="DN146" s="6" t="n">
        <v>0</v>
      </c>
      <c r="DO146" s="6" t="n">
        <v>0</v>
      </c>
      <c r="DP146" s="6" t="n">
        <v>0</v>
      </c>
      <c r="DQ146" s="6" t="n">
        <f aca="false">+DK146+DN146+DE146+DH146</f>
        <v>0</v>
      </c>
      <c r="DR146" s="6" t="n">
        <f aca="false">+DL146+DO146+DF146+DI146</f>
        <v>0</v>
      </c>
      <c r="DS146" s="6" t="n">
        <f aca="false">+DM146+DP146+DG146+DJ146</f>
        <v>0</v>
      </c>
      <c r="DT146" s="31" t="n">
        <f aca="false">+P146+AE146+AT146+BI146+BX146+CM146+DB146</f>
        <v>250000</v>
      </c>
      <c r="DU146" s="31" t="n">
        <f aca="false">+Q146+AF146+AU146+BJ146+BY146+CN146+DC146</f>
        <v>250000</v>
      </c>
      <c r="DV146" s="31" t="n">
        <f aca="false">+R146+AG146+AV146+BK146+BZ146+CO146+DD146</f>
        <v>250000</v>
      </c>
      <c r="DW146" s="31" t="n">
        <f aca="false">+DU146-DV146</f>
        <v>0</v>
      </c>
    </row>
    <row r="147" customFormat="false" ht="13.8" hidden="false" customHeight="false" outlineLevel="0" collapsed="false">
      <c r="A147" s="27" t="n">
        <v>45541</v>
      </c>
      <c r="B147" s="28" t="s">
        <v>562</v>
      </c>
      <c r="C147" s="28" t="s">
        <v>563</v>
      </c>
      <c r="D147" s="29" t="s">
        <v>564</v>
      </c>
      <c r="E147" s="28" t="s">
        <v>565</v>
      </c>
      <c r="F147" s="27" t="s">
        <v>566</v>
      </c>
      <c r="G147" s="27" t="s">
        <v>20</v>
      </c>
      <c r="H147" s="30" t="n">
        <v>350000</v>
      </c>
      <c r="I147" s="30" t="n">
        <v>350000</v>
      </c>
      <c r="J147" s="6" t="n">
        <v>0</v>
      </c>
      <c r="K147" s="6" t="n">
        <v>0</v>
      </c>
      <c r="L147" s="6" t="n">
        <v>0</v>
      </c>
      <c r="M147" s="6" t="n">
        <v>0</v>
      </c>
      <c r="N147" s="6" t="n">
        <v>0</v>
      </c>
      <c r="O147" s="6" t="n">
        <v>0</v>
      </c>
      <c r="P147" s="6" t="n">
        <f aca="false">+J147+M147</f>
        <v>0</v>
      </c>
      <c r="Q147" s="6" t="n">
        <f aca="false">+K147+N147</f>
        <v>0</v>
      </c>
      <c r="R147" s="6" t="n">
        <f aca="false">+L147+O147</f>
        <v>0</v>
      </c>
      <c r="S147" s="6" t="n">
        <v>0</v>
      </c>
      <c r="T147" s="6" t="n">
        <v>0</v>
      </c>
      <c r="U147" s="6" t="n">
        <v>0</v>
      </c>
      <c r="V147" s="6" t="n">
        <v>0</v>
      </c>
      <c r="W147" s="6" t="n">
        <v>0</v>
      </c>
      <c r="X147" s="6" t="n">
        <v>0</v>
      </c>
      <c r="Y147" s="6" t="n">
        <v>0</v>
      </c>
      <c r="Z147" s="6" t="n">
        <v>0</v>
      </c>
      <c r="AA147" s="6" t="n">
        <v>0</v>
      </c>
      <c r="AB147" s="6" t="n">
        <v>0</v>
      </c>
      <c r="AC147" s="6" t="n">
        <v>0</v>
      </c>
      <c r="AD147" s="6" t="n">
        <v>0</v>
      </c>
      <c r="AE147" s="6" t="n">
        <f aca="false">+Y147+AB147+S147+V147</f>
        <v>0</v>
      </c>
      <c r="AF147" s="6" t="n">
        <f aca="false">+Z147+AC147+T147+W147</f>
        <v>0</v>
      </c>
      <c r="AG147" s="6" t="n">
        <f aca="false">+AA147+AD147+U147+X147</f>
        <v>0</v>
      </c>
      <c r="AH147" s="6" t="n">
        <v>0</v>
      </c>
      <c r="AI147" s="6" t="n">
        <v>0</v>
      </c>
      <c r="AJ147" s="6" t="n">
        <v>0</v>
      </c>
      <c r="AK147" s="6" t="n">
        <v>0</v>
      </c>
      <c r="AL147" s="6" t="n">
        <v>0</v>
      </c>
      <c r="AM147" s="6" t="n">
        <v>0</v>
      </c>
      <c r="AN147" s="6" t="n">
        <v>0</v>
      </c>
      <c r="AO147" s="6" t="n">
        <v>0</v>
      </c>
      <c r="AP147" s="6" t="n">
        <v>0</v>
      </c>
      <c r="AQ147" s="6" t="n">
        <v>0</v>
      </c>
      <c r="AR147" s="6" t="n">
        <v>0</v>
      </c>
      <c r="AS147" s="6" t="n">
        <v>0</v>
      </c>
      <c r="AT147" s="6" t="n">
        <f aca="false">+AN147+AQ147+AH147+AK147</f>
        <v>0</v>
      </c>
      <c r="AU147" s="6" t="n">
        <f aca="false">+AO147+AR147+AI147+AL147</f>
        <v>0</v>
      </c>
      <c r="AV147" s="6" t="n">
        <f aca="false">+AP147+AS147+AJ147+AM147</f>
        <v>0</v>
      </c>
      <c r="AW147" s="6" t="n">
        <v>0</v>
      </c>
      <c r="AX147" s="6" t="n">
        <v>0</v>
      </c>
      <c r="AY147" s="6" t="n">
        <v>0</v>
      </c>
      <c r="AZ147" s="6" t="n">
        <v>0</v>
      </c>
      <c r="BA147" s="6" t="n">
        <v>0</v>
      </c>
      <c r="BB147" s="6" t="n">
        <v>0</v>
      </c>
      <c r="BC147" s="6" t="n">
        <v>0</v>
      </c>
      <c r="BD147" s="6" t="n">
        <v>0</v>
      </c>
      <c r="BE147" s="6" t="n">
        <v>0</v>
      </c>
      <c r="BF147" s="6" t="n">
        <v>0</v>
      </c>
      <c r="BG147" s="6" t="n">
        <v>0</v>
      </c>
      <c r="BH147" s="6" t="n">
        <v>0</v>
      </c>
      <c r="BI147" s="6" t="n">
        <f aca="false">+BC147+BF147+AW147+AZ147</f>
        <v>0</v>
      </c>
      <c r="BJ147" s="6" t="n">
        <f aca="false">+BD147+BG147+AX147+BA147</f>
        <v>0</v>
      </c>
      <c r="BK147" s="6" t="n">
        <f aca="false">+BE147+BH147+AY147+BB147</f>
        <v>0</v>
      </c>
      <c r="BL147" s="6" t="n">
        <v>0</v>
      </c>
      <c r="BM147" s="6" t="n">
        <v>0</v>
      </c>
      <c r="BN147" s="6" t="n">
        <v>0</v>
      </c>
      <c r="BO147" s="6" t="n">
        <v>0</v>
      </c>
      <c r="BP147" s="6" t="n">
        <v>0</v>
      </c>
      <c r="BQ147" s="6" t="n">
        <v>0</v>
      </c>
      <c r="BR147" s="6" t="n">
        <v>0</v>
      </c>
      <c r="BS147" s="6" t="n">
        <v>0</v>
      </c>
      <c r="BT147" s="6" t="n">
        <v>0</v>
      </c>
      <c r="BU147" s="30" t="n">
        <v>350000</v>
      </c>
      <c r="BV147" s="30" t="n">
        <v>350000</v>
      </c>
      <c r="BW147" s="6" t="n">
        <v>0</v>
      </c>
      <c r="BX147" s="6" t="n">
        <f aca="false">+BR147+BU147+BL147+BO147</f>
        <v>350000</v>
      </c>
      <c r="BY147" s="6" t="n">
        <f aca="false">+BS147+BV147+BM147+BP147</f>
        <v>350000</v>
      </c>
      <c r="BZ147" s="6" t="n">
        <f aca="false">+BT147+BW147+BN147+BQ147</f>
        <v>0</v>
      </c>
      <c r="CA147" s="6" t="n">
        <v>0</v>
      </c>
      <c r="CB147" s="6" t="n">
        <v>0</v>
      </c>
      <c r="CC147" s="6" t="n">
        <v>0</v>
      </c>
      <c r="CD147" s="6" t="n">
        <v>0</v>
      </c>
      <c r="CE147" s="6" t="n">
        <v>0</v>
      </c>
      <c r="CF147" s="6" t="n">
        <v>100000</v>
      </c>
      <c r="CG147" s="6" t="n">
        <v>0</v>
      </c>
      <c r="CH147" s="6" t="n">
        <v>0</v>
      </c>
      <c r="CI147" s="6" t="n">
        <v>100000</v>
      </c>
      <c r="CJ147" s="6" t="n">
        <v>0</v>
      </c>
      <c r="CK147" s="6" t="n">
        <v>0</v>
      </c>
      <c r="CL147" s="6" t="n">
        <v>0</v>
      </c>
      <c r="CM147" s="6" t="n">
        <f aca="false">+CG147+CJ147+CA147+CD147</f>
        <v>0</v>
      </c>
      <c r="CN147" s="6" t="n">
        <f aca="false">+CH147+CK147+CB147+CE147</f>
        <v>0</v>
      </c>
      <c r="CO147" s="6" t="n">
        <f aca="false">+CI147+CL147+CC147+CF147</f>
        <v>200000</v>
      </c>
      <c r="CP147" s="6" t="n">
        <v>0</v>
      </c>
      <c r="CQ147" s="6" t="n">
        <v>0</v>
      </c>
      <c r="CR147" s="6" t="n">
        <v>0</v>
      </c>
      <c r="CS147" s="6" t="n">
        <v>0</v>
      </c>
      <c r="CT147" s="6" t="n">
        <v>0</v>
      </c>
      <c r="CU147" s="6" t="n">
        <v>0</v>
      </c>
      <c r="CV147" s="6" t="n">
        <v>0</v>
      </c>
      <c r="CW147" s="6" t="n">
        <v>0</v>
      </c>
      <c r="CX147" s="6" t="n">
        <v>0</v>
      </c>
      <c r="CY147" s="6" t="n">
        <v>0</v>
      </c>
      <c r="CZ147" s="6" t="n">
        <v>0</v>
      </c>
      <c r="DA147" s="6" t="n">
        <v>0</v>
      </c>
      <c r="DB147" s="6" t="n">
        <f aca="false">+CV147+CY147+CP147+CS147</f>
        <v>0</v>
      </c>
      <c r="DC147" s="6" t="n">
        <f aca="false">+CW147+CZ147+CQ147+CT147</f>
        <v>0</v>
      </c>
      <c r="DD147" s="6" t="n">
        <f aca="false">+CX147+DA147+CR147+CU147</f>
        <v>0</v>
      </c>
      <c r="DE147" s="6" t="n">
        <v>0</v>
      </c>
      <c r="DF147" s="6" t="n">
        <v>0</v>
      </c>
      <c r="DG147" s="6" t="n">
        <v>0</v>
      </c>
      <c r="DH147" s="6" t="n">
        <v>0</v>
      </c>
      <c r="DI147" s="6" t="n">
        <v>0</v>
      </c>
      <c r="DJ147" s="6" t="n">
        <v>0</v>
      </c>
      <c r="DK147" s="6" t="n">
        <v>0</v>
      </c>
      <c r="DL147" s="6" t="n">
        <v>0</v>
      </c>
      <c r="DM147" s="6" t="n">
        <v>0</v>
      </c>
      <c r="DN147" s="6" t="n">
        <v>0</v>
      </c>
      <c r="DO147" s="6" t="n">
        <v>0</v>
      </c>
      <c r="DP147" s="6" t="n">
        <v>0</v>
      </c>
      <c r="DQ147" s="6" t="n">
        <f aca="false">+DK147+DN147+DE147+DH147</f>
        <v>0</v>
      </c>
      <c r="DR147" s="6" t="n">
        <f aca="false">+DL147+DO147+DF147+DI147</f>
        <v>0</v>
      </c>
      <c r="DS147" s="6" t="n">
        <f aca="false">+DM147+DP147+DG147+DJ147</f>
        <v>0</v>
      </c>
      <c r="DT147" s="31" t="n">
        <f aca="false">+P147+AE147+AT147+BI147+BX147+CM147+DB147</f>
        <v>350000</v>
      </c>
      <c r="DU147" s="31" t="n">
        <f aca="false">+Q147+AF147+AU147+BJ147+BY147+CN147+DC147</f>
        <v>350000</v>
      </c>
      <c r="DV147" s="31" t="n">
        <f aca="false">+R147+AG147+AV147+BK147+BZ147+CO147+DD147</f>
        <v>200000</v>
      </c>
      <c r="DW147" s="31" t="n">
        <f aca="false">+DU147-DV147</f>
        <v>150000</v>
      </c>
    </row>
    <row r="148" customFormat="false" ht="13.8" hidden="false" customHeight="false" outlineLevel="0" collapsed="false">
      <c r="A148" s="27" t="n">
        <v>45790</v>
      </c>
      <c r="B148" s="28" t="s">
        <v>567</v>
      </c>
      <c r="C148" s="28" t="s">
        <v>568</v>
      </c>
      <c r="D148" s="29" t="s">
        <v>569</v>
      </c>
      <c r="E148" s="28" t="s">
        <v>570</v>
      </c>
      <c r="F148" s="27" t="s">
        <v>571</v>
      </c>
      <c r="G148" s="27" t="s">
        <v>23</v>
      </c>
      <c r="H148" s="30" t="n">
        <v>250000</v>
      </c>
      <c r="I148" s="30" t="n">
        <v>250000</v>
      </c>
      <c r="J148" s="6" t="n">
        <v>0</v>
      </c>
      <c r="K148" s="6" t="n">
        <v>0</v>
      </c>
      <c r="L148" s="6" t="n">
        <v>0</v>
      </c>
      <c r="M148" s="6" t="n">
        <v>0</v>
      </c>
      <c r="N148" s="6" t="n">
        <v>0</v>
      </c>
      <c r="O148" s="6" t="n">
        <v>0</v>
      </c>
      <c r="P148" s="6" t="n">
        <f aca="false">+J148+M148</f>
        <v>0</v>
      </c>
      <c r="Q148" s="6" t="n">
        <f aca="false">+K148+N148</f>
        <v>0</v>
      </c>
      <c r="R148" s="6" t="n">
        <f aca="false">+L148+O148</f>
        <v>0</v>
      </c>
      <c r="S148" s="6" t="n">
        <v>0</v>
      </c>
      <c r="T148" s="6" t="n">
        <v>0</v>
      </c>
      <c r="U148" s="6" t="n">
        <v>0</v>
      </c>
      <c r="V148" s="6" t="n">
        <v>0</v>
      </c>
      <c r="W148" s="6" t="n">
        <v>0</v>
      </c>
      <c r="X148" s="6" t="n">
        <v>0</v>
      </c>
      <c r="Y148" s="6" t="n">
        <v>0</v>
      </c>
      <c r="Z148" s="6" t="n">
        <v>0</v>
      </c>
      <c r="AA148" s="6" t="n">
        <v>0</v>
      </c>
      <c r="AB148" s="6" t="n">
        <v>0</v>
      </c>
      <c r="AC148" s="6" t="n">
        <v>0</v>
      </c>
      <c r="AD148" s="6" t="n">
        <v>0</v>
      </c>
      <c r="AE148" s="6" t="n">
        <f aca="false">+Y148+AB148+S148+V148</f>
        <v>0</v>
      </c>
      <c r="AF148" s="6" t="n">
        <f aca="false">+Z148+AC148+T148+W148</f>
        <v>0</v>
      </c>
      <c r="AG148" s="6" t="n">
        <f aca="false">+AA148+AD148+U148+X148</f>
        <v>0</v>
      </c>
      <c r="AH148" s="6" t="n">
        <v>0</v>
      </c>
      <c r="AI148" s="6" t="n">
        <v>0</v>
      </c>
      <c r="AJ148" s="6" t="n">
        <v>0</v>
      </c>
      <c r="AK148" s="6" t="n">
        <v>0</v>
      </c>
      <c r="AL148" s="6" t="n">
        <v>0</v>
      </c>
      <c r="AM148" s="6" t="n">
        <v>0</v>
      </c>
      <c r="AN148" s="6" t="n">
        <v>0</v>
      </c>
      <c r="AO148" s="6" t="n">
        <v>0</v>
      </c>
      <c r="AP148" s="6" t="n">
        <v>0</v>
      </c>
      <c r="AQ148" s="6" t="n">
        <v>0</v>
      </c>
      <c r="AR148" s="6" t="n">
        <v>0</v>
      </c>
      <c r="AS148" s="6" t="n">
        <v>0</v>
      </c>
      <c r="AT148" s="6" t="n">
        <f aca="false">+AN148+AQ148+AH148+AK148</f>
        <v>0</v>
      </c>
      <c r="AU148" s="6" t="n">
        <f aca="false">+AO148+AR148+AI148+AL148</f>
        <v>0</v>
      </c>
      <c r="AV148" s="6" t="n">
        <f aca="false">+AP148+AS148+AJ148+AM148</f>
        <v>0</v>
      </c>
      <c r="AW148" s="6" t="n">
        <v>0</v>
      </c>
      <c r="AX148" s="6" t="n">
        <v>0</v>
      </c>
      <c r="AY148" s="6" t="n">
        <v>0</v>
      </c>
      <c r="AZ148" s="6" t="n">
        <v>0</v>
      </c>
      <c r="BA148" s="6" t="n">
        <v>0</v>
      </c>
      <c r="BB148" s="6" t="n">
        <v>0</v>
      </c>
      <c r="BC148" s="6" t="n">
        <v>0</v>
      </c>
      <c r="BD148" s="6" t="n">
        <v>0</v>
      </c>
      <c r="BE148" s="6" t="n">
        <v>0</v>
      </c>
      <c r="BF148" s="6" t="n">
        <v>0</v>
      </c>
      <c r="BG148" s="6" t="n">
        <v>0</v>
      </c>
      <c r="BH148" s="6" t="n">
        <v>0</v>
      </c>
      <c r="BI148" s="6" t="n">
        <f aca="false">+BC148+BF148+AW148+AZ148</f>
        <v>0</v>
      </c>
      <c r="BJ148" s="6" t="n">
        <f aca="false">+BD148+BG148+AX148+BA148</f>
        <v>0</v>
      </c>
      <c r="BK148" s="6" t="n">
        <f aca="false">+BE148+BH148+AY148+BB148</f>
        <v>0</v>
      </c>
      <c r="BL148" s="6" t="n">
        <v>0</v>
      </c>
      <c r="BM148" s="6" t="n">
        <v>0</v>
      </c>
      <c r="BN148" s="6" t="n">
        <v>0</v>
      </c>
      <c r="BO148" s="6" t="n">
        <v>0</v>
      </c>
      <c r="BP148" s="6" t="n">
        <v>0</v>
      </c>
      <c r="BQ148" s="6" t="n">
        <v>0</v>
      </c>
      <c r="BR148" s="6" t="n">
        <v>0</v>
      </c>
      <c r="BS148" s="6" t="n">
        <v>0</v>
      </c>
      <c r="BT148" s="6" t="n">
        <v>0</v>
      </c>
      <c r="BU148" s="6" t="n">
        <v>0</v>
      </c>
      <c r="BV148" s="6" t="n">
        <v>0</v>
      </c>
      <c r="BW148" s="6" t="n">
        <v>0</v>
      </c>
      <c r="BX148" s="6" t="n">
        <f aca="false">+BR148+BU148+BL148+BO148</f>
        <v>0</v>
      </c>
      <c r="BY148" s="6" t="n">
        <f aca="false">+BS148+BV148+BM148+BP148</f>
        <v>0</v>
      </c>
      <c r="BZ148" s="6" t="n">
        <f aca="false">+BT148+BW148+BN148+BQ148</f>
        <v>0</v>
      </c>
      <c r="CA148" s="6" t="n">
        <v>0</v>
      </c>
      <c r="CB148" s="6" t="n">
        <v>0</v>
      </c>
      <c r="CC148" s="6" t="n">
        <v>0</v>
      </c>
      <c r="CD148" s="6" t="n">
        <v>0</v>
      </c>
      <c r="CE148" s="6" t="n">
        <v>0</v>
      </c>
      <c r="CF148" s="6" t="n">
        <v>0</v>
      </c>
      <c r="CG148" s="30" t="n">
        <v>250000</v>
      </c>
      <c r="CH148" s="30" t="n">
        <v>250000</v>
      </c>
      <c r="CI148" s="6" t="n">
        <v>0</v>
      </c>
      <c r="CJ148" s="6" t="n">
        <v>0</v>
      </c>
      <c r="CK148" s="6" t="n">
        <v>0</v>
      </c>
      <c r="CL148" s="6" t="n">
        <v>100000</v>
      </c>
      <c r="CM148" s="6" t="n">
        <f aca="false">+CG148+CJ148+CA148+CD148</f>
        <v>250000</v>
      </c>
      <c r="CN148" s="6" t="n">
        <f aca="false">+CH148+CK148+CB148+CE148</f>
        <v>250000</v>
      </c>
      <c r="CO148" s="6" t="n">
        <f aca="false">+CI148+CL148+CC148+CF148</f>
        <v>100000</v>
      </c>
      <c r="CP148" s="6" t="n">
        <v>0</v>
      </c>
      <c r="CQ148" s="6" t="n">
        <v>0</v>
      </c>
      <c r="CR148" s="6" t="n">
        <v>100000</v>
      </c>
      <c r="CS148" s="6" t="n">
        <v>0</v>
      </c>
      <c r="CT148" s="6" t="n">
        <v>0</v>
      </c>
      <c r="CU148" s="6" t="n">
        <v>50000</v>
      </c>
      <c r="CV148" s="6" t="n">
        <v>0</v>
      </c>
      <c r="CW148" s="6" t="n">
        <v>0</v>
      </c>
      <c r="CX148" s="6" t="n">
        <v>0</v>
      </c>
      <c r="CY148" s="6" t="n">
        <v>0</v>
      </c>
      <c r="CZ148" s="6" t="n">
        <v>0</v>
      </c>
      <c r="DA148" s="6" t="n">
        <v>0</v>
      </c>
      <c r="DB148" s="6" t="n">
        <f aca="false">+CV148+CY148+CP148+CS148</f>
        <v>0</v>
      </c>
      <c r="DC148" s="6" t="n">
        <f aca="false">+CW148+CZ148+CQ148+CT148</f>
        <v>0</v>
      </c>
      <c r="DD148" s="6" t="n">
        <f aca="false">+CX148+DA148+CR148+CU148</f>
        <v>150000</v>
      </c>
      <c r="DE148" s="6" t="n">
        <v>0</v>
      </c>
      <c r="DF148" s="6" t="n">
        <v>0</v>
      </c>
      <c r="DG148" s="6" t="n">
        <v>100000</v>
      </c>
      <c r="DH148" s="6" t="n">
        <v>0</v>
      </c>
      <c r="DI148" s="6" t="n">
        <v>0</v>
      </c>
      <c r="DJ148" s="6" t="n">
        <v>50000</v>
      </c>
      <c r="DK148" s="6" t="n">
        <v>0</v>
      </c>
      <c r="DL148" s="6" t="n">
        <v>0</v>
      </c>
      <c r="DM148" s="6" t="n">
        <v>0</v>
      </c>
      <c r="DN148" s="6" t="n">
        <v>0</v>
      </c>
      <c r="DO148" s="6" t="n">
        <v>0</v>
      </c>
      <c r="DP148" s="6" t="n">
        <v>0</v>
      </c>
      <c r="DQ148" s="6" t="n">
        <f aca="false">+DK148+DN148+DE148+DH148</f>
        <v>0</v>
      </c>
      <c r="DR148" s="6" t="n">
        <f aca="false">+DL148+DO148+DF148+DI148</f>
        <v>0</v>
      </c>
      <c r="DS148" s="6" t="n">
        <f aca="false">+DM148+DP148+DG148+DJ148</f>
        <v>150000</v>
      </c>
      <c r="DT148" s="31" t="n">
        <f aca="false">+P148+AE148+AT148+BI148+BX148+CM148+DB148</f>
        <v>250000</v>
      </c>
      <c r="DU148" s="31" t="n">
        <f aca="false">+Q148+AF148+AU148+BJ148+BY148+CN148+DC148</f>
        <v>250000</v>
      </c>
      <c r="DV148" s="31" t="n">
        <f aca="false">+R148+AG148+AV148+BK148+BZ148+CO148+DD148</f>
        <v>250000</v>
      </c>
      <c r="DW148" s="31" t="n">
        <f aca="false">+DU148-DV148</f>
        <v>0</v>
      </c>
    </row>
    <row r="149" customFormat="false" ht="13.8" hidden="false" customHeight="false" outlineLevel="0" collapsed="false">
      <c r="A149" s="27" t="n">
        <v>45540</v>
      </c>
      <c r="B149" s="28" t="s">
        <v>572</v>
      </c>
      <c r="C149" s="28" t="s">
        <v>573</v>
      </c>
      <c r="D149" s="29" t="s">
        <v>574</v>
      </c>
      <c r="E149" s="28" t="s">
        <v>575</v>
      </c>
      <c r="F149" s="27" t="s">
        <v>576</v>
      </c>
      <c r="G149" s="27" t="s">
        <v>20</v>
      </c>
      <c r="H149" s="30" t="n">
        <v>3500000</v>
      </c>
      <c r="I149" s="30" t="n">
        <v>3500000</v>
      </c>
      <c r="J149" s="6" t="n">
        <v>0</v>
      </c>
      <c r="K149" s="6" t="n">
        <v>0</v>
      </c>
      <c r="L149" s="6" t="n">
        <v>0</v>
      </c>
      <c r="M149" s="6" t="n">
        <v>0</v>
      </c>
      <c r="N149" s="6" t="n">
        <v>0</v>
      </c>
      <c r="O149" s="6" t="n">
        <v>0</v>
      </c>
      <c r="P149" s="6" t="n">
        <f aca="false">+J149+M149</f>
        <v>0</v>
      </c>
      <c r="Q149" s="6" t="n">
        <f aca="false">+K149+N149</f>
        <v>0</v>
      </c>
      <c r="R149" s="6" t="n">
        <f aca="false">+L149+O149</f>
        <v>0</v>
      </c>
      <c r="S149" s="6" t="n">
        <v>0</v>
      </c>
      <c r="T149" s="6" t="n">
        <v>0</v>
      </c>
      <c r="U149" s="6" t="n">
        <v>0</v>
      </c>
      <c r="V149" s="6" t="n">
        <v>0</v>
      </c>
      <c r="W149" s="6" t="n">
        <v>0</v>
      </c>
      <c r="X149" s="6" t="n">
        <v>0</v>
      </c>
      <c r="Y149" s="6" t="n">
        <v>0</v>
      </c>
      <c r="Z149" s="6" t="n">
        <v>0</v>
      </c>
      <c r="AA149" s="6" t="n">
        <v>0</v>
      </c>
      <c r="AB149" s="6" t="n">
        <v>0</v>
      </c>
      <c r="AC149" s="6" t="n">
        <v>0</v>
      </c>
      <c r="AD149" s="6" t="n">
        <v>0</v>
      </c>
      <c r="AE149" s="6" t="n">
        <f aca="false">+Y149+AB149+S149+V149</f>
        <v>0</v>
      </c>
      <c r="AF149" s="6" t="n">
        <f aca="false">+Z149+AC149+T149+W149</f>
        <v>0</v>
      </c>
      <c r="AG149" s="6" t="n">
        <f aca="false">+AA149+AD149+U149+X149</f>
        <v>0</v>
      </c>
      <c r="AH149" s="6" t="n">
        <v>0</v>
      </c>
      <c r="AI149" s="6" t="n">
        <v>0</v>
      </c>
      <c r="AJ149" s="6" t="n">
        <v>0</v>
      </c>
      <c r="AK149" s="6" t="n">
        <v>0</v>
      </c>
      <c r="AL149" s="6" t="n">
        <v>0</v>
      </c>
      <c r="AM149" s="6" t="n">
        <v>0</v>
      </c>
      <c r="AN149" s="6" t="n">
        <v>0</v>
      </c>
      <c r="AO149" s="6" t="n">
        <v>0</v>
      </c>
      <c r="AP149" s="6" t="n">
        <v>0</v>
      </c>
      <c r="AQ149" s="6" t="n">
        <v>0</v>
      </c>
      <c r="AR149" s="6" t="n">
        <v>0</v>
      </c>
      <c r="AS149" s="6" t="n">
        <v>0</v>
      </c>
      <c r="AT149" s="6" t="n">
        <f aca="false">+AN149+AQ149+AH149+AK149</f>
        <v>0</v>
      </c>
      <c r="AU149" s="6" t="n">
        <f aca="false">+AO149+AR149+AI149+AL149</f>
        <v>0</v>
      </c>
      <c r="AV149" s="6" t="n">
        <f aca="false">+AP149+AS149+AJ149+AM149</f>
        <v>0</v>
      </c>
      <c r="AW149" s="6" t="n">
        <v>0</v>
      </c>
      <c r="AX149" s="6" t="n">
        <v>0</v>
      </c>
      <c r="AY149" s="6" t="n">
        <v>0</v>
      </c>
      <c r="AZ149" s="6" t="n">
        <v>0</v>
      </c>
      <c r="BA149" s="6" t="n">
        <v>0</v>
      </c>
      <c r="BB149" s="6" t="n">
        <v>0</v>
      </c>
      <c r="BC149" s="6" t="n">
        <v>0</v>
      </c>
      <c r="BD149" s="6" t="n">
        <v>0</v>
      </c>
      <c r="BE149" s="6" t="n">
        <v>0</v>
      </c>
      <c r="BF149" s="6" t="n">
        <v>0</v>
      </c>
      <c r="BG149" s="6" t="n">
        <v>0</v>
      </c>
      <c r="BH149" s="6" t="n">
        <v>0</v>
      </c>
      <c r="BI149" s="6" t="n">
        <f aca="false">+BC149+BF149+AW149+AZ149</f>
        <v>0</v>
      </c>
      <c r="BJ149" s="6" t="n">
        <f aca="false">+BD149+BG149+AX149+BA149</f>
        <v>0</v>
      </c>
      <c r="BK149" s="6" t="n">
        <f aca="false">+BE149+BH149+AY149+BB149</f>
        <v>0</v>
      </c>
      <c r="BL149" s="6" t="n">
        <v>0</v>
      </c>
      <c r="BM149" s="6" t="n">
        <v>0</v>
      </c>
      <c r="BN149" s="6" t="n">
        <v>0</v>
      </c>
      <c r="BO149" s="6" t="n">
        <v>0</v>
      </c>
      <c r="BP149" s="6" t="n">
        <v>0</v>
      </c>
      <c r="BQ149" s="6" t="n">
        <v>0</v>
      </c>
      <c r="BR149" s="6" t="n">
        <v>0</v>
      </c>
      <c r="BS149" s="6" t="n">
        <v>0</v>
      </c>
      <c r="BT149" s="6" t="n">
        <v>0</v>
      </c>
      <c r="BU149" s="30" t="n">
        <v>3500000</v>
      </c>
      <c r="BV149" s="30" t="n">
        <v>3500000</v>
      </c>
      <c r="BW149" s="6" t="n">
        <v>0</v>
      </c>
      <c r="BX149" s="6" t="n">
        <f aca="false">+BR149+BU149+BL149+BO149</f>
        <v>3500000</v>
      </c>
      <c r="BY149" s="6" t="n">
        <f aca="false">+BS149+BV149+BM149+BP149</f>
        <v>3500000</v>
      </c>
      <c r="BZ149" s="6" t="n">
        <f aca="false">+BT149+BW149+BN149+BQ149</f>
        <v>0</v>
      </c>
      <c r="CA149" s="6" t="n">
        <v>0</v>
      </c>
      <c r="CB149" s="6" t="n">
        <v>0</v>
      </c>
      <c r="CC149" s="6" t="n">
        <v>2500000</v>
      </c>
      <c r="CD149" s="6" t="n">
        <v>0</v>
      </c>
      <c r="CE149" s="6" t="n">
        <v>0</v>
      </c>
      <c r="CF149" s="6" t="n">
        <v>1000000</v>
      </c>
      <c r="CG149" s="6" t="n">
        <v>0</v>
      </c>
      <c r="CH149" s="6" t="n">
        <v>0</v>
      </c>
      <c r="CI149" s="6" t="n">
        <v>0</v>
      </c>
      <c r="CJ149" s="6" t="n">
        <v>0</v>
      </c>
      <c r="CK149" s="6" t="n">
        <v>0</v>
      </c>
      <c r="CL149" s="6" t="n">
        <v>0</v>
      </c>
      <c r="CM149" s="6" t="n">
        <f aca="false">+CG149+CJ149+CA149+CD149</f>
        <v>0</v>
      </c>
      <c r="CN149" s="6" t="n">
        <f aca="false">+CH149+CK149+CB149+CE149</f>
        <v>0</v>
      </c>
      <c r="CO149" s="6" t="n">
        <f aca="false">+CI149+CL149+CC149+CF149</f>
        <v>3500000</v>
      </c>
      <c r="CP149" s="6" t="n">
        <v>0</v>
      </c>
      <c r="CQ149" s="6" t="n">
        <v>0</v>
      </c>
      <c r="CR149" s="6" t="n">
        <v>0</v>
      </c>
      <c r="CS149" s="6" t="n">
        <v>0</v>
      </c>
      <c r="CT149" s="6" t="n">
        <v>0</v>
      </c>
      <c r="CU149" s="6" t="n">
        <v>0</v>
      </c>
      <c r="CV149" s="6" t="n">
        <v>0</v>
      </c>
      <c r="CW149" s="6" t="n">
        <v>0</v>
      </c>
      <c r="CX149" s="6" t="n">
        <v>0</v>
      </c>
      <c r="CY149" s="6" t="n">
        <v>0</v>
      </c>
      <c r="CZ149" s="6" t="n">
        <v>0</v>
      </c>
      <c r="DA149" s="6" t="n">
        <v>0</v>
      </c>
      <c r="DB149" s="6" t="n">
        <f aca="false">+CV149+CY149+CP149+CS149</f>
        <v>0</v>
      </c>
      <c r="DC149" s="6" t="n">
        <f aca="false">+CW149+CZ149+CQ149+CT149</f>
        <v>0</v>
      </c>
      <c r="DD149" s="6" t="n">
        <f aca="false">+CX149+DA149+CR149+CU149</f>
        <v>0</v>
      </c>
      <c r="DE149" s="6" t="n">
        <v>0</v>
      </c>
      <c r="DF149" s="6" t="n">
        <v>0</v>
      </c>
      <c r="DG149" s="6" t="n">
        <v>0</v>
      </c>
      <c r="DH149" s="6" t="n">
        <v>0</v>
      </c>
      <c r="DI149" s="6" t="n">
        <v>0</v>
      </c>
      <c r="DJ149" s="6" t="n">
        <v>0</v>
      </c>
      <c r="DK149" s="6" t="n">
        <v>0</v>
      </c>
      <c r="DL149" s="6" t="n">
        <v>0</v>
      </c>
      <c r="DM149" s="6" t="n">
        <v>0</v>
      </c>
      <c r="DN149" s="6" t="n">
        <v>0</v>
      </c>
      <c r="DO149" s="6" t="n">
        <v>0</v>
      </c>
      <c r="DP149" s="6" t="n">
        <v>0</v>
      </c>
      <c r="DQ149" s="6" t="n">
        <f aca="false">+DK149+DN149+DE149+DH149</f>
        <v>0</v>
      </c>
      <c r="DR149" s="6" t="n">
        <f aca="false">+DL149+DO149+DF149+DI149</f>
        <v>0</v>
      </c>
      <c r="DS149" s="6" t="n">
        <f aca="false">+DM149+DP149+DG149+DJ149</f>
        <v>0</v>
      </c>
      <c r="DT149" s="31" t="n">
        <f aca="false">+P149+AE149+AT149+BI149+BX149+CM149+DB149</f>
        <v>3500000</v>
      </c>
      <c r="DU149" s="31" t="n">
        <f aca="false">+Q149+AF149+AU149+BJ149+BY149+CN149+DC149</f>
        <v>3500000</v>
      </c>
      <c r="DV149" s="31" t="n">
        <f aca="false">+R149+AG149+AV149+BK149+BZ149+CO149+DD149</f>
        <v>3500000</v>
      </c>
      <c r="DW149" s="31" t="n">
        <f aca="false">+DU149-DV149</f>
        <v>0</v>
      </c>
    </row>
    <row r="150" customFormat="false" ht="13.8" hidden="false" customHeight="false" outlineLevel="0" collapsed="false">
      <c r="A150" s="27" t="n">
        <v>45553</v>
      </c>
      <c r="B150" s="28" t="s">
        <v>577</v>
      </c>
      <c r="C150" s="28" t="s">
        <v>578</v>
      </c>
      <c r="D150" s="29" t="s">
        <v>579</v>
      </c>
      <c r="E150" s="28" t="s">
        <v>580</v>
      </c>
      <c r="F150" s="27" t="s">
        <v>581</v>
      </c>
      <c r="G150" s="27" t="s">
        <v>21</v>
      </c>
      <c r="H150" s="30" t="n">
        <v>480000</v>
      </c>
      <c r="I150" s="30" t="n">
        <v>480000</v>
      </c>
      <c r="J150" s="6" t="n">
        <v>0</v>
      </c>
      <c r="K150" s="6" t="n">
        <v>0</v>
      </c>
      <c r="L150" s="6" t="n">
        <v>0</v>
      </c>
      <c r="M150" s="6" t="n">
        <v>0</v>
      </c>
      <c r="N150" s="6" t="n">
        <v>0</v>
      </c>
      <c r="O150" s="6" t="n">
        <v>0</v>
      </c>
      <c r="P150" s="6" t="n">
        <f aca="false">+J150+M150</f>
        <v>0</v>
      </c>
      <c r="Q150" s="6" t="n">
        <f aca="false">+K150+N150</f>
        <v>0</v>
      </c>
      <c r="R150" s="6" t="n">
        <f aca="false">+L150+O150</f>
        <v>0</v>
      </c>
      <c r="S150" s="6" t="n">
        <v>0</v>
      </c>
      <c r="T150" s="6" t="n">
        <v>0</v>
      </c>
      <c r="U150" s="6" t="n">
        <v>0</v>
      </c>
      <c r="V150" s="6" t="n">
        <v>0</v>
      </c>
      <c r="W150" s="6" t="n">
        <v>0</v>
      </c>
      <c r="X150" s="6" t="n">
        <v>0</v>
      </c>
      <c r="Y150" s="6" t="n">
        <v>0</v>
      </c>
      <c r="Z150" s="6" t="n">
        <v>0</v>
      </c>
      <c r="AA150" s="6" t="n">
        <v>0</v>
      </c>
      <c r="AB150" s="6" t="n">
        <v>0</v>
      </c>
      <c r="AC150" s="6" t="n">
        <v>0</v>
      </c>
      <c r="AD150" s="6" t="n">
        <v>0</v>
      </c>
      <c r="AE150" s="6" t="n">
        <f aca="false">+Y150+AB150+S150+V150</f>
        <v>0</v>
      </c>
      <c r="AF150" s="6" t="n">
        <f aca="false">+Z150+AC150+T150+W150</f>
        <v>0</v>
      </c>
      <c r="AG150" s="6" t="n">
        <f aca="false">+AA150+AD150+U150+X150</f>
        <v>0</v>
      </c>
      <c r="AH150" s="6" t="n">
        <v>0</v>
      </c>
      <c r="AI150" s="6" t="n">
        <v>0</v>
      </c>
      <c r="AJ150" s="6" t="n">
        <v>0</v>
      </c>
      <c r="AK150" s="6" t="n">
        <v>0</v>
      </c>
      <c r="AL150" s="6" t="n">
        <v>0</v>
      </c>
      <c r="AM150" s="6" t="n">
        <v>0</v>
      </c>
      <c r="AN150" s="6" t="n">
        <v>0</v>
      </c>
      <c r="AO150" s="6" t="n">
        <v>0</v>
      </c>
      <c r="AP150" s="6" t="n">
        <v>0</v>
      </c>
      <c r="AQ150" s="6" t="n">
        <v>0</v>
      </c>
      <c r="AR150" s="6" t="n">
        <v>0</v>
      </c>
      <c r="AS150" s="6" t="n">
        <v>0</v>
      </c>
      <c r="AT150" s="6" t="n">
        <f aca="false">+AN150+AQ150+AH150+AK150</f>
        <v>0</v>
      </c>
      <c r="AU150" s="6" t="n">
        <f aca="false">+AO150+AR150+AI150+AL150</f>
        <v>0</v>
      </c>
      <c r="AV150" s="6" t="n">
        <f aca="false">+AP150+AS150+AJ150+AM150</f>
        <v>0</v>
      </c>
      <c r="AW150" s="6" t="n">
        <v>0</v>
      </c>
      <c r="AX150" s="6" t="n">
        <v>0</v>
      </c>
      <c r="AY150" s="6" t="n">
        <v>0</v>
      </c>
      <c r="AZ150" s="6" t="n">
        <v>0</v>
      </c>
      <c r="BA150" s="6" t="n">
        <v>0</v>
      </c>
      <c r="BB150" s="6" t="n">
        <v>0</v>
      </c>
      <c r="BC150" s="6" t="n">
        <v>0</v>
      </c>
      <c r="BD150" s="6" t="n">
        <v>0</v>
      </c>
      <c r="BE150" s="6" t="n">
        <v>0</v>
      </c>
      <c r="BF150" s="6" t="n">
        <v>0</v>
      </c>
      <c r="BG150" s="6" t="n">
        <v>0</v>
      </c>
      <c r="BH150" s="6" t="n">
        <v>0</v>
      </c>
      <c r="BI150" s="6" t="n">
        <f aca="false">+BC150+BF150+AW150+AZ150</f>
        <v>0</v>
      </c>
      <c r="BJ150" s="6" t="n">
        <f aca="false">+BD150+BG150+AX150+BA150</f>
        <v>0</v>
      </c>
      <c r="BK150" s="6" t="n">
        <f aca="false">+BE150+BH150+AY150+BB150</f>
        <v>0</v>
      </c>
      <c r="BL150" s="6" t="n">
        <v>0</v>
      </c>
      <c r="BM150" s="6" t="n">
        <v>0</v>
      </c>
      <c r="BN150" s="6" t="n">
        <v>0</v>
      </c>
      <c r="BO150" s="6" t="n">
        <v>0</v>
      </c>
      <c r="BP150" s="6" t="n">
        <v>0</v>
      </c>
      <c r="BQ150" s="6" t="n">
        <v>0</v>
      </c>
      <c r="BR150" s="6" t="n">
        <v>0</v>
      </c>
      <c r="BS150" s="6" t="n">
        <v>0</v>
      </c>
      <c r="BT150" s="6" t="n">
        <v>0</v>
      </c>
      <c r="BU150" s="6" t="n">
        <v>0</v>
      </c>
      <c r="BV150" s="6" t="n">
        <v>0</v>
      </c>
      <c r="BW150" s="6" t="n">
        <v>0</v>
      </c>
      <c r="BX150" s="6" t="n">
        <f aca="false">+BR150+BU150+BL150+BO150</f>
        <v>0</v>
      </c>
      <c r="BY150" s="6" t="n">
        <f aca="false">+BS150+BV150+BM150+BP150</f>
        <v>0</v>
      </c>
      <c r="BZ150" s="6" t="n">
        <f aca="false">+BT150+BW150+BN150+BQ150</f>
        <v>0</v>
      </c>
      <c r="CA150" s="30" t="n">
        <v>480000</v>
      </c>
      <c r="CB150" s="30" t="n">
        <v>480000</v>
      </c>
      <c r="CC150" s="6" t="n">
        <v>300000</v>
      </c>
      <c r="CD150" s="6" t="n">
        <v>0</v>
      </c>
      <c r="CE150" s="6" t="n">
        <v>0</v>
      </c>
      <c r="CF150" s="6" t="n">
        <v>180000</v>
      </c>
      <c r="CG150" s="6" t="n">
        <v>0</v>
      </c>
      <c r="CH150" s="6" t="n">
        <v>0</v>
      </c>
      <c r="CI150" s="6" t="n">
        <v>0</v>
      </c>
      <c r="CJ150" s="6" t="n">
        <v>0</v>
      </c>
      <c r="CK150" s="6" t="n">
        <v>0</v>
      </c>
      <c r="CL150" s="6" t="n">
        <v>0</v>
      </c>
      <c r="CM150" s="6" t="n">
        <f aca="false">+CG150+CJ150+CA150+CD150</f>
        <v>480000</v>
      </c>
      <c r="CN150" s="6" t="n">
        <f aca="false">+CH150+CK150+CB150+CE150</f>
        <v>480000</v>
      </c>
      <c r="CO150" s="6" t="n">
        <f aca="false">+CI150+CL150+CC150+CF150</f>
        <v>480000</v>
      </c>
      <c r="CP150" s="6" t="n">
        <v>0</v>
      </c>
      <c r="CQ150" s="6" t="n">
        <v>0</v>
      </c>
      <c r="CR150" s="6" t="n">
        <v>0</v>
      </c>
      <c r="CS150" s="6" t="n">
        <v>0</v>
      </c>
      <c r="CT150" s="6" t="n">
        <v>0</v>
      </c>
      <c r="CU150" s="6" t="n">
        <v>0</v>
      </c>
      <c r="CV150" s="6" t="n">
        <v>0</v>
      </c>
      <c r="CW150" s="6" t="n">
        <v>0</v>
      </c>
      <c r="CX150" s="6" t="n">
        <v>0</v>
      </c>
      <c r="CY150" s="6" t="n">
        <v>0</v>
      </c>
      <c r="CZ150" s="6" t="n">
        <v>0</v>
      </c>
      <c r="DA150" s="6" t="n">
        <v>0</v>
      </c>
      <c r="DB150" s="6" t="n">
        <f aca="false">+CV150+CY150+CP150+CS150</f>
        <v>0</v>
      </c>
      <c r="DC150" s="6" t="n">
        <f aca="false">+CW150+CZ150+CQ150+CT150</f>
        <v>0</v>
      </c>
      <c r="DD150" s="6" t="n">
        <f aca="false">+CX150+DA150+CR150+CU150</f>
        <v>0</v>
      </c>
      <c r="DE150" s="6" t="n">
        <v>0</v>
      </c>
      <c r="DF150" s="6" t="n">
        <v>0</v>
      </c>
      <c r="DG150" s="6" t="n">
        <v>0</v>
      </c>
      <c r="DH150" s="6" t="n">
        <v>0</v>
      </c>
      <c r="DI150" s="6" t="n">
        <v>0</v>
      </c>
      <c r="DJ150" s="6" t="n">
        <v>0</v>
      </c>
      <c r="DK150" s="6" t="n">
        <v>0</v>
      </c>
      <c r="DL150" s="6" t="n">
        <v>0</v>
      </c>
      <c r="DM150" s="6" t="n">
        <v>0</v>
      </c>
      <c r="DN150" s="6" t="n">
        <v>0</v>
      </c>
      <c r="DO150" s="6" t="n">
        <v>0</v>
      </c>
      <c r="DP150" s="6" t="n">
        <v>0</v>
      </c>
      <c r="DQ150" s="6" t="n">
        <f aca="false">+DK150+DN150+DE150+DH150</f>
        <v>0</v>
      </c>
      <c r="DR150" s="6" t="n">
        <f aca="false">+DL150+DO150+DF150+DI150</f>
        <v>0</v>
      </c>
      <c r="DS150" s="6" t="n">
        <f aca="false">+DM150+DP150+DG150+DJ150</f>
        <v>0</v>
      </c>
      <c r="DT150" s="31" t="n">
        <f aca="false">+P150+AE150+AT150+BI150+BX150+CM150+DB150</f>
        <v>480000</v>
      </c>
      <c r="DU150" s="31" t="n">
        <f aca="false">+Q150+AF150+AU150+BJ150+BY150+CN150+DC150</f>
        <v>480000</v>
      </c>
      <c r="DV150" s="31" t="n">
        <f aca="false">+R150+AG150+AV150+BK150+BZ150+CO150+DD150</f>
        <v>480000</v>
      </c>
      <c r="DW150" s="31" t="n">
        <f aca="false">+DU150-DV150</f>
        <v>0</v>
      </c>
    </row>
    <row r="151" customFormat="false" ht="13.8" hidden="false" customHeight="false" outlineLevel="0" collapsed="false">
      <c r="A151" s="27" t="n">
        <v>45532</v>
      </c>
      <c r="B151" s="28" t="s">
        <v>582</v>
      </c>
      <c r="C151" s="28" t="s">
        <v>583</v>
      </c>
      <c r="D151" s="29" t="s">
        <v>584</v>
      </c>
      <c r="E151" s="28" t="s">
        <v>585</v>
      </c>
      <c r="F151" s="27" t="s">
        <v>586</v>
      </c>
      <c r="G151" s="27" t="s">
        <v>20</v>
      </c>
      <c r="H151" s="30" t="n">
        <v>180000</v>
      </c>
      <c r="I151" s="30" t="n">
        <v>180000</v>
      </c>
      <c r="J151" s="6" t="n">
        <v>0</v>
      </c>
      <c r="K151" s="6" t="n">
        <v>0</v>
      </c>
      <c r="L151" s="6" t="n">
        <v>0</v>
      </c>
      <c r="M151" s="6" t="n">
        <v>0</v>
      </c>
      <c r="N151" s="6" t="n">
        <v>0</v>
      </c>
      <c r="O151" s="6" t="n">
        <v>0</v>
      </c>
      <c r="P151" s="6" t="n">
        <f aca="false">+J151+M151</f>
        <v>0</v>
      </c>
      <c r="Q151" s="6" t="n">
        <f aca="false">+K151+N151</f>
        <v>0</v>
      </c>
      <c r="R151" s="6" t="n">
        <f aca="false">+L151+O151</f>
        <v>0</v>
      </c>
      <c r="S151" s="6" t="n">
        <v>0</v>
      </c>
      <c r="T151" s="6" t="n">
        <v>0</v>
      </c>
      <c r="U151" s="6" t="n">
        <v>0</v>
      </c>
      <c r="V151" s="6" t="n">
        <v>0</v>
      </c>
      <c r="W151" s="6" t="n">
        <v>0</v>
      </c>
      <c r="X151" s="6" t="n">
        <v>0</v>
      </c>
      <c r="Y151" s="6" t="n">
        <v>0</v>
      </c>
      <c r="Z151" s="6" t="n">
        <v>0</v>
      </c>
      <c r="AA151" s="6" t="n">
        <v>0</v>
      </c>
      <c r="AB151" s="6" t="n">
        <v>0</v>
      </c>
      <c r="AC151" s="6" t="n">
        <v>0</v>
      </c>
      <c r="AD151" s="6" t="n">
        <v>0</v>
      </c>
      <c r="AE151" s="6" t="n">
        <f aca="false">+Y151+AB151+S151+V151</f>
        <v>0</v>
      </c>
      <c r="AF151" s="6" t="n">
        <f aca="false">+Z151+AC151+T151+W151</f>
        <v>0</v>
      </c>
      <c r="AG151" s="6" t="n">
        <f aca="false">+AA151+AD151+U151+X151</f>
        <v>0</v>
      </c>
      <c r="AH151" s="6" t="n">
        <v>0</v>
      </c>
      <c r="AI151" s="6" t="n">
        <v>0</v>
      </c>
      <c r="AJ151" s="6" t="n">
        <v>0</v>
      </c>
      <c r="AK151" s="6" t="n">
        <v>0</v>
      </c>
      <c r="AL151" s="6" t="n">
        <v>0</v>
      </c>
      <c r="AM151" s="6" t="n">
        <v>0</v>
      </c>
      <c r="AN151" s="6" t="n">
        <v>0</v>
      </c>
      <c r="AO151" s="6" t="n">
        <v>0</v>
      </c>
      <c r="AP151" s="6" t="n">
        <v>0</v>
      </c>
      <c r="AQ151" s="6" t="n">
        <v>0</v>
      </c>
      <c r="AR151" s="6" t="n">
        <v>0</v>
      </c>
      <c r="AS151" s="6" t="n">
        <v>0</v>
      </c>
      <c r="AT151" s="6" t="n">
        <f aca="false">+AN151+AQ151+AH151+AK151</f>
        <v>0</v>
      </c>
      <c r="AU151" s="6" t="n">
        <f aca="false">+AO151+AR151+AI151+AL151</f>
        <v>0</v>
      </c>
      <c r="AV151" s="6" t="n">
        <f aca="false">+AP151+AS151+AJ151+AM151</f>
        <v>0</v>
      </c>
      <c r="AW151" s="6" t="n">
        <v>0</v>
      </c>
      <c r="AX151" s="6" t="n">
        <v>0</v>
      </c>
      <c r="AY151" s="6" t="n">
        <v>0</v>
      </c>
      <c r="AZ151" s="6" t="n">
        <v>0</v>
      </c>
      <c r="BA151" s="6" t="n">
        <v>0</v>
      </c>
      <c r="BB151" s="6" t="n">
        <v>0</v>
      </c>
      <c r="BC151" s="6" t="n">
        <v>0</v>
      </c>
      <c r="BD151" s="6" t="n">
        <v>0</v>
      </c>
      <c r="BE151" s="6" t="n">
        <v>0</v>
      </c>
      <c r="BF151" s="6" t="n">
        <v>0</v>
      </c>
      <c r="BG151" s="6" t="n">
        <v>0</v>
      </c>
      <c r="BH151" s="6" t="n">
        <v>0</v>
      </c>
      <c r="BI151" s="6" t="n">
        <f aca="false">+BC151+BF151+AW151+AZ151</f>
        <v>0</v>
      </c>
      <c r="BJ151" s="6" t="n">
        <f aca="false">+BD151+BG151+AX151+BA151</f>
        <v>0</v>
      </c>
      <c r="BK151" s="6" t="n">
        <f aca="false">+BE151+BH151+AY151+BB151</f>
        <v>0</v>
      </c>
      <c r="BL151" s="6" t="n">
        <v>0</v>
      </c>
      <c r="BM151" s="6" t="n">
        <v>0</v>
      </c>
      <c r="BN151" s="6" t="n">
        <v>0</v>
      </c>
      <c r="BO151" s="6" t="n">
        <v>0</v>
      </c>
      <c r="BP151" s="6" t="n">
        <v>0</v>
      </c>
      <c r="BQ151" s="6" t="n">
        <v>0</v>
      </c>
      <c r="BR151" s="6" t="n">
        <v>0</v>
      </c>
      <c r="BS151" s="6" t="n">
        <v>0</v>
      </c>
      <c r="BT151" s="6" t="n">
        <v>0</v>
      </c>
      <c r="BU151" s="30" t="n">
        <v>180000</v>
      </c>
      <c r="BV151" s="30" t="n">
        <v>180000</v>
      </c>
      <c r="BW151" s="6" t="n">
        <v>0</v>
      </c>
      <c r="BX151" s="6" t="n">
        <f aca="false">+BR151+BU151+BL151+BO151</f>
        <v>180000</v>
      </c>
      <c r="BY151" s="6" t="n">
        <f aca="false">+BS151+BV151+BM151+BP151</f>
        <v>180000</v>
      </c>
      <c r="BZ151" s="6" t="n">
        <f aca="false">+BT151+BW151+BN151+BQ151</f>
        <v>0</v>
      </c>
      <c r="CA151" s="6" t="n">
        <v>0</v>
      </c>
      <c r="CB151" s="6" t="n">
        <v>0</v>
      </c>
      <c r="CC151" s="6" t="n">
        <v>180000</v>
      </c>
      <c r="CD151" s="6" t="n">
        <v>0</v>
      </c>
      <c r="CE151" s="6" t="n">
        <v>0</v>
      </c>
      <c r="CF151" s="6" t="n">
        <v>0</v>
      </c>
      <c r="CG151" s="6" t="n">
        <v>0</v>
      </c>
      <c r="CH151" s="6" t="n">
        <v>0</v>
      </c>
      <c r="CI151" s="6" t="n">
        <v>0</v>
      </c>
      <c r="CJ151" s="6" t="n">
        <v>0</v>
      </c>
      <c r="CK151" s="6" t="n">
        <v>0</v>
      </c>
      <c r="CL151" s="6" t="n">
        <v>0</v>
      </c>
      <c r="CM151" s="6" t="n">
        <f aca="false">+CG151+CJ151+CA151+CD151</f>
        <v>0</v>
      </c>
      <c r="CN151" s="6" t="n">
        <f aca="false">+CH151+CK151+CB151+CE151</f>
        <v>0</v>
      </c>
      <c r="CO151" s="6" t="n">
        <f aca="false">+CI151+CL151+CC151+CF151</f>
        <v>180000</v>
      </c>
      <c r="CP151" s="6" t="n">
        <v>0</v>
      </c>
      <c r="CQ151" s="6" t="n">
        <v>0</v>
      </c>
      <c r="CR151" s="6" t="n">
        <v>0</v>
      </c>
      <c r="CS151" s="6" t="n">
        <v>0</v>
      </c>
      <c r="CT151" s="6" t="n">
        <v>0</v>
      </c>
      <c r="CU151" s="6" t="n">
        <v>0</v>
      </c>
      <c r="CV151" s="6" t="n">
        <v>0</v>
      </c>
      <c r="CW151" s="6" t="n">
        <v>0</v>
      </c>
      <c r="CX151" s="6" t="n">
        <v>0</v>
      </c>
      <c r="CY151" s="6" t="n">
        <v>0</v>
      </c>
      <c r="CZ151" s="6" t="n">
        <v>0</v>
      </c>
      <c r="DA151" s="6" t="n">
        <v>0</v>
      </c>
      <c r="DB151" s="6" t="n">
        <f aca="false">+CV151+CY151+CP151+CS151</f>
        <v>0</v>
      </c>
      <c r="DC151" s="6" t="n">
        <f aca="false">+CW151+CZ151+CQ151+CT151</f>
        <v>0</v>
      </c>
      <c r="DD151" s="6" t="n">
        <f aca="false">+CX151+DA151+CR151+CU151</f>
        <v>0</v>
      </c>
      <c r="DE151" s="6" t="n">
        <v>0</v>
      </c>
      <c r="DF151" s="6" t="n">
        <v>0</v>
      </c>
      <c r="DG151" s="6" t="n">
        <v>0</v>
      </c>
      <c r="DH151" s="6" t="n">
        <v>0</v>
      </c>
      <c r="DI151" s="6" t="n">
        <v>0</v>
      </c>
      <c r="DJ151" s="6" t="n">
        <v>0</v>
      </c>
      <c r="DK151" s="6" t="n">
        <v>0</v>
      </c>
      <c r="DL151" s="6" t="n">
        <v>0</v>
      </c>
      <c r="DM151" s="6" t="n">
        <v>0</v>
      </c>
      <c r="DN151" s="6" t="n">
        <v>0</v>
      </c>
      <c r="DO151" s="6" t="n">
        <v>0</v>
      </c>
      <c r="DP151" s="6" t="n">
        <v>0</v>
      </c>
      <c r="DQ151" s="6" t="n">
        <f aca="false">+DK151+DN151+DE151+DH151</f>
        <v>0</v>
      </c>
      <c r="DR151" s="6" t="n">
        <f aca="false">+DL151+DO151+DF151+DI151</f>
        <v>0</v>
      </c>
      <c r="DS151" s="6" t="n">
        <f aca="false">+DM151+DP151+DG151+DJ151</f>
        <v>0</v>
      </c>
      <c r="DT151" s="31" t="n">
        <f aca="false">+P151+AE151+AT151+BI151+BX151+CM151+DB151</f>
        <v>180000</v>
      </c>
      <c r="DU151" s="31" t="n">
        <f aca="false">+Q151+AF151+AU151+BJ151+BY151+CN151+DC151</f>
        <v>180000</v>
      </c>
      <c r="DV151" s="31" t="n">
        <f aca="false">+R151+AG151+AV151+BK151+BZ151+CO151+DD151</f>
        <v>180000</v>
      </c>
      <c r="DW151" s="31" t="n">
        <f aca="false">+DU151-DV151</f>
        <v>0</v>
      </c>
    </row>
    <row r="152" customFormat="false" ht="13.8" hidden="false" customHeight="false" outlineLevel="0" collapsed="false">
      <c r="A152" s="27" t="n">
        <v>45532</v>
      </c>
      <c r="B152" s="28" t="s">
        <v>587</v>
      </c>
      <c r="C152" s="28" t="s">
        <v>588</v>
      </c>
      <c r="D152" s="29" t="s">
        <v>589</v>
      </c>
      <c r="E152" s="28" t="s">
        <v>590</v>
      </c>
      <c r="F152" s="27" t="s">
        <v>591</v>
      </c>
      <c r="G152" s="27" t="s">
        <v>20</v>
      </c>
      <c r="H152" s="30" t="n">
        <v>9068273</v>
      </c>
      <c r="I152" s="30" t="n">
        <v>9068273</v>
      </c>
      <c r="J152" s="6" t="n">
        <v>0</v>
      </c>
      <c r="K152" s="6" t="n">
        <v>0</v>
      </c>
      <c r="L152" s="6" t="n">
        <v>0</v>
      </c>
      <c r="M152" s="6" t="n">
        <v>0</v>
      </c>
      <c r="N152" s="6" t="n">
        <v>0</v>
      </c>
      <c r="O152" s="6" t="n">
        <v>0</v>
      </c>
      <c r="P152" s="6" t="n">
        <f aca="false">+J152+M152</f>
        <v>0</v>
      </c>
      <c r="Q152" s="6" t="n">
        <f aca="false">+K152+N152</f>
        <v>0</v>
      </c>
      <c r="R152" s="6" t="n">
        <f aca="false">+L152+O152</f>
        <v>0</v>
      </c>
      <c r="S152" s="6" t="n">
        <v>0</v>
      </c>
      <c r="T152" s="6" t="n">
        <v>0</v>
      </c>
      <c r="U152" s="6" t="n">
        <v>0</v>
      </c>
      <c r="V152" s="6" t="n">
        <v>0</v>
      </c>
      <c r="W152" s="6" t="n">
        <v>0</v>
      </c>
      <c r="X152" s="6" t="n">
        <v>0</v>
      </c>
      <c r="Y152" s="6" t="n">
        <v>0</v>
      </c>
      <c r="Z152" s="6" t="n">
        <v>0</v>
      </c>
      <c r="AA152" s="6" t="n">
        <v>0</v>
      </c>
      <c r="AB152" s="6" t="n">
        <v>0</v>
      </c>
      <c r="AC152" s="6" t="n">
        <v>0</v>
      </c>
      <c r="AD152" s="6" t="n">
        <v>0</v>
      </c>
      <c r="AE152" s="6" t="n">
        <f aca="false">+Y152+AB152+S152+V152</f>
        <v>0</v>
      </c>
      <c r="AF152" s="6" t="n">
        <f aca="false">+Z152+AC152+T152+W152</f>
        <v>0</v>
      </c>
      <c r="AG152" s="6" t="n">
        <f aca="false">+AA152+AD152+U152+X152</f>
        <v>0</v>
      </c>
      <c r="AH152" s="6" t="n">
        <v>0</v>
      </c>
      <c r="AI152" s="6" t="n">
        <v>0</v>
      </c>
      <c r="AJ152" s="6" t="n">
        <v>0</v>
      </c>
      <c r="AK152" s="6" t="n">
        <v>0</v>
      </c>
      <c r="AL152" s="6" t="n">
        <v>0</v>
      </c>
      <c r="AM152" s="6" t="n">
        <v>0</v>
      </c>
      <c r="AN152" s="6" t="n">
        <v>0</v>
      </c>
      <c r="AO152" s="6" t="n">
        <v>0</v>
      </c>
      <c r="AP152" s="6" t="n">
        <v>0</v>
      </c>
      <c r="AQ152" s="6" t="n">
        <v>0</v>
      </c>
      <c r="AR152" s="6" t="n">
        <v>0</v>
      </c>
      <c r="AS152" s="6" t="n">
        <v>0</v>
      </c>
      <c r="AT152" s="6" t="n">
        <f aca="false">+AN152+AQ152+AH152+AK152</f>
        <v>0</v>
      </c>
      <c r="AU152" s="6" t="n">
        <f aca="false">+AO152+AR152+AI152+AL152</f>
        <v>0</v>
      </c>
      <c r="AV152" s="6" t="n">
        <f aca="false">+AP152+AS152+AJ152+AM152</f>
        <v>0</v>
      </c>
      <c r="AW152" s="6" t="n">
        <v>0</v>
      </c>
      <c r="AX152" s="6" t="n">
        <v>0</v>
      </c>
      <c r="AY152" s="6" t="n">
        <v>0</v>
      </c>
      <c r="AZ152" s="6" t="n">
        <v>0</v>
      </c>
      <c r="BA152" s="6" t="n">
        <v>0</v>
      </c>
      <c r="BB152" s="6" t="n">
        <v>0</v>
      </c>
      <c r="BC152" s="6" t="n">
        <v>0</v>
      </c>
      <c r="BD152" s="6" t="n">
        <v>0</v>
      </c>
      <c r="BE152" s="6" t="n">
        <v>0</v>
      </c>
      <c r="BF152" s="6" t="n">
        <v>0</v>
      </c>
      <c r="BG152" s="6" t="n">
        <v>0</v>
      </c>
      <c r="BH152" s="6" t="n">
        <v>0</v>
      </c>
      <c r="BI152" s="6" t="n">
        <f aca="false">+BC152+BF152+AW152+AZ152</f>
        <v>0</v>
      </c>
      <c r="BJ152" s="6" t="n">
        <f aca="false">+BD152+BG152+AX152+BA152</f>
        <v>0</v>
      </c>
      <c r="BK152" s="6" t="n">
        <f aca="false">+BE152+BH152+AY152+BB152</f>
        <v>0</v>
      </c>
      <c r="BL152" s="6" t="n">
        <v>0</v>
      </c>
      <c r="BM152" s="6" t="n">
        <v>0</v>
      </c>
      <c r="BN152" s="6" t="n">
        <v>0</v>
      </c>
      <c r="BO152" s="6" t="n">
        <v>0</v>
      </c>
      <c r="BP152" s="6" t="n">
        <v>0</v>
      </c>
      <c r="BQ152" s="6" t="n">
        <v>0</v>
      </c>
      <c r="BR152" s="6" t="n">
        <v>0</v>
      </c>
      <c r="BS152" s="6" t="n">
        <v>0</v>
      </c>
      <c r="BT152" s="6" t="n">
        <v>0</v>
      </c>
      <c r="BU152" s="30" t="n">
        <v>9068273</v>
      </c>
      <c r="BV152" s="30" t="n">
        <v>9068273</v>
      </c>
      <c r="BW152" s="6" t="n">
        <v>0</v>
      </c>
      <c r="BX152" s="6" t="n">
        <f aca="false">+BR152+BU152+BL152+BO152</f>
        <v>9068273</v>
      </c>
      <c r="BY152" s="6" t="n">
        <f aca="false">+BS152+BV152+BM152+BP152</f>
        <v>9068273</v>
      </c>
      <c r="BZ152" s="6" t="n">
        <f aca="false">+BT152+BW152+BN152+BQ152</f>
        <v>0</v>
      </c>
      <c r="CA152" s="6" t="n">
        <v>0</v>
      </c>
      <c r="CB152" s="6" t="n">
        <v>0</v>
      </c>
      <c r="CC152" s="6" t="n">
        <v>2200000</v>
      </c>
      <c r="CD152" s="6" t="n">
        <v>0</v>
      </c>
      <c r="CE152" s="6" t="n">
        <v>0</v>
      </c>
      <c r="CF152" s="6" t="n">
        <v>500000</v>
      </c>
      <c r="CG152" s="6" t="n">
        <v>0</v>
      </c>
      <c r="CH152" s="6" t="n">
        <v>0</v>
      </c>
      <c r="CI152" s="6" t="n">
        <v>700000</v>
      </c>
      <c r="CJ152" s="6" t="n">
        <v>0</v>
      </c>
      <c r="CK152" s="6" t="n">
        <v>0</v>
      </c>
      <c r="CL152" s="6" t="n">
        <v>0</v>
      </c>
      <c r="CM152" s="6" t="n">
        <f aca="false">+CG152+CJ152+CA152+CD152</f>
        <v>0</v>
      </c>
      <c r="CN152" s="6" t="n">
        <f aca="false">+CH152+CK152+CB152+CE152</f>
        <v>0</v>
      </c>
      <c r="CO152" s="6" t="n">
        <f aca="false">+CI152+CL152+CC152+CF152</f>
        <v>3400000</v>
      </c>
      <c r="CP152" s="6" t="n">
        <v>0</v>
      </c>
      <c r="CQ152" s="6" t="n">
        <v>0</v>
      </c>
      <c r="CR152" s="6" t="n">
        <v>0</v>
      </c>
      <c r="CS152" s="6" t="n">
        <v>0</v>
      </c>
      <c r="CT152" s="6" t="n">
        <v>0</v>
      </c>
      <c r="CU152" s="6" t="n">
        <v>800000</v>
      </c>
      <c r="CV152" s="6" t="n">
        <v>0</v>
      </c>
      <c r="CW152" s="6" t="n">
        <v>0</v>
      </c>
      <c r="CX152" s="6" t="n">
        <v>0</v>
      </c>
      <c r="CY152" s="6" t="n">
        <v>0</v>
      </c>
      <c r="CZ152" s="6" t="n">
        <v>0</v>
      </c>
      <c r="DA152" s="6" t="n">
        <v>0</v>
      </c>
      <c r="DB152" s="6" t="n">
        <f aca="false">+CV152+CY152+CP152+CS152</f>
        <v>0</v>
      </c>
      <c r="DC152" s="6" t="n">
        <f aca="false">+CW152+CZ152+CQ152+CT152</f>
        <v>0</v>
      </c>
      <c r="DD152" s="6" t="n">
        <f aca="false">+CX152+DA152+CR152+CU152</f>
        <v>800000</v>
      </c>
      <c r="DE152" s="6" t="n">
        <v>0</v>
      </c>
      <c r="DF152" s="6" t="n">
        <v>0</v>
      </c>
      <c r="DG152" s="6" t="n">
        <v>0</v>
      </c>
      <c r="DH152" s="6" t="n">
        <v>0</v>
      </c>
      <c r="DI152" s="6" t="n">
        <v>0</v>
      </c>
      <c r="DJ152" s="6" t="n">
        <v>800000</v>
      </c>
      <c r="DK152" s="6" t="n">
        <v>0</v>
      </c>
      <c r="DL152" s="6" t="n">
        <v>0</v>
      </c>
      <c r="DM152" s="6" t="n">
        <v>0</v>
      </c>
      <c r="DN152" s="6" t="n">
        <v>0</v>
      </c>
      <c r="DO152" s="6" t="n">
        <v>0</v>
      </c>
      <c r="DP152" s="6" t="n">
        <v>0</v>
      </c>
      <c r="DQ152" s="6" t="n">
        <f aca="false">+DK152+DN152+DE152+DH152</f>
        <v>0</v>
      </c>
      <c r="DR152" s="6" t="n">
        <f aca="false">+DL152+DO152+DF152+DI152</f>
        <v>0</v>
      </c>
      <c r="DS152" s="6" t="n">
        <f aca="false">+DM152+DP152+DG152+DJ152</f>
        <v>800000</v>
      </c>
      <c r="DT152" s="31" t="n">
        <f aca="false">+P152+AE152+AT152+BI152+BX152+CM152+DB152</f>
        <v>9068273</v>
      </c>
      <c r="DU152" s="31" t="n">
        <f aca="false">+Q152+AF152+AU152+BJ152+BY152+CN152+DC152</f>
        <v>9068273</v>
      </c>
      <c r="DV152" s="31" t="n">
        <f aca="false">+R152+AG152+AV152+BK152+BZ152+CO152+DD152</f>
        <v>4200000</v>
      </c>
      <c r="DW152" s="31" t="n">
        <f aca="false">+DU152-DV152</f>
        <v>4868273</v>
      </c>
    </row>
    <row r="153" customFormat="false" ht="13.8" hidden="false" customHeight="false" outlineLevel="0" collapsed="false">
      <c r="A153" s="27" t="n">
        <v>45615</v>
      </c>
      <c r="B153" s="28" t="s">
        <v>592</v>
      </c>
      <c r="C153" s="28" t="s">
        <v>593</v>
      </c>
      <c r="D153" s="29" t="s">
        <v>594</v>
      </c>
      <c r="E153" s="28" t="s">
        <v>595</v>
      </c>
      <c r="F153" s="27" t="s">
        <v>596</v>
      </c>
      <c r="G153" s="27" t="s">
        <v>21</v>
      </c>
      <c r="H153" s="30" t="n">
        <v>98000</v>
      </c>
      <c r="I153" s="30" t="n">
        <v>98000</v>
      </c>
      <c r="J153" s="6" t="n">
        <v>0</v>
      </c>
      <c r="K153" s="6" t="n">
        <v>0</v>
      </c>
      <c r="L153" s="6" t="n">
        <v>0</v>
      </c>
      <c r="M153" s="6" t="n">
        <v>0</v>
      </c>
      <c r="N153" s="6" t="n">
        <v>0</v>
      </c>
      <c r="O153" s="6" t="n">
        <v>0</v>
      </c>
      <c r="P153" s="6" t="n">
        <f aca="false">+J153+M153</f>
        <v>0</v>
      </c>
      <c r="Q153" s="6" t="n">
        <f aca="false">+K153+N153</f>
        <v>0</v>
      </c>
      <c r="R153" s="6" t="n">
        <f aca="false">+L153+O153</f>
        <v>0</v>
      </c>
      <c r="S153" s="6" t="n">
        <v>0</v>
      </c>
      <c r="T153" s="6" t="n">
        <v>0</v>
      </c>
      <c r="U153" s="6" t="n">
        <v>0</v>
      </c>
      <c r="V153" s="6" t="n">
        <v>0</v>
      </c>
      <c r="W153" s="6" t="n">
        <v>0</v>
      </c>
      <c r="X153" s="6" t="n">
        <v>0</v>
      </c>
      <c r="Y153" s="6" t="n">
        <v>0</v>
      </c>
      <c r="Z153" s="6" t="n">
        <v>0</v>
      </c>
      <c r="AA153" s="6" t="n">
        <v>0</v>
      </c>
      <c r="AB153" s="6" t="n">
        <v>0</v>
      </c>
      <c r="AC153" s="6" t="n">
        <v>0</v>
      </c>
      <c r="AD153" s="6" t="n">
        <v>0</v>
      </c>
      <c r="AE153" s="6" t="n">
        <f aca="false">+Y153+AB153+S153+V153</f>
        <v>0</v>
      </c>
      <c r="AF153" s="6" t="n">
        <f aca="false">+Z153+AC153+T153+W153</f>
        <v>0</v>
      </c>
      <c r="AG153" s="6" t="n">
        <f aca="false">+AA153+AD153+U153+X153</f>
        <v>0</v>
      </c>
      <c r="AH153" s="6" t="n">
        <v>0</v>
      </c>
      <c r="AI153" s="6" t="n">
        <v>0</v>
      </c>
      <c r="AJ153" s="6" t="n">
        <v>0</v>
      </c>
      <c r="AK153" s="6" t="n">
        <v>0</v>
      </c>
      <c r="AL153" s="6" t="n">
        <v>0</v>
      </c>
      <c r="AM153" s="6" t="n">
        <v>0</v>
      </c>
      <c r="AN153" s="6" t="n">
        <v>0</v>
      </c>
      <c r="AO153" s="6" t="n">
        <v>0</v>
      </c>
      <c r="AP153" s="6" t="n">
        <v>0</v>
      </c>
      <c r="AQ153" s="6" t="n">
        <v>0</v>
      </c>
      <c r="AR153" s="6" t="n">
        <v>0</v>
      </c>
      <c r="AS153" s="6" t="n">
        <v>0</v>
      </c>
      <c r="AT153" s="6" t="n">
        <f aca="false">+AN153+AQ153+AH153+AK153</f>
        <v>0</v>
      </c>
      <c r="AU153" s="6" t="n">
        <f aca="false">+AO153+AR153+AI153+AL153</f>
        <v>0</v>
      </c>
      <c r="AV153" s="6" t="n">
        <f aca="false">+AP153+AS153+AJ153+AM153</f>
        <v>0</v>
      </c>
      <c r="AW153" s="6" t="n">
        <v>0</v>
      </c>
      <c r="AX153" s="6" t="n">
        <v>0</v>
      </c>
      <c r="AY153" s="6" t="n">
        <v>0</v>
      </c>
      <c r="AZ153" s="6" t="n">
        <v>0</v>
      </c>
      <c r="BA153" s="6" t="n">
        <v>0</v>
      </c>
      <c r="BB153" s="6" t="n">
        <v>0</v>
      </c>
      <c r="BC153" s="6" t="n">
        <v>0</v>
      </c>
      <c r="BD153" s="6" t="n">
        <v>0</v>
      </c>
      <c r="BE153" s="6" t="n">
        <v>0</v>
      </c>
      <c r="BF153" s="6" t="n">
        <v>0</v>
      </c>
      <c r="BG153" s="6" t="n">
        <v>0</v>
      </c>
      <c r="BH153" s="6" t="n">
        <v>0</v>
      </c>
      <c r="BI153" s="6" t="n">
        <f aca="false">+BC153+BF153+AW153+AZ153</f>
        <v>0</v>
      </c>
      <c r="BJ153" s="6" t="n">
        <f aca="false">+BD153+BG153+AX153+BA153</f>
        <v>0</v>
      </c>
      <c r="BK153" s="6" t="n">
        <f aca="false">+BE153+BH153+AY153+BB153</f>
        <v>0</v>
      </c>
      <c r="BL153" s="6" t="n">
        <v>0</v>
      </c>
      <c r="BM153" s="6" t="n">
        <v>0</v>
      </c>
      <c r="BN153" s="6" t="n">
        <v>0</v>
      </c>
      <c r="BO153" s="6" t="n">
        <v>0</v>
      </c>
      <c r="BP153" s="6" t="n">
        <v>0</v>
      </c>
      <c r="BQ153" s="6" t="n">
        <v>0</v>
      </c>
      <c r="BR153" s="6" t="n">
        <v>0</v>
      </c>
      <c r="BS153" s="6" t="n">
        <v>0</v>
      </c>
      <c r="BT153" s="6" t="n">
        <v>0</v>
      </c>
      <c r="BU153" s="6" t="n">
        <v>0</v>
      </c>
      <c r="BV153" s="6" t="n">
        <v>0</v>
      </c>
      <c r="BW153" s="6" t="n">
        <v>0</v>
      </c>
      <c r="BX153" s="6" t="n">
        <f aca="false">+BR153+BU153+BL153+BO153</f>
        <v>0</v>
      </c>
      <c r="BY153" s="6" t="n">
        <f aca="false">+BS153+BV153+BM153+BP153</f>
        <v>0</v>
      </c>
      <c r="BZ153" s="6" t="n">
        <f aca="false">+BT153+BW153+BN153+BQ153</f>
        <v>0</v>
      </c>
      <c r="CA153" s="30" t="n">
        <v>98000</v>
      </c>
      <c r="CB153" s="30" t="n">
        <v>98000</v>
      </c>
      <c r="CC153" s="6" t="n">
        <v>98000</v>
      </c>
      <c r="CD153" s="6" t="n">
        <v>0</v>
      </c>
      <c r="CE153" s="6" t="n">
        <v>0</v>
      </c>
      <c r="CF153" s="6" t="n">
        <v>0</v>
      </c>
      <c r="CG153" s="6" t="n">
        <v>0</v>
      </c>
      <c r="CH153" s="6" t="n">
        <v>0</v>
      </c>
      <c r="CI153" s="6" t="n">
        <v>0</v>
      </c>
      <c r="CJ153" s="6" t="n">
        <v>0</v>
      </c>
      <c r="CK153" s="6" t="n">
        <v>0</v>
      </c>
      <c r="CL153" s="6" t="n">
        <v>0</v>
      </c>
      <c r="CM153" s="6" t="n">
        <f aca="false">+CG153+CJ153+CA153+CD153</f>
        <v>98000</v>
      </c>
      <c r="CN153" s="6" t="n">
        <f aca="false">+CH153+CK153+CB153+CE153</f>
        <v>98000</v>
      </c>
      <c r="CO153" s="6" t="n">
        <f aca="false">+CI153+CL153+CC153+CF153</f>
        <v>98000</v>
      </c>
      <c r="CP153" s="6" t="n">
        <v>0</v>
      </c>
      <c r="CQ153" s="6" t="n">
        <v>0</v>
      </c>
      <c r="CR153" s="6" t="n">
        <v>0</v>
      </c>
      <c r="CS153" s="6" t="n">
        <v>0</v>
      </c>
      <c r="CT153" s="6" t="n">
        <v>0</v>
      </c>
      <c r="CU153" s="6" t="n">
        <v>0</v>
      </c>
      <c r="CV153" s="6" t="n">
        <v>0</v>
      </c>
      <c r="CW153" s="6" t="n">
        <v>0</v>
      </c>
      <c r="CX153" s="6" t="n">
        <v>0</v>
      </c>
      <c r="CY153" s="6" t="n">
        <v>0</v>
      </c>
      <c r="CZ153" s="6" t="n">
        <v>0</v>
      </c>
      <c r="DA153" s="6" t="n">
        <v>0</v>
      </c>
      <c r="DB153" s="6" t="n">
        <f aca="false">+CV153+CY153+CP153+CS153</f>
        <v>0</v>
      </c>
      <c r="DC153" s="6" t="n">
        <f aca="false">+CW153+CZ153+CQ153+CT153</f>
        <v>0</v>
      </c>
      <c r="DD153" s="6" t="n">
        <f aca="false">+CX153+DA153+CR153+CU153</f>
        <v>0</v>
      </c>
      <c r="DE153" s="6" t="n">
        <v>0</v>
      </c>
      <c r="DF153" s="6" t="n">
        <v>0</v>
      </c>
      <c r="DG153" s="6" t="n">
        <v>0</v>
      </c>
      <c r="DH153" s="6" t="n">
        <v>0</v>
      </c>
      <c r="DI153" s="6" t="n">
        <v>0</v>
      </c>
      <c r="DJ153" s="6" t="n">
        <v>0</v>
      </c>
      <c r="DK153" s="6" t="n">
        <v>0</v>
      </c>
      <c r="DL153" s="6" t="n">
        <v>0</v>
      </c>
      <c r="DM153" s="6" t="n">
        <v>0</v>
      </c>
      <c r="DN153" s="6" t="n">
        <v>0</v>
      </c>
      <c r="DO153" s="6" t="n">
        <v>0</v>
      </c>
      <c r="DP153" s="6" t="n">
        <v>0</v>
      </c>
      <c r="DQ153" s="6" t="n">
        <f aca="false">+DK153+DN153+DE153+DH153</f>
        <v>0</v>
      </c>
      <c r="DR153" s="6" t="n">
        <f aca="false">+DL153+DO153+DF153+DI153</f>
        <v>0</v>
      </c>
      <c r="DS153" s="6" t="n">
        <f aca="false">+DM153+DP153+DG153+DJ153</f>
        <v>0</v>
      </c>
      <c r="DT153" s="31" t="n">
        <f aca="false">+P153+AE153+AT153+BI153+BX153+CM153+DB153</f>
        <v>98000</v>
      </c>
      <c r="DU153" s="31" t="n">
        <f aca="false">+Q153+AF153+AU153+BJ153+BY153+CN153+DC153</f>
        <v>98000</v>
      </c>
      <c r="DV153" s="31" t="n">
        <f aca="false">+R153+AG153+AV153+BK153+BZ153+CO153+DD153</f>
        <v>98000</v>
      </c>
      <c r="DW153" s="31" t="n">
        <f aca="false">+DU153-DV153</f>
        <v>0</v>
      </c>
    </row>
    <row r="154" customFormat="false" ht="13.8" hidden="false" customHeight="false" outlineLevel="0" collapsed="false">
      <c r="A154" s="27" t="n">
        <v>45615</v>
      </c>
      <c r="B154" s="28" t="s">
        <v>592</v>
      </c>
      <c r="C154" s="28" t="s">
        <v>593</v>
      </c>
      <c r="D154" s="29" t="s">
        <v>594</v>
      </c>
      <c r="E154" s="28" t="s">
        <v>595</v>
      </c>
      <c r="F154" s="27" t="s">
        <v>596</v>
      </c>
      <c r="G154" s="27" t="s">
        <v>21</v>
      </c>
      <c r="H154" s="30" t="n">
        <v>90000</v>
      </c>
      <c r="I154" s="30" t="n">
        <v>90000</v>
      </c>
      <c r="J154" s="6" t="n">
        <v>0</v>
      </c>
      <c r="K154" s="6" t="n">
        <v>0</v>
      </c>
      <c r="L154" s="6" t="n">
        <v>0</v>
      </c>
      <c r="M154" s="6" t="n">
        <v>0</v>
      </c>
      <c r="N154" s="6" t="n">
        <v>0</v>
      </c>
      <c r="O154" s="6" t="n">
        <v>0</v>
      </c>
      <c r="P154" s="6" t="n">
        <f aca="false">+J154+M154</f>
        <v>0</v>
      </c>
      <c r="Q154" s="6" t="n">
        <f aca="false">+K154+N154</f>
        <v>0</v>
      </c>
      <c r="R154" s="6" t="n">
        <f aca="false">+L154+O154</f>
        <v>0</v>
      </c>
      <c r="S154" s="6" t="n">
        <v>0</v>
      </c>
      <c r="T154" s="6" t="n">
        <v>0</v>
      </c>
      <c r="U154" s="6" t="n">
        <v>0</v>
      </c>
      <c r="V154" s="6" t="n">
        <v>0</v>
      </c>
      <c r="W154" s="6" t="n">
        <v>0</v>
      </c>
      <c r="X154" s="6" t="n">
        <v>0</v>
      </c>
      <c r="Y154" s="6" t="n">
        <v>0</v>
      </c>
      <c r="Z154" s="6" t="n">
        <v>0</v>
      </c>
      <c r="AA154" s="6" t="n">
        <v>0</v>
      </c>
      <c r="AB154" s="6" t="n">
        <v>0</v>
      </c>
      <c r="AC154" s="6" t="n">
        <v>0</v>
      </c>
      <c r="AD154" s="6" t="n">
        <v>0</v>
      </c>
      <c r="AE154" s="6" t="n">
        <f aca="false">+Y154+AB154+S154+V154</f>
        <v>0</v>
      </c>
      <c r="AF154" s="6" t="n">
        <f aca="false">+Z154+AC154+T154+W154</f>
        <v>0</v>
      </c>
      <c r="AG154" s="6" t="n">
        <f aca="false">+AA154+AD154+U154+X154</f>
        <v>0</v>
      </c>
      <c r="AH154" s="6" t="n">
        <v>0</v>
      </c>
      <c r="AI154" s="6" t="n">
        <v>0</v>
      </c>
      <c r="AJ154" s="6" t="n">
        <v>0</v>
      </c>
      <c r="AK154" s="6" t="n">
        <v>0</v>
      </c>
      <c r="AL154" s="6" t="n">
        <v>0</v>
      </c>
      <c r="AM154" s="6" t="n">
        <v>0</v>
      </c>
      <c r="AN154" s="6" t="n">
        <v>0</v>
      </c>
      <c r="AO154" s="6" t="n">
        <v>0</v>
      </c>
      <c r="AP154" s="6" t="n">
        <v>0</v>
      </c>
      <c r="AQ154" s="6" t="n">
        <v>0</v>
      </c>
      <c r="AR154" s="6" t="n">
        <v>0</v>
      </c>
      <c r="AS154" s="6" t="n">
        <v>0</v>
      </c>
      <c r="AT154" s="6" t="n">
        <f aca="false">+AN154+AQ154+AH154+AK154</f>
        <v>0</v>
      </c>
      <c r="AU154" s="6" t="n">
        <f aca="false">+AO154+AR154+AI154+AL154</f>
        <v>0</v>
      </c>
      <c r="AV154" s="6" t="n">
        <f aca="false">+AP154+AS154+AJ154+AM154</f>
        <v>0</v>
      </c>
      <c r="AW154" s="6" t="n">
        <v>0</v>
      </c>
      <c r="AX154" s="6" t="n">
        <v>0</v>
      </c>
      <c r="AY154" s="6" t="n">
        <v>0</v>
      </c>
      <c r="AZ154" s="6" t="n">
        <v>0</v>
      </c>
      <c r="BA154" s="6" t="n">
        <v>0</v>
      </c>
      <c r="BB154" s="6" t="n">
        <v>0</v>
      </c>
      <c r="BC154" s="6" t="n">
        <v>0</v>
      </c>
      <c r="BD154" s="6" t="n">
        <v>0</v>
      </c>
      <c r="BE154" s="6" t="n">
        <v>0</v>
      </c>
      <c r="BF154" s="6" t="n">
        <v>0</v>
      </c>
      <c r="BG154" s="6" t="n">
        <v>0</v>
      </c>
      <c r="BH154" s="6" t="n">
        <v>0</v>
      </c>
      <c r="BI154" s="6" t="n">
        <f aca="false">+BC154+BF154+AW154+AZ154</f>
        <v>0</v>
      </c>
      <c r="BJ154" s="6" t="n">
        <f aca="false">+BD154+BG154+AX154+BA154</f>
        <v>0</v>
      </c>
      <c r="BK154" s="6" t="n">
        <f aca="false">+BE154+BH154+AY154+BB154</f>
        <v>0</v>
      </c>
      <c r="BL154" s="6" t="n">
        <v>0</v>
      </c>
      <c r="BM154" s="6" t="n">
        <v>0</v>
      </c>
      <c r="BN154" s="6" t="n">
        <v>0</v>
      </c>
      <c r="BO154" s="6" t="n">
        <v>0</v>
      </c>
      <c r="BP154" s="6" t="n">
        <v>0</v>
      </c>
      <c r="BQ154" s="6" t="n">
        <v>0</v>
      </c>
      <c r="BR154" s="6" t="n">
        <v>0</v>
      </c>
      <c r="BS154" s="6" t="n">
        <v>0</v>
      </c>
      <c r="BT154" s="6" t="n">
        <v>0</v>
      </c>
      <c r="BU154" s="6" t="n">
        <v>0</v>
      </c>
      <c r="BV154" s="6" t="n">
        <v>0</v>
      </c>
      <c r="BW154" s="6" t="n">
        <v>0</v>
      </c>
      <c r="BX154" s="6" t="n">
        <f aca="false">+BR154+BU154+BL154+BO154</f>
        <v>0</v>
      </c>
      <c r="BY154" s="6" t="n">
        <f aca="false">+BS154+BV154+BM154+BP154</f>
        <v>0</v>
      </c>
      <c r="BZ154" s="6" t="n">
        <f aca="false">+BT154+BW154+BN154+BQ154</f>
        <v>0</v>
      </c>
      <c r="CA154" s="30" t="n">
        <v>90000</v>
      </c>
      <c r="CB154" s="30" t="n">
        <v>90000</v>
      </c>
      <c r="CC154" s="6" t="n">
        <v>90000</v>
      </c>
      <c r="CD154" s="6" t="n">
        <v>0</v>
      </c>
      <c r="CE154" s="6" t="n">
        <v>0</v>
      </c>
      <c r="CF154" s="6" t="n">
        <v>0</v>
      </c>
      <c r="CG154" s="6" t="n">
        <v>0</v>
      </c>
      <c r="CH154" s="6" t="n">
        <v>0</v>
      </c>
      <c r="CI154" s="6" t="n">
        <v>0</v>
      </c>
      <c r="CJ154" s="6" t="n">
        <v>0</v>
      </c>
      <c r="CK154" s="6" t="n">
        <v>0</v>
      </c>
      <c r="CL154" s="6" t="n">
        <v>0</v>
      </c>
      <c r="CM154" s="6" t="n">
        <f aca="false">+CG154+CJ154+CA154+CD154</f>
        <v>90000</v>
      </c>
      <c r="CN154" s="6" t="n">
        <f aca="false">+CH154+CK154+CB154+CE154</f>
        <v>90000</v>
      </c>
      <c r="CO154" s="6" t="n">
        <f aca="false">+CI154+CL154+CC154+CF154</f>
        <v>90000</v>
      </c>
      <c r="CP154" s="6" t="n">
        <v>0</v>
      </c>
      <c r="CQ154" s="6" t="n">
        <v>0</v>
      </c>
      <c r="CR154" s="6" t="n">
        <v>0</v>
      </c>
      <c r="CS154" s="6" t="n">
        <v>0</v>
      </c>
      <c r="CT154" s="6" t="n">
        <v>0</v>
      </c>
      <c r="CU154" s="6" t="n">
        <v>0</v>
      </c>
      <c r="CV154" s="6" t="n">
        <v>0</v>
      </c>
      <c r="CW154" s="6" t="n">
        <v>0</v>
      </c>
      <c r="CX154" s="6" t="n">
        <v>0</v>
      </c>
      <c r="CY154" s="6" t="n">
        <v>0</v>
      </c>
      <c r="CZ154" s="6" t="n">
        <v>0</v>
      </c>
      <c r="DA154" s="6" t="n">
        <v>0</v>
      </c>
      <c r="DB154" s="6" t="n">
        <f aca="false">+CV154+CY154+CP154+CS154</f>
        <v>0</v>
      </c>
      <c r="DC154" s="6" t="n">
        <f aca="false">+CW154+CZ154+CQ154+CT154</f>
        <v>0</v>
      </c>
      <c r="DD154" s="6" t="n">
        <f aca="false">+CX154+DA154+CR154+CU154</f>
        <v>0</v>
      </c>
      <c r="DE154" s="6" t="n">
        <v>0</v>
      </c>
      <c r="DF154" s="6" t="n">
        <v>0</v>
      </c>
      <c r="DG154" s="6" t="n">
        <v>0</v>
      </c>
      <c r="DH154" s="6" t="n">
        <v>0</v>
      </c>
      <c r="DI154" s="6" t="n">
        <v>0</v>
      </c>
      <c r="DJ154" s="6" t="n">
        <v>0</v>
      </c>
      <c r="DK154" s="6" t="n">
        <v>0</v>
      </c>
      <c r="DL154" s="6" t="n">
        <v>0</v>
      </c>
      <c r="DM154" s="6" t="n">
        <v>0</v>
      </c>
      <c r="DN154" s="6" t="n">
        <v>0</v>
      </c>
      <c r="DO154" s="6" t="n">
        <v>0</v>
      </c>
      <c r="DP154" s="6" t="n">
        <v>0</v>
      </c>
      <c r="DQ154" s="6" t="n">
        <f aca="false">+DK154+DN154+DE154+DH154</f>
        <v>0</v>
      </c>
      <c r="DR154" s="6" t="n">
        <f aca="false">+DL154+DO154+DF154+DI154</f>
        <v>0</v>
      </c>
      <c r="DS154" s="6" t="n">
        <f aca="false">+DM154+DP154+DG154+DJ154</f>
        <v>0</v>
      </c>
      <c r="DT154" s="31" t="n">
        <f aca="false">+P154+AE154+AT154+BI154+BX154+CM154+DB154</f>
        <v>90000</v>
      </c>
      <c r="DU154" s="31" t="n">
        <f aca="false">+Q154+AF154+AU154+BJ154+BY154+CN154+DC154</f>
        <v>90000</v>
      </c>
      <c r="DV154" s="31" t="n">
        <f aca="false">+R154+AG154+AV154+BK154+BZ154+CO154+DD154</f>
        <v>90000</v>
      </c>
      <c r="DW154" s="31" t="n">
        <f aca="false">+DU154-DV154</f>
        <v>0</v>
      </c>
    </row>
    <row r="155" customFormat="false" ht="13.8" hidden="false" customHeight="false" outlineLevel="0" collapsed="false">
      <c r="A155" s="27" t="n">
        <v>45722</v>
      </c>
      <c r="B155" s="28" t="s">
        <v>597</v>
      </c>
      <c r="C155" s="28" t="s">
        <v>598</v>
      </c>
      <c r="D155" s="29" t="s">
        <v>599</v>
      </c>
      <c r="E155" s="28" t="s">
        <v>600</v>
      </c>
      <c r="F155" s="27" t="s">
        <v>601</v>
      </c>
      <c r="G155" s="27" t="s">
        <v>22</v>
      </c>
      <c r="H155" s="30" t="n">
        <v>2250000</v>
      </c>
      <c r="I155" s="30" t="n">
        <v>2250000</v>
      </c>
      <c r="J155" s="6" t="n">
        <v>0</v>
      </c>
      <c r="K155" s="6" t="n">
        <v>0</v>
      </c>
      <c r="L155" s="6" t="n">
        <v>0</v>
      </c>
      <c r="M155" s="6" t="n">
        <v>0</v>
      </c>
      <c r="N155" s="6" t="n">
        <v>0</v>
      </c>
      <c r="O155" s="6" t="n">
        <v>0</v>
      </c>
      <c r="P155" s="6" t="n">
        <f aca="false">+J155+M155</f>
        <v>0</v>
      </c>
      <c r="Q155" s="6" t="n">
        <f aca="false">+K155+N155</f>
        <v>0</v>
      </c>
      <c r="R155" s="6" t="n">
        <f aca="false">+L155+O155</f>
        <v>0</v>
      </c>
      <c r="S155" s="6" t="n">
        <v>0</v>
      </c>
      <c r="T155" s="6" t="n">
        <v>0</v>
      </c>
      <c r="U155" s="6" t="n">
        <v>0</v>
      </c>
      <c r="V155" s="6" t="n">
        <v>0</v>
      </c>
      <c r="W155" s="6" t="n">
        <v>0</v>
      </c>
      <c r="X155" s="6" t="n">
        <v>0</v>
      </c>
      <c r="Y155" s="6" t="n">
        <v>0</v>
      </c>
      <c r="Z155" s="6" t="n">
        <v>0</v>
      </c>
      <c r="AA155" s="6" t="n">
        <v>0</v>
      </c>
      <c r="AB155" s="6" t="n">
        <v>0</v>
      </c>
      <c r="AC155" s="6" t="n">
        <v>0</v>
      </c>
      <c r="AD155" s="6" t="n">
        <v>0</v>
      </c>
      <c r="AE155" s="6" t="n">
        <f aca="false">+Y155+AB155+S155+V155</f>
        <v>0</v>
      </c>
      <c r="AF155" s="6" t="n">
        <f aca="false">+Z155+AC155+T155+W155</f>
        <v>0</v>
      </c>
      <c r="AG155" s="6" t="n">
        <f aca="false">+AA155+AD155+U155+X155</f>
        <v>0</v>
      </c>
      <c r="AH155" s="6" t="n">
        <v>0</v>
      </c>
      <c r="AI155" s="6" t="n">
        <v>0</v>
      </c>
      <c r="AJ155" s="6" t="n">
        <v>0</v>
      </c>
      <c r="AK155" s="6" t="n">
        <v>0</v>
      </c>
      <c r="AL155" s="6" t="n">
        <v>0</v>
      </c>
      <c r="AM155" s="6" t="n">
        <v>0</v>
      </c>
      <c r="AN155" s="6" t="n">
        <v>0</v>
      </c>
      <c r="AO155" s="6" t="n">
        <v>0</v>
      </c>
      <c r="AP155" s="6" t="n">
        <v>0</v>
      </c>
      <c r="AQ155" s="6" t="n">
        <v>0</v>
      </c>
      <c r="AR155" s="6" t="n">
        <v>0</v>
      </c>
      <c r="AS155" s="6" t="n">
        <v>0</v>
      </c>
      <c r="AT155" s="6" t="n">
        <f aca="false">+AN155+AQ155+AH155+AK155</f>
        <v>0</v>
      </c>
      <c r="AU155" s="6" t="n">
        <f aca="false">+AO155+AR155+AI155+AL155</f>
        <v>0</v>
      </c>
      <c r="AV155" s="6" t="n">
        <f aca="false">+AP155+AS155+AJ155+AM155</f>
        <v>0</v>
      </c>
      <c r="AW155" s="6" t="n">
        <v>0</v>
      </c>
      <c r="AX155" s="6" t="n">
        <v>0</v>
      </c>
      <c r="AY155" s="6" t="n">
        <v>0</v>
      </c>
      <c r="AZ155" s="6" t="n">
        <v>0</v>
      </c>
      <c r="BA155" s="6" t="n">
        <v>0</v>
      </c>
      <c r="BB155" s="6" t="n">
        <v>0</v>
      </c>
      <c r="BC155" s="6" t="n">
        <v>0</v>
      </c>
      <c r="BD155" s="6" t="n">
        <v>0</v>
      </c>
      <c r="BE155" s="6" t="n">
        <v>0</v>
      </c>
      <c r="BF155" s="6" t="n">
        <v>0</v>
      </c>
      <c r="BG155" s="6" t="n">
        <v>0</v>
      </c>
      <c r="BH155" s="6" t="n">
        <v>0</v>
      </c>
      <c r="BI155" s="6" t="n">
        <f aca="false">+BC155+BF155+AW155+AZ155</f>
        <v>0</v>
      </c>
      <c r="BJ155" s="6" t="n">
        <f aca="false">+BD155+BG155+AX155+BA155</f>
        <v>0</v>
      </c>
      <c r="BK155" s="6" t="n">
        <f aca="false">+BE155+BH155+AY155+BB155</f>
        <v>0</v>
      </c>
      <c r="BL155" s="6" t="n">
        <v>0</v>
      </c>
      <c r="BM155" s="6" t="n">
        <v>0</v>
      </c>
      <c r="BN155" s="6" t="n">
        <v>0</v>
      </c>
      <c r="BO155" s="6" t="n">
        <v>0</v>
      </c>
      <c r="BP155" s="6" t="n">
        <v>0</v>
      </c>
      <c r="BQ155" s="6" t="n">
        <v>0</v>
      </c>
      <c r="BR155" s="6" t="n">
        <v>0</v>
      </c>
      <c r="BS155" s="6" t="n">
        <v>0</v>
      </c>
      <c r="BT155" s="6" t="n">
        <v>0</v>
      </c>
      <c r="BU155" s="6" t="n">
        <v>0</v>
      </c>
      <c r="BV155" s="6" t="n">
        <v>0</v>
      </c>
      <c r="BW155" s="6" t="n">
        <v>0</v>
      </c>
      <c r="BX155" s="6" t="n">
        <f aca="false">+BR155+BU155+BL155+BO155</f>
        <v>0</v>
      </c>
      <c r="BY155" s="6" t="n">
        <f aca="false">+BS155+BV155+BM155+BP155</f>
        <v>0</v>
      </c>
      <c r="BZ155" s="6" t="n">
        <f aca="false">+BT155+BW155+BN155+BQ155</f>
        <v>0</v>
      </c>
      <c r="CA155" s="6" t="n">
        <v>0</v>
      </c>
      <c r="CB155" s="6" t="n">
        <v>0</v>
      </c>
      <c r="CC155" s="6" t="n">
        <v>0</v>
      </c>
      <c r="CD155" s="30" t="n">
        <v>2250000</v>
      </c>
      <c r="CE155" s="30" t="n">
        <v>2250000</v>
      </c>
      <c r="CF155" s="6" t="n">
        <v>0</v>
      </c>
      <c r="CG155" s="6" t="n">
        <v>0</v>
      </c>
      <c r="CH155" s="6" t="n">
        <v>0</v>
      </c>
      <c r="CI155" s="6" t="n">
        <v>600000</v>
      </c>
      <c r="CJ155" s="6" t="n">
        <v>0</v>
      </c>
      <c r="CK155" s="6" t="n">
        <v>0</v>
      </c>
      <c r="CL155" s="6" t="n">
        <v>0</v>
      </c>
      <c r="CM155" s="6" t="n">
        <f aca="false">+CG155+CJ155+CA155+CD155</f>
        <v>2250000</v>
      </c>
      <c r="CN155" s="6" t="n">
        <f aca="false">+CH155+CK155+CB155+CE155</f>
        <v>2250000</v>
      </c>
      <c r="CO155" s="6" t="n">
        <f aca="false">+CI155+CL155+CC155+CF155</f>
        <v>600000</v>
      </c>
      <c r="CP155" s="6" t="n">
        <v>0</v>
      </c>
      <c r="CQ155" s="6" t="n">
        <v>0</v>
      </c>
      <c r="CR155" s="6" t="n">
        <v>500000</v>
      </c>
      <c r="CS155" s="6" t="n">
        <v>0</v>
      </c>
      <c r="CT155" s="6" t="n">
        <v>0</v>
      </c>
      <c r="CU155" s="6" t="n">
        <v>0</v>
      </c>
      <c r="CV155" s="6" t="n">
        <v>0</v>
      </c>
      <c r="CW155" s="6" t="n">
        <v>0</v>
      </c>
      <c r="CX155" s="6" t="n">
        <v>0</v>
      </c>
      <c r="CY155" s="6" t="n">
        <v>0</v>
      </c>
      <c r="CZ155" s="6" t="n">
        <v>0</v>
      </c>
      <c r="DA155" s="6" t="n">
        <v>0</v>
      </c>
      <c r="DB155" s="6" t="n">
        <f aca="false">+CV155+CY155+CP155+CS155</f>
        <v>0</v>
      </c>
      <c r="DC155" s="6" t="n">
        <f aca="false">+CW155+CZ155+CQ155+CT155</f>
        <v>0</v>
      </c>
      <c r="DD155" s="6" t="n">
        <f aca="false">+CX155+DA155+CR155+CU155</f>
        <v>500000</v>
      </c>
      <c r="DE155" s="6" t="n">
        <v>0</v>
      </c>
      <c r="DF155" s="6" t="n">
        <v>0</v>
      </c>
      <c r="DG155" s="6" t="n">
        <v>500000</v>
      </c>
      <c r="DH155" s="6" t="n">
        <v>0</v>
      </c>
      <c r="DI155" s="6" t="n">
        <v>0</v>
      </c>
      <c r="DJ155" s="6" t="n">
        <v>0</v>
      </c>
      <c r="DK155" s="6" t="n">
        <v>0</v>
      </c>
      <c r="DL155" s="6" t="n">
        <v>0</v>
      </c>
      <c r="DM155" s="6" t="n">
        <v>0</v>
      </c>
      <c r="DN155" s="6" t="n">
        <v>0</v>
      </c>
      <c r="DO155" s="6" t="n">
        <v>0</v>
      </c>
      <c r="DP155" s="6" t="n">
        <v>0</v>
      </c>
      <c r="DQ155" s="6" t="n">
        <f aca="false">+DK155+DN155+DE155+DH155</f>
        <v>0</v>
      </c>
      <c r="DR155" s="6" t="n">
        <f aca="false">+DL155+DO155+DF155+DI155</f>
        <v>0</v>
      </c>
      <c r="DS155" s="6" t="n">
        <f aca="false">+DM155+DP155+DG155+DJ155</f>
        <v>500000</v>
      </c>
      <c r="DT155" s="31" t="n">
        <f aca="false">+P155+AE155+AT155+BI155+BX155+CM155+DB155</f>
        <v>2250000</v>
      </c>
      <c r="DU155" s="31" t="n">
        <f aca="false">+Q155+AF155+AU155+BJ155+BY155+CN155+DC155</f>
        <v>2250000</v>
      </c>
      <c r="DV155" s="31" t="n">
        <f aca="false">+R155+AG155+AV155+BK155+BZ155+CO155+DD155</f>
        <v>1100000</v>
      </c>
      <c r="DW155" s="31" t="n">
        <f aca="false">+DU155-DV155</f>
        <v>1150000</v>
      </c>
    </row>
    <row r="156" customFormat="false" ht="13.8" hidden="false" customHeight="false" outlineLevel="0" collapsed="false">
      <c r="A156" s="27" t="n">
        <v>45667</v>
      </c>
      <c r="B156" s="28" t="s">
        <v>602</v>
      </c>
      <c r="C156" s="28" t="s">
        <v>603</v>
      </c>
      <c r="D156" s="29" t="s">
        <v>604</v>
      </c>
      <c r="E156" s="28" t="s">
        <v>605</v>
      </c>
      <c r="F156" s="27" t="s">
        <v>606</v>
      </c>
      <c r="G156" s="27" t="s">
        <v>21</v>
      </c>
      <c r="H156" s="30" t="n">
        <v>1450000</v>
      </c>
      <c r="I156" s="30" t="n">
        <v>1450000</v>
      </c>
      <c r="J156" s="6" t="n">
        <v>0</v>
      </c>
      <c r="K156" s="6" t="n">
        <v>0</v>
      </c>
      <c r="L156" s="6" t="n">
        <v>0</v>
      </c>
      <c r="M156" s="6" t="n">
        <v>0</v>
      </c>
      <c r="N156" s="6" t="n">
        <v>0</v>
      </c>
      <c r="O156" s="6" t="n">
        <v>0</v>
      </c>
      <c r="P156" s="6" t="n">
        <f aca="false">+J156+M156</f>
        <v>0</v>
      </c>
      <c r="Q156" s="6" t="n">
        <f aca="false">+K156+N156</f>
        <v>0</v>
      </c>
      <c r="R156" s="6" t="n">
        <f aca="false">+L156+O156</f>
        <v>0</v>
      </c>
      <c r="S156" s="6" t="n">
        <v>0</v>
      </c>
      <c r="T156" s="6" t="n">
        <v>0</v>
      </c>
      <c r="U156" s="6" t="n">
        <v>0</v>
      </c>
      <c r="V156" s="6" t="n">
        <v>0</v>
      </c>
      <c r="W156" s="6" t="n">
        <v>0</v>
      </c>
      <c r="X156" s="6" t="n">
        <v>0</v>
      </c>
      <c r="Y156" s="6" t="n">
        <v>0</v>
      </c>
      <c r="Z156" s="6" t="n">
        <v>0</v>
      </c>
      <c r="AA156" s="6" t="n">
        <v>0</v>
      </c>
      <c r="AB156" s="6" t="n">
        <v>0</v>
      </c>
      <c r="AC156" s="6" t="n">
        <v>0</v>
      </c>
      <c r="AD156" s="6" t="n">
        <v>0</v>
      </c>
      <c r="AE156" s="6" t="n">
        <f aca="false">+Y156+AB156+S156+V156</f>
        <v>0</v>
      </c>
      <c r="AF156" s="6" t="n">
        <f aca="false">+Z156+AC156+T156+W156</f>
        <v>0</v>
      </c>
      <c r="AG156" s="6" t="n">
        <f aca="false">+AA156+AD156+U156+X156</f>
        <v>0</v>
      </c>
      <c r="AH156" s="6" t="n">
        <v>0</v>
      </c>
      <c r="AI156" s="6" t="n">
        <v>0</v>
      </c>
      <c r="AJ156" s="6" t="n">
        <v>0</v>
      </c>
      <c r="AK156" s="6" t="n">
        <v>0</v>
      </c>
      <c r="AL156" s="6" t="n">
        <v>0</v>
      </c>
      <c r="AM156" s="6" t="n">
        <v>0</v>
      </c>
      <c r="AN156" s="6" t="n">
        <v>0</v>
      </c>
      <c r="AO156" s="6" t="n">
        <v>0</v>
      </c>
      <c r="AP156" s="6" t="n">
        <v>0</v>
      </c>
      <c r="AQ156" s="6" t="n">
        <v>0</v>
      </c>
      <c r="AR156" s="6" t="n">
        <v>0</v>
      </c>
      <c r="AS156" s="6" t="n">
        <v>0</v>
      </c>
      <c r="AT156" s="6" t="n">
        <f aca="false">+AN156+AQ156+AH156+AK156</f>
        <v>0</v>
      </c>
      <c r="AU156" s="6" t="n">
        <f aca="false">+AO156+AR156+AI156+AL156</f>
        <v>0</v>
      </c>
      <c r="AV156" s="6" t="n">
        <f aca="false">+AP156+AS156+AJ156+AM156</f>
        <v>0</v>
      </c>
      <c r="AW156" s="6" t="n">
        <v>0</v>
      </c>
      <c r="AX156" s="6" t="n">
        <v>0</v>
      </c>
      <c r="AY156" s="6" t="n">
        <v>0</v>
      </c>
      <c r="AZ156" s="6" t="n">
        <v>0</v>
      </c>
      <c r="BA156" s="6" t="n">
        <v>0</v>
      </c>
      <c r="BB156" s="6" t="n">
        <v>0</v>
      </c>
      <c r="BC156" s="6" t="n">
        <v>0</v>
      </c>
      <c r="BD156" s="6" t="n">
        <v>0</v>
      </c>
      <c r="BE156" s="6" t="n">
        <v>0</v>
      </c>
      <c r="BF156" s="6" t="n">
        <v>0</v>
      </c>
      <c r="BG156" s="6" t="n">
        <v>0</v>
      </c>
      <c r="BH156" s="6" t="n">
        <v>0</v>
      </c>
      <c r="BI156" s="6" t="n">
        <f aca="false">+BC156+BF156+AW156+AZ156</f>
        <v>0</v>
      </c>
      <c r="BJ156" s="6" t="n">
        <f aca="false">+BD156+BG156+AX156+BA156</f>
        <v>0</v>
      </c>
      <c r="BK156" s="6" t="n">
        <f aca="false">+BE156+BH156+AY156+BB156</f>
        <v>0</v>
      </c>
      <c r="BL156" s="6" t="n">
        <v>0</v>
      </c>
      <c r="BM156" s="6" t="n">
        <v>0</v>
      </c>
      <c r="BN156" s="6" t="n">
        <v>0</v>
      </c>
      <c r="BO156" s="6" t="n">
        <v>0</v>
      </c>
      <c r="BP156" s="6" t="n">
        <v>0</v>
      </c>
      <c r="BQ156" s="6" t="n">
        <v>0</v>
      </c>
      <c r="BR156" s="6" t="n">
        <v>0</v>
      </c>
      <c r="BS156" s="6" t="n">
        <v>0</v>
      </c>
      <c r="BT156" s="6" t="n">
        <v>0</v>
      </c>
      <c r="BU156" s="6" t="n">
        <v>0</v>
      </c>
      <c r="BV156" s="6" t="n">
        <v>0</v>
      </c>
      <c r="BW156" s="6" t="n">
        <v>0</v>
      </c>
      <c r="BX156" s="6" t="n">
        <f aca="false">+BR156+BU156+BL156+BO156</f>
        <v>0</v>
      </c>
      <c r="BY156" s="6" t="n">
        <f aca="false">+BS156+BV156+BM156+BP156</f>
        <v>0</v>
      </c>
      <c r="BZ156" s="6" t="n">
        <f aca="false">+BT156+BW156+BN156+BQ156</f>
        <v>0</v>
      </c>
      <c r="CA156" s="30" t="n">
        <v>1450000</v>
      </c>
      <c r="CB156" s="30" t="n">
        <v>1450000</v>
      </c>
      <c r="CC156" s="6" t="n">
        <v>0</v>
      </c>
      <c r="CD156" s="6" t="n">
        <v>0</v>
      </c>
      <c r="CE156" s="6" t="n">
        <v>0</v>
      </c>
      <c r="CF156" s="6" t="n">
        <v>20000</v>
      </c>
      <c r="CG156" s="6" t="n">
        <v>0</v>
      </c>
      <c r="CH156" s="6" t="n">
        <v>0</v>
      </c>
      <c r="CI156" s="6" t="n">
        <v>500000</v>
      </c>
      <c r="CJ156" s="6" t="n">
        <v>0</v>
      </c>
      <c r="CK156" s="6" t="n">
        <v>0</v>
      </c>
      <c r="CL156" s="6" t="n">
        <v>930000</v>
      </c>
      <c r="CM156" s="6" t="n">
        <f aca="false">+CG156+CJ156+CA156+CD156</f>
        <v>1450000</v>
      </c>
      <c r="CN156" s="6" t="n">
        <f aca="false">+CH156+CK156+CB156+CE156</f>
        <v>1450000</v>
      </c>
      <c r="CO156" s="6" t="n">
        <f aca="false">+CI156+CL156+CC156+CF156</f>
        <v>1450000</v>
      </c>
      <c r="CP156" s="6" t="n">
        <v>0</v>
      </c>
      <c r="CQ156" s="6" t="n">
        <v>0</v>
      </c>
      <c r="CR156" s="6" t="n">
        <v>0</v>
      </c>
      <c r="CS156" s="6" t="n">
        <v>0</v>
      </c>
      <c r="CT156" s="6" t="n">
        <v>0</v>
      </c>
      <c r="CU156" s="6" t="n">
        <v>0</v>
      </c>
      <c r="CV156" s="6" t="n">
        <v>0</v>
      </c>
      <c r="CW156" s="6" t="n">
        <v>0</v>
      </c>
      <c r="CX156" s="6" t="n">
        <v>0</v>
      </c>
      <c r="CY156" s="6" t="n">
        <v>0</v>
      </c>
      <c r="CZ156" s="6" t="n">
        <v>0</v>
      </c>
      <c r="DA156" s="6" t="n">
        <v>0</v>
      </c>
      <c r="DB156" s="6" t="n">
        <f aca="false">+CV156+CY156+CP156+CS156</f>
        <v>0</v>
      </c>
      <c r="DC156" s="6" t="n">
        <f aca="false">+CW156+CZ156+CQ156+CT156</f>
        <v>0</v>
      </c>
      <c r="DD156" s="6" t="n">
        <f aca="false">+CX156+DA156+CR156+CU156</f>
        <v>0</v>
      </c>
      <c r="DE156" s="6" t="n">
        <v>0</v>
      </c>
      <c r="DF156" s="6" t="n">
        <v>0</v>
      </c>
      <c r="DG156" s="6" t="n">
        <v>0</v>
      </c>
      <c r="DH156" s="6" t="n">
        <v>0</v>
      </c>
      <c r="DI156" s="6" t="n">
        <v>0</v>
      </c>
      <c r="DJ156" s="6" t="n">
        <v>0</v>
      </c>
      <c r="DK156" s="6" t="n">
        <v>0</v>
      </c>
      <c r="DL156" s="6" t="n">
        <v>0</v>
      </c>
      <c r="DM156" s="6" t="n">
        <v>0</v>
      </c>
      <c r="DN156" s="6" t="n">
        <v>0</v>
      </c>
      <c r="DO156" s="6" t="n">
        <v>0</v>
      </c>
      <c r="DP156" s="6" t="n">
        <v>0</v>
      </c>
      <c r="DQ156" s="6" t="n">
        <f aca="false">+DK156+DN156+DE156+DH156</f>
        <v>0</v>
      </c>
      <c r="DR156" s="6" t="n">
        <f aca="false">+DL156+DO156+DF156+DI156</f>
        <v>0</v>
      </c>
      <c r="DS156" s="6" t="n">
        <f aca="false">+DM156+DP156+DG156+DJ156</f>
        <v>0</v>
      </c>
      <c r="DT156" s="31" t="n">
        <f aca="false">+P156+AE156+AT156+BI156+BX156+CM156+DB156</f>
        <v>1450000</v>
      </c>
      <c r="DU156" s="31" t="n">
        <f aca="false">+Q156+AF156+AU156+BJ156+BY156+CN156+DC156</f>
        <v>1450000</v>
      </c>
      <c r="DV156" s="31" t="n">
        <f aca="false">+R156+AG156+AV156+BK156+BZ156+CO156+DD156</f>
        <v>1450000</v>
      </c>
      <c r="DW156" s="31" t="n">
        <f aca="false">+DU156-DV156</f>
        <v>0</v>
      </c>
    </row>
    <row r="157" customFormat="false" ht="13.8" hidden="false" customHeight="false" outlineLevel="0" collapsed="false">
      <c r="A157" s="27" t="n">
        <v>45691</v>
      </c>
      <c r="B157" s="28" t="s">
        <v>607</v>
      </c>
      <c r="C157" s="28" t="s">
        <v>608</v>
      </c>
      <c r="D157" s="29" t="s">
        <v>609</v>
      </c>
      <c r="E157" s="28" t="s">
        <v>610</v>
      </c>
      <c r="F157" s="27" t="s">
        <v>611</v>
      </c>
      <c r="G157" s="27" t="s">
        <v>22</v>
      </c>
      <c r="H157" s="30" t="n">
        <v>150000</v>
      </c>
      <c r="I157" s="30" t="n">
        <v>150000</v>
      </c>
      <c r="J157" s="6" t="n">
        <v>0</v>
      </c>
      <c r="K157" s="6" t="n">
        <v>0</v>
      </c>
      <c r="L157" s="6" t="n">
        <v>0</v>
      </c>
      <c r="M157" s="6" t="n">
        <v>0</v>
      </c>
      <c r="N157" s="6" t="n">
        <v>0</v>
      </c>
      <c r="O157" s="6" t="n">
        <v>0</v>
      </c>
      <c r="P157" s="6" t="n">
        <f aca="false">+J157+M157</f>
        <v>0</v>
      </c>
      <c r="Q157" s="6" t="n">
        <f aca="false">+K157+N157</f>
        <v>0</v>
      </c>
      <c r="R157" s="6" t="n">
        <f aca="false">+L157+O157</f>
        <v>0</v>
      </c>
      <c r="S157" s="6" t="n">
        <v>0</v>
      </c>
      <c r="T157" s="6" t="n">
        <v>0</v>
      </c>
      <c r="U157" s="6" t="n">
        <v>0</v>
      </c>
      <c r="V157" s="6" t="n">
        <v>0</v>
      </c>
      <c r="W157" s="6" t="n">
        <v>0</v>
      </c>
      <c r="X157" s="6" t="n">
        <v>0</v>
      </c>
      <c r="Y157" s="6" t="n">
        <v>0</v>
      </c>
      <c r="Z157" s="6" t="n">
        <v>0</v>
      </c>
      <c r="AA157" s="6" t="n">
        <v>0</v>
      </c>
      <c r="AB157" s="6" t="n">
        <v>0</v>
      </c>
      <c r="AC157" s="6" t="n">
        <v>0</v>
      </c>
      <c r="AD157" s="6" t="n">
        <v>0</v>
      </c>
      <c r="AE157" s="6" t="n">
        <f aca="false">+Y157+AB157+S157+V157</f>
        <v>0</v>
      </c>
      <c r="AF157" s="6" t="n">
        <f aca="false">+Z157+AC157+T157+W157</f>
        <v>0</v>
      </c>
      <c r="AG157" s="6" t="n">
        <f aca="false">+AA157+AD157+U157+X157</f>
        <v>0</v>
      </c>
      <c r="AH157" s="6" t="n">
        <v>0</v>
      </c>
      <c r="AI157" s="6" t="n">
        <v>0</v>
      </c>
      <c r="AJ157" s="6" t="n">
        <v>0</v>
      </c>
      <c r="AK157" s="6" t="n">
        <v>0</v>
      </c>
      <c r="AL157" s="6" t="n">
        <v>0</v>
      </c>
      <c r="AM157" s="6" t="n">
        <v>0</v>
      </c>
      <c r="AN157" s="6" t="n">
        <v>0</v>
      </c>
      <c r="AO157" s="6" t="n">
        <v>0</v>
      </c>
      <c r="AP157" s="6" t="n">
        <v>0</v>
      </c>
      <c r="AQ157" s="6" t="n">
        <v>0</v>
      </c>
      <c r="AR157" s="6" t="n">
        <v>0</v>
      </c>
      <c r="AS157" s="6" t="n">
        <v>0</v>
      </c>
      <c r="AT157" s="6" t="n">
        <f aca="false">+AN157+AQ157+AH157+AK157</f>
        <v>0</v>
      </c>
      <c r="AU157" s="6" t="n">
        <f aca="false">+AO157+AR157+AI157+AL157</f>
        <v>0</v>
      </c>
      <c r="AV157" s="6" t="n">
        <f aca="false">+AP157+AS157+AJ157+AM157</f>
        <v>0</v>
      </c>
      <c r="AW157" s="6" t="n">
        <v>0</v>
      </c>
      <c r="AX157" s="6" t="n">
        <v>0</v>
      </c>
      <c r="AY157" s="6" t="n">
        <v>0</v>
      </c>
      <c r="AZ157" s="6" t="n">
        <v>0</v>
      </c>
      <c r="BA157" s="6" t="n">
        <v>0</v>
      </c>
      <c r="BB157" s="6" t="n">
        <v>0</v>
      </c>
      <c r="BC157" s="6" t="n">
        <v>0</v>
      </c>
      <c r="BD157" s="6" t="n">
        <v>0</v>
      </c>
      <c r="BE157" s="6" t="n">
        <v>0</v>
      </c>
      <c r="BF157" s="6" t="n">
        <v>0</v>
      </c>
      <c r="BG157" s="6" t="n">
        <v>0</v>
      </c>
      <c r="BH157" s="6" t="n">
        <v>0</v>
      </c>
      <c r="BI157" s="6" t="n">
        <f aca="false">+BC157+BF157+AW157+AZ157</f>
        <v>0</v>
      </c>
      <c r="BJ157" s="6" t="n">
        <f aca="false">+BD157+BG157+AX157+BA157</f>
        <v>0</v>
      </c>
      <c r="BK157" s="6" t="n">
        <f aca="false">+BE157+BH157+AY157+BB157</f>
        <v>0</v>
      </c>
      <c r="BL157" s="6" t="n">
        <v>0</v>
      </c>
      <c r="BM157" s="6" t="n">
        <v>0</v>
      </c>
      <c r="BN157" s="6" t="n">
        <v>0</v>
      </c>
      <c r="BO157" s="6" t="n">
        <v>0</v>
      </c>
      <c r="BP157" s="6" t="n">
        <v>0</v>
      </c>
      <c r="BQ157" s="6" t="n">
        <v>0</v>
      </c>
      <c r="BR157" s="6" t="n">
        <v>0</v>
      </c>
      <c r="BS157" s="6" t="n">
        <v>0</v>
      </c>
      <c r="BT157" s="6" t="n">
        <v>0</v>
      </c>
      <c r="BU157" s="6" t="n">
        <v>0</v>
      </c>
      <c r="BV157" s="6" t="n">
        <v>0</v>
      </c>
      <c r="BW157" s="6" t="n">
        <v>0</v>
      </c>
      <c r="BX157" s="6" t="n">
        <f aca="false">+BR157+BU157+BL157+BO157</f>
        <v>0</v>
      </c>
      <c r="BY157" s="6" t="n">
        <f aca="false">+BS157+BV157+BM157+BP157</f>
        <v>0</v>
      </c>
      <c r="BZ157" s="6" t="n">
        <f aca="false">+BT157+BW157+BN157+BQ157</f>
        <v>0</v>
      </c>
      <c r="CA157" s="6" t="n">
        <v>0</v>
      </c>
      <c r="CB157" s="6" t="n">
        <v>0</v>
      </c>
      <c r="CC157" s="6" t="n">
        <v>0</v>
      </c>
      <c r="CD157" s="30" t="n">
        <v>150000</v>
      </c>
      <c r="CE157" s="30" t="n">
        <v>150000</v>
      </c>
      <c r="CF157" s="6" t="n">
        <v>150000</v>
      </c>
      <c r="CG157" s="6" t="n">
        <v>0</v>
      </c>
      <c r="CH157" s="6" t="n">
        <v>0</v>
      </c>
      <c r="CI157" s="6" t="n">
        <v>0</v>
      </c>
      <c r="CJ157" s="6" t="n">
        <v>0</v>
      </c>
      <c r="CK157" s="6" t="n">
        <v>0</v>
      </c>
      <c r="CL157" s="6" t="n">
        <v>0</v>
      </c>
      <c r="CM157" s="6" t="n">
        <f aca="false">+CG157+CJ157+CA157+CD157</f>
        <v>150000</v>
      </c>
      <c r="CN157" s="6" t="n">
        <f aca="false">+CH157+CK157+CB157+CE157</f>
        <v>150000</v>
      </c>
      <c r="CO157" s="6" t="n">
        <f aca="false">+CI157+CL157+CC157+CF157</f>
        <v>150000</v>
      </c>
      <c r="CP157" s="6" t="n">
        <v>0</v>
      </c>
      <c r="CQ157" s="6" t="n">
        <v>0</v>
      </c>
      <c r="CR157" s="6" t="n">
        <v>0</v>
      </c>
      <c r="CS157" s="6" t="n">
        <v>0</v>
      </c>
      <c r="CT157" s="6" t="n">
        <v>0</v>
      </c>
      <c r="CU157" s="6" t="n">
        <v>0</v>
      </c>
      <c r="CV157" s="6" t="n">
        <v>0</v>
      </c>
      <c r="CW157" s="6" t="n">
        <v>0</v>
      </c>
      <c r="CX157" s="6" t="n">
        <v>0</v>
      </c>
      <c r="CY157" s="6" t="n">
        <v>0</v>
      </c>
      <c r="CZ157" s="6" t="n">
        <v>0</v>
      </c>
      <c r="DA157" s="6" t="n">
        <v>0</v>
      </c>
      <c r="DB157" s="6" t="n">
        <f aca="false">+CV157+CY157+CP157+CS157</f>
        <v>0</v>
      </c>
      <c r="DC157" s="6" t="n">
        <f aca="false">+CW157+CZ157+CQ157+CT157</f>
        <v>0</v>
      </c>
      <c r="DD157" s="6" t="n">
        <f aca="false">+CX157+DA157+CR157+CU157</f>
        <v>0</v>
      </c>
      <c r="DE157" s="6" t="n">
        <v>0</v>
      </c>
      <c r="DF157" s="6" t="n">
        <v>0</v>
      </c>
      <c r="DG157" s="6" t="n">
        <v>0</v>
      </c>
      <c r="DH157" s="6" t="n">
        <v>0</v>
      </c>
      <c r="DI157" s="6" t="n">
        <v>0</v>
      </c>
      <c r="DJ157" s="6" t="n">
        <v>0</v>
      </c>
      <c r="DK157" s="6" t="n">
        <v>0</v>
      </c>
      <c r="DL157" s="6" t="n">
        <v>0</v>
      </c>
      <c r="DM157" s="6" t="n">
        <v>0</v>
      </c>
      <c r="DN157" s="6" t="n">
        <v>0</v>
      </c>
      <c r="DO157" s="6" t="n">
        <v>0</v>
      </c>
      <c r="DP157" s="6" t="n">
        <v>0</v>
      </c>
      <c r="DQ157" s="6" t="n">
        <f aca="false">+DK157+DN157+DE157+DH157</f>
        <v>0</v>
      </c>
      <c r="DR157" s="6" t="n">
        <f aca="false">+DL157+DO157+DF157+DI157</f>
        <v>0</v>
      </c>
      <c r="DS157" s="6" t="n">
        <f aca="false">+DM157+DP157+DG157+DJ157</f>
        <v>0</v>
      </c>
      <c r="DT157" s="31" t="n">
        <f aca="false">+P157+AE157+AT157+BI157+BX157+CM157+DB157</f>
        <v>150000</v>
      </c>
      <c r="DU157" s="31" t="n">
        <f aca="false">+Q157+AF157+AU157+BJ157+BY157+CN157+DC157</f>
        <v>150000</v>
      </c>
      <c r="DV157" s="31" t="n">
        <f aca="false">+R157+AG157+AV157+BK157+BZ157+CO157+DD157</f>
        <v>150000</v>
      </c>
      <c r="DW157" s="31" t="n">
        <f aca="false">+DU157-DV157</f>
        <v>0</v>
      </c>
    </row>
    <row r="158" customFormat="false" ht="13.8" hidden="false" customHeight="false" outlineLevel="0" collapsed="false">
      <c r="A158" s="27" t="n">
        <v>45684</v>
      </c>
      <c r="B158" s="28" t="s">
        <v>612</v>
      </c>
      <c r="C158" s="28" t="s">
        <v>613</v>
      </c>
      <c r="D158" s="29" t="s">
        <v>614</v>
      </c>
      <c r="E158" s="28" t="s">
        <v>615</v>
      </c>
      <c r="F158" s="27" t="s">
        <v>616</v>
      </c>
      <c r="G158" s="27" t="s">
        <v>22</v>
      </c>
      <c r="H158" s="30" t="n">
        <v>4800000</v>
      </c>
      <c r="I158" s="30" t="n">
        <v>4800000</v>
      </c>
      <c r="J158" s="6" t="n">
        <v>0</v>
      </c>
      <c r="K158" s="6" t="n">
        <v>0</v>
      </c>
      <c r="L158" s="6" t="n">
        <v>0</v>
      </c>
      <c r="M158" s="6" t="n">
        <v>0</v>
      </c>
      <c r="N158" s="6" t="n">
        <v>0</v>
      </c>
      <c r="O158" s="6" t="n">
        <v>0</v>
      </c>
      <c r="P158" s="6" t="n">
        <f aca="false">+J158+M158</f>
        <v>0</v>
      </c>
      <c r="Q158" s="6" t="n">
        <f aca="false">+K158+N158</f>
        <v>0</v>
      </c>
      <c r="R158" s="6" t="n">
        <f aca="false">+L158+O158</f>
        <v>0</v>
      </c>
      <c r="S158" s="6" t="n">
        <v>0</v>
      </c>
      <c r="T158" s="6" t="n">
        <v>0</v>
      </c>
      <c r="U158" s="6" t="n">
        <v>0</v>
      </c>
      <c r="V158" s="6" t="n">
        <v>0</v>
      </c>
      <c r="W158" s="6" t="n">
        <v>0</v>
      </c>
      <c r="X158" s="6" t="n">
        <v>0</v>
      </c>
      <c r="Y158" s="6" t="n">
        <v>0</v>
      </c>
      <c r="Z158" s="6" t="n">
        <v>0</v>
      </c>
      <c r="AA158" s="6" t="n">
        <v>0</v>
      </c>
      <c r="AB158" s="6" t="n">
        <v>0</v>
      </c>
      <c r="AC158" s="6" t="n">
        <v>0</v>
      </c>
      <c r="AD158" s="6" t="n">
        <v>0</v>
      </c>
      <c r="AE158" s="6" t="n">
        <f aca="false">+Y158+AB158+S158+V158</f>
        <v>0</v>
      </c>
      <c r="AF158" s="6" t="n">
        <f aca="false">+Z158+AC158+T158+W158</f>
        <v>0</v>
      </c>
      <c r="AG158" s="6" t="n">
        <f aca="false">+AA158+AD158+U158+X158</f>
        <v>0</v>
      </c>
      <c r="AH158" s="6" t="n">
        <v>0</v>
      </c>
      <c r="AI158" s="6" t="n">
        <v>0</v>
      </c>
      <c r="AJ158" s="6" t="n">
        <v>0</v>
      </c>
      <c r="AK158" s="6" t="n">
        <v>0</v>
      </c>
      <c r="AL158" s="6" t="n">
        <v>0</v>
      </c>
      <c r="AM158" s="6" t="n">
        <v>0</v>
      </c>
      <c r="AN158" s="6" t="n">
        <v>0</v>
      </c>
      <c r="AO158" s="6" t="n">
        <v>0</v>
      </c>
      <c r="AP158" s="6" t="n">
        <v>0</v>
      </c>
      <c r="AQ158" s="6" t="n">
        <v>0</v>
      </c>
      <c r="AR158" s="6" t="n">
        <v>0</v>
      </c>
      <c r="AS158" s="6" t="n">
        <v>0</v>
      </c>
      <c r="AT158" s="6" t="n">
        <f aca="false">+AN158+AQ158+AH158+AK158</f>
        <v>0</v>
      </c>
      <c r="AU158" s="6" t="n">
        <f aca="false">+AO158+AR158+AI158+AL158</f>
        <v>0</v>
      </c>
      <c r="AV158" s="6" t="n">
        <f aca="false">+AP158+AS158+AJ158+AM158</f>
        <v>0</v>
      </c>
      <c r="AW158" s="6" t="n">
        <v>0</v>
      </c>
      <c r="AX158" s="6" t="n">
        <v>0</v>
      </c>
      <c r="AY158" s="6" t="n">
        <v>0</v>
      </c>
      <c r="AZ158" s="6" t="n">
        <v>0</v>
      </c>
      <c r="BA158" s="6" t="n">
        <v>0</v>
      </c>
      <c r="BB158" s="6" t="n">
        <v>0</v>
      </c>
      <c r="BC158" s="6" t="n">
        <v>0</v>
      </c>
      <c r="BD158" s="6" t="n">
        <v>0</v>
      </c>
      <c r="BE158" s="6" t="n">
        <v>0</v>
      </c>
      <c r="BF158" s="6" t="n">
        <v>0</v>
      </c>
      <c r="BG158" s="6" t="n">
        <v>0</v>
      </c>
      <c r="BH158" s="6" t="n">
        <v>0</v>
      </c>
      <c r="BI158" s="6" t="n">
        <f aca="false">+BC158+BF158+AW158+AZ158</f>
        <v>0</v>
      </c>
      <c r="BJ158" s="6" t="n">
        <f aca="false">+BD158+BG158+AX158+BA158</f>
        <v>0</v>
      </c>
      <c r="BK158" s="6" t="n">
        <f aca="false">+BE158+BH158+AY158+BB158</f>
        <v>0</v>
      </c>
      <c r="BL158" s="6" t="n">
        <v>0</v>
      </c>
      <c r="BM158" s="6" t="n">
        <v>0</v>
      </c>
      <c r="BN158" s="6" t="n">
        <v>0</v>
      </c>
      <c r="BO158" s="6" t="n">
        <v>0</v>
      </c>
      <c r="BP158" s="6" t="n">
        <v>0</v>
      </c>
      <c r="BQ158" s="6" t="n">
        <v>0</v>
      </c>
      <c r="BR158" s="6" t="n">
        <v>0</v>
      </c>
      <c r="BS158" s="6" t="n">
        <v>0</v>
      </c>
      <c r="BT158" s="6" t="n">
        <v>0</v>
      </c>
      <c r="BU158" s="6" t="n">
        <v>0</v>
      </c>
      <c r="BV158" s="6" t="n">
        <v>0</v>
      </c>
      <c r="BW158" s="6" t="n">
        <v>0</v>
      </c>
      <c r="BX158" s="6" t="n">
        <f aca="false">+BR158+BU158+BL158+BO158</f>
        <v>0</v>
      </c>
      <c r="BY158" s="6" t="n">
        <f aca="false">+BS158+BV158+BM158+BP158</f>
        <v>0</v>
      </c>
      <c r="BZ158" s="6" t="n">
        <f aca="false">+BT158+BW158+BN158+BQ158</f>
        <v>0</v>
      </c>
      <c r="CA158" s="6" t="n">
        <v>0</v>
      </c>
      <c r="CB158" s="6" t="n">
        <v>0</v>
      </c>
      <c r="CC158" s="6" t="n">
        <v>0</v>
      </c>
      <c r="CD158" s="30" t="n">
        <v>4800000</v>
      </c>
      <c r="CE158" s="30" t="n">
        <v>4800000</v>
      </c>
      <c r="CF158" s="6" t="n">
        <v>3800000</v>
      </c>
      <c r="CG158" s="6" t="n">
        <v>0</v>
      </c>
      <c r="CH158" s="6" t="n">
        <v>0</v>
      </c>
      <c r="CI158" s="6" t="n">
        <v>0</v>
      </c>
      <c r="CJ158" s="6" t="n">
        <v>0</v>
      </c>
      <c r="CK158" s="6" t="n">
        <v>0</v>
      </c>
      <c r="CL158" s="6" t="n">
        <v>0</v>
      </c>
      <c r="CM158" s="6" t="n">
        <f aca="false">+CG158+CJ158+CA158+CD158</f>
        <v>4800000</v>
      </c>
      <c r="CN158" s="6" t="n">
        <f aca="false">+CH158+CK158+CB158+CE158</f>
        <v>4800000</v>
      </c>
      <c r="CO158" s="6" t="n">
        <f aca="false">+CI158+CL158+CC158+CF158</f>
        <v>3800000</v>
      </c>
      <c r="CP158" s="6" t="n">
        <v>0</v>
      </c>
      <c r="CQ158" s="6" t="n">
        <v>0</v>
      </c>
      <c r="CR158" s="6" t="n">
        <v>250000</v>
      </c>
      <c r="CS158" s="6" t="n">
        <v>0</v>
      </c>
      <c r="CT158" s="6" t="n">
        <v>0</v>
      </c>
      <c r="CU158" s="6" t="n">
        <v>0</v>
      </c>
      <c r="CV158" s="6" t="n">
        <v>0</v>
      </c>
      <c r="CW158" s="6" t="n">
        <v>0</v>
      </c>
      <c r="CX158" s="6" t="n">
        <v>0</v>
      </c>
      <c r="CY158" s="6" t="n">
        <v>0</v>
      </c>
      <c r="CZ158" s="6" t="n">
        <v>0</v>
      </c>
      <c r="DA158" s="6" t="n">
        <v>0</v>
      </c>
      <c r="DB158" s="6" t="n">
        <f aca="false">+CV158+CY158+CP158+CS158</f>
        <v>0</v>
      </c>
      <c r="DC158" s="6" t="n">
        <f aca="false">+CW158+CZ158+CQ158+CT158</f>
        <v>0</v>
      </c>
      <c r="DD158" s="6" t="n">
        <f aca="false">+CX158+DA158+CR158+CU158</f>
        <v>250000</v>
      </c>
      <c r="DE158" s="6" t="n">
        <v>0</v>
      </c>
      <c r="DF158" s="6" t="n">
        <v>0</v>
      </c>
      <c r="DG158" s="6" t="n">
        <v>250000</v>
      </c>
      <c r="DH158" s="6" t="n">
        <v>0</v>
      </c>
      <c r="DI158" s="6" t="n">
        <v>0</v>
      </c>
      <c r="DJ158" s="6" t="n">
        <v>0</v>
      </c>
      <c r="DK158" s="6" t="n">
        <v>0</v>
      </c>
      <c r="DL158" s="6" t="n">
        <v>0</v>
      </c>
      <c r="DM158" s="6" t="n">
        <v>0</v>
      </c>
      <c r="DN158" s="6" t="n">
        <v>0</v>
      </c>
      <c r="DO158" s="6" t="n">
        <v>0</v>
      </c>
      <c r="DP158" s="6" t="n">
        <v>0</v>
      </c>
      <c r="DQ158" s="6" t="n">
        <f aca="false">+DK158+DN158+DE158+DH158</f>
        <v>0</v>
      </c>
      <c r="DR158" s="6" t="n">
        <f aca="false">+DL158+DO158+DF158+DI158</f>
        <v>0</v>
      </c>
      <c r="DS158" s="6" t="n">
        <f aca="false">+DM158+DP158+DG158+DJ158</f>
        <v>250000</v>
      </c>
      <c r="DT158" s="31" t="n">
        <f aca="false">+P158+AE158+AT158+BI158+BX158+CM158+DB158</f>
        <v>4800000</v>
      </c>
      <c r="DU158" s="31" t="n">
        <f aca="false">+Q158+AF158+AU158+BJ158+BY158+CN158+DC158</f>
        <v>4800000</v>
      </c>
      <c r="DV158" s="31" t="n">
        <f aca="false">+R158+AG158+AV158+BK158+BZ158+CO158+DD158</f>
        <v>4050000</v>
      </c>
      <c r="DW158" s="31" t="n">
        <f aca="false">+DU158-DV158</f>
        <v>750000</v>
      </c>
    </row>
    <row r="159" customFormat="false" ht="13.8" hidden="false" customHeight="false" outlineLevel="0" collapsed="false">
      <c r="A159" s="27" t="n">
        <v>45686</v>
      </c>
      <c r="B159" s="28" t="s">
        <v>617</v>
      </c>
      <c r="C159" s="28" t="s">
        <v>618</v>
      </c>
      <c r="D159" s="29" t="s">
        <v>619</v>
      </c>
      <c r="E159" s="28" t="s">
        <v>620</v>
      </c>
      <c r="F159" s="27" t="s">
        <v>621</v>
      </c>
      <c r="G159" s="27" t="s">
        <v>22</v>
      </c>
      <c r="H159" s="30" t="n">
        <v>162000</v>
      </c>
      <c r="I159" s="30" t="n">
        <v>162000</v>
      </c>
      <c r="J159" s="6" t="n">
        <v>0</v>
      </c>
      <c r="K159" s="6" t="n">
        <v>0</v>
      </c>
      <c r="L159" s="6" t="n">
        <v>0</v>
      </c>
      <c r="M159" s="6" t="n">
        <v>0</v>
      </c>
      <c r="N159" s="6" t="n">
        <v>0</v>
      </c>
      <c r="O159" s="6" t="n">
        <v>0</v>
      </c>
      <c r="P159" s="6" t="n">
        <f aca="false">+J159+M159</f>
        <v>0</v>
      </c>
      <c r="Q159" s="6" t="n">
        <f aca="false">+K159+N159</f>
        <v>0</v>
      </c>
      <c r="R159" s="6" t="n">
        <f aca="false">+L159+O159</f>
        <v>0</v>
      </c>
      <c r="S159" s="6" t="n">
        <v>0</v>
      </c>
      <c r="T159" s="6" t="n">
        <v>0</v>
      </c>
      <c r="U159" s="6" t="n">
        <v>0</v>
      </c>
      <c r="V159" s="6" t="n">
        <v>0</v>
      </c>
      <c r="W159" s="6" t="n">
        <v>0</v>
      </c>
      <c r="X159" s="6" t="n">
        <v>0</v>
      </c>
      <c r="Y159" s="6" t="n">
        <v>0</v>
      </c>
      <c r="Z159" s="6" t="n">
        <v>0</v>
      </c>
      <c r="AA159" s="6" t="n">
        <v>0</v>
      </c>
      <c r="AB159" s="6" t="n">
        <v>0</v>
      </c>
      <c r="AC159" s="6" t="n">
        <v>0</v>
      </c>
      <c r="AD159" s="6" t="n">
        <v>0</v>
      </c>
      <c r="AE159" s="6" t="n">
        <f aca="false">+Y159+AB159+S159+V159</f>
        <v>0</v>
      </c>
      <c r="AF159" s="6" t="n">
        <f aca="false">+Z159+AC159+T159+W159</f>
        <v>0</v>
      </c>
      <c r="AG159" s="6" t="n">
        <f aca="false">+AA159+AD159+U159+X159</f>
        <v>0</v>
      </c>
      <c r="AH159" s="6" t="n">
        <v>0</v>
      </c>
      <c r="AI159" s="6" t="n">
        <v>0</v>
      </c>
      <c r="AJ159" s="6" t="n">
        <v>0</v>
      </c>
      <c r="AK159" s="6" t="n">
        <v>0</v>
      </c>
      <c r="AL159" s="6" t="n">
        <v>0</v>
      </c>
      <c r="AM159" s="6" t="n">
        <v>0</v>
      </c>
      <c r="AN159" s="6" t="n">
        <v>0</v>
      </c>
      <c r="AO159" s="6" t="n">
        <v>0</v>
      </c>
      <c r="AP159" s="6" t="n">
        <v>0</v>
      </c>
      <c r="AQ159" s="6" t="n">
        <v>0</v>
      </c>
      <c r="AR159" s="6" t="n">
        <v>0</v>
      </c>
      <c r="AS159" s="6" t="n">
        <v>0</v>
      </c>
      <c r="AT159" s="6" t="n">
        <f aca="false">+AN159+AQ159+AH159+AK159</f>
        <v>0</v>
      </c>
      <c r="AU159" s="6" t="n">
        <f aca="false">+AO159+AR159+AI159+AL159</f>
        <v>0</v>
      </c>
      <c r="AV159" s="6" t="n">
        <f aca="false">+AP159+AS159+AJ159+AM159</f>
        <v>0</v>
      </c>
      <c r="AW159" s="6" t="n">
        <v>0</v>
      </c>
      <c r="AX159" s="6" t="n">
        <v>0</v>
      </c>
      <c r="AY159" s="6" t="n">
        <v>0</v>
      </c>
      <c r="AZ159" s="6" t="n">
        <v>0</v>
      </c>
      <c r="BA159" s="6" t="n">
        <v>0</v>
      </c>
      <c r="BB159" s="6" t="n">
        <v>0</v>
      </c>
      <c r="BC159" s="6" t="n">
        <v>0</v>
      </c>
      <c r="BD159" s="6" t="n">
        <v>0</v>
      </c>
      <c r="BE159" s="6" t="n">
        <v>0</v>
      </c>
      <c r="BF159" s="6" t="n">
        <v>0</v>
      </c>
      <c r="BG159" s="6" t="n">
        <v>0</v>
      </c>
      <c r="BH159" s="6" t="n">
        <v>0</v>
      </c>
      <c r="BI159" s="6" t="n">
        <f aca="false">+BC159+BF159+AW159+AZ159</f>
        <v>0</v>
      </c>
      <c r="BJ159" s="6" t="n">
        <f aca="false">+BD159+BG159+AX159+BA159</f>
        <v>0</v>
      </c>
      <c r="BK159" s="6" t="n">
        <f aca="false">+BE159+BH159+AY159+BB159</f>
        <v>0</v>
      </c>
      <c r="BL159" s="6" t="n">
        <v>0</v>
      </c>
      <c r="BM159" s="6" t="n">
        <v>0</v>
      </c>
      <c r="BN159" s="6" t="n">
        <v>0</v>
      </c>
      <c r="BO159" s="6" t="n">
        <v>0</v>
      </c>
      <c r="BP159" s="6" t="n">
        <v>0</v>
      </c>
      <c r="BQ159" s="6" t="n">
        <v>0</v>
      </c>
      <c r="BR159" s="6" t="n">
        <v>0</v>
      </c>
      <c r="BS159" s="6" t="n">
        <v>0</v>
      </c>
      <c r="BT159" s="6" t="n">
        <v>0</v>
      </c>
      <c r="BU159" s="6" t="n">
        <v>0</v>
      </c>
      <c r="BV159" s="6" t="n">
        <v>0</v>
      </c>
      <c r="BW159" s="6" t="n">
        <v>0</v>
      </c>
      <c r="BX159" s="6" t="n">
        <f aca="false">+BR159+BU159+BL159+BO159</f>
        <v>0</v>
      </c>
      <c r="BY159" s="6" t="n">
        <f aca="false">+BS159+BV159+BM159+BP159</f>
        <v>0</v>
      </c>
      <c r="BZ159" s="6" t="n">
        <f aca="false">+BT159+BW159+BN159+BQ159</f>
        <v>0</v>
      </c>
      <c r="CA159" s="6" t="n">
        <v>0</v>
      </c>
      <c r="CB159" s="6" t="n">
        <v>0</v>
      </c>
      <c r="CC159" s="6" t="n">
        <v>0</v>
      </c>
      <c r="CD159" s="30" t="n">
        <v>162000</v>
      </c>
      <c r="CE159" s="30" t="n">
        <v>162000</v>
      </c>
      <c r="CF159" s="6" t="n">
        <v>162000</v>
      </c>
      <c r="CG159" s="6" t="n">
        <v>0</v>
      </c>
      <c r="CH159" s="6" t="n">
        <v>0</v>
      </c>
      <c r="CI159" s="6" t="n">
        <v>0</v>
      </c>
      <c r="CJ159" s="6" t="n">
        <v>0</v>
      </c>
      <c r="CK159" s="6" t="n">
        <v>0</v>
      </c>
      <c r="CL159" s="6" t="n">
        <v>0</v>
      </c>
      <c r="CM159" s="6" t="n">
        <f aca="false">+CG159+CJ159+CA159+CD159</f>
        <v>162000</v>
      </c>
      <c r="CN159" s="6" t="n">
        <f aca="false">+CH159+CK159+CB159+CE159</f>
        <v>162000</v>
      </c>
      <c r="CO159" s="6" t="n">
        <f aca="false">+CI159+CL159+CC159+CF159</f>
        <v>162000</v>
      </c>
      <c r="CP159" s="6" t="n">
        <v>0</v>
      </c>
      <c r="CQ159" s="6" t="n">
        <v>0</v>
      </c>
      <c r="CR159" s="6" t="n">
        <v>0</v>
      </c>
      <c r="CS159" s="6" t="n">
        <v>0</v>
      </c>
      <c r="CT159" s="6" t="n">
        <v>0</v>
      </c>
      <c r="CU159" s="6" t="n">
        <v>0</v>
      </c>
      <c r="CV159" s="6" t="n">
        <v>0</v>
      </c>
      <c r="CW159" s="6" t="n">
        <v>0</v>
      </c>
      <c r="CX159" s="6" t="n">
        <v>0</v>
      </c>
      <c r="CY159" s="6" t="n">
        <v>0</v>
      </c>
      <c r="CZ159" s="6" t="n">
        <v>0</v>
      </c>
      <c r="DA159" s="6" t="n">
        <v>0</v>
      </c>
      <c r="DB159" s="6" t="n">
        <f aca="false">+CV159+CY159+CP159+CS159</f>
        <v>0</v>
      </c>
      <c r="DC159" s="6" t="n">
        <f aca="false">+CW159+CZ159+CQ159+CT159</f>
        <v>0</v>
      </c>
      <c r="DD159" s="6" t="n">
        <f aca="false">+CX159+DA159+CR159+CU159</f>
        <v>0</v>
      </c>
      <c r="DE159" s="6" t="n">
        <v>0</v>
      </c>
      <c r="DF159" s="6" t="n">
        <v>0</v>
      </c>
      <c r="DG159" s="6" t="n">
        <v>0</v>
      </c>
      <c r="DH159" s="6" t="n">
        <v>0</v>
      </c>
      <c r="DI159" s="6" t="n">
        <v>0</v>
      </c>
      <c r="DJ159" s="6" t="n">
        <v>0</v>
      </c>
      <c r="DK159" s="6" t="n">
        <v>0</v>
      </c>
      <c r="DL159" s="6" t="n">
        <v>0</v>
      </c>
      <c r="DM159" s="6" t="n">
        <v>0</v>
      </c>
      <c r="DN159" s="6" t="n">
        <v>0</v>
      </c>
      <c r="DO159" s="6" t="n">
        <v>0</v>
      </c>
      <c r="DP159" s="6" t="n">
        <v>0</v>
      </c>
      <c r="DQ159" s="6" t="n">
        <f aca="false">+DK159+DN159+DE159+DH159</f>
        <v>0</v>
      </c>
      <c r="DR159" s="6" t="n">
        <f aca="false">+DL159+DO159+DF159+DI159</f>
        <v>0</v>
      </c>
      <c r="DS159" s="6" t="n">
        <f aca="false">+DM159+DP159+DG159+DJ159</f>
        <v>0</v>
      </c>
      <c r="DT159" s="31" t="n">
        <f aca="false">+P159+AE159+AT159+BI159+BX159+CM159+DB159</f>
        <v>162000</v>
      </c>
      <c r="DU159" s="31" t="n">
        <f aca="false">+Q159+AF159+AU159+BJ159+BY159+CN159+DC159</f>
        <v>162000</v>
      </c>
      <c r="DV159" s="31" t="n">
        <f aca="false">+R159+AG159+AV159+BK159+BZ159+CO159+DD159</f>
        <v>162000</v>
      </c>
      <c r="DW159" s="31" t="n">
        <f aca="false">+DU159-DV159</f>
        <v>0</v>
      </c>
    </row>
    <row r="160" customFormat="false" ht="13.8" hidden="false" customHeight="false" outlineLevel="0" collapsed="false">
      <c r="A160" s="27" t="n">
        <v>45687</v>
      </c>
      <c r="B160" s="28" t="s">
        <v>622</v>
      </c>
      <c r="C160" s="28" t="s">
        <v>623</v>
      </c>
      <c r="D160" s="29" t="s">
        <v>624</v>
      </c>
      <c r="E160" s="28" t="s">
        <v>625</v>
      </c>
      <c r="F160" s="27" t="s">
        <v>626</v>
      </c>
      <c r="G160" s="27" t="s">
        <v>22</v>
      </c>
      <c r="H160" s="30" t="n">
        <v>350000</v>
      </c>
      <c r="I160" s="30" t="n">
        <v>350000</v>
      </c>
      <c r="J160" s="6" t="n">
        <v>0</v>
      </c>
      <c r="K160" s="6" t="n">
        <v>0</v>
      </c>
      <c r="L160" s="6" t="n">
        <v>0</v>
      </c>
      <c r="M160" s="6" t="n">
        <v>0</v>
      </c>
      <c r="N160" s="6" t="n">
        <v>0</v>
      </c>
      <c r="O160" s="6" t="n">
        <v>0</v>
      </c>
      <c r="P160" s="6" t="n">
        <f aca="false">+J160+M160</f>
        <v>0</v>
      </c>
      <c r="Q160" s="6" t="n">
        <f aca="false">+K160+N160</f>
        <v>0</v>
      </c>
      <c r="R160" s="6" t="n">
        <f aca="false">+L160+O160</f>
        <v>0</v>
      </c>
      <c r="S160" s="6" t="n">
        <v>0</v>
      </c>
      <c r="T160" s="6" t="n">
        <v>0</v>
      </c>
      <c r="U160" s="6" t="n">
        <v>0</v>
      </c>
      <c r="V160" s="6" t="n">
        <v>0</v>
      </c>
      <c r="W160" s="6" t="n">
        <v>0</v>
      </c>
      <c r="X160" s="6" t="n">
        <v>0</v>
      </c>
      <c r="Y160" s="6" t="n">
        <v>0</v>
      </c>
      <c r="Z160" s="6" t="n">
        <v>0</v>
      </c>
      <c r="AA160" s="6" t="n">
        <v>0</v>
      </c>
      <c r="AB160" s="6" t="n">
        <v>0</v>
      </c>
      <c r="AC160" s="6" t="n">
        <v>0</v>
      </c>
      <c r="AD160" s="6" t="n">
        <v>0</v>
      </c>
      <c r="AE160" s="6" t="n">
        <f aca="false">+Y160+AB160+S160+V160</f>
        <v>0</v>
      </c>
      <c r="AF160" s="6" t="n">
        <f aca="false">+Z160+AC160+T160+W160</f>
        <v>0</v>
      </c>
      <c r="AG160" s="6" t="n">
        <f aca="false">+AA160+AD160+U160+X160</f>
        <v>0</v>
      </c>
      <c r="AH160" s="6" t="n">
        <v>0</v>
      </c>
      <c r="AI160" s="6" t="n">
        <v>0</v>
      </c>
      <c r="AJ160" s="6" t="n">
        <v>0</v>
      </c>
      <c r="AK160" s="6" t="n">
        <v>0</v>
      </c>
      <c r="AL160" s="6" t="n">
        <v>0</v>
      </c>
      <c r="AM160" s="6" t="n">
        <v>0</v>
      </c>
      <c r="AN160" s="6" t="n">
        <v>0</v>
      </c>
      <c r="AO160" s="6" t="n">
        <v>0</v>
      </c>
      <c r="AP160" s="6" t="n">
        <v>0</v>
      </c>
      <c r="AQ160" s="6" t="n">
        <v>0</v>
      </c>
      <c r="AR160" s="6" t="n">
        <v>0</v>
      </c>
      <c r="AS160" s="6" t="n">
        <v>0</v>
      </c>
      <c r="AT160" s="6" t="n">
        <f aca="false">+AN160+AQ160+AH160+AK160</f>
        <v>0</v>
      </c>
      <c r="AU160" s="6" t="n">
        <f aca="false">+AO160+AR160+AI160+AL160</f>
        <v>0</v>
      </c>
      <c r="AV160" s="6" t="n">
        <f aca="false">+AP160+AS160+AJ160+AM160</f>
        <v>0</v>
      </c>
      <c r="AW160" s="6" t="n">
        <v>0</v>
      </c>
      <c r="AX160" s="6" t="n">
        <v>0</v>
      </c>
      <c r="AY160" s="6" t="n">
        <v>0</v>
      </c>
      <c r="AZ160" s="6" t="n">
        <v>0</v>
      </c>
      <c r="BA160" s="6" t="n">
        <v>0</v>
      </c>
      <c r="BB160" s="6" t="n">
        <v>0</v>
      </c>
      <c r="BC160" s="6" t="n">
        <v>0</v>
      </c>
      <c r="BD160" s="6" t="n">
        <v>0</v>
      </c>
      <c r="BE160" s="6" t="n">
        <v>0</v>
      </c>
      <c r="BF160" s="6" t="n">
        <v>0</v>
      </c>
      <c r="BG160" s="6" t="n">
        <v>0</v>
      </c>
      <c r="BH160" s="6" t="n">
        <v>0</v>
      </c>
      <c r="BI160" s="6" t="n">
        <f aca="false">+BC160+BF160+AW160+AZ160</f>
        <v>0</v>
      </c>
      <c r="BJ160" s="6" t="n">
        <f aca="false">+BD160+BG160+AX160+BA160</f>
        <v>0</v>
      </c>
      <c r="BK160" s="6" t="n">
        <f aca="false">+BE160+BH160+AY160+BB160</f>
        <v>0</v>
      </c>
      <c r="BL160" s="6" t="n">
        <v>0</v>
      </c>
      <c r="BM160" s="6" t="n">
        <v>0</v>
      </c>
      <c r="BN160" s="6" t="n">
        <v>0</v>
      </c>
      <c r="BO160" s="6" t="n">
        <v>0</v>
      </c>
      <c r="BP160" s="6" t="n">
        <v>0</v>
      </c>
      <c r="BQ160" s="6" t="n">
        <v>0</v>
      </c>
      <c r="BR160" s="6" t="n">
        <v>0</v>
      </c>
      <c r="BS160" s="6" t="n">
        <v>0</v>
      </c>
      <c r="BT160" s="6" t="n">
        <v>0</v>
      </c>
      <c r="BU160" s="6" t="n">
        <v>0</v>
      </c>
      <c r="BV160" s="6" t="n">
        <v>0</v>
      </c>
      <c r="BW160" s="6" t="n">
        <v>0</v>
      </c>
      <c r="BX160" s="6" t="n">
        <f aca="false">+BR160+BU160+BL160+BO160</f>
        <v>0</v>
      </c>
      <c r="BY160" s="6" t="n">
        <f aca="false">+BS160+BV160+BM160+BP160</f>
        <v>0</v>
      </c>
      <c r="BZ160" s="6" t="n">
        <f aca="false">+BT160+BW160+BN160+BQ160</f>
        <v>0</v>
      </c>
      <c r="CA160" s="6" t="n">
        <v>0</v>
      </c>
      <c r="CB160" s="6" t="n">
        <v>0</v>
      </c>
      <c r="CC160" s="6" t="n">
        <v>0</v>
      </c>
      <c r="CD160" s="30" t="n">
        <v>350000</v>
      </c>
      <c r="CE160" s="30" t="n">
        <v>350000</v>
      </c>
      <c r="CF160" s="6" t="n">
        <v>175000</v>
      </c>
      <c r="CG160" s="6" t="n">
        <v>0</v>
      </c>
      <c r="CH160" s="6" t="n">
        <v>0</v>
      </c>
      <c r="CI160" s="6" t="n">
        <v>0</v>
      </c>
      <c r="CJ160" s="6" t="n">
        <v>0</v>
      </c>
      <c r="CK160" s="6" t="n">
        <v>0</v>
      </c>
      <c r="CL160" s="6" t="n">
        <v>175000</v>
      </c>
      <c r="CM160" s="6" t="n">
        <f aca="false">+CG160+CJ160+CA160+CD160</f>
        <v>350000</v>
      </c>
      <c r="CN160" s="6" t="n">
        <f aca="false">+CH160+CK160+CB160+CE160</f>
        <v>350000</v>
      </c>
      <c r="CO160" s="6" t="n">
        <f aca="false">+CI160+CL160+CC160+CF160</f>
        <v>350000</v>
      </c>
      <c r="CP160" s="6" t="n">
        <v>0</v>
      </c>
      <c r="CQ160" s="6" t="n">
        <v>0</v>
      </c>
      <c r="CR160" s="6" t="n">
        <v>0</v>
      </c>
      <c r="CS160" s="6" t="n">
        <v>0</v>
      </c>
      <c r="CT160" s="6" t="n">
        <v>0</v>
      </c>
      <c r="CU160" s="6" t="n">
        <v>0</v>
      </c>
      <c r="CV160" s="6" t="n">
        <v>0</v>
      </c>
      <c r="CW160" s="6" t="n">
        <v>0</v>
      </c>
      <c r="CX160" s="6" t="n">
        <v>0</v>
      </c>
      <c r="CY160" s="6" t="n">
        <v>0</v>
      </c>
      <c r="CZ160" s="6" t="n">
        <v>0</v>
      </c>
      <c r="DA160" s="6" t="n">
        <v>0</v>
      </c>
      <c r="DB160" s="6" t="n">
        <f aca="false">+CV160+CY160+CP160+CS160</f>
        <v>0</v>
      </c>
      <c r="DC160" s="6" t="n">
        <f aca="false">+CW160+CZ160+CQ160+CT160</f>
        <v>0</v>
      </c>
      <c r="DD160" s="6" t="n">
        <f aca="false">+CX160+DA160+CR160+CU160</f>
        <v>0</v>
      </c>
      <c r="DE160" s="6" t="n">
        <v>0</v>
      </c>
      <c r="DF160" s="6" t="n">
        <v>0</v>
      </c>
      <c r="DG160" s="6" t="n">
        <v>0</v>
      </c>
      <c r="DH160" s="6" t="n">
        <v>0</v>
      </c>
      <c r="DI160" s="6" t="n">
        <v>0</v>
      </c>
      <c r="DJ160" s="6" t="n">
        <v>0</v>
      </c>
      <c r="DK160" s="6" t="n">
        <v>0</v>
      </c>
      <c r="DL160" s="6" t="n">
        <v>0</v>
      </c>
      <c r="DM160" s="6" t="n">
        <v>0</v>
      </c>
      <c r="DN160" s="6" t="n">
        <v>0</v>
      </c>
      <c r="DO160" s="6" t="n">
        <v>0</v>
      </c>
      <c r="DP160" s="6" t="n">
        <v>0</v>
      </c>
      <c r="DQ160" s="6" t="n">
        <f aca="false">+DK160+DN160+DE160+DH160</f>
        <v>0</v>
      </c>
      <c r="DR160" s="6" t="n">
        <f aca="false">+DL160+DO160+DF160+DI160</f>
        <v>0</v>
      </c>
      <c r="DS160" s="6" t="n">
        <f aca="false">+DM160+DP160+DG160+DJ160</f>
        <v>0</v>
      </c>
      <c r="DT160" s="31" t="n">
        <f aca="false">+P160+AE160+AT160+BI160+BX160+CM160+DB160</f>
        <v>350000</v>
      </c>
      <c r="DU160" s="31" t="n">
        <f aca="false">+Q160+AF160+AU160+BJ160+BY160+CN160+DC160</f>
        <v>350000</v>
      </c>
      <c r="DV160" s="31" t="n">
        <f aca="false">+R160+AG160+AV160+BK160+BZ160+CO160+DD160</f>
        <v>350000</v>
      </c>
      <c r="DW160" s="31" t="n">
        <f aca="false">+DU160-DV160</f>
        <v>0</v>
      </c>
    </row>
    <row r="161" customFormat="false" ht="13.8" hidden="false" customHeight="false" outlineLevel="0" collapsed="false">
      <c r="A161" s="27" t="n">
        <v>45671</v>
      </c>
      <c r="B161" s="28" t="s">
        <v>627</v>
      </c>
      <c r="C161" s="28" t="s">
        <v>628</v>
      </c>
      <c r="D161" s="29" t="s">
        <v>629</v>
      </c>
      <c r="E161" s="28" t="s">
        <v>630</v>
      </c>
      <c r="F161" s="27" t="s">
        <v>626</v>
      </c>
      <c r="G161" s="27" t="s">
        <v>22</v>
      </c>
      <c r="H161" s="30" t="n">
        <v>62500</v>
      </c>
      <c r="I161" s="30" t="n">
        <v>62500</v>
      </c>
      <c r="J161" s="6" t="n">
        <v>0</v>
      </c>
      <c r="K161" s="6" t="n">
        <v>0</v>
      </c>
      <c r="L161" s="6" t="n">
        <v>0</v>
      </c>
      <c r="M161" s="6" t="n">
        <v>0</v>
      </c>
      <c r="N161" s="6" t="n">
        <v>0</v>
      </c>
      <c r="O161" s="6" t="n">
        <v>0</v>
      </c>
      <c r="P161" s="6" t="n">
        <f aca="false">+J161+M161</f>
        <v>0</v>
      </c>
      <c r="Q161" s="6" t="n">
        <f aca="false">+K161+N161</f>
        <v>0</v>
      </c>
      <c r="R161" s="6" t="n">
        <f aca="false">+L161+O161</f>
        <v>0</v>
      </c>
      <c r="S161" s="6" t="n">
        <v>0</v>
      </c>
      <c r="T161" s="6" t="n">
        <v>0</v>
      </c>
      <c r="U161" s="6" t="n">
        <v>0</v>
      </c>
      <c r="V161" s="6" t="n">
        <v>0</v>
      </c>
      <c r="W161" s="6" t="n">
        <v>0</v>
      </c>
      <c r="X161" s="6" t="n">
        <v>0</v>
      </c>
      <c r="Y161" s="6" t="n">
        <v>0</v>
      </c>
      <c r="Z161" s="6" t="n">
        <v>0</v>
      </c>
      <c r="AA161" s="6" t="n">
        <v>0</v>
      </c>
      <c r="AB161" s="6" t="n">
        <v>0</v>
      </c>
      <c r="AC161" s="6" t="n">
        <v>0</v>
      </c>
      <c r="AD161" s="6" t="n">
        <v>0</v>
      </c>
      <c r="AE161" s="6" t="n">
        <f aca="false">+Y161+AB161+S161+V161</f>
        <v>0</v>
      </c>
      <c r="AF161" s="6" t="n">
        <f aca="false">+Z161+AC161+T161+W161</f>
        <v>0</v>
      </c>
      <c r="AG161" s="6" t="n">
        <f aca="false">+AA161+AD161+U161+X161</f>
        <v>0</v>
      </c>
      <c r="AH161" s="6" t="n">
        <v>0</v>
      </c>
      <c r="AI161" s="6" t="n">
        <v>0</v>
      </c>
      <c r="AJ161" s="6" t="n">
        <v>0</v>
      </c>
      <c r="AK161" s="6" t="n">
        <v>0</v>
      </c>
      <c r="AL161" s="6" t="n">
        <v>0</v>
      </c>
      <c r="AM161" s="6" t="n">
        <v>0</v>
      </c>
      <c r="AN161" s="6" t="n">
        <v>0</v>
      </c>
      <c r="AO161" s="6" t="n">
        <v>0</v>
      </c>
      <c r="AP161" s="6" t="n">
        <v>0</v>
      </c>
      <c r="AQ161" s="6" t="n">
        <v>0</v>
      </c>
      <c r="AR161" s="6" t="n">
        <v>0</v>
      </c>
      <c r="AS161" s="6" t="n">
        <v>0</v>
      </c>
      <c r="AT161" s="6" t="n">
        <f aca="false">+AN161+AQ161+AH161+AK161</f>
        <v>0</v>
      </c>
      <c r="AU161" s="6" t="n">
        <f aca="false">+AO161+AR161+AI161+AL161</f>
        <v>0</v>
      </c>
      <c r="AV161" s="6" t="n">
        <f aca="false">+AP161+AS161+AJ161+AM161</f>
        <v>0</v>
      </c>
      <c r="AW161" s="6" t="n">
        <v>0</v>
      </c>
      <c r="AX161" s="6" t="n">
        <v>0</v>
      </c>
      <c r="AY161" s="6" t="n">
        <v>0</v>
      </c>
      <c r="AZ161" s="6" t="n">
        <v>0</v>
      </c>
      <c r="BA161" s="6" t="n">
        <v>0</v>
      </c>
      <c r="BB161" s="6" t="n">
        <v>0</v>
      </c>
      <c r="BC161" s="6" t="n">
        <v>0</v>
      </c>
      <c r="BD161" s="6" t="n">
        <v>0</v>
      </c>
      <c r="BE161" s="6" t="n">
        <v>0</v>
      </c>
      <c r="BF161" s="6" t="n">
        <v>0</v>
      </c>
      <c r="BG161" s="6" t="n">
        <v>0</v>
      </c>
      <c r="BH161" s="6" t="n">
        <v>0</v>
      </c>
      <c r="BI161" s="6" t="n">
        <f aca="false">+BC161+BF161+AW161+AZ161</f>
        <v>0</v>
      </c>
      <c r="BJ161" s="6" t="n">
        <f aca="false">+BD161+BG161+AX161+BA161</f>
        <v>0</v>
      </c>
      <c r="BK161" s="6" t="n">
        <f aca="false">+BE161+BH161+AY161+BB161</f>
        <v>0</v>
      </c>
      <c r="BL161" s="6" t="n">
        <v>0</v>
      </c>
      <c r="BM161" s="6" t="n">
        <v>0</v>
      </c>
      <c r="BN161" s="6" t="n">
        <v>0</v>
      </c>
      <c r="BO161" s="6" t="n">
        <v>0</v>
      </c>
      <c r="BP161" s="6" t="n">
        <v>0</v>
      </c>
      <c r="BQ161" s="6" t="n">
        <v>0</v>
      </c>
      <c r="BR161" s="6" t="n">
        <v>0</v>
      </c>
      <c r="BS161" s="6" t="n">
        <v>0</v>
      </c>
      <c r="BT161" s="6" t="n">
        <v>0</v>
      </c>
      <c r="BU161" s="6" t="n">
        <v>0</v>
      </c>
      <c r="BV161" s="6" t="n">
        <v>0</v>
      </c>
      <c r="BW161" s="6" t="n">
        <v>0</v>
      </c>
      <c r="BX161" s="6" t="n">
        <f aca="false">+BR161+BU161+BL161+BO161</f>
        <v>0</v>
      </c>
      <c r="BY161" s="6" t="n">
        <f aca="false">+BS161+BV161+BM161+BP161</f>
        <v>0</v>
      </c>
      <c r="BZ161" s="6" t="n">
        <f aca="false">+BT161+BW161+BN161+BQ161</f>
        <v>0</v>
      </c>
      <c r="CA161" s="6" t="n">
        <v>0</v>
      </c>
      <c r="CB161" s="6" t="n">
        <v>0</v>
      </c>
      <c r="CC161" s="6" t="n">
        <v>0</v>
      </c>
      <c r="CD161" s="30" t="n">
        <v>62500</v>
      </c>
      <c r="CE161" s="30" t="n">
        <v>62500</v>
      </c>
      <c r="CF161" s="6" t="n">
        <v>62500</v>
      </c>
      <c r="CG161" s="6" t="n">
        <v>0</v>
      </c>
      <c r="CH161" s="6" t="n">
        <v>0</v>
      </c>
      <c r="CI161" s="6" t="n">
        <v>0</v>
      </c>
      <c r="CJ161" s="6" t="n">
        <v>0</v>
      </c>
      <c r="CK161" s="6" t="n">
        <v>0</v>
      </c>
      <c r="CL161" s="6" t="n">
        <v>0</v>
      </c>
      <c r="CM161" s="6" t="n">
        <f aca="false">+CG161+CJ161+CA161+CD161</f>
        <v>62500</v>
      </c>
      <c r="CN161" s="6" t="n">
        <f aca="false">+CH161+CK161+CB161+CE161</f>
        <v>62500</v>
      </c>
      <c r="CO161" s="6" t="n">
        <f aca="false">+CI161+CL161+CC161+CF161</f>
        <v>62500</v>
      </c>
      <c r="CP161" s="6" t="n">
        <v>0</v>
      </c>
      <c r="CQ161" s="6" t="n">
        <v>0</v>
      </c>
      <c r="CR161" s="6" t="n">
        <v>0</v>
      </c>
      <c r="CS161" s="6" t="n">
        <v>0</v>
      </c>
      <c r="CT161" s="6" t="n">
        <v>0</v>
      </c>
      <c r="CU161" s="6" t="n">
        <v>0</v>
      </c>
      <c r="CV161" s="6" t="n">
        <v>0</v>
      </c>
      <c r="CW161" s="6" t="n">
        <v>0</v>
      </c>
      <c r="CX161" s="6" t="n">
        <v>0</v>
      </c>
      <c r="CY161" s="6" t="n">
        <v>0</v>
      </c>
      <c r="CZ161" s="6" t="n">
        <v>0</v>
      </c>
      <c r="DA161" s="6" t="n">
        <v>0</v>
      </c>
      <c r="DB161" s="6" t="n">
        <f aca="false">+CV161+CY161+CP161+CS161</f>
        <v>0</v>
      </c>
      <c r="DC161" s="6" t="n">
        <f aca="false">+CW161+CZ161+CQ161+CT161</f>
        <v>0</v>
      </c>
      <c r="DD161" s="6" t="n">
        <f aca="false">+CX161+DA161+CR161+CU161</f>
        <v>0</v>
      </c>
      <c r="DE161" s="6" t="n">
        <v>0</v>
      </c>
      <c r="DF161" s="6" t="n">
        <v>0</v>
      </c>
      <c r="DG161" s="6" t="n">
        <v>0</v>
      </c>
      <c r="DH161" s="6" t="n">
        <v>0</v>
      </c>
      <c r="DI161" s="6" t="n">
        <v>0</v>
      </c>
      <c r="DJ161" s="6" t="n">
        <v>0</v>
      </c>
      <c r="DK161" s="6" t="n">
        <v>0</v>
      </c>
      <c r="DL161" s="6" t="n">
        <v>0</v>
      </c>
      <c r="DM161" s="6" t="n">
        <v>0</v>
      </c>
      <c r="DN161" s="6" t="n">
        <v>0</v>
      </c>
      <c r="DO161" s="6" t="n">
        <v>0</v>
      </c>
      <c r="DP161" s="6" t="n">
        <v>0</v>
      </c>
      <c r="DQ161" s="6" t="n">
        <f aca="false">+DK161+DN161+DE161+DH161</f>
        <v>0</v>
      </c>
      <c r="DR161" s="6" t="n">
        <f aca="false">+DL161+DO161+DF161+DI161</f>
        <v>0</v>
      </c>
      <c r="DS161" s="6" t="n">
        <f aca="false">+DM161+DP161+DG161+DJ161</f>
        <v>0</v>
      </c>
      <c r="DT161" s="31" t="n">
        <f aca="false">+P161+AE161+AT161+BI161+BX161+CM161+DB161</f>
        <v>62500</v>
      </c>
      <c r="DU161" s="31" t="n">
        <f aca="false">+Q161+AF161+AU161+BJ161+BY161+CN161+DC161</f>
        <v>62500</v>
      </c>
      <c r="DV161" s="31" t="n">
        <f aca="false">+R161+AG161+AV161+BK161+BZ161+CO161+DD161</f>
        <v>62500</v>
      </c>
      <c r="DW161" s="31" t="n">
        <f aca="false">+DU161-DV161</f>
        <v>0</v>
      </c>
    </row>
    <row r="162" customFormat="false" ht="13.8" hidden="false" customHeight="false" outlineLevel="0" collapsed="false">
      <c r="A162" s="27" t="n">
        <v>45671</v>
      </c>
      <c r="B162" s="28" t="s">
        <v>627</v>
      </c>
      <c r="C162" s="28" t="s">
        <v>628</v>
      </c>
      <c r="D162" s="29" t="s">
        <v>629</v>
      </c>
      <c r="E162" s="28" t="s">
        <v>630</v>
      </c>
      <c r="F162" s="27" t="s">
        <v>626</v>
      </c>
      <c r="G162" s="27" t="s">
        <v>22</v>
      </c>
      <c r="H162" s="30" t="n">
        <v>187500</v>
      </c>
      <c r="I162" s="30" t="n">
        <v>187500</v>
      </c>
      <c r="J162" s="6" t="n">
        <v>0</v>
      </c>
      <c r="K162" s="6" t="n">
        <v>0</v>
      </c>
      <c r="L162" s="6" t="n">
        <v>0</v>
      </c>
      <c r="M162" s="6" t="n">
        <v>0</v>
      </c>
      <c r="N162" s="6" t="n">
        <v>0</v>
      </c>
      <c r="O162" s="6" t="n">
        <v>0</v>
      </c>
      <c r="P162" s="6" t="n">
        <f aca="false">+J162+M162</f>
        <v>0</v>
      </c>
      <c r="Q162" s="6" t="n">
        <f aca="false">+K162+N162</f>
        <v>0</v>
      </c>
      <c r="R162" s="6" t="n">
        <f aca="false">+L162+O162</f>
        <v>0</v>
      </c>
      <c r="S162" s="6" t="n">
        <v>0</v>
      </c>
      <c r="T162" s="6" t="n">
        <v>0</v>
      </c>
      <c r="U162" s="6" t="n">
        <v>0</v>
      </c>
      <c r="V162" s="6" t="n">
        <v>0</v>
      </c>
      <c r="W162" s="6" t="n">
        <v>0</v>
      </c>
      <c r="X162" s="6" t="n">
        <v>0</v>
      </c>
      <c r="Y162" s="6" t="n">
        <v>0</v>
      </c>
      <c r="Z162" s="6" t="n">
        <v>0</v>
      </c>
      <c r="AA162" s="6" t="n">
        <v>0</v>
      </c>
      <c r="AB162" s="6" t="n">
        <v>0</v>
      </c>
      <c r="AC162" s="6" t="n">
        <v>0</v>
      </c>
      <c r="AD162" s="6" t="n">
        <v>0</v>
      </c>
      <c r="AE162" s="6" t="n">
        <f aca="false">+Y162+AB162+S162+V162</f>
        <v>0</v>
      </c>
      <c r="AF162" s="6" t="n">
        <f aca="false">+Z162+AC162+T162+W162</f>
        <v>0</v>
      </c>
      <c r="AG162" s="6" t="n">
        <f aca="false">+AA162+AD162+U162+X162</f>
        <v>0</v>
      </c>
      <c r="AH162" s="6" t="n">
        <v>0</v>
      </c>
      <c r="AI162" s="6" t="n">
        <v>0</v>
      </c>
      <c r="AJ162" s="6" t="n">
        <v>0</v>
      </c>
      <c r="AK162" s="6" t="n">
        <v>0</v>
      </c>
      <c r="AL162" s="6" t="n">
        <v>0</v>
      </c>
      <c r="AM162" s="6" t="n">
        <v>0</v>
      </c>
      <c r="AN162" s="6" t="n">
        <v>0</v>
      </c>
      <c r="AO162" s="6" t="n">
        <v>0</v>
      </c>
      <c r="AP162" s="6" t="n">
        <v>0</v>
      </c>
      <c r="AQ162" s="6" t="n">
        <v>0</v>
      </c>
      <c r="AR162" s="6" t="n">
        <v>0</v>
      </c>
      <c r="AS162" s="6" t="n">
        <v>0</v>
      </c>
      <c r="AT162" s="6" t="n">
        <f aca="false">+AN162+AQ162+AH162+AK162</f>
        <v>0</v>
      </c>
      <c r="AU162" s="6" t="n">
        <f aca="false">+AO162+AR162+AI162+AL162</f>
        <v>0</v>
      </c>
      <c r="AV162" s="6" t="n">
        <f aca="false">+AP162+AS162+AJ162+AM162</f>
        <v>0</v>
      </c>
      <c r="AW162" s="6" t="n">
        <v>0</v>
      </c>
      <c r="AX162" s="6" t="n">
        <v>0</v>
      </c>
      <c r="AY162" s="6" t="n">
        <v>0</v>
      </c>
      <c r="AZ162" s="6" t="n">
        <v>0</v>
      </c>
      <c r="BA162" s="6" t="n">
        <v>0</v>
      </c>
      <c r="BB162" s="6" t="n">
        <v>0</v>
      </c>
      <c r="BC162" s="6" t="n">
        <v>0</v>
      </c>
      <c r="BD162" s="6" t="n">
        <v>0</v>
      </c>
      <c r="BE162" s="6" t="n">
        <v>0</v>
      </c>
      <c r="BF162" s="6" t="n">
        <v>0</v>
      </c>
      <c r="BG162" s="6" t="n">
        <v>0</v>
      </c>
      <c r="BH162" s="6" t="n">
        <v>0</v>
      </c>
      <c r="BI162" s="6" t="n">
        <f aca="false">+BC162+BF162+AW162+AZ162</f>
        <v>0</v>
      </c>
      <c r="BJ162" s="6" t="n">
        <f aca="false">+BD162+BG162+AX162+BA162</f>
        <v>0</v>
      </c>
      <c r="BK162" s="6" t="n">
        <f aca="false">+BE162+BH162+AY162+BB162</f>
        <v>0</v>
      </c>
      <c r="BL162" s="6" t="n">
        <v>0</v>
      </c>
      <c r="BM162" s="6" t="n">
        <v>0</v>
      </c>
      <c r="BN162" s="6" t="n">
        <v>0</v>
      </c>
      <c r="BO162" s="6" t="n">
        <v>0</v>
      </c>
      <c r="BP162" s="6" t="n">
        <v>0</v>
      </c>
      <c r="BQ162" s="6" t="n">
        <v>0</v>
      </c>
      <c r="BR162" s="6" t="n">
        <v>0</v>
      </c>
      <c r="BS162" s="6" t="n">
        <v>0</v>
      </c>
      <c r="BT162" s="6" t="n">
        <v>0</v>
      </c>
      <c r="BU162" s="6" t="n">
        <v>0</v>
      </c>
      <c r="BV162" s="6" t="n">
        <v>0</v>
      </c>
      <c r="BW162" s="6" t="n">
        <v>0</v>
      </c>
      <c r="BX162" s="6" t="n">
        <f aca="false">+BR162+BU162+BL162+BO162</f>
        <v>0</v>
      </c>
      <c r="BY162" s="6" t="n">
        <f aca="false">+BS162+BV162+BM162+BP162</f>
        <v>0</v>
      </c>
      <c r="BZ162" s="6" t="n">
        <f aca="false">+BT162+BW162+BN162+BQ162</f>
        <v>0</v>
      </c>
      <c r="CA162" s="6" t="n">
        <v>0</v>
      </c>
      <c r="CB162" s="6" t="n">
        <v>0</v>
      </c>
      <c r="CC162" s="6" t="n">
        <v>0</v>
      </c>
      <c r="CD162" s="30" t="n">
        <v>187500</v>
      </c>
      <c r="CE162" s="30" t="n">
        <v>187500</v>
      </c>
      <c r="CF162" s="6" t="n">
        <v>93750</v>
      </c>
      <c r="CG162" s="6" t="n">
        <v>0</v>
      </c>
      <c r="CH162" s="6" t="n">
        <v>0</v>
      </c>
      <c r="CI162" s="6" t="n">
        <v>0</v>
      </c>
      <c r="CJ162" s="6" t="n">
        <v>0</v>
      </c>
      <c r="CK162" s="6" t="n">
        <v>0</v>
      </c>
      <c r="CL162" s="6" t="n">
        <v>93750</v>
      </c>
      <c r="CM162" s="6" t="n">
        <f aca="false">+CG162+CJ162+CA162+CD162</f>
        <v>187500</v>
      </c>
      <c r="CN162" s="6" t="n">
        <f aca="false">+CH162+CK162+CB162+CE162</f>
        <v>187500</v>
      </c>
      <c r="CO162" s="6" t="n">
        <f aca="false">+CI162+CL162+CC162+CF162</f>
        <v>187500</v>
      </c>
      <c r="CP162" s="6" t="n">
        <v>0</v>
      </c>
      <c r="CQ162" s="6" t="n">
        <v>0</v>
      </c>
      <c r="CR162" s="6" t="n">
        <v>0</v>
      </c>
      <c r="CS162" s="6" t="n">
        <v>0</v>
      </c>
      <c r="CT162" s="6" t="n">
        <v>0</v>
      </c>
      <c r="CU162" s="6" t="n">
        <v>0</v>
      </c>
      <c r="CV162" s="6" t="n">
        <v>0</v>
      </c>
      <c r="CW162" s="6" t="n">
        <v>0</v>
      </c>
      <c r="CX162" s="6" t="n">
        <v>0</v>
      </c>
      <c r="CY162" s="6" t="n">
        <v>0</v>
      </c>
      <c r="CZ162" s="6" t="n">
        <v>0</v>
      </c>
      <c r="DA162" s="6" t="n">
        <v>0</v>
      </c>
      <c r="DB162" s="6" t="n">
        <f aca="false">+CV162+CY162+CP162+CS162</f>
        <v>0</v>
      </c>
      <c r="DC162" s="6" t="n">
        <f aca="false">+CW162+CZ162+CQ162+CT162</f>
        <v>0</v>
      </c>
      <c r="DD162" s="6" t="n">
        <f aca="false">+CX162+DA162+CR162+CU162</f>
        <v>0</v>
      </c>
      <c r="DE162" s="6" t="n">
        <v>0</v>
      </c>
      <c r="DF162" s="6" t="n">
        <v>0</v>
      </c>
      <c r="DG162" s="6" t="n">
        <v>0</v>
      </c>
      <c r="DH162" s="6" t="n">
        <v>0</v>
      </c>
      <c r="DI162" s="6" t="n">
        <v>0</v>
      </c>
      <c r="DJ162" s="6" t="n">
        <v>0</v>
      </c>
      <c r="DK162" s="6" t="n">
        <v>0</v>
      </c>
      <c r="DL162" s="6" t="n">
        <v>0</v>
      </c>
      <c r="DM162" s="6" t="n">
        <v>0</v>
      </c>
      <c r="DN162" s="6" t="n">
        <v>0</v>
      </c>
      <c r="DO162" s="6" t="n">
        <v>0</v>
      </c>
      <c r="DP162" s="6" t="n">
        <v>0</v>
      </c>
      <c r="DQ162" s="6" t="n">
        <f aca="false">+DK162+DN162+DE162+DH162</f>
        <v>0</v>
      </c>
      <c r="DR162" s="6" t="n">
        <f aca="false">+DL162+DO162+DF162+DI162</f>
        <v>0</v>
      </c>
      <c r="DS162" s="6" t="n">
        <f aca="false">+DM162+DP162+DG162+DJ162</f>
        <v>0</v>
      </c>
      <c r="DT162" s="31" t="n">
        <f aca="false">+P162+AE162+AT162+BI162+BX162+CM162+DB162</f>
        <v>187500</v>
      </c>
      <c r="DU162" s="31" t="n">
        <f aca="false">+Q162+AF162+AU162+BJ162+BY162+CN162+DC162</f>
        <v>187500</v>
      </c>
      <c r="DV162" s="31" t="n">
        <f aca="false">+R162+AG162+AV162+BK162+BZ162+CO162+DD162</f>
        <v>187500</v>
      </c>
      <c r="DW162" s="31" t="n">
        <f aca="false">+DU162-DV162</f>
        <v>0</v>
      </c>
    </row>
    <row r="163" customFormat="false" ht="13.8" hidden="false" customHeight="false" outlineLevel="0" collapsed="false">
      <c r="A163" s="27" t="n">
        <v>45748</v>
      </c>
      <c r="B163" s="28" t="s">
        <v>631</v>
      </c>
      <c r="C163" s="28" t="s">
        <v>632</v>
      </c>
      <c r="D163" s="29" t="s">
        <v>633</v>
      </c>
      <c r="E163" s="28" t="s">
        <v>634</v>
      </c>
      <c r="F163" s="27" t="s">
        <v>635</v>
      </c>
      <c r="G163" s="27" t="s">
        <v>23</v>
      </c>
      <c r="H163" s="30" t="n">
        <v>800000</v>
      </c>
      <c r="I163" s="30" t="n">
        <v>800000</v>
      </c>
      <c r="J163" s="6" t="n">
        <v>0</v>
      </c>
      <c r="K163" s="6" t="n">
        <v>0</v>
      </c>
      <c r="L163" s="6" t="n">
        <v>0</v>
      </c>
      <c r="M163" s="6" t="n">
        <v>0</v>
      </c>
      <c r="N163" s="6" t="n">
        <v>0</v>
      </c>
      <c r="O163" s="6" t="n">
        <v>0</v>
      </c>
      <c r="P163" s="6" t="n">
        <f aca="false">+J163+M163</f>
        <v>0</v>
      </c>
      <c r="Q163" s="6" t="n">
        <f aca="false">+K163+N163</f>
        <v>0</v>
      </c>
      <c r="R163" s="6" t="n">
        <f aca="false">+L163+O163</f>
        <v>0</v>
      </c>
      <c r="S163" s="6" t="n">
        <v>0</v>
      </c>
      <c r="T163" s="6" t="n">
        <v>0</v>
      </c>
      <c r="U163" s="6" t="n">
        <v>0</v>
      </c>
      <c r="V163" s="6" t="n">
        <v>0</v>
      </c>
      <c r="W163" s="6" t="n">
        <v>0</v>
      </c>
      <c r="X163" s="6" t="n">
        <v>0</v>
      </c>
      <c r="Y163" s="6" t="n">
        <v>0</v>
      </c>
      <c r="Z163" s="6" t="n">
        <v>0</v>
      </c>
      <c r="AA163" s="6" t="n">
        <v>0</v>
      </c>
      <c r="AB163" s="6" t="n">
        <v>0</v>
      </c>
      <c r="AC163" s="6" t="n">
        <v>0</v>
      </c>
      <c r="AD163" s="6" t="n">
        <v>0</v>
      </c>
      <c r="AE163" s="6" t="n">
        <f aca="false">+Y163+AB163+S163+V163</f>
        <v>0</v>
      </c>
      <c r="AF163" s="6" t="n">
        <f aca="false">+Z163+AC163+T163+W163</f>
        <v>0</v>
      </c>
      <c r="AG163" s="6" t="n">
        <f aca="false">+AA163+AD163+U163+X163</f>
        <v>0</v>
      </c>
      <c r="AH163" s="6" t="n">
        <v>0</v>
      </c>
      <c r="AI163" s="6" t="n">
        <v>0</v>
      </c>
      <c r="AJ163" s="6" t="n">
        <v>0</v>
      </c>
      <c r="AK163" s="6" t="n">
        <v>0</v>
      </c>
      <c r="AL163" s="6" t="n">
        <v>0</v>
      </c>
      <c r="AM163" s="6" t="n">
        <v>0</v>
      </c>
      <c r="AN163" s="6" t="n">
        <v>0</v>
      </c>
      <c r="AO163" s="6" t="n">
        <v>0</v>
      </c>
      <c r="AP163" s="6" t="n">
        <v>0</v>
      </c>
      <c r="AQ163" s="6" t="n">
        <v>0</v>
      </c>
      <c r="AR163" s="6" t="n">
        <v>0</v>
      </c>
      <c r="AS163" s="6" t="n">
        <v>0</v>
      </c>
      <c r="AT163" s="6" t="n">
        <f aca="false">+AN163+AQ163+AH163+AK163</f>
        <v>0</v>
      </c>
      <c r="AU163" s="6" t="n">
        <f aca="false">+AO163+AR163+AI163+AL163</f>
        <v>0</v>
      </c>
      <c r="AV163" s="6" t="n">
        <f aca="false">+AP163+AS163+AJ163+AM163</f>
        <v>0</v>
      </c>
      <c r="AW163" s="6" t="n">
        <v>0</v>
      </c>
      <c r="AX163" s="6" t="n">
        <v>0</v>
      </c>
      <c r="AY163" s="6" t="n">
        <v>0</v>
      </c>
      <c r="AZ163" s="6" t="n">
        <v>0</v>
      </c>
      <c r="BA163" s="6" t="n">
        <v>0</v>
      </c>
      <c r="BB163" s="6" t="n">
        <v>0</v>
      </c>
      <c r="BC163" s="6" t="n">
        <v>0</v>
      </c>
      <c r="BD163" s="6" t="n">
        <v>0</v>
      </c>
      <c r="BE163" s="6" t="n">
        <v>0</v>
      </c>
      <c r="BF163" s="6" t="n">
        <v>0</v>
      </c>
      <c r="BG163" s="6" t="n">
        <v>0</v>
      </c>
      <c r="BH163" s="6" t="n">
        <v>0</v>
      </c>
      <c r="BI163" s="6" t="n">
        <f aca="false">+BC163+BF163+AW163+AZ163</f>
        <v>0</v>
      </c>
      <c r="BJ163" s="6" t="n">
        <f aca="false">+BD163+BG163+AX163+BA163</f>
        <v>0</v>
      </c>
      <c r="BK163" s="6" t="n">
        <f aca="false">+BE163+BH163+AY163+BB163</f>
        <v>0</v>
      </c>
      <c r="BL163" s="6" t="n">
        <v>0</v>
      </c>
      <c r="BM163" s="6" t="n">
        <v>0</v>
      </c>
      <c r="BN163" s="6" t="n">
        <v>0</v>
      </c>
      <c r="BO163" s="6" t="n">
        <v>0</v>
      </c>
      <c r="BP163" s="6" t="n">
        <v>0</v>
      </c>
      <c r="BQ163" s="6" t="n">
        <v>0</v>
      </c>
      <c r="BR163" s="6" t="n">
        <v>0</v>
      </c>
      <c r="BS163" s="6" t="n">
        <v>0</v>
      </c>
      <c r="BT163" s="6" t="n">
        <v>0</v>
      </c>
      <c r="BU163" s="6" t="n">
        <v>0</v>
      </c>
      <c r="BV163" s="6" t="n">
        <v>0</v>
      </c>
      <c r="BW163" s="6" t="n">
        <v>0</v>
      </c>
      <c r="BX163" s="6" t="n">
        <f aca="false">+BR163+BU163+BL163+BO163</f>
        <v>0</v>
      </c>
      <c r="BY163" s="6" t="n">
        <f aca="false">+BS163+BV163+BM163+BP163</f>
        <v>0</v>
      </c>
      <c r="BZ163" s="6" t="n">
        <f aca="false">+BT163+BW163+BN163+BQ163</f>
        <v>0</v>
      </c>
      <c r="CA163" s="6" t="n">
        <v>0</v>
      </c>
      <c r="CB163" s="6" t="n">
        <v>0</v>
      </c>
      <c r="CC163" s="6" t="n">
        <v>0</v>
      </c>
      <c r="CD163" s="6" t="n">
        <v>0</v>
      </c>
      <c r="CE163" s="6" t="n">
        <v>0</v>
      </c>
      <c r="CF163" s="6" t="n">
        <v>0</v>
      </c>
      <c r="CG163" s="30" t="n">
        <v>800000</v>
      </c>
      <c r="CH163" s="30" t="n">
        <v>800000</v>
      </c>
      <c r="CI163" s="6" t="n">
        <v>0</v>
      </c>
      <c r="CJ163" s="6" t="n">
        <v>0</v>
      </c>
      <c r="CK163" s="6" t="n">
        <v>0</v>
      </c>
      <c r="CL163" s="6" t="n">
        <v>400000</v>
      </c>
      <c r="CM163" s="6" t="n">
        <f aca="false">+CG163+CJ163+CA163+CD163</f>
        <v>800000</v>
      </c>
      <c r="CN163" s="6" t="n">
        <f aca="false">+CH163+CK163+CB163+CE163</f>
        <v>800000</v>
      </c>
      <c r="CO163" s="6" t="n">
        <f aca="false">+CI163+CL163+CC163+CF163</f>
        <v>400000</v>
      </c>
      <c r="CP163" s="6" t="n">
        <v>0</v>
      </c>
      <c r="CQ163" s="6" t="n">
        <v>0</v>
      </c>
      <c r="CR163" s="6" t="n">
        <v>150000</v>
      </c>
      <c r="CS163" s="6" t="n">
        <v>0</v>
      </c>
      <c r="CT163" s="6" t="n">
        <v>0</v>
      </c>
      <c r="CU163" s="6" t="n">
        <v>250000</v>
      </c>
      <c r="CV163" s="6" t="n">
        <v>0</v>
      </c>
      <c r="CW163" s="6" t="n">
        <v>0</v>
      </c>
      <c r="CX163" s="6" t="n">
        <v>0</v>
      </c>
      <c r="CY163" s="6" t="n">
        <v>0</v>
      </c>
      <c r="CZ163" s="6" t="n">
        <v>0</v>
      </c>
      <c r="DA163" s="6" t="n">
        <v>0</v>
      </c>
      <c r="DB163" s="6" t="n">
        <f aca="false">+CV163+CY163+CP163+CS163</f>
        <v>0</v>
      </c>
      <c r="DC163" s="6" t="n">
        <f aca="false">+CW163+CZ163+CQ163+CT163</f>
        <v>0</v>
      </c>
      <c r="DD163" s="6" t="n">
        <f aca="false">+CX163+DA163+CR163+CU163</f>
        <v>400000</v>
      </c>
      <c r="DE163" s="6" t="n">
        <v>0</v>
      </c>
      <c r="DF163" s="6" t="n">
        <v>0</v>
      </c>
      <c r="DG163" s="6" t="n">
        <v>150000</v>
      </c>
      <c r="DH163" s="6" t="n">
        <v>0</v>
      </c>
      <c r="DI163" s="6" t="n">
        <v>0</v>
      </c>
      <c r="DJ163" s="6" t="n">
        <v>250000</v>
      </c>
      <c r="DK163" s="6" t="n">
        <v>0</v>
      </c>
      <c r="DL163" s="6" t="n">
        <v>0</v>
      </c>
      <c r="DM163" s="6" t="n">
        <v>0</v>
      </c>
      <c r="DN163" s="6" t="n">
        <v>0</v>
      </c>
      <c r="DO163" s="6" t="n">
        <v>0</v>
      </c>
      <c r="DP163" s="6" t="n">
        <v>0</v>
      </c>
      <c r="DQ163" s="6" t="n">
        <f aca="false">+DK163+DN163+DE163+DH163</f>
        <v>0</v>
      </c>
      <c r="DR163" s="6" t="n">
        <f aca="false">+DL163+DO163+DF163+DI163</f>
        <v>0</v>
      </c>
      <c r="DS163" s="6" t="n">
        <f aca="false">+DM163+DP163+DG163+DJ163</f>
        <v>400000</v>
      </c>
      <c r="DT163" s="31" t="n">
        <f aca="false">+P163+AE163+AT163+BI163+BX163+CM163+DB163</f>
        <v>800000</v>
      </c>
      <c r="DU163" s="31" t="n">
        <f aca="false">+Q163+AF163+AU163+BJ163+BY163+CN163+DC163</f>
        <v>800000</v>
      </c>
      <c r="DV163" s="31" t="n">
        <f aca="false">+R163+AG163+AV163+BK163+BZ163+CO163+DD163</f>
        <v>800000</v>
      </c>
      <c r="DW163" s="31" t="n">
        <f aca="false">+DU163-DV163</f>
        <v>0</v>
      </c>
    </row>
    <row r="164" customFormat="false" ht="13.8" hidden="false" customHeight="false" outlineLevel="0" collapsed="false">
      <c r="A164" s="27" t="n">
        <v>45748</v>
      </c>
      <c r="B164" s="28" t="s">
        <v>631</v>
      </c>
      <c r="C164" s="28" t="s">
        <v>632</v>
      </c>
      <c r="D164" s="29" t="s">
        <v>633</v>
      </c>
      <c r="E164" s="28" t="s">
        <v>634</v>
      </c>
      <c r="F164" s="27" t="s">
        <v>635</v>
      </c>
      <c r="G164" s="27" t="s">
        <v>23</v>
      </c>
      <c r="H164" s="30" t="n">
        <v>470000</v>
      </c>
      <c r="I164" s="30" t="n">
        <v>470000</v>
      </c>
      <c r="J164" s="6" t="n">
        <v>0</v>
      </c>
      <c r="K164" s="6" t="n">
        <v>0</v>
      </c>
      <c r="L164" s="6" t="n">
        <v>0</v>
      </c>
      <c r="M164" s="6" t="n">
        <v>0</v>
      </c>
      <c r="N164" s="6" t="n">
        <v>0</v>
      </c>
      <c r="O164" s="6" t="n">
        <v>0</v>
      </c>
      <c r="P164" s="6" t="n">
        <f aca="false">+J164+M164</f>
        <v>0</v>
      </c>
      <c r="Q164" s="6" t="n">
        <f aca="false">+K164+N164</f>
        <v>0</v>
      </c>
      <c r="R164" s="6" t="n">
        <f aca="false">+L164+O164</f>
        <v>0</v>
      </c>
      <c r="S164" s="6" t="n">
        <v>0</v>
      </c>
      <c r="T164" s="6" t="n">
        <v>0</v>
      </c>
      <c r="U164" s="6" t="n">
        <v>0</v>
      </c>
      <c r="V164" s="6" t="n">
        <v>0</v>
      </c>
      <c r="W164" s="6" t="n">
        <v>0</v>
      </c>
      <c r="X164" s="6" t="n">
        <v>0</v>
      </c>
      <c r="Y164" s="6" t="n">
        <v>0</v>
      </c>
      <c r="Z164" s="6" t="n">
        <v>0</v>
      </c>
      <c r="AA164" s="6" t="n">
        <v>0</v>
      </c>
      <c r="AB164" s="6" t="n">
        <v>0</v>
      </c>
      <c r="AC164" s="6" t="n">
        <v>0</v>
      </c>
      <c r="AD164" s="6" t="n">
        <v>0</v>
      </c>
      <c r="AE164" s="6" t="n">
        <f aca="false">+Y164+AB164+S164+V164</f>
        <v>0</v>
      </c>
      <c r="AF164" s="6" t="n">
        <f aca="false">+Z164+AC164+T164+W164</f>
        <v>0</v>
      </c>
      <c r="AG164" s="6" t="n">
        <f aca="false">+AA164+AD164+U164+X164</f>
        <v>0</v>
      </c>
      <c r="AH164" s="6" t="n">
        <v>0</v>
      </c>
      <c r="AI164" s="6" t="n">
        <v>0</v>
      </c>
      <c r="AJ164" s="6" t="n">
        <v>0</v>
      </c>
      <c r="AK164" s="6" t="n">
        <v>0</v>
      </c>
      <c r="AL164" s="6" t="n">
        <v>0</v>
      </c>
      <c r="AM164" s="6" t="n">
        <v>0</v>
      </c>
      <c r="AN164" s="6" t="n">
        <v>0</v>
      </c>
      <c r="AO164" s="6" t="n">
        <v>0</v>
      </c>
      <c r="AP164" s="6" t="n">
        <v>0</v>
      </c>
      <c r="AQ164" s="6" t="n">
        <v>0</v>
      </c>
      <c r="AR164" s="6" t="n">
        <v>0</v>
      </c>
      <c r="AS164" s="6" t="n">
        <v>0</v>
      </c>
      <c r="AT164" s="6" t="n">
        <f aca="false">+AN164+AQ164+AH164+AK164</f>
        <v>0</v>
      </c>
      <c r="AU164" s="6" t="n">
        <f aca="false">+AO164+AR164+AI164+AL164</f>
        <v>0</v>
      </c>
      <c r="AV164" s="6" t="n">
        <f aca="false">+AP164+AS164+AJ164+AM164</f>
        <v>0</v>
      </c>
      <c r="AW164" s="6" t="n">
        <v>0</v>
      </c>
      <c r="AX164" s="6" t="n">
        <v>0</v>
      </c>
      <c r="AY164" s="6" t="n">
        <v>0</v>
      </c>
      <c r="AZ164" s="6" t="n">
        <v>0</v>
      </c>
      <c r="BA164" s="6" t="n">
        <v>0</v>
      </c>
      <c r="BB164" s="6" t="n">
        <v>0</v>
      </c>
      <c r="BC164" s="6" t="n">
        <v>0</v>
      </c>
      <c r="BD164" s="6" t="n">
        <v>0</v>
      </c>
      <c r="BE164" s="6" t="n">
        <v>0</v>
      </c>
      <c r="BF164" s="6" t="n">
        <v>0</v>
      </c>
      <c r="BG164" s="6" t="n">
        <v>0</v>
      </c>
      <c r="BH164" s="6" t="n">
        <v>0</v>
      </c>
      <c r="BI164" s="6" t="n">
        <f aca="false">+BC164+BF164+AW164+AZ164</f>
        <v>0</v>
      </c>
      <c r="BJ164" s="6" t="n">
        <f aca="false">+BD164+BG164+AX164+BA164</f>
        <v>0</v>
      </c>
      <c r="BK164" s="6" t="n">
        <f aca="false">+BE164+BH164+AY164+BB164</f>
        <v>0</v>
      </c>
      <c r="BL164" s="6" t="n">
        <v>0</v>
      </c>
      <c r="BM164" s="6" t="n">
        <v>0</v>
      </c>
      <c r="BN164" s="6" t="n">
        <v>0</v>
      </c>
      <c r="BO164" s="6" t="n">
        <v>0</v>
      </c>
      <c r="BP164" s="6" t="n">
        <v>0</v>
      </c>
      <c r="BQ164" s="6" t="n">
        <v>0</v>
      </c>
      <c r="BR164" s="6" t="n">
        <v>0</v>
      </c>
      <c r="BS164" s="6" t="n">
        <v>0</v>
      </c>
      <c r="BT164" s="6" t="n">
        <v>0</v>
      </c>
      <c r="BU164" s="6" t="n">
        <v>0</v>
      </c>
      <c r="BV164" s="6" t="n">
        <v>0</v>
      </c>
      <c r="BW164" s="6" t="n">
        <v>0</v>
      </c>
      <c r="BX164" s="6" t="n">
        <f aca="false">+BR164+BU164+BL164+BO164</f>
        <v>0</v>
      </c>
      <c r="BY164" s="6" t="n">
        <f aca="false">+BS164+BV164+BM164+BP164</f>
        <v>0</v>
      </c>
      <c r="BZ164" s="6" t="n">
        <f aca="false">+BT164+BW164+BN164+BQ164</f>
        <v>0</v>
      </c>
      <c r="CA164" s="6" t="n">
        <v>0</v>
      </c>
      <c r="CB164" s="6" t="n">
        <v>0</v>
      </c>
      <c r="CC164" s="6" t="n">
        <v>0</v>
      </c>
      <c r="CD164" s="6" t="n">
        <v>0</v>
      </c>
      <c r="CE164" s="6" t="n">
        <v>0</v>
      </c>
      <c r="CF164" s="6" t="n">
        <v>0</v>
      </c>
      <c r="CG164" s="30" t="n">
        <v>470000</v>
      </c>
      <c r="CH164" s="30" t="n">
        <v>470000</v>
      </c>
      <c r="CI164" s="6" t="n">
        <v>470000</v>
      </c>
      <c r="CJ164" s="6" t="n">
        <v>0</v>
      </c>
      <c r="CK164" s="6" t="n">
        <v>0</v>
      </c>
      <c r="CL164" s="6" t="n">
        <v>0</v>
      </c>
      <c r="CM164" s="6" t="n">
        <f aca="false">+CG164+CJ164+CA164+CD164</f>
        <v>470000</v>
      </c>
      <c r="CN164" s="6" t="n">
        <f aca="false">+CH164+CK164+CB164+CE164</f>
        <v>470000</v>
      </c>
      <c r="CO164" s="6" t="n">
        <f aca="false">+CI164+CL164+CC164+CF164</f>
        <v>470000</v>
      </c>
      <c r="CP164" s="6" t="n">
        <v>0</v>
      </c>
      <c r="CQ164" s="6" t="n">
        <v>0</v>
      </c>
      <c r="CR164" s="6" t="n">
        <v>0</v>
      </c>
      <c r="CS164" s="6" t="n">
        <v>0</v>
      </c>
      <c r="CT164" s="6" t="n">
        <v>0</v>
      </c>
      <c r="CU164" s="6" t="n">
        <v>0</v>
      </c>
      <c r="CV164" s="6" t="n">
        <v>0</v>
      </c>
      <c r="CW164" s="6" t="n">
        <v>0</v>
      </c>
      <c r="CX164" s="6" t="n">
        <v>0</v>
      </c>
      <c r="CY164" s="6" t="n">
        <v>0</v>
      </c>
      <c r="CZ164" s="6" t="n">
        <v>0</v>
      </c>
      <c r="DA164" s="6" t="n">
        <v>0</v>
      </c>
      <c r="DB164" s="6" t="n">
        <f aca="false">+CV164+CY164+CP164+CS164</f>
        <v>0</v>
      </c>
      <c r="DC164" s="6" t="n">
        <f aca="false">+CW164+CZ164+CQ164+CT164</f>
        <v>0</v>
      </c>
      <c r="DD164" s="6" t="n">
        <f aca="false">+CX164+DA164+CR164+CU164</f>
        <v>0</v>
      </c>
      <c r="DE164" s="6" t="n">
        <v>0</v>
      </c>
      <c r="DF164" s="6" t="n">
        <v>0</v>
      </c>
      <c r="DG164" s="6" t="n">
        <v>0</v>
      </c>
      <c r="DH164" s="6" t="n">
        <v>0</v>
      </c>
      <c r="DI164" s="6" t="n">
        <v>0</v>
      </c>
      <c r="DJ164" s="6" t="n">
        <v>0</v>
      </c>
      <c r="DK164" s="6" t="n">
        <v>0</v>
      </c>
      <c r="DL164" s="6" t="n">
        <v>0</v>
      </c>
      <c r="DM164" s="6" t="n">
        <v>0</v>
      </c>
      <c r="DN164" s="6" t="n">
        <v>0</v>
      </c>
      <c r="DO164" s="6" t="n">
        <v>0</v>
      </c>
      <c r="DP164" s="6" t="n">
        <v>0</v>
      </c>
      <c r="DQ164" s="6" t="n">
        <f aca="false">+DK164+DN164+DE164+DH164</f>
        <v>0</v>
      </c>
      <c r="DR164" s="6" t="n">
        <f aca="false">+DL164+DO164+DF164+DI164</f>
        <v>0</v>
      </c>
      <c r="DS164" s="6" t="n">
        <f aca="false">+DM164+DP164+DG164+DJ164</f>
        <v>0</v>
      </c>
      <c r="DT164" s="31" t="n">
        <f aca="false">+P164+AE164+AT164+BI164+BX164+CM164+DB164</f>
        <v>470000</v>
      </c>
      <c r="DU164" s="31" t="n">
        <f aca="false">+Q164+AF164+AU164+BJ164+BY164+CN164+DC164</f>
        <v>470000</v>
      </c>
      <c r="DV164" s="31" t="n">
        <f aca="false">+R164+AG164+AV164+BK164+BZ164+CO164+DD164</f>
        <v>470000</v>
      </c>
      <c r="DW164" s="31" t="n">
        <f aca="false">+DU164-DV164</f>
        <v>0</v>
      </c>
    </row>
    <row r="165" customFormat="false" ht="13.8" hidden="false" customHeight="false" outlineLevel="0" collapsed="false">
      <c r="A165" s="27" t="n">
        <v>45770</v>
      </c>
      <c r="B165" s="28" t="s">
        <v>636</v>
      </c>
      <c r="C165" s="28" t="s">
        <v>637</v>
      </c>
      <c r="D165" s="29" t="s">
        <v>638</v>
      </c>
      <c r="E165" s="28" t="s">
        <v>639</v>
      </c>
      <c r="F165" s="27" t="s">
        <v>635</v>
      </c>
      <c r="G165" s="27" t="s">
        <v>23</v>
      </c>
      <c r="H165" s="30" t="n">
        <v>500000</v>
      </c>
      <c r="I165" s="30" t="n">
        <v>500000</v>
      </c>
      <c r="J165" s="6" t="n">
        <v>0</v>
      </c>
      <c r="K165" s="6" t="n">
        <v>0</v>
      </c>
      <c r="L165" s="6" t="n">
        <v>0</v>
      </c>
      <c r="M165" s="6" t="n">
        <v>0</v>
      </c>
      <c r="N165" s="6" t="n">
        <v>0</v>
      </c>
      <c r="O165" s="6" t="n">
        <v>0</v>
      </c>
      <c r="P165" s="6" t="n">
        <f aca="false">+J165+M165</f>
        <v>0</v>
      </c>
      <c r="Q165" s="6" t="n">
        <f aca="false">+K165+N165</f>
        <v>0</v>
      </c>
      <c r="R165" s="6" t="n">
        <f aca="false">+L165+O165</f>
        <v>0</v>
      </c>
      <c r="S165" s="6" t="n">
        <v>0</v>
      </c>
      <c r="T165" s="6" t="n">
        <v>0</v>
      </c>
      <c r="U165" s="6" t="n">
        <v>0</v>
      </c>
      <c r="V165" s="6" t="n">
        <v>0</v>
      </c>
      <c r="W165" s="6" t="n">
        <v>0</v>
      </c>
      <c r="X165" s="6" t="n">
        <v>0</v>
      </c>
      <c r="Y165" s="6" t="n">
        <v>0</v>
      </c>
      <c r="Z165" s="6" t="n">
        <v>0</v>
      </c>
      <c r="AA165" s="6" t="n">
        <v>0</v>
      </c>
      <c r="AB165" s="6" t="n">
        <v>0</v>
      </c>
      <c r="AC165" s="6" t="n">
        <v>0</v>
      </c>
      <c r="AD165" s="6" t="n">
        <v>0</v>
      </c>
      <c r="AE165" s="6" t="n">
        <f aca="false">+Y165+AB165+S165+V165</f>
        <v>0</v>
      </c>
      <c r="AF165" s="6" t="n">
        <f aca="false">+Z165+AC165+T165+W165</f>
        <v>0</v>
      </c>
      <c r="AG165" s="6" t="n">
        <f aca="false">+AA165+AD165+U165+X165</f>
        <v>0</v>
      </c>
      <c r="AH165" s="6" t="n">
        <v>0</v>
      </c>
      <c r="AI165" s="6" t="n">
        <v>0</v>
      </c>
      <c r="AJ165" s="6" t="n">
        <v>0</v>
      </c>
      <c r="AK165" s="6" t="n">
        <v>0</v>
      </c>
      <c r="AL165" s="6" t="n">
        <v>0</v>
      </c>
      <c r="AM165" s="6" t="n">
        <v>0</v>
      </c>
      <c r="AN165" s="6" t="n">
        <v>0</v>
      </c>
      <c r="AO165" s="6" t="n">
        <v>0</v>
      </c>
      <c r="AP165" s="6" t="n">
        <v>0</v>
      </c>
      <c r="AQ165" s="6" t="n">
        <v>0</v>
      </c>
      <c r="AR165" s="6" t="n">
        <v>0</v>
      </c>
      <c r="AS165" s="6" t="n">
        <v>0</v>
      </c>
      <c r="AT165" s="6" t="n">
        <f aca="false">+AN165+AQ165+AH165+AK165</f>
        <v>0</v>
      </c>
      <c r="AU165" s="6" t="n">
        <f aca="false">+AO165+AR165+AI165+AL165</f>
        <v>0</v>
      </c>
      <c r="AV165" s="6" t="n">
        <f aca="false">+AP165+AS165+AJ165+AM165</f>
        <v>0</v>
      </c>
      <c r="AW165" s="6" t="n">
        <v>0</v>
      </c>
      <c r="AX165" s="6" t="n">
        <v>0</v>
      </c>
      <c r="AY165" s="6" t="n">
        <v>0</v>
      </c>
      <c r="AZ165" s="6" t="n">
        <v>0</v>
      </c>
      <c r="BA165" s="6" t="n">
        <v>0</v>
      </c>
      <c r="BB165" s="6" t="n">
        <v>0</v>
      </c>
      <c r="BC165" s="6" t="n">
        <v>0</v>
      </c>
      <c r="BD165" s="6" t="n">
        <v>0</v>
      </c>
      <c r="BE165" s="6" t="n">
        <v>0</v>
      </c>
      <c r="BF165" s="6" t="n">
        <v>0</v>
      </c>
      <c r="BG165" s="6" t="n">
        <v>0</v>
      </c>
      <c r="BH165" s="6" t="n">
        <v>0</v>
      </c>
      <c r="BI165" s="6" t="n">
        <f aca="false">+BC165+BF165+AW165+AZ165</f>
        <v>0</v>
      </c>
      <c r="BJ165" s="6" t="n">
        <f aca="false">+BD165+BG165+AX165+BA165</f>
        <v>0</v>
      </c>
      <c r="BK165" s="6" t="n">
        <f aca="false">+BE165+BH165+AY165+BB165</f>
        <v>0</v>
      </c>
      <c r="BL165" s="6" t="n">
        <v>0</v>
      </c>
      <c r="BM165" s="6" t="n">
        <v>0</v>
      </c>
      <c r="BN165" s="6" t="n">
        <v>0</v>
      </c>
      <c r="BO165" s="6" t="n">
        <v>0</v>
      </c>
      <c r="BP165" s="6" t="n">
        <v>0</v>
      </c>
      <c r="BQ165" s="6" t="n">
        <v>0</v>
      </c>
      <c r="BR165" s="6" t="n">
        <v>0</v>
      </c>
      <c r="BS165" s="6" t="n">
        <v>0</v>
      </c>
      <c r="BT165" s="6" t="n">
        <v>0</v>
      </c>
      <c r="BU165" s="6" t="n">
        <v>0</v>
      </c>
      <c r="BV165" s="6" t="n">
        <v>0</v>
      </c>
      <c r="BW165" s="6" t="n">
        <v>0</v>
      </c>
      <c r="BX165" s="6" t="n">
        <f aca="false">+BR165+BU165+BL165+BO165</f>
        <v>0</v>
      </c>
      <c r="BY165" s="6" t="n">
        <f aca="false">+BS165+BV165+BM165+BP165</f>
        <v>0</v>
      </c>
      <c r="BZ165" s="6" t="n">
        <f aca="false">+BT165+BW165+BN165+BQ165</f>
        <v>0</v>
      </c>
      <c r="CA165" s="6" t="n">
        <v>0</v>
      </c>
      <c r="CB165" s="6" t="n">
        <v>0</v>
      </c>
      <c r="CC165" s="6" t="n">
        <v>0</v>
      </c>
      <c r="CD165" s="6" t="n">
        <v>0</v>
      </c>
      <c r="CE165" s="6" t="n">
        <v>0</v>
      </c>
      <c r="CF165" s="6" t="n">
        <v>0</v>
      </c>
      <c r="CG165" s="30" t="n">
        <v>500000</v>
      </c>
      <c r="CH165" s="30" t="n">
        <v>500000</v>
      </c>
      <c r="CI165" s="6" t="n">
        <v>0</v>
      </c>
      <c r="CJ165" s="6" t="n">
        <v>0</v>
      </c>
      <c r="CK165" s="6" t="n">
        <v>0</v>
      </c>
      <c r="CL165" s="6" t="n">
        <v>250000</v>
      </c>
      <c r="CM165" s="6" t="n">
        <f aca="false">+CG165+CJ165+CA165+CD165</f>
        <v>500000</v>
      </c>
      <c r="CN165" s="6" t="n">
        <f aca="false">+CH165+CK165+CB165+CE165</f>
        <v>500000</v>
      </c>
      <c r="CO165" s="6" t="n">
        <f aca="false">+CI165+CL165+CC165+CF165</f>
        <v>250000</v>
      </c>
      <c r="CP165" s="6" t="n">
        <v>0</v>
      </c>
      <c r="CQ165" s="6" t="n">
        <v>0</v>
      </c>
      <c r="CR165" s="6" t="n">
        <v>150000</v>
      </c>
      <c r="CS165" s="6" t="n">
        <v>0</v>
      </c>
      <c r="CT165" s="6" t="n">
        <v>0</v>
      </c>
      <c r="CU165" s="6" t="n">
        <v>100000</v>
      </c>
      <c r="CV165" s="6" t="n">
        <v>0</v>
      </c>
      <c r="CW165" s="6" t="n">
        <v>0</v>
      </c>
      <c r="CX165" s="6" t="n">
        <v>0</v>
      </c>
      <c r="CY165" s="6" t="n">
        <v>0</v>
      </c>
      <c r="CZ165" s="6" t="n">
        <v>0</v>
      </c>
      <c r="DA165" s="6" t="n">
        <v>0</v>
      </c>
      <c r="DB165" s="6" t="n">
        <f aca="false">+CV165+CY165+CP165+CS165</f>
        <v>0</v>
      </c>
      <c r="DC165" s="6" t="n">
        <f aca="false">+CW165+CZ165+CQ165+CT165</f>
        <v>0</v>
      </c>
      <c r="DD165" s="6" t="n">
        <f aca="false">+CX165+DA165+CR165+CU165</f>
        <v>250000</v>
      </c>
      <c r="DE165" s="6" t="n">
        <v>0</v>
      </c>
      <c r="DF165" s="6" t="n">
        <v>0</v>
      </c>
      <c r="DG165" s="6" t="n">
        <v>150000</v>
      </c>
      <c r="DH165" s="6" t="n">
        <v>0</v>
      </c>
      <c r="DI165" s="6" t="n">
        <v>0</v>
      </c>
      <c r="DJ165" s="6" t="n">
        <v>100000</v>
      </c>
      <c r="DK165" s="6" t="n">
        <v>0</v>
      </c>
      <c r="DL165" s="6" t="n">
        <v>0</v>
      </c>
      <c r="DM165" s="6" t="n">
        <v>0</v>
      </c>
      <c r="DN165" s="6" t="n">
        <v>0</v>
      </c>
      <c r="DO165" s="6" t="n">
        <v>0</v>
      </c>
      <c r="DP165" s="6" t="n">
        <v>0</v>
      </c>
      <c r="DQ165" s="6" t="n">
        <f aca="false">+DK165+DN165+DE165+DH165</f>
        <v>0</v>
      </c>
      <c r="DR165" s="6" t="n">
        <f aca="false">+DL165+DO165+DF165+DI165</f>
        <v>0</v>
      </c>
      <c r="DS165" s="6" t="n">
        <f aca="false">+DM165+DP165+DG165+DJ165</f>
        <v>250000</v>
      </c>
      <c r="DT165" s="31" t="n">
        <f aca="false">+P165+AE165+AT165+BI165+BX165+CM165+DB165</f>
        <v>500000</v>
      </c>
      <c r="DU165" s="31" t="n">
        <f aca="false">+Q165+AF165+AU165+BJ165+BY165+CN165+DC165</f>
        <v>500000</v>
      </c>
      <c r="DV165" s="31" t="n">
        <f aca="false">+R165+AG165+AV165+BK165+BZ165+CO165+DD165</f>
        <v>500000</v>
      </c>
      <c r="DW165" s="31" t="n">
        <f aca="false">+DU165-DV165</f>
        <v>0</v>
      </c>
    </row>
    <row r="166" customFormat="false" ht="13.8" hidden="false" customHeight="false" outlineLevel="0" collapsed="false">
      <c r="A166" s="27" t="n">
        <v>45785</v>
      </c>
      <c r="B166" s="28" t="s">
        <v>640</v>
      </c>
      <c r="C166" s="28" t="s">
        <v>641</v>
      </c>
      <c r="D166" s="29" t="s">
        <v>642</v>
      </c>
      <c r="E166" s="28" t="s">
        <v>643</v>
      </c>
      <c r="F166" s="27" t="s">
        <v>635</v>
      </c>
      <c r="G166" s="27" t="s">
        <v>23</v>
      </c>
      <c r="H166" s="30" t="n">
        <v>2255000</v>
      </c>
      <c r="I166" s="30" t="n">
        <v>2255000</v>
      </c>
      <c r="J166" s="6" t="n">
        <v>0</v>
      </c>
      <c r="K166" s="6" t="n">
        <v>0</v>
      </c>
      <c r="L166" s="6" t="n">
        <v>0</v>
      </c>
      <c r="M166" s="6" t="n">
        <v>0</v>
      </c>
      <c r="N166" s="6" t="n">
        <v>0</v>
      </c>
      <c r="O166" s="6" t="n">
        <v>0</v>
      </c>
      <c r="P166" s="6" t="n">
        <f aca="false">+J166+M166</f>
        <v>0</v>
      </c>
      <c r="Q166" s="6" t="n">
        <f aca="false">+K166+N166</f>
        <v>0</v>
      </c>
      <c r="R166" s="6" t="n">
        <f aca="false">+L166+O166</f>
        <v>0</v>
      </c>
      <c r="S166" s="6" t="n">
        <v>0</v>
      </c>
      <c r="T166" s="6" t="n">
        <v>0</v>
      </c>
      <c r="U166" s="6" t="n">
        <v>0</v>
      </c>
      <c r="V166" s="6" t="n">
        <v>0</v>
      </c>
      <c r="W166" s="6" t="n">
        <v>0</v>
      </c>
      <c r="X166" s="6" t="n">
        <v>0</v>
      </c>
      <c r="Y166" s="6" t="n">
        <v>0</v>
      </c>
      <c r="Z166" s="6" t="n">
        <v>0</v>
      </c>
      <c r="AA166" s="6" t="n">
        <v>0</v>
      </c>
      <c r="AB166" s="6" t="n">
        <v>0</v>
      </c>
      <c r="AC166" s="6" t="n">
        <v>0</v>
      </c>
      <c r="AD166" s="6" t="n">
        <v>0</v>
      </c>
      <c r="AE166" s="6" t="n">
        <f aca="false">+Y166+AB166+S166+V166</f>
        <v>0</v>
      </c>
      <c r="AF166" s="6" t="n">
        <f aca="false">+Z166+AC166+T166+W166</f>
        <v>0</v>
      </c>
      <c r="AG166" s="6" t="n">
        <f aca="false">+AA166+AD166+U166+X166</f>
        <v>0</v>
      </c>
      <c r="AH166" s="6" t="n">
        <v>0</v>
      </c>
      <c r="AI166" s="6" t="n">
        <v>0</v>
      </c>
      <c r="AJ166" s="6" t="n">
        <v>0</v>
      </c>
      <c r="AK166" s="6" t="n">
        <v>0</v>
      </c>
      <c r="AL166" s="6" t="n">
        <v>0</v>
      </c>
      <c r="AM166" s="6" t="n">
        <v>0</v>
      </c>
      <c r="AN166" s="6" t="n">
        <v>0</v>
      </c>
      <c r="AO166" s="6" t="n">
        <v>0</v>
      </c>
      <c r="AP166" s="6" t="n">
        <v>0</v>
      </c>
      <c r="AQ166" s="6" t="n">
        <v>0</v>
      </c>
      <c r="AR166" s="6" t="n">
        <v>0</v>
      </c>
      <c r="AS166" s="6" t="n">
        <v>0</v>
      </c>
      <c r="AT166" s="6" t="n">
        <f aca="false">+AN166+AQ166+AH166+AK166</f>
        <v>0</v>
      </c>
      <c r="AU166" s="6" t="n">
        <f aca="false">+AO166+AR166+AI166+AL166</f>
        <v>0</v>
      </c>
      <c r="AV166" s="6" t="n">
        <f aca="false">+AP166+AS166+AJ166+AM166</f>
        <v>0</v>
      </c>
      <c r="AW166" s="6" t="n">
        <v>0</v>
      </c>
      <c r="AX166" s="6" t="n">
        <v>0</v>
      </c>
      <c r="AY166" s="6" t="n">
        <v>0</v>
      </c>
      <c r="AZ166" s="6" t="n">
        <v>0</v>
      </c>
      <c r="BA166" s="6" t="n">
        <v>0</v>
      </c>
      <c r="BB166" s="6" t="n">
        <v>0</v>
      </c>
      <c r="BC166" s="6" t="n">
        <v>0</v>
      </c>
      <c r="BD166" s="6" t="n">
        <v>0</v>
      </c>
      <c r="BE166" s="6" t="n">
        <v>0</v>
      </c>
      <c r="BF166" s="6" t="n">
        <v>0</v>
      </c>
      <c r="BG166" s="6" t="n">
        <v>0</v>
      </c>
      <c r="BH166" s="6" t="n">
        <v>0</v>
      </c>
      <c r="BI166" s="6" t="n">
        <f aca="false">+BC166+BF166+AW166+AZ166</f>
        <v>0</v>
      </c>
      <c r="BJ166" s="6" t="n">
        <f aca="false">+BD166+BG166+AX166+BA166</f>
        <v>0</v>
      </c>
      <c r="BK166" s="6" t="n">
        <f aca="false">+BE166+BH166+AY166+BB166</f>
        <v>0</v>
      </c>
      <c r="BL166" s="6" t="n">
        <v>0</v>
      </c>
      <c r="BM166" s="6" t="n">
        <v>0</v>
      </c>
      <c r="BN166" s="6" t="n">
        <v>0</v>
      </c>
      <c r="BO166" s="6" t="n">
        <v>0</v>
      </c>
      <c r="BP166" s="6" t="n">
        <v>0</v>
      </c>
      <c r="BQ166" s="6" t="n">
        <v>0</v>
      </c>
      <c r="BR166" s="6" t="n">
        <v>0</v>
      </c>
      <c r="BS166" s="6" t="n">
        <v>0</v>
      </c>
      <c r="BT166" s="6" t="n">
        <v>0</v>
      </c>
      <c r="BU166" s="6" t="n">
        <v>0</v>
      </c>
      <c r="BV166" s="6" t="n">
        <v>0</v>
      </c>
      <c r="BW166" s="6" t="n">
        <v>0</v>
      </c>
      <c r="BX166" s="6" t="n">
        <f aca="false">+BR166+BU166+BL166+BO166</f>
        <v>0</v>
      </c>
      <c r="BY166" s="6" t="n">
        <f aca="false">+BS166+BV166+BM166+BP166</f>
        <v>0</v>
      </c>
      <c r="BZ166" s="6" t="n">
        <f aca="false">+BT166+BW166+BN166+BQ166</f>
        <v>0</v>
      </c>
      <c r="CA166" s="6" t="n">
        <v>0</v>
      </c>
      <c r="CB166" s="6" t="n">
        <v>0</v>
      </c>
      <c r="CC166" s="6" t="n">
        <v>0</v>
      </c>
      <c r="CD166" s="6" t="n">
        <v>0</v>
      </c>
      <c r="CE166" s="6" t="n">
        <v>0</v>
      </c>
      <c r="CF166" s="6" t="n">
        <v>0</v>
      </c>
      <c r="CG166" s="30" t="n">
        <v>2255000</v>
      </c>
      <c r="CH166" s="30" t="n">
        <v>2255000</v>
      </c>
      <c r="CI166" s="6" t="n">
        <v>0</v>
      </c>
      <c r="CJ166" s="6" t="n">
        <v>0</v>
      </c>
      <c r="CK166" s="6" t="n">
        <v>0</v>
      </c>
      <c r="CL166" s="6" t="n">
        <v>1200000</v>
      </c>
      <c r="CM166" s="6" t="n">
        <f aca="false">+CG166+CJ166+CA166+CD166</f>
        <v>2255000</v>
      </c>
      <c r="CN166" s="6" t="n">
        <f aca="false">+CH166+CK166+CB166+CE166</f>
        <v>2255000</v>
      </c>
      <c r="CO166" s="6" t="n">
        <f aca="false">+CI166+CL166+CC166+CF166</f>
        <v>1200000</v>
      </c>
      <c r="CP166" s="6" t="n">
        <v>0</v>
      </c>
      <c r="CQ166" s="6" t="n">
        <v>0</v>
      </c>
      <c r="CR166" s="6" t="n">
        <v>500000</v>
      </c>
      <c r="CS166" s="6" t="n">
        <v>0</v>
      </c>
      <c r="CT166" s="6" t="n">
        <v>0</v>
      </c>
      <c r="CU166" s="6" t="n">
        <v>555000</v>
      </c>
      <c r="CV166" s="6" t="n">
        <v>0</v>
      </c>
      <c r="CW166" s="6" t="n">
        <v>0</v>
      </c>
      <c r="CX166" s="6" t="n">
        <v>0</v>
      </c>
      <c r="CY166" s="6" t="n">
        <v>0</v>
      </c>
      <c r="CZ166" s="6" t="n">
        <v>0</v>
      </c>
      <c r="DA166" s="6" t="n">
        <v>0</v>
      </c>
      <c r="DB166" s="6" t="n">
        <f aca="false">+CV166+CY166+CP166+CS166</f>
        <v>0</v>
      </c>
      <c r="DC166" s="6" t="n">
        <f aca="false">+CW166+CZ166+CQ166+CT166</f>
        <v>0</v>
      </c>
      <c r="DD166" s="6" t="n">
        <f aca="false">+CX166+DA166+CR166+CU166</f>
        <v>1055000</v>
      </c>
      <c r="DE166" s="6" t="n">
        <v>0</v>
      </c>
      <c r="DF166" s="6" t="n">
        <v>0</v>
      </c>
      <c r="DG166" s="6" t="n">
        <v>500000</v>
      </c>
      <c r="DH166" s="6" t="n">
        <v>0</v>
      </c>
      <c r="DI166" s="6" t="n">
        <v>0</v>
      </c>
      <c r="DJ166" s="6" t="n">
        <v>555000</v>
      </c>
      <c r="DK166" s="6" t="n">
        <v>0</v>
      </c>
      <c r="DL166" s="6" t="n">
        <v>0</v>
      </c>
      <c r="DM166" s="6" t="n">
        <v>0</v>
      </c>
      <c r="DN166" s="6" t="n">
        <v>0</v>
      </c>
      <c r="DO166" s="6" t="n">
        <v>0</v>
      </c>
      <c r="DP166" s="6" t="n">
        <v>0</v>
      </c>
      <c r="DQ166" s="6" t="n">
        <f aca="false">+DK166+DN166+DE166+DH166</f>
        <v>0</v>
      </c>
      <c r="DR166" s="6" t="n">
        <f aca="false">+DL166+DO166+DF166+DI166</f>
        <v>0</v>
      </c>
      <c r="DS166" s="6" t="n">
        <f aca="false">+DM166+DP166+DG166+DJ166</f>
        <v>1055000</v>
      </c>
      <c r="DT166" s="31" t="n">
        <f aca="false">+P166+AE166+AT166+BI166+BX166+CM166+DB166</f>
        <v>2255000</v>
      </c>
      <c r="DU166" s="31" t="n">
        <f aca="false">+Q166+AF166+AU166+BJ166+BY166+CN166+DC166</f>
        <v>2255000</v>
      </c>
      <c r="DV166" s="31" t="n">
        <f aca="false">+R166+AG166+AV166+BK166+BZ166+CO166+DD166</f>
        <v>2255000</v>
      </c>
      <c r="DW166" s="31" t="n">
        <f aca="false">+DU166-DV166</f>
        <v>0</v>
      </c>
    </row>
    <row r="167" customFormat="false" ht="13.8" hidden="false" customHeight="false" outlineLevel="0" collapsed="false">
      <c r="A167" s="27" t="n">
        <v>45747</v>
      </c>
      <c r="B167" s="28" t="s">
        <v>644</v>
      </c>
      <c r="C167" s="28" t="s">
        <v>645</v>
      </c>
      <c r="D167" s="29" t="s">
        <v>646</v>
      </c>
      <c r="E167" s="28" t="s">
        <v>647</v>
      </c>
      <c r="F167" s="27" t="s">
        <v>648</v>
      </c>
      <c r="G167" s="27" t="s">
        <v>22</v>
      </c>
      <c r="H167" s="30" t="n">
        <v>175000</v>
      </c>
      <c r="I167" s="30" t="n">
        <v>175000</v>
      </c>
      <c r="J167" s="6" t="n">
        <v>0</v>
      </c>
      <c r="K167" s="6" t="n">
        <v>0</v>
      </c>
      <c r="L167" s="6" t="n">
        <v>0</v>
      </c>
      <c r="M167" s="6" t="n">
        <v>0</v>
      </c>
      <c r="N167" s="6" t="n">
        <v>0</v>
      </c>
      <c r="O167" s="6" t="n">
        <v>0</v>
      </c>
      <c r="P167" s="6" t="n">
        <f aca="false">+J167+M167</f>
        <v>0</v>
      </c>
      <c r="Q167" s="6" t="n">
        <f aca="false">+K167+N167</f>
        <v>0</v>
      </c>
      <c r="R167" s="6" t="n">
        <f aca="false">+L167+O167</f>
        <v>0</v>
      </c>
      <c r="S167" s="6" t="n">
        <v>0</v>
      </c>
      <c r="T167" s="6" t="n">
        <v>0</v>
      </c>
      <c r="U167" s="6" t="n">
        <v>0</v>
      </c>
      <c r="V167" s="6" t="n">
        <v>0</v>
      </c>
      <c r="W167" s="6" t="n">
        <v>0</v>
      </c>
      <c r="X167" s="6" t="n">
        <v>0</v>
      </c>
      <c r="Y167" s="6" t="n">
        <v>0</v>
      </c>
      <c r="Z167" s="6" t="n">
        <v>0</v>
      </c>
      <c r="AA167" s="6" t="n">
        <v>0</v>
      </c>
      <c r="AB167" s="6" t="n">
        <v>0</v>
      </c>
      <c r="AC167" s="6" t="n">
        <v>0</v>
      </c>
      <c r="AD167" s="6" t="n">
        <v>0</v>
      </c>
      <c r="AE167" s="6" t="n">
        <f aca="false">+Y167+AB167+S167+V167</f>
        <v>0</v>
      </c>
      <c r="AF167" s="6" t="n">
        <f aca="false">+Z167+AC167+T167+W167</f>
        <v>0</v>
      </c>
      <c r="AG167" s="6" t="n">
        <f aca="false">+AA167+AD167+U167+X167</f>
        <v>0</v>
      </c>
      <c r="AH167" s="6" t="n">
        <v>0</v>
      </c>
      <c r="AI167" s="6" t="n">
        <v>0</v>
      </c>
      <c r="AJ167" s="6" t="n">
        <v>0</v>
      </c>
      <c r="AK167" s="6" t="n">
        <v>0</v>
      </c>
      <c r="AL167" s="6" t="n">
        <v>0</v>
      </c>
      <c r="AM167" s="6" t="n">
        <v>0</v>
      </c>
      <c r="AN167" s="6" t="n">
        <v>0</v>
      </c>
      <c r="AO167" s="6" t="n">
        <v>0</v>
      </c>
      <c r="AP167" s="6" t="n">
        <v>0</v>
      </c>
      <c r="AQ167" s="6" t="n">
        <v>0</v>
      </c>
      <c r="AR167" s="6" t="n">
        <v>0</v>
      </c>
      <c r="AS167" s="6" t="n">
        <v>0</v>
      </c>
      <c r="AT167" s="6" t="n">
        <f aca="false">+AN167+AQ167+AH167+AK167</f>
        <v>0</v>
      </c>
      <c r="AU167" s="6" t="n">
        <f aca="false">+AO167+AR167+AI167+AL167</f>
        <v>0</v>
      </c>
      <c r="AV167" s="6" t="n">
        <f aca="false">+AP167+AS167+AJ167+AM167</f>
        <v>0</v>
      </c>
      <c r="AW167" s="6" t="n">
        <v>0</v>
      </c>
      <c r="AX167" s="6" t="n">
        <v>0</v>
      </c>
      <c r="AY167" s="6" t="n">
        <v>0</v>
      </c>
      <c r="AZ167" s="6" t="n">
        <v>0</v>
      </c>
      <c r="BA167" s="6" t="n">
        <v>0</v>
      </c>
      <c r="BB167" s="6" t="n">
        <v>0</v>
      </c>
      <c r="BC167" s="6" t="n">
        <v>0</v>
      </c>
      <c r="BD167" s="6" t="n">
        <v>0</v>
      </c>
      <c r="BE167" s="6" t="n">
        <v>0</v>
      </c>
      <c r="BF167" s="6" t="n">
        <v>0</v>
      </c>
      <c r="BG167" s="6" t="n">
        <v>0</v>
      </c>
      <c r="BH167" s="6" t="n">
        <v>0</v>
      </c>
      <c r="BI167" s="6" t="n">
        <f aca="false">+BC167+BF167+AW167+AZ167</f>
        <v>0</v>
      </c>
      <c r="BJ167" s="6" t="n">
        <f aca="false">+BD167+BG167+AX167+BA167</f>
        <v>0</v>
      </c>
      <c r="BK167" s="6" t="n">
        <f aca="false">+BE167+BH167+AY167+BB167</f>
        <v>0</v>
      </c>
      <c r="BL167" s="6" t="n">
        <v>0</v>
      </c>
      <c r="BM167" s="6" t="n">
        <v>0</v>
      </c>
      <c r="BN167" s="6" t="n">
        <v>0</v>
      </c>
      <c r="BO167" s="6" t="n">
        <v>0</v>
      </c>
      <c r="BP167" s="6" t="n">
        <v>0</v>
      </c>
      <c r="BQ167" s="6" t="n">
        <v>0</v>
      </c>
      <c r="BR167" s="6" t="n">
        <v>0</v>
      </c>
      <c r="BS167" s="6" t="n">
        <v>0</v>
      </c>
      <c r="BT167" s="6" t="n">
        <v>0</v>
      </c>
      <c r="BU167" s="6" t="n">
        <v>0</v>
      </c>
      <c r="BV167" s="6" t="n">
        <v>0</v>
      </c>
      <c r="BW167" s="6" t="n">
        <v>0</v>
      </c>
      <c r="BX167" s="6" t="n">
        <f aca="false">+BR167+BU167+BL167+BO167</f>
        <v>0</v>
      </c>
      <c r="BY167" s="6" t="n">
        <f aca="false">+BS167+BV167+BM167+BP167</f>
        <v>0</v>
      </c>
      <c r="BZ167" s="6" t="n">
        <f aca="false">+BT167+BW167+BN167+BQ167</f>
        <v>0</v>
      </c>
      <c r="CA167" s="6" t="n">
        <v>0</v>
      </c>
      <c r="CB167" s="6" t="n">
        <v>0</v>
      </c>
      <c r="CC167" s="6" t="n">
        <v>0</v>
      </c>
      <c r="CD167" s="30" t="n">
        <v>175000</v>
      </c>
      <c r="CE167" s="30" t="n">
        <v>175000</v>
      </c>
      <c r="CF167" s="6" t="n">
        <v>0</v>
      </c>
      <c r="CG167" s="6" t="n">
        <v>0</v>
      </c>
      <c r="CH167" s="6" t="n">
        <v>0</v>
      </c>
      <c r="CI167" s="6" t="n">
        <v>100000</v>
      </c>
      <c r="CJ167" s="6" t="n">
        <v>0</v>
      </c>
      <c r="CK167" s="6" t="n">
        <v>0</v>
      </c>
      <c r="CL167" s="6" t="n">
        <v>75000</v>
      </c>
      <c r="CM167" s="6" t="n">
        <f aca="false">+CG167+CJ167+CA167+CD167</f>
        <v>175000</v>
      </c>
      <c r="CN167" s="6" t="n">
        <f aca="false">+CH167+CK167+CB167+CE167</f>
        <v>175000</v>
      </c>
      <c r="CO167" s="6" t="n">
        <f aca="false">+CI167+CL167+CC167+CF167</f>
        <v>175000</v>
      </c>
      <c r="CP167" s="6" t="n">
        <v>0</v>
      </c>
      <c r="CQ167" s="6" t="n">
        <v>0</v>
      </c>
      <c r="CR167" s="6" t="n">
        <v>0</v>
      </c>
      <c r="CS167" s="6" t="n">
        <v>0</v>
      </c>
      <c r="CT167" s="6" t="n">
        <v>0</v>
      </c>
      <c r="CU167" s="6" t="n">
        <v>0</v>
      </c>
      <c r="CV167" s="6" t="n">
        <v>0</v>
      </c>
      <c r="CW167" s="6" t="n">
        <v>0</v>
      </c>
      <c r="CX167" s="6" t="n">
        <v>0</v>
      </c>
      <c r="CY167" s="6" t="n">
        <v>0</v>
      </c>
      <c r="CZ167" s="6" t="n">
        <v>0</v>
      </c>
      <c r="DA167" s="6" t="n">
        <v>0</v>
      </c>
      <c r="DB167" s="6" t="n">
        <f aca="false">+CV167+CY167+CP167+CS167</f>
        <v>0</v>
      </c>
      <c r="DC167" s="6" t="n">
        <f aca="false">+CW167+CZ167+CQ167+CT167</f>
        <v>0</v>
      </c>
      <c r="DD167" s="6" t="n">
        <f aca="false">+CX167+DA167+CR167+CU167</f>
        <v>0</v>
      </c>
      <c r="DE167" s="6" t="n">
        <v>0</v>
      </c>
      <c r="DF167" s="6" t="n">
        <v>0</v>
      </c>
      <c r="DG167" s="6" t="n">
        <v>0</v>
      </c>
      <c r="DH167" s="6" t="n">
        <v>0</v>
      </c>
      <c r="DI167" s="6" t="n">
        <v>0</v>
      </c>
      <c r="DJ167" s="6" t="n">
        <v>0</v>
      </c>
      <c r="DK167" s="6" t="n">
        <v>0</v>
      </c>
      <c r="DL167" s="6" t="n">
        <v>0</v>
      </c>
      <c r="DM167" s="6" t="n">
        <v>0</v>
      </c>
      <c r="DN167" s="6" t="n">
        <v>0</v>
      </c>
      <c r="DO167" s="6" t="n">
        <v>0</v>
      </c>
      <c r="DP167" s="6" t="n">
        <v>0</v>
      </c>
      <c r="DQ167" s="6" t="n">
        <f aca="false">+DK167+DN167+DE167+DH167</f>
        <v>0</v>
      </c>
      <c r="DR167" s="6" t="n">
        <f aca="false">+DL167+DO167+DF167+DI167</f>
        <v>0</v>
      </c>
      <c r="DS167" s="6" t="n">
        <f aca="false">+DM167+DP167+DG167+DJ167</f>
        <v>0</v>
      </c>
      <c r="DT167" s="31" t="n">
        <f aca="false">+P167+AE167+AT167+BI167+BX167+CM167+DB167</f>
        <v>175000</v>
      </c>
      <c r="DU167" s="31" t="n">
        <f aca="false">+Q167+AF167+AU167+BJ167+BY167+CN167+DC167</f>
        <v>175000</v>
      </c>
      <c r="DV167" s="31" t="n">
        <f aca="false">+R167+AG167+AV167+BK167+BZ167+CO167+DD167</f>
        <v>175000</v>
      </c>
      <c r="DW167" s="31" t="n">
        <f aca="false">+DU167-DV167</f>
        <v>0</v>
      </c>
    </row>
    <row r="168" customFormat="false" ht="13.8" hidden="false" customHeight="false" outlineLevel="0" collapsed="false">
      <c r="A168" s="27" t="n">
        <v>45792</v>
      </c>
      <c r="B168" s="28" t="s">
        <v>649</v>
      </c>
      <c r="C168" s="28" t="s">
        <v>650</v>
      </c>
      <c r="D168" s="29" t="s">
        <v>651</v>
      </c>
      <c r="E168" s="28" t="s">
        <v>652</v>
      </c>
      <c r="F168" s="27" t="s">
        <v>653</v>
      </c>
      <c r="G168" s="27" t="s">
        <v>23</v>
      </c>
      <c r="H168" s="30" t="n">
        <v>250000</v>
      </c>
      <c r="I168" s="30" t="n">
        <v>250000</v>
      </c>
      <c r="J168" s="6" t="n">
        <v>0</v>
      </c>
      <c r="K168" s="6" t="n">
        <v>0</v>
      </c>
      <c r="L168" s="6" t="n">
        <v>0</v>
      </c>
      <c r="M168" s="6" t="n">
        <v>0</v>
      </c>
      <c r="N168" s="6" t="n">
        <v>0</v>
      </c>
      <c r="O168" s="6" t="n">
        <v>0</v>
      </c>
      <c r="P168" s="6" t="n">
        <f aca="false">+J168+M168</f>
        <v>0</v>
      </c>
      <c r="Q168" s="6" t="n">
        <f aca="false">+K168+N168</f>
        <v>0</v>
      </c>
      <c r="R168" s="6" t="n">
        <f aca="false">+L168+O168</f>
        <v>0</v>
      </c>
      <c r="S168" s="6" t="n">
        <v>0</v>
      </c>
      <c r="T168" s="6" t="n">
        <v>0</v>
      </c>
      <c r="U168" s="6" t="n">
        <v>0</v>
      </c>
      <c r="V168" s="6" t="n">
        <v>0</v>
      </c>
      <c r="W168" s="6" t="n">
        <v>0</v>
      </c>
      <c r="X168" s="6" t="n">
        <v>0</v>
      </c>
      <c r="Y168" s="6" t="n">
        <v>0</v>
      </c>
      <c r="Z168" s="6" t="n">
        <v>0</v>
      </c>
      <c r="AA168" s="6" t="n">
        <v>0</v>
      </c>
      <c r="AB168" s="6" t="n">
        <v>0</v>
      </c>
      <c r="AC168" s="6" t="n">
        <v>0</v>
      </c>
      <c r="AD168" s="6" t="n">
        <v>0</v>
      </c>
      <c r="AE168" s="6" t="n">
        <f aca="false">+Y168+AB168+S168+V168</f>
        <v>0</v>
      </c>
      <c r="AF168" s="6" t="n">
        <f aca="false">+Z168+AC168+T168+W168</f>
        <v>0</v>
      </c>
      <c r="AG168" s="6" t="n">
        <f aca="false">+AA168+AD168+U168+X168</f>
        <v>0</v>
      </c>
      <c r="AH168" s="6" t="n">
        <v>0</v>
      </c>
      <c r="AI168" s="6" t="n">
        <v>0</v>
      </c>
      <c r="AJ168" s="6" t="n">
        <v>0</v>
      </c>
      <c r="AK168" s="6" t="n">
        <v>0</v>
      </c>
      <c r="AL168" s="6" t="n">
        <v>0</v>
      </c>
      <c r="AM168" s="6" t="n">
        <v>0</v>
      </c>
      <c r="AN168" s="6" t="n">
        <v>0</v>
      </c>
      <c r="AO168" s="6" t="n">
        <v>0</v>
      </c>
      <c r="AP168" s="6" t="n">
        <v>0</v>
      </c>
      <c r="AQ168" s="6" t="n">
        <v>0</v>
      </c>
      <c r="AR168" s="6" t="n">
        <v>0</v>
      </c>
      <c r="AS168" s="6" t="n">
        <v>0</v>
      </c>
      <c r="AT168" s="6" t="n">
        <f aca="false">+AN168+AQ168+AH168+AK168</f>
        <v>0</v>
      </c>
      <c r="AU168" s="6" t="n">
        <f aca="false">+AO168+AR168+AI168+AL168</f>
        <v>0</v>
      </c>
      <c r="AV168" s="6" t="n">
        <f aca="false">+AP168+AS168+AJ168+AM168</f>
        <v>0</v>
      </c>
      <c r="AW168" s="6" t="n">
        <v>0</v>
      </c>
      <c r="AX168" s="6" t="n">
        <v>0</v>
      </c>
      <c r="AY168" s="6" t="n">
        <v>0</v>
      </c>
      <c r="AZ168" s="6" t="n">
        <v>0</v>
      </c>
      <c r="BA168" s="6" t="n">
        <v>0</v>
      </c>
      <c r="BB168" s="6" t="n">
        <v>0</v>
      </c>
      <c r="BC168" s="6" t="n">
        <v>0</v>
      </c>
      <c r="BD168" s="6" t="n">
        <v>0</v>
      </c>
      <c r="BE168" s="6" t="n">
        <v>0</v>
      </c>
      <c r="BF168" s="6" t="n">
        <v>0</v>
      </c>
      <c r="BG168" s="6" t="n">
        <v>0</v>
      </c>
      <c r="BH168" s="6" t="n">
        <v>0</v>
      </c>
      <c r="BI168" s="6" t="n">
        <f aca="false">+BC168+BF168+AW168+AZ168</f>
        <v>0</v>
      </c>
      <c r="BJ168" s="6" t="n">
        <f aca="false">+BD168+BG168+AX168+BA168</f>
        <v>0</v>
      </c>
      <c r="BK168" s="6" t="n">
        <f aca="false">+BE168+BH168+AY168+BB168</f>
        <v>0</v>
      </c>
      <c r="BL168" s="6" t="n">
        <v>0</v>
      </c>
      <c r="BM168" s="6" t="n">
        <v>0</v>
      </c>
      <c r="BN168" s="6" t="n">
        <v>0</v>
      </c>
      <c r="BO168" s="6" t="n">
        <v>0</v>
      </c>
      <c r="BP168" s="6" t="n">
        <v>0</v>
      </c>
      <c r="BQ168" s="6" t="n">
        <v>0</v>
      </c>
      <c r="BR168" s="6" t="n">
        <v>0</v>
      </c>
      <c r="BS168" s="6" t="n">
        <v>0</v>
      </c>
      <c r="BT168" s="6" t="n">
        <v>0</v>
      </c>
      <c r="BU168" s="6" t="n">
        <v>0</v>
      </c>
      <c r="BV168" s="6" t="n">
        <v>0</v>
      </c>
      <c r="BW168" s="6" t="n">
        <v>0</v>
      </c>
      <c r="BX168" s="6" t="n">
        <f aca="false">+BR168+BU168+BL168+BO168</f>
        <v>0</v>
      </c>
      <c r="BY168" s="6" t="n">
        <f aca="false">+BS168+BV168+BM168+BP168</f>
        <v>0</v>
      </c>
      <c r="BZ168" s="6" t="n">
        <f aca="false">+BT168+BW168+BN168+BQ168</f>
        <v>0</v>
      </c>
      <c r="CA168" s="6" t="n">
        <v>0</v>
      </c>
      <c r="CB168" s="6" t="n">
        <v>0</v>
      </c>
      <c r="CC168" s="6" t="n">
        <v>0</v>
      </c>
      <c r="CD168" s="6" t="n">
        <v>0</v>
      </c>
      <c r="CE168" s="6" t="n">
        <v>0</v>
      </c>
      <c r="CF168" s="6" t="n">
        <v>0</v>
      </c>
      <c r="CG168" s="30" t="n">
        <v>250000</v>
      </c>
      <c r="CH168" s="30" t="n">
        <v>250000</v>
      </c>
      <c r="CI168" s="6" t="n">
        <v>0</v>
      </c>
      <c r="CJ168" s="6" t="n">
        <v>0</v>
      </c>
      <c r="CK168" s="6" t="n">
        <v>0</v>
      </c>
      <c r="CL168" s="6" t="n">
        <v>250000</v>
      </c>
      <c r="CM168" s="6" t="n">
        <f aca="false">+CG168+CJ168+CA168+CD168</f>
        <v>250000</v>
      </c>
      <c r="CN168" s="6" t="n">
        <f aca="false">+CH168+CK168+CB168+CE168</f>
        <v>250000</v>
      </c>
      <c r="CO168" s="6" t="n">
        <f aca="false">+CI168+CL168+CC168+CF168</f>
        <v>250000</v>
      </c>
      <c r="CP168" s="6" t="n">
        <v>0</v>
      </c>
      <c r="CQ168" s="6" t="n">
        <v>0</v>
      </c>
      <c r="CR168" s="6" t="n">
        <v>0</v>
      </c>
      <c r="CS168" s="6" t="n">
        <v>0</v>
      </c>
      <c r="CT168" s="6" t="n">
        <v>0</v>
      </c>
      <c r="CU168" s="6" t="n">
        <v>0</v>
      </c>
      <c r="CV168" s="6" t="n">
        <v>0</v>
      </c>
      <c r="CW168" s="6" t="n">
        <v>0</v>
      </c>
      <c r="CX168" s="6" t="n">
        <v>0</v>
      </c>
      <c r="CY168" s="6" t="n">
        <v>0</v>
      </c>
      <c r="CZ168" s="6" t="n">
        <v>0</v>
      </c>
      <c r="DA168" s="6" t="n">
        <v>0</v>
      </c>
      <c r="DB168" s="6" t="n">
        <f aca="false">+CV168+CY168+CP168+CS168</f>
        <v>0</v>
      </c>
      <c r="DC168" s="6" t="n">
        <f aca="false">+CW168+CZ168+CQ168+CT168</f>
        <v>0</v>
      </c>
      <c r="DD168" s="6" t="n">
        <f aca="false">+CX168+DA168+CR168+CU168</f>
        <v>0</v>
      </c>
      <c r="DE168" s="6" t="n">
        <v>0</v>
      </c>
      <c r="DF168" s="6" t="n">
        <v>0</v>
      </c>
      <c r="DG168" s="6" t="n">
        <v>0</v>
      </c>
      <c r="DH168" s="6" t="n">
        <v>0</v>
      </c>
      <c r="DI168" s="6" t="n">
        <v>0</v>
      </c>
      <c r="DJ168" s="6" t="n">
        <v>0</v>
      </c>
      <c r="DK168" s="6" t="n">
        <v>0</v>
      </c>
      <c r="DL168" s="6" t="n">
        <v>0</v>
      </c>
      <c r="DM168" s="6" t="n">
        <v>0</v>
      </c>
      <c r="DN168" s="6" t="n">
        <v>0</v>
      </c>
      <c r="DO168" s="6" t="n">
        <v>0</v>
      </c>
      <c r="DP168" s="6" t="n">
        <v>0</v>
      </c>
      <c r="DQ168" s="6" t="n">
        <f aca="false">+DK168+DN168+DE168+DH168</f>
        <v>0</v>
      </c>
      <c r="DR168" s="6" t="n">
        <f aca="false">+DL168+DO168+DF168+DI168</f>
        <v>0</v>
      </c>
      <c r="DS168" s="6" t="n">
        <f aca="false">+DM168+DP168+DG168+DJ168</f>
        <v>0</v>
      </c>
      <c r="DT168" s="31" t="n">
        <f aca="false">+P168+AE168+AT168+BI168+BX168+CM168+DB168</f>
        <v>250000</v>
      </c>
      <c r="DU168" s="31" t="n">
        <f aca="false">+Q168+AF168+AU168+BJ168+BY168+CN168+DC168</f>
        <v>250000</v>
      </c>
      <c r="DV168" s="31" t="n">
        <f aca="false">+R168+AG168+AV168+BK168+BZ168+CO168+DD168</f>
        <v>250000</v>
      </c>
      <c r="DW168" s="31" t="n">
        <f aca="false">+DU168-DV168</f>
        <v>0</v>
      </c>
    </row>
    <row r="169" customFormat="false" ht="13.8" hidden="false" customHeight="false" outlineLevel="0" collapsed="false">
      <c r="A169" s="27" t="n">
        <v>45789</v>
      </c>
      <c r="B169" s="28" t="s">
        <v>654</v>
      </c>
      <c r="C169" s="28" t="s">
        <v>655</v>
      </c>
      <c r="D169" s="29" t="s">
        <v>656</v>
      </c>
      <c r="E169" s="28" t="s">
        <v>657</v>
      </c>
      <c r="F169" s="27" t="s">
        <v>658</v>
      </c>
      <c r="G169" s="27" t="s">
        <v>23</v>
      </c>
      <c r="H169" s="30" t="n">
        <v>263736</v>
      </c>
      <c r="I169" s="30" t="n">
        <v>263736</v>
      </c>
      <c r="J169" s="6" t="n">
        <v>0</v>
      </c>
      <c r="K169" s="6" t="n">
        <v>0</v>
      </c>
      <c r="L169" s="6" t="n">
        <v>0</v>
      </c>
      <c r="M169" s="6" t="n">
        <v>0</v>
      </c>
      <c r="N169" s="6" t="n">
        <v>0</v>
      </c>
      <c r="O169" s="6" t="n">
        <v>0</v>
      </c>
      <c r="P169" s="6" t="n">
        <f aca="false">+J169+M169</f>
        <v>0</v>
      </c>
      <c r="Q169" s="6" t="n">
        <f aca="false">+K169+N169</f>
        <v>0</v>
      </c>
      <c r="R169" s="6" t="n">
        <f aca="false">+L169+O169</f>
        <v>0</v>
      </c>
      <c r="S169" s="6" t="n">
        <v>0</v>
      </c>
      <c r="T169" s="6" t="n">
        <v>0</v>
      </c>
      <c r="U169" s="6" t="n">
        <v>0</v>
      </c>
      <c r="V169" s="6" t="n">
        <v>0</v>
      </c>
      <c r="W169" s="6" t="n">
        <v>0</v>
      </c>
      <c r="X169" s="6" t="n">
        <v>0</v>
      </c>
      <c r="Y169" s="6" t="n">
        <v>0</v>
      </c>
      <c r="Z169" s="6" t="n">
        <v>0</v>
      </c>
      <c r="AA169" s="6" t="n">
        <v>0</v>
      </c>
      <c r="AB169" s="6" t="n">
        <v>0</v>
      </c>
      <c r="AC169" s="6" t="n">
        <v>0</v>
      </c>
      <c r="AD169" s="6" t="n">
        <v>0</v>
      </c>
      <c r="AE169" s="6" t="n">
        <f aca="false">+Y169+AB169+S169+V169</f>
        <v>0</v>
      </c>
      <c r="AF169" s="6" t="n">
        <f aca="false">+Z169+AC169+T169+W169</f>
        <v>0</v>
      </c>
      <c r="AG169" s="6" t="n">
        <f aca="false">+AA169+AD169+U169+X169</f>
        <v>0</v>
      </c>
      <c r="AH169" s="6" t="n">
        <v>0</v>
      </c>
      <c r="AI169" s="6" t="n">
        <v>0</v>
      </c>
      <c r="AJ169" s="6" t="n">
        <v>0</v>
      </c>
      <c r="AK169" s="6" t="n">
        <v>0</v>
      </c>
      <c r="AL169" s="6" t="n">
        <v>0</v>
      </c>
      <c r="AM169" s="6" t="n">
        <v>0</v>
      </c>
      <c r="AN169" s="6" t="n">
        <v>0</v>
      </c>
      <c r="AO169" s="6" t="n">
        <v>0</v>
      </c>
      <c r="AP169" s="6" t="n">
        <v>0</v>
      </c>
      <c r="AQ169" s="6" t="n">
        <v>0</v>
      </c>
      <c r="AR169" s="6" t="n">
        <v>0</v>
      </c>
      <c r="AS169" s="6" t="n">
        <v>0</v>
      </c>
      <c r="AT169" s="6" t="n">
        <f aca="false">+AN169+AQ169+AH169+AK169</f>
        <v>0</v>
      </c>
      <c r="AU169" s="6" t="n">
        <f aca="false">+AO169+AR169+AI169+AL169</f>
        <v>0</v>
      </c>
      <c r="AV169" s="6" t="n">
        <f aca="false">+AP169+AS169+AJ169+AM169</f>
        <v>0</v>
      </c>
      <c r="AW169" s="6" t="n">
        <v>0</v>
      </c>
      <c r="AX169" s="6" t="n">
        <v>0</v>
      </c>
      <c r="AY169" s="6" t="n">
        <v>0</v>
      </c>
      <c r="AZ169" s="6" t="n">
        <v>0</v>
      </c>
      <c r="BA169" s="6" t="n">
        <v>0</v>
      </c>
      <c r="BB169" s="6" t="n">
        <v>0</v>
      </c>
      <c r="BC169" s="6" t="n">
        <v>0</v>
      </c>
      <c r="BD169" s="6" t="n">
        <v>0</v>
      </c>
      <c r="BE169" s="6" t="n">
        <v>0</v>
      </c>
      <c r="BF169" s="6" t="n">
        <v>0</v>
      </c>
      <c r="BG169" s="6" t="n">
        <v>0</v>
      </c>
      <c r="BH169" s="6" t="n">
        <v>0</v>
      </c>
      <c r="BI169" s="6" t="n">
        <f aca="false">+BC169+BF169+AW169+AZ169</f>
        <v>0</v>
      </c>
      <c r="BJ169" s="6" t="n">
        <f aca="false">+BD169+BG169+AX169+BA169</f>
        <v>0</v>
      </c>
      <c r="BK169" s="6" t="n">
        <f aca="false">+BE169+BH169+AY169+BB169</f>
        <v>0</v>
      </c>
      <c r="BL169" s="6" t="n">
        <v>0</v>
      </c>
      <c r="BM169" s="6" t="n">
        <v>0</v>
      </c>
      <c r="BN169" s="6" t="n">
        <v>0</v>
      </c>
      <c r="BO169" s="6" t="n">
        <v>0</v>
      </c>
      <c r="BP169" s="6" t="n">
        <v>0</v>
      </c>
      <c r="BQ169" s="6" t="n">
        <v>0</v>
      </c>
      <c r="BR169" s="6" t="n">
        <v>0</v>
      </c>
      <c r="BS169" s="6" t="n">
        <v>0</v>
      </c>
      <c r="BT169" s="6" t="n">
        <v>0</v>
      </c>
      <c r="BU169" s="6" t="n">
        <v>0</v>
      </c>
      <c r="BV169" s="6" t="n">
        <v>0</v>
      </c>
      <c r="BW169" s="6" t="n">
        <v>0</v>
      </c>
      <c r="BX169" s="6" t="n">
        <f aca="false">+BR169+BU169+BL169+BO169</f>
        <v>0</v>
      </c>
      <c r="BY169" s="6" t="n">
        <f aca="false">+BS169+BV169+BM169+BP169</f>
        <v>0</v>
      </c>
      <c r="BZ169" s="6" t="n">
        <f aca="false">+BT169+BW169+BN169+BQ169</f>
        <v>0</v>
      </c>
      <c r="CA169" s="6" t="n">
        <v>0</v>
      </c>
      <c r="CB169" s="6" t="n">
        <v>0</v>
      </c>
      <c r="CC169" s="6" t="n">
        <v>0</v>
      </c>
      <c r="CD169" s="6" t="n">
        <v>0</v>
      </c>
      <c r="CE169" s="6" t="n">
        <v>0</v>
      </c>
      <c r="CF169" s="6" t="n">
        <v>0</v>
      </c>
      <c r="CG169" s="30" t="n">
        <v>263736</v>
      </c>
      <c r="CH169" s="30" t="n">
        <v>263736</v>
      </c>
      <c r="CI169" s="6" t="n">
        <v>0</v>
      </c>
      <c r="CJ169" s="6" t="n">
        <v>0</v>
      </c>
      <c r="CK169" s="6" t="n">
        <v>0</v>
      </c>
      <c r="CL169" s="6" t="n">
        <v>263736</v>
      </c>
      <c r="CM169" s="6" t="n">
        <f aca="false">+CG169+CJ169+CA169+CD169</f>
        <v>263736</v>
      </c>
      <c r="CN169" s="6" t="n">
        <f aca="false">+CH169+CK169+CB169+CE169</f>
        <v>263736</v>
      </c>
      <c r="CO169" s="6" t="n">
        <f aca="false">+CI169+CL169+CC169+CF169</f>
        <v>263736</v>
      </c>
      <c r="CP169" s="6" t="n">
        <v>0</v>
      </c>
      <c r="CQ169" s="6" t="n">
        <v>0</v>
      </c>
      <c r="CR169" s="6" t="n">
        <v>0</v>
      </c>
      <c r="CS169" s="6" t="n">
        <v>0</v>
      </c>
      <c r="CT169" s="6" t="n">
        <v>0</v>
      </c>
      <c r="CU169" s="6" t="n">
        <v>0</v>
      </c>
      <c r="CV169" s="6" t="n">
        <v>0</v>
      </c>
      <c r="CW169" s="6" t="n">
        <v>0</v>
      </c>
      <c r="CX169" s="6" t="n">
        <v>0</v>
      </c>
      <c r="CY169" s="6" t="n">
        <v>0</v>
      </c>
      <c r="CZ169" s="6" t="n">
        <v>0</v>
      </c>
      <c r="DA169" s="6" t="n">
        <v>0</v>
      </c>
      <c r="DB169" s="6" t="n">
        <f aca="false">+CV169+CY169+CP169+CS169</f>
        <v>0</v>
      </c>
      <c r="DC169" s="6" t="n">
        <f aca="false">+CW169+CZ169+CQ169+CT169</f>
        <v>0</v>
      </c>
      <c r="DD169" s="6" t="n">
        <f aca="false">+CX169+DA169+CR169+CU169</f>
        <v>0</v>
      </c>
      <c r="DE169" s="6" t="n">
        <v>0</v>
      </c>
      <c r="DF169" s="6" t="n">
        <v>0</v>
      </c>
      <c r="DG169" s="6" t="n">
        <v>0</v>
      </c>
      <c r="DH169" s="6" t="n">
        <v>0</v>
      </c>
      <c r="DI169" s="6" t="n">
        <v>0</v>
      </c>
      <c r="DJ169" s="6" t="n">
        <v>0</v>
      </c>
      <c r="DK169" s="6" t="n">
        <v>0</v>
      </c>
      <c r="DL169" s="6" t="n">
        <v>0</v>
      </c>
      <c r="DM169" s="6" t="n">
        <v>0</v>
      </c>
      <c r="DN169" s="6" t="n">
        <v>0</v>
      </c>
      <c r="DO169" s="6" t="n">
        <v>0</v>
      </c>
      <c r="DP169" s="6" t="n">
        <v>0</v>
      </c>
      <c r="DQ169" s="6" t="n">
        <f aca="false">+DK169+DN169+DE169+DH169</f>
        <v>0</v>
      </c>
      <c r="DR169" s="6" t="n">
        <f aca="false">+DL169+DO169+DF169+DI169</f>
        <v>0</v>
      </c>
      <c r="DS169" s="6" t="n">
        <f aca="false">+DM169+DP169+DG169+DJ169</f>
        <v>0</v>
      </c>
      <c r="DT169" s="31" t="n">
        <f aca="false">+P169+AE169+AT169+BI169+BX169+CM169+DB169</f>
        <v>263736</v>
      </c>
      <c r="DU169" s="31" t="n">
        <f aca="false">+Q169+AF169+AU169+BJ169+BY169+CN169+DC169</f>
        <v>263736</v>
      </c>
      <c r="DV169" s="31" t="n">
        <f aca="false">+R169+AG169+AV169+BK169+BZ169+CO169+DD169</f>
        <v>263736</v>
      </c>
      <c r="DW169" s="31" t="n">
        <f aca="false">+DU169-DV169</f>
        <v>0</v>
      </c>
    </row>
    <row r="170" customFormat="false" ht="13.8" hidden="false" customHeight="false" outlineLevel="0" collapsed="false">
      <c r="A170" s="27" t="n">
        <v>45824</v>
      </c>
      <c r="B170" s="28" t="s">
        <v>659</v>
      </c>
      <c r="C170" s="28" t="s">
        <v>660</v>
      </c>
      <c r="D170" s="29" t="s">
        <v>661</v>
      </c>
      <c r="E170" s="28" t="s">
        <v>662</v>
      </c>
      <c r="F170" s="27" t="s">
        <v>571</v>
      </c>
      <c r="G170" s="27" t="s">
        <v>23</v>
      </c>
      <c r="H170" s="30" t="n">
        <v>1658828.79</v>
      </c>
      <c r="I170" s="30" t="n">
        <v>1658828.79</v>
      </c>
      <c r="J170" s="6" t="n">
        <v>0</v>
      </c>
      <c r="K170" s="6" t="n">
        <v>0</v>
      </c>
      <c r="L170" s="6" t="n">
        <v>0</v>
      </c>
      <c r="M170" s="6" t="n">
        <v>0</v>
      </c>
      <c r="N170" s="6" t="n">
        <v>0</v>
      </c>
      <c r="O170" s="6" t="n">
        <v>0</v>
      </c>
      <c r="P170" s="6" t="n">
        <f aca="false">+J170+M170</f>
        <v>0</v>
      </c>
      <c r="Q170" s="6" t="n">
        <f aca="false">+K170+N170</f>
        <v>0</v>
      </c>
      <c r="R170" s="6" t="n">
        <f aca="false">+L170+O170</f>
        <v>0</v>
      </c>
      <c r="S170" s="6" t="n">
        <v>0</v>
      </c>
      <c r="T170" s="6" t="n">
        <v>0</v>
      </c>
      <c r="U170" s="6" t="n">
        <v>0</v>
      </c>
      <c r="V170" s="6" t="n">
        <v>0</v>
      </c>
      <c r="W170" s="6" t="n">
        <v>0</v>
      </c>
      <c r="X170" s="6" t="n">
        <v>0</v>
      </c>
      <c r="Y170" s="6" t="n">
        <v>0</v>
      </c>
      <c r="Z170" s="6" t="n">
        <v>0</v>
      </c>
      <c r="AA170" s="6" t="n">
        <v>0</v>
      </c>
      <c r="AB170" s="6" t="n">
        <v>0</v>
      </c>
      <c r="AC170" s="6" t="n">
        <v>0</v>
      </c>
      <c r="AD170" s="6" t="n">
        <v>0</v>
      </c>
      <c r="AE170" s="6" t="n">
        <f aca="false">+Y170+AB170+S170+V170</f>
        <v>0</v>
      </c>
      <c r="AF170" s="6" t="n">
        <f aca="false">+Z170+AC170+T170+W170</f>
        <v>0</v>
      </c>
      <c r="AG170" s="6" t="n">
        <f aca="false">+AA170+AD170+U170+X170</f>
        <v>0</v>
      </c>
      <c r="AH170" s="6" t="n">
        <v>0</v>
      </c>
      <c r="AI170" s="6" t="n">
        <v>0</v>
      </c>
      <c r="AJ170" s="6" t="n">
        <v>0</v>
      </c>
      <c r="AK170" s="6" t="n">
        <v>0</v>
      </c>
      <c r="AL170" s="6" t="n">
        <v>0</v>
      </c>
      <c r="AM170" s="6" t="n">
        <v>0</v>
      </c>
      <c r="AN170" s="6" t="n">
        <v>0</v>
      </c>
      <c r="AO170" s="6" t="n">
        <v>0</v>
      </c>
      <c r="AP170" s="6" t="n">
        <v>0</v>
      </c>
      <c r="AQ170" s="6" t="n">
        <v>0</v>
      </c>
      <c r="AR170" s="6" t="n">
        <v>0</v>
      </c>
      <c r="AS170" s="6" t="n">
        <v>0</v>
      </c>
      <c r="AT170" s="6" t="n">
        <f aca="false">+AN170+AQ170+AH170+AK170</f>
        <v>0</v>
      </c>
      <c r="AU170" s="6" t="n">
        <f aca="false">+AO170+AR170+AI170+AL170</f>
        <v>0</v>
      </c>
      <c r="AV170" s="6" t="n">
        <f aca="false">+AP170+AS170+AJ170+AM170</f>
        <v>0</v>
      </c>
      <c r="AW170" s="6" t="n">
        <v>0</v>
      </c>
      <c r="AX170" s="6" t="n">
        <v>0</v>
      </c>
      <c r="AY170" s="6" t="n">
        <v>0</v>
      </c>
      <c r="AZ170" s="6" t="n">
        <v>0</v>
      </c>
      <c r="BA170" s="6" t="n">
        <v>0</v>
      </c>
      <c r="BB170" s="6" t="n">
        <v>0</v>
      </c>
      <c r="BC170" s="6" t="n">
        <v>0</v>
      </c>
      <c r="BD170" s="6" t="n">
        <v>0</v>
      </c>
      <c r="BE170" s="6" t="n">
        <v>0</v>
      </c>
      <c r="BF170" s="6" t="n">
        <v>0</v>
      </c>
      <c r="BG170" s="6" t="n">
        <v>0</v>
      </c>
      <c r="BH170" s="6" t="n">
        <v>0</v>
      </c>
      <c r="BI170" s="6" t="n">
        <f aca="false">+BC170+BF170+AW170+AZ170</f>
        <v>0</v>
      </c>
      <c r="BJ170" s="6" t="n">
        <f aca="false">+BD170+BG170+AX170+BA170</f>
        <v>0</v>
      </c>
      <c r="BK170" s="6" t="n">
        <f aca="false">+BE170+BH170+AY170+BB170</f>
        <v>0</v>
      </c>
      <c r="BL170" s="6" t="n">
        <v>0</v>
      </c>
      <c r="BM170" s="6" t="n">
        <v>0</v>
      </c>
      <c r="BN170" s="6" t="n">
        <v>0</v>
      </c>
      <c r="BO170" s="6" t="n">
        <v>0</v>
      </c>
      <c r="BP170" s="6" t="n">
        <v>0</v>
      </c>
      <c r="BQ170" s="6" t="n">
        <v>0</v>
      </c>
      <c r="BR170" s="6" t="n">
        <v>0</v>
      </c>
      <c r="BS170" s="6" t="n">
        <v>0</v>
      </c>
      <c r="BT170" s="6" t="n">
        <v>0</v>
      </c>
      <c r="BU170" s="6" t="n">
        <v>0</v>
      </c>
      <c r="BV170" s="6" t="n">
        <v>0</v>
      </c>
      <c r="BW170" s="6" t="n">
        <v>0</v>
      </c>
      <c r="BX170" s="6" t="n">
        <f aca="false">+BR170+BU170+BL170+BO170</f>
        <v>0</v>
      </c>
      <c r="BY170" s="6" t="n">
        <f aca="false">+BS170+BV170+BM170+BP170</f>
        <v>0</v>
      </c>
      <c r="BZ170" s="6" t="n">
        <f aca="false">+BT170+BW170+BN170+BQ170</f>
        <v>0</v>
      </c>
      <c r="CA170" s="6" t="n">
        <v>0</v>
      </c>
      <c r="CB170" s="6" t="n">
        <v>0</v>
      </c>
      <c r="CC170" s="6" t="n">
        <v>0</v>
      </c>
      <c r="CD170" s="6" t="n">
        <v>0</v>
      </c>
      <c r="CE170" s="6" t="n">
        <v>0</v>
      </c>
      <c r="CF170" s="6" t="n">
        <v>0</v>
      </c>
      <c r="CG170" s="30" t="n">
        <v>1658828.79</v>
      </c>
      <c r="CH170" s="30" t="n">
        <v>1658828.79</v>
      </c>
      <c r="CI170" s="6" t="n">
        <v>0</v>
      </c>
      <c r="CJ170" s="6" t="n">
        <v>0</v>
      </c>
      <c r="CK170" s="6" t="n">
        <v>0</v>
      </c>
      <c r="CL170" s="6" t="n">
        <v>60000</v>
      </c>
      <c r="CM170" s="6" t="n">
        <f aca="false">+CG170+CJ170+CA170+CD170</f>
        <v>1658828.79</v>
      </c>
      <c r="CN170" s="6" t="n">
        <f aca="false">+CH170+CK170+CB170+CE170</f>
        <v>1658828.79</v>
      </c>
      <c r="CO170" s="6" t="n">
        <f aca="false">+CI170+CL170+CC170+CF170</f>
        <v>60000</v>
      </c>
      <c r="CP170" s="6" t="n">
        <v>0</v>
      </c>
      <c r="CQ170" s="6" t="n">
        <v>0</v>
      </c>
      <c r="CR170" s="6" t="n">
        <v>600000</v>
      </c>
      <c r="CS170" s="6" t="n">
        <v>0</v>
      </c>
      <c r="CT170" s="6" t="n">
        <v>0</v>
      </c>
      <c r="CU170" s="6" t="n">
        <v>250000</v>
      </c>
      <c r="CV170" s="6" t="n">
        <v>0</v>
      </c>
      <c r="CW170" s="6" t="n">
        <v>0</v>
      </c>
      <c r="CX170" s="6" t="n">
        <v>0</v>
      </c>
      <c r="CY170" s="6" t="n">
        <v>0</v>
      </c>
      <c r="CZ170" s="6" t="n">
        <v>0</v>
      </c>
      <c r="DA170" s="6" t="n">
        <v>0</v>
      </c>
      <c r="DB170" s="6" t="n">
        <f aca="false">+CV170+CY170+CP170+CS170</f>
        <v>0</v>
      </c>
      <c r="DC170" s="6" t="n">
        <f aca="false">+CW170+CZ170+CQ170+CT170</f>
        <v>0</v>
      </c>
      <c r="DD170" s="6" t="n">
        <f aca="false">+CX170+DA170+CR170+CU170</f>
        <v>850000</v>
      </c>
      <c r="DE170" s="6" t="n">
        <v>0</v>
      </c>
      <c r="DF170" s="6" t="n">
        <v>0</v>
      </c>
      <c r="DG170" s="6" t="n">
        <v>600000</v>
      </c>
      <c r="DH170" s="6" t="n">
        <v>0</v>
      </c>
      <c r="DI170" s="6" t="n">
        <v>0</v>
      </c>
      <c r="DJ170" s="6" t="n">
        <v>250000</v>
      </c>
      <c r="DK170" s="6" t="n">
        <v>0</v>
      </c>
      <c r="DL170" s="6" t="n">
        <v>0</v>
      </c>
      <c r="DM170" s="6" t="n">
        <v>0</v>
      </c>
      <c r="DN170" s="6" t="n">
        <v>0</v>
      </c>
      <c r="DO170" s="6" t="n">
        <v>0</v>
      </c>
      <c r="DP170" s="6" t="n">
        <v>0</v>
      </c>
      <c r="DQ170" s="6" t="n">
        <f aca="false">+DK170+DN170+DE170+DH170</f>
        <v>0</v>
      </c>
      <c r="DR170" s="6" t="n">
        <f aca="false">+DL170+DO170+DF170+DI170</f>
        <v>0</v>
      </c>
      <c r="DS170" s="6" t="n">
        <f aca="false">+DM170+DP170+DG170+DJ170</f>
        <v>850000</v>
      </c>
      <c r="DT170" s="31" t="n">
        <f aca="false">+P170+AE170+AT170+BI170+BX170+CM170+DB170</f>
        <v>1658828.79</v>
      </c>
      <c r="DU170" s="31" t="n">
        <f aca="false">+Q170+AF170+AU170+BJ170+BY170+CN170+DC170</f>
        <v>1658828.79</v>
      </c>
      <c r="DV170" s="31" t="n">
        <f aca="false">+R170+AG170+AV170+BK170+BZ170+CO170+DD170</f>
        <v>910000</v>
      </c>
      <c r="DW170" s="31" t="n">
        <f aca="false">+DU170-DV170</f>
        <v>748828.79</v>
      </c>
    </row>
    <row r="171" customFormat="false" ht="13.8" hidden="false" customHeight="false" outlineLevel="0" collapsed="false">
      <c r="A171" s="27" t="n">
        <v>45791</v>
      </c>
      <c r="B171" s="28" t="s">
        <v>663</v>
      </c>
      <c r="C171" s="28" t="s">
        <v>660</v>
      </c>
      <c r="D171" s="29" t="s">
        <v>661</v>
      </c>
      <c r="E171" s="28" t="s">
        <v>662</v>
      </c>
      <c r="F171" s="27" t="s">
        <v>571</v>
      </c>
      <c r="G171" s="27" t="s">
        <v>23</v>
      </c>
      <c r="H171" s="30" t="n">
        <v>141000.45</v>
      </c>
      <c r="I171" s="30" t="n">
        <v>141000.45</v>
      </c>
      <c r="J171" s="6" t="n">
        <v>0</v>
      </c>
      <c r="K171" s="6" t="n">
        <v>0</v>
      </c>
      <c r="L171" s="6" t="n">
        <v>0</v>
      </c>
      <c r="M171" s="6" t="n">
        <v>0</v>
      </c>
      <c r="N171" s="6" t="n">
        <v>0</v>
      </c>
      <c r="O171" s="6" t="n">
        <v>0</v>
      </c>
      <c r="P171" s="6" t="n">
        <f aca="false">+J171+M171</f>
        <v>0</v>
      </c>
      <c r="Q171" s="6" t="n">
        <f aca="false">+K171+N171</f>
        <v>0</v>
      </c>
      <c r="R171" s="6" t="n">
        <f aca="false">+L171+O171</f>
        <v>0</v>
      </c>
      <c r="S171" s="6" t="n">
        <v>0</v>
      </c>
      <c r="T171" s="6" t="n">
        <v>0</v>
      </c>
      <c r="U171" s="6" t="n">
        <v>0</v>
      </c>
      <c r="V171" s="6" t="n">
        <v>0</v>
      </c>
      <c r="W171" s="6" t="n">
        <v>0</v>
      </c>
      <c r="X171" s="6" t="n">
        <v>0</v>
      </c>
      <c r="Y171" s="6" t="n">
        <v>0</v>
      </c>
      <c r="Z171" s="6" t="n">
        <v>0</v>
      </c>
      <c r="AA171" s="6" t="n">
        <v>0</v>
      </c>
      <c r="AB171" s="6" t="n">
        <v>0</v>
      </c>
      <c r="AC171" s="6" t="n">
        <v>0</v>
      </c>
      <c r="AD171" s="6" t="n">
        <v>0</v>
      </c>
      <c r="AE171" s="6" t="n">
        <f aca="false">+Y171+AB171+S171+V171</f>
        <v>0</v>
      </c>
      <c r="AF171" s="6" t="n">
        <f aca="false">+Z171+AC171+T171+W171</f>
        <v>0</v>
      </c>
      <c r="AG171" s="6" t="n">
        <f aca="false">+AA171+AD171+U171+X171</f>
        <v>0</v>
      </c>
      <c r="AH171" s="6" t="n">
        <v>0</v>
      </c>
      <c r="AI171" s="6" t="n">
        <v>0</v>
      </c>
      <c r="AJ171" s="6" t="n">
        <v>0</v>
      </c>
      <c r="AK171" s="6" t="n">
        <v>0</v>
      </c>
      <c r="AL171" s="6" t="n">
        <v>0</v>
      </c>
      <c r="AM171" s="6" t="n">
        <v>0</v>
      </c>
      <c r="AN171" s="6" t="n">
        <v>0</v>
      </c>
      <c r="AO171" s="6" t="n">
        <v>0</v>
      </c>
      <c r="AP171" s="6" t="n">
        <v>0</v>
      </c>
      <c r="AQ171" s="6" t="n">
        <v>0</v>
      </c>
      <c r="AR171" s="6" t="n">
        <v>0</v>
      </c>
      <c r="AS171" s="6" t="n">
        <v>0</v>
      </c>
      <c r="AT171" s="6" t="n">
        <f aca="false">+AN171+AQ171+AH171+AK171</f>
        <v>0</v>
      </c>
      <c r="AU171" s="6" t="n">
        <f aca="false">+AO171+AR171+AI171+AL171</f>
        <v>0</v>
      </c>
      <c r="AV171" s="6" t="n">
        <f aca="false">+AP171+AS171+AJ171+AM171</f>
        <v>0</v>
      </c>
      <c r="AW171" s="6" t="n">
        <v>0</v>
      </c>
      <c r="AX171" s="6" t="n">
        <v>0</v>
      </c>
      <c r="AY171" s="6" t="n">
        <v>0</v>
      </c>
      <c r="AZ171" s="6" t="n">
        <v>0</v>
      </c>
      <c r="BA171" s="6" t="n">
        <v>0</v>
      </c>
      <c r="BB171" s="6" t="n">
        <v>0</v>
      </c>
      <c r="BC171" s="6" t="n">
        <v>0</v>
      </c>
      <c r="BD171" s="6" t="n">
        <v>0</v>
      </c>
      <c r="BE171" s="6" t="n">
        <v>0</v>
      </c>
      <c r="BF171" s="6" t="n">
        <v>0</v>
      </c>
      <c r="BG171" s="6" t="n">
        <v>0</v>
      </c>
      <c r="BH171" s="6" t="n">
        <v>0</v>
      </c>
      <c r="BI171" s="6" t="n">
        <f aca="false">+BC171+BF171+AW171+AZ171</f>
        <v>0</v>
      </c>
      <c r="BJ171" s="6" t="n">
        <f aca="false">+BD171+BG171+AX171+BA171</f>
        <v>0</v>
      </c>
      <c r="BK171" s="6" t="n">
        <f aca="false">+BE171+BH171+AY171+BB171</f>
        <v>0</v>
      </c>
      <c r="BL171" s="6" t="n">
        <v>0</v>
      </c>
      <c r="BM171" s="6" t="n">
        <v>0</v>
      </c>
      <c r="BN171" s="6" t="n">
        <v>0</v>
      </c>
      <c r="BO171" s="6" t="n">
        <v>0</v>
      </c>
      <c r="BP171" s="6" t="n">
        <v>0</v>
      </c>
      <c r="BQ171" s="6" t="n">
        <v>0</v>
      </c>
      <c r="BR171" s="6" t="n">
        <v>0</v>
      </c>
      <c r="BS171" s="6" t="n">
        <v>0</v>
      </c>
      <c r="BT171" s="6" t="n">
        <v>0</v>
      </c>
      <c r="BU171" s="6" t="n">
        <v>0</v>
      </c>
      <c r="BV171" s="6" t="n">
        <v>0</v>
      </c>
      <c r="BW171" s="6" t="n">
        <v>0</v>
      </c>
      <c r="BX171" s="6" t="n">
        <f aca="false">+BR171+BU171+BL171+BO171</f>
        <v>0</v>
      </c>
      <c r="BY171" s="6" t="n">
        <f aca="false">+BS171+BV171+BM171+BP171</f>
        <v>0</v>
      </c>
      <c r="BZ171" s="6" t="n">
        <f aca="false">+BT171+BW171+BN171+BQ171</f>
        <v>0</v>
      </c>
      <c r="CA171" s="6" t="n">
        <v>0</v>
      </c>
      <c r="CB171" s="6" t="n">
        <v>0</v>
      </c>
      <c r="CC171" s="6" t="n">
        <v>0</v>
      </c>
      <c r="CD171" s="6" t="n">
        <v>0</v>
      </c>
      <c r="CE171" s="6" t="n">
        <v>0</v>
      </c>
      <c r="CF171" s="6" t="n">
        <v>0</v>
      </c>
      <c r="CG171" s="30" t="n">
        <v>141000.45</v>
      </c>
      <c r="CH171" s="30" t="n">
        <v>141000.45</v>
      </c>
      <c r="CI171" s="6" t="n">
        <v>0</v>
      </c>
      <c r="CJ171" s="6" t="n">
        <v>0</v>
      </c>
      <c r="CK171" s="6" t="n">
        <v>0</v>
      </c>
      <c r="CL171" s="6" t="n">
        <v>141000.45</v>
      </c>
      <c r="CM171" s="6" t="n">
        <f aca="false">+CG171+CJ171+CA171+CD171</f>
        <v>141000.45</v>
      </c>
      <c r="CN171" s="6" t="n">
        <f aca="false">+CH171+CK171+CB171+CE171</f>
        <v>141000.45</v>
      </c>
      <c r="CO171" s="6" t="n">
        <f aca="false">+CI171+CL171+CC171+CF171</f>
        <v>141000.45</v>
      </c>
      <c r="CP171" s="6" t="n">
        <v>0</v>
      </c>
      <c r="CQ171" s="6" t="n">
        <v>0</v>
      </c>
      <c r="CR171" s="6" t="n">
        <v>0</v>
      </c>
      <c r="CS171" s="6" t="n">
        <v>0</v>
      </c>
      <c r="CT171" s="6" t="n">
        <v>0</v>
      </c>
      <c r="CU171" s="6" t="n">
        <v>0</v>
      </c>
      <c r="CV171" s="6" t="n">
        <v>0</v>
      </c>
      <c r="CW171" s="6" t="n">
        <v>0</v>
      </c>
      <c r="CX171" s="6" t="n">
        <v>0</v>
      </c>
      <c r="CY171" s="6" t="n">
        <v>0</v>
      </c>
      <c r="CZ171" s="6" t="n">
        <v>0</v>
      </c>
      <c r="DA171" s="6" t="n">
        <v>0</v>
      </c>
      <c r="DB171" s="6" t="n">
        <f aca="false">+CV171+CY171+CP171+CS171</f>
        <v>0</v>
      </c>
      <c r="DC171" s="6" t="n">
        <f aca="false">+CW171+CZ171+CQ171+CT171</f>
        <v>0</v>
      </c>
      <c r="DD171" s="6" t="n">
        <f aca="false">+CX171+DA171+CR171+CU171</f>
        <v>0</v>
      </c>
      <c r="DE171" s="6" t="n">
        <v>0</v>
      </c>
      <c r="DF171" s="6" t="n">
        <v>0</v>
      </c>
      <c r="DG171" s="6" t="n">
        <v>0</v>
      </c>
      <c r="DH171" s="6" t="n">
        <v>0</v>
      </c>
      <c r="DI171" s="6" t="n">
        <v>0</v>
      </c>
      <c r="DJ171" s="6" t="n">
        <v>0</v>
      </c>
      <c r="DK171" s="6" t="n">
        <v>0</v>
      </c>
      <c r="DL171" s="6" t="n">
        <v>0</v>
      </c>
      <c r="DM171" s="6" t="n">
        <v>0</v>
      </c>
      <c r="DN171" s="6" t="n">
        <v>0</v>
      </c>
      <c r="DO171" s="6" t="n">
        <v>0</v>
      </c>
      <c r="DP171" s="6" t="n">
        <v>0</v>
      </c>
      <c r="DQ171" s="6" t="n">
        <f aca="false">+DK171+DN171+DE171+DH171</f>
        <v>0</v>
      </c>
      <c r="DR171" s="6" t="n">
        <f aca="false">+DL171+DO171+DF171+DI171</f>
        <v>0</v>
      </c>
      <c r="DS171" s="6" t="n">
        <f aca="false">+DM171+DP171+DG171+DJ171</f>
        <v>0</v>
      </c>
      <c r="DT171" s="31" t="n">
        <f aca="false">+P171+AE171+AT171+BI171+BX171+CM171+DB171</f>
        <v>141000.45</v>
      </c>
      <c r="DU171" s="31" t="n">
        <f aca="false">+Q171+AF171+AU171+BJ171+BY171+CN171+DC171</f>
        <v>141000.45</v>
      </c>
      <c r="DV171" s="31" t="n">
        <f aca="false">+R171+AG171+AV171+BK171+BZ171+CO171+DD171</f>
        <v>141000.45</v>
      </c>
      <c r="DW171" s="31" t="n">
        <f aca="false">+DU171-DV171</f>
        <v>0</v>
      </c>
    </row>
    <row r="172" customFormat="false" ht="13.8" hidden="false" customHeight="false" outlineLevel="0" collapsed="false">
      <c r="A172" s="27" t="n">
        <v>45916</v>
      </c>
      <c r="B172" s="28" t="s">
        <v>664</v>
      </c>
      <c r="C172" s="28" t="s">
        <v>665</v>
      </c>
      <c r="D172" s="29" t="s">
        <v>666</v>
      </c>
      <c r="E172" s="28" t="s">
        <v>667</v>
      </c>
      <c r="F172" s="27" t="s">
        <v>668</v>
      </c>
      <c r="G172" s="27" t="s">
        <v>24</v>
      </c>
      <c r="H172" s="30" t="n">
        <v>8200000</v>
      </c>
      <c r="I172" s="30" t="n">
        <v>8200000</v>
      </c>
      <c r="J172" s="6" t="n">
        <v>0</v>
      </c>
      <c r="K172" s="6" t="n">
        <v>0</v>
      </c>
      <c r="L172" s="6" t="n">
        <v>0</v>
      </c>
      <c r="M172" s="6" t="n">
        <v>0</v>
      </c>
      <c r="N172" s="6" t="n">
        <v>0</v>
      </c>
      <c r="O172" s="6" t="n">
        <v>0</v>
      </c>
      <c r="P172" s="6" t="n">
        <f aca="false">+J172+M172</f>
        <v>0</v>
      </c>
      <c r="Q172" s="6" t="n">
        <f aca="false">+K172+N172</f>
        <v>0</v>
      </c>
      <c r="R172" s="6" t="n">
        <f aca="false">+L172+O172</f>
        <v>0</v>
      </c>
      <c r="S172" s="6" t="n">
        <v>0</v>
      </c>
      <c r="T172" s="6" t="n">
        <v>0</v>
      </c>
      <c r="U172" s="6" t="n">
        <v>0</v>
      </c>
      <c r="V172" s="6" t="n">
        <v>0</v>
      </c>
      <c r="W172" s="6" t="n">
        <v>0</v>
      </c>
      <c r="X172" s="6" t="n">
        <v>0</v>
      </c>
      <c r="Y172" s="6" t="n">
        <v>0</v>
      </c>
      <c r="Z172" s="6" t="n">
        <v>0</v>
      </c>
      <c r="AA172" s="6" t="n">
        <v>0</v>
      </c>
      <c r="AB172" s="6" t="n">
        <v>0</v>
      </c>
      <c r="AC172" s="6" t="n">
        <v>0</v>
      </c>
      <c r="AD172" s="6" t="n">
        <v>0</v>
      </c>
      <c r="AE172" s="6" t="n">
        <f aca="false">+Y172+AB172+S172+V172</f>
        <v>0</v>
      </c>
      <c r="AF172" s="6" t="n">
        <f aca="false">+Z172+AC172+T172+W172</f>
        <v>0</v>
      </c>
      <c r="AG172" s="6" t="n">
        <f aca="false">+AA172+AD172+U172+X172</f>
        <v>0</v>
      </c>
      <c r="AH172" s="6" t="n">
        <v>0</v>
      </c>
      <c r="AI172" s="6" t="n">
        <v>0</v>
      </c>
      <c r="AJ172" s="6" t="n">
        <v>0</v>
      </c>
      <c r="AK172" s="6" t="n">
        <v>0</v>
      </c>
      <c r="AL172" s="6" t="n">
        <v>0</v>
      </c>
      <c r="AM172" s="6" t="n">
        <v>0</v>
      </c>
      <c r="AN172" s="6" t="n">
        <v>0</v>
      </c>
      <c r="AO172" s="6" t="n">
        <v>0</v>
      </c>
      <c r="AP172" s="6" t="n">
        <v>0</v>
      </c>
      <c r="AQ172" s="6" t="n">
        <v>0</v>
      </c>
      <c r="AR172" s="6" t="n">
        <v>0</v>
      </c>
      <c r="AS172" s="6" t="n">
        <v>0</v>
      </c>
      <c r="AT172" s="6" t="n">
        <f aca="false">+AN172+AQ172+AH172+AK172</f>
        <v>0</v>
      </c>
      <c r="AU172" s="6" t="n">
        <f aca="false">+AO172+AR172+AI172+AL172</f>
        <v>0</v>
      </c>
      <c r="AV172" s="6" t="n">
        <f aca="false">+AP172+AS172+AJ172+AM172</f>
        <v>0</v>
      </c>
      <c r="AW172" s="6" t="n">
        <v>0</v>
      </c>
      <c r="AX172" s="6" t="n">
        <v>0</v>
      </c>
      <c r="AY172" s="6" t="n">
        <v>0</v>
      </c>
      <c r="AZ172" s="6" t="n">
        <v>0</v>
      </c>
      <c r="BA172" s="6" t="n">
        <v>0</v>
      </c>
      <c r="BB172" s="6" t="n">
        <v>0</v>
      </c>
      <c r="BC172" s="6" t="n">
        <v>0</v>
      </c>
      <c r="BD172" s="6" t="n">
        <v>0</v>
      </c>
      <c r="BE172" s="6" t="n">
        <v>0</v>
      </c>
      <c r="BF172" s="6" t="n">
        <v>0</v>
      </c>
      <c r="BG172" s="6" t="n">
        <v>0</v>
      </c>
      <c r="BH172" s="6" t="n">
        <v>0</v>
      </c>
      <c r="BI172" s="6" t="n">
        <f aca="false">+BC172+BF172+AW172+AZ172</f>
        <v>0</v>
      </c>
      <c r="BJ172" s="6" t="n">
        <f aca="false">+BD172+BG172+AX172+BA172</f>
        <v>0</v>
      </c>
      <c r="BK172" s="6" t="n">
        <f aca="false">+BE172+BH172+AY172+BB172</f>
        <v>0</v>
      </c>
      <c r="BL172" s="6" t="n">
        <v>0</v>
      </c>
      <c r="BM172" s="6" t="n">
        <v>0</v>
      </c>
      <c r="BN172" s="6" t="n">
        <v>0</v>
      </c>
      <c r="BO172" s="6" t="n">
        <v>0</v>
      </c>
      <c r="BP172" s="6" t="n">
        <v>0</v>
      </c>
      <c r="BQ172" s="6" t="n">
        <v>0</v>
      </c>
      <c r="BR172" s="6" t="n">
        <v>0</v>
      </c>
      <c r="BS172" s="6" t="n">
        <v>0</v>
      </c>
      <c r="BT172" s="6" t="n">
        <v>0</v>
      </c>
      <c r="BU172" s="6" t="n">
        <v>0</v>
      </c>
      <c r="BV172" s="6" t="n">
        <v>0</v>
      </c>
      <c r="BW172" s="6" t="n">
        <v>0</v>
      </c>
      <c r="BX172" s="6" t="n">
        <f aca="false">+BR172+BU172+BL172+BO172</f>
        <v>0</v>
      </c>
      <c r="BY172" s="6" t="n">
        <f aca="false">+BS172+BV172+BM172+BP172</f>
        <v>0</v>
      </c>
      <c r="BZ172" s="6" t="n">
        <f aca="false">+BT172+BW172+BN172+BQ172</f>
        <v>0</v>
      </c>
      <c r="CA172" s="6" t="n">
        <v>0</v>
      </c>
      <c r="CB172" s="6" t="n">
        <v>0</v>
      </c>
      <c r="CC172" s="6" t="n">
        <v>0</v>
      </c>
      <c r="CD172" s="6" t="n">
        <v>0</v>
      </c>
      <c r="CE172" s="6" t="n">
        <v>0</v>
      </c>
      <c r="CF172" s="6" t="n">
        <v>0</v>
      </c>
      <c r="CG172" s="6" t="n">
        <v>0</v>
      </c>
      <c r="CH172" s="6" t="n">
        <v>0</v>
      </c>
      <c r="CI172" s="6" t="n">
        <v>0</v>
      </c>
      <c r="CJ172" s="30" t="n">
        <v>8200000</v>
      </c>
      <c r="CK172" s="30" t="n">
        <v>8200000</v>
      </c>
      <c r="CL172" s="6" t="n">
        <v>0</v>
      </c>
      <c r="CM172" s="6" t="n">
        <f aca="false">+CG172+CJ172+CA172+CD172</f>
        <v>8200000</v>
      </c>
      <c r="CN172" s="6" t="n">
        <f aca="false">+CH172+CK172+CB172+CE172</f>
        <v>8200000</v>
      </c>
      <c r="CO172" s="6" t="n">
        <f aca="false">+CI172+CL172+CC172+CF172</f>
        <v>0</v>
      </c>
      <c r="CP172" s="6" t="n">
        <v>0</v>
      </c>
      <c r="CQ172" s="6" t="n">
        <v>0</v>
      </c>
      <c r="CR172" s="6" t="n">
        <v>200000</v>
      </c>
      <c r="CS172" s="6" t="n">
        <v>0</v>
      </c>
      <c r="CT172" s="6" t="n">
        <v>0</v>
      </c>
      <c r="CU172" s="6" t="n">
        <v>500000</v>
      </c>
      <c r="CV172" s="6" t="n">
        <v>0</v>
      </c>
      <c r="CW172" s="6" t="n">
        <v>0</v>
      </c>
      <c r="CX172" s="6" t="n">
        <v>0</v>
      </c>
      <c r="CY172" s="6" t="n">
        <v>0</v>
      </c>
      <c r="CZ172" s="6" t="n">
        <v>0</v>
      </c>
      <c r="DA172" s="6" t="n">
        <v>0</v>
      </c>
      <c r="DB172" s="6" t="n">
        <f aca="false">+CV172+CY172+CP172+CS172</f>
        <v>0</v>
      </c>
      <c r="DC172" s="6" t="n">
        <f aca="false">+CW172+CZ172+CQ172+CT172</f>
        <v>0</v>
      </c>
      <c r="DD172" s="6" t="n">
        <f aca="false">+CX172+DA172+CR172+CU172</f>
        <v>700000</v>
      </c>
      <c r="DE172" s="6" t="n">
        <v>0</v>
      </c>
      <c r="DF172" s="6" t="n">
        <v>0</v>
      </c>
      <c r="DG172" s="6" t="n">
        <v>200000</v>
      </c>
      <c r="DH172" s="6" t="n">
        <v>0</v>
      </c>
      <c r="DI172" s="6" t="n">
        <v>0</v>
      </c>
      <c r="DJ172" s="6" t="n">
        <v>500000</v>
      </c>
      <c r="DK172" s="6" t="n">
        <v>0</v>
      </c>
      <c r="DL172" s="6" t="n">
        <v>0</v>
      </c>
      <c r="DM172" s="6" t="n">
        <v>0</v>
      </c>
      <c r="DN172" s="6" t="n">
        <v>0</v>
      </c>
      <c r="DO172" s="6" t="n">
        <v>0</v>
      </c>
      <c r="DP172" s="6" t="n">
        <v>0</v>
      </c>
      <c r="DQ172" s="6" t="n">
        <f aca="false">+DK172+DN172+DE172+DH172</f>
        <v>0</v>
      </c>
      <c r="DR172" s="6" t="n">
        <f aca="false">+DL172+DO172+DF172+DI172</f>
        <v>0</v>
      </c>
      <c r="DS172" s="6" t="n">
        <f aca="false">+DM172+DP172+DG172+DJ172</f>
        <v>700000</v>
      </c>
      <c r="DT172" s="31" t="n">
        <f aca="false">+P172+AE172+AT172+BI172+BX172+CM172+DB172</f>
        <v>8200000</v>
      </c>
      <c r="DU172" s="31" t="n">
        <f aca="false">+Q172+AF172+AU172+BJ172+BY172+CN172+DC172</f>
        <v>8200000</v>
      </c>
      <c r="DV172" s="31" t="n">
        <f aca="false">+R172+AG172+AV172+BK172+BZ172+CO172+DD172</f>
        <v>700000</v>
      </c>
      <c r="DW172" s="31" t="n">
        <f aca="false">+DU172-DV172</f>
        <v>7500000</v>
      </c>
    </row>
    <row r="173" customFormat="false" ht="13.8" hidden="false" customHeight="false" outlineLevel="0" collapsed="false">
      <c r="A173" s="27" t="n">
        <v>45791</v>
      </c>
      <c r="B173" s="28" t="s">
        <v>669</v>
      </c>
      <c r="C173" s="28" t="s">
        <v>670</v>
      </c>
      <c r="D173" s="29" t="s">
        <v>671</v>
      </c>
      <c r="E173" s="28" t="s">
        <v>672</v>
      </c>
      <c r="F173" s="27" t="s">
        <v>673</v>
      </c>
      <c r="G173" s="27" t="s">
        <v>23</v>
      </c>
      <c r="H173" s="30" t="n">
        <v>1540000</v>
      </c>
      <c r="I173" s="30" t="n">
        <v>1540000</v>
      </c>
      <c r="J173" s="6" t="n">
        <v>0</v>
      </c>
      <c r="K173" s="6" t="n">
        <v>0</v>
      </c>
      <c r="L173" s="6" t="n">
        <v>0</v>
      </c>
      <c r="M173" s="6" t="n">
        <v>0</v>
      </c>
      <c r="N173" s="6" t="n">
        <v>0</v>
      </c>
      <c r="O173" s="6" t="n">
        <v>0</v>
      </c>
      <c r="P173" s="6" t="n">
        <f aca="false">+J173+M173</f>
        <v>0</v>
      </c>
      <c r="Q173" s="6" t="n">
        <f aca="false">+K173+N173</f>
        <v>0</v>
      </c>
      <c r="R173" s="6" t="n">
        <f aca="false">+L173+O173</f>
        <v>0</v>
      </c>
      <c r="S173" s="6" t="n">
        <v>0</v>
      </c>
      <c r="T173" s="6" t="n">
        <v>0</v>
      </c>
      <c r="U173" s="6" t="n">
        <v>0</v>
      </c>
      <c r="V173" s="6" t="n">
        <v>0</v>
      </c>
      <c r="W173" s="6" t="n">
        <v>0</v>
      </c>
      <c r="X173" s="6" t="n">
        <v>0</v>
      </c>
      <c r="Y173" s="6" t="n">
        <v>0</v>
      </c>
      <c r="Z173" s="6" t="n">
        <v>0</v>
      </c>
      <c r="AA173" s="6" t="n">
        <v>0</v>
      </c>
      <c r="AB173" s="6" t="n">
        <v>0</v>
      </c>
      <c r="AC173" s="6" t="n">
        <v>0</v>
      </c>
      <c r="AD173" s="6" t="n">
        <v>0</v>
      </c>
      <c r="AE173" s="6" t="n">
        <f aca="false">+Y173+AB173+S173+V173</f>
        <v>0</v>
      </c>
      <c r="AF173" s="6" t="n">
        <f aca="false">+Z173+AC173+T173+W173</f>
        <v>0</v>
      </c>
      <c r="AG173" s="6" t="n">
        <f aca="false">+AA173+AD173+U173+X173</f>
        <v>0</v>
      </c>
      <c r="AH173" s="6" t="n">
        <v>0</v>
      </c>
      <c r="AI173" s="6" t="n">
        <v>0</v>
      </c>
      <c r="AJ173" s="6" t="n">
        <v>0</v>
      </c>
      <c r="AK173" s="6" t="n">
        <v>0</v>
      </c>
      <c r="AL173" s="6" t="n">
        <v>0</v>
      </c>
      <c r="AM173" s="6" t="n">
        <v>0</v>
      </c>
      <c r="AN173" s="6" t="n">
        <v>0</v>
      </c>
      <c r="AO173" s="6" t="n">
        <v>0</v>
      </c>
      <c r="AP173" s="6" t="n">
        <v>0</v>
      </c>
      <c r="AQ173" s="6" t="n">
        <v>0</v>
      </c>
      <c r="AR173" s="6" t="n">
        <v>0</v>
      </c>
      <c r="AS173" s="6" t="n">
        <v>0</v>
      </c>
      <c r="AT173" s="6" t="n">
        <f aca="false">+AN173+AQ173+AH173+AK173</f>
        <v>0</v>
      </c>
      <c r="AU173" s="6" t="n">
        <f aca="false">+AO173+AR173+AI173+AL173</f>
        <v>0</v>
      </c>
      <c r="AV173" s="6" t="n">
        <f aca="false">+AP173+AS173+AJ173+AM173</f>
        <v>0</v>
      </c>
      <c r="AW173" s="6" t="n">
        <v>0</v>
      </c>
      <c r="AX173" s="6" t="n">
        <v>0</v>
      </c>
      <c r="AY173" s="6" t="n">
        <v>0</v>
      </c>
      <c r="AZ173" s="6" t="n">
        <v>0</v>
      </c>
      <c r="BA173" s="6" t="n">
        <v>0</v>
      </c>
      <c r="BB173" s="6" t="n">
        <v>0</v>
      </c>
      <c r="BC173" s="6" t="n">
        <v>0</v>
      </c>
      <c r="BD173" s="6" t="n">
        <v>0</v>
      </c>
      <c r="BE173" s="6" t="n">
        <v>0</v>
      </c>
      <c r="BF173" s="6" t="n">
        <v>0</v>
      </c>
      <c r="BG173" s="6" t="n">
        <v>0</v>
      </c>
      <c r="BH173" s="6" t="n">
        <v>0</v>
      </c>
      <c r="BI173" s="6" t="n">
        <f aca="false">+BC173+BF173+AW173+AZ173</f>
        <v>0</v>
      </c>
      <c r="BJ173" s="6" t="n">
        <f aca="false">+BD173+BG173+AX173+BA173</f>
        <v>0</v>
      </c>
      <c r="BK173" s="6" t="n">
        <f aca="false">+BE173+BH173+AY173+BB173</f>
        <v>0</v>
      </c>
      <c r="BL173" s="6" t="n">
        <v>0</v>
      </c>
      <c r="BM173" s="6" t="n">
        <v>0</v>
      </c>
      <c r="BN173" s="6" t="n">
        <v>0</v>
      </c>
      <c r="BO173" s="6" t="n">
        <v>0</v>
      </c>
      <c r="BP173" s="6" t="n">
        <v>0</v>
      </c>
      <c r="BQ173" s="6" t="n">
        <v>0</v>
      </c>
      <c r="BR173" s="6" t="n">
        <v>0</v>
      </c>
      <c r="BS173" s="6" t="n">
        <v>0</v>
      </c>
      <c r="BT173" s="6" t="n">
        <v>0</v>
      </c>
      <c r="BU173" s="6" t="n">
        <v>0</v>
      </c>
      <c r="BV173" s="6" t="n">
        <v>0</v>
      </c>
      <c r="BW173" s="6" t="n">
        <v>0</v>
      </c>
      <c r="BX173" s="6" t="n">
        <f aca="false">+BR173+BU173+BL173+BO173</f>
        <v>0</v>
      </c>
      <c r="BY173" s="6" t="n">
        <f aca="false">+BS173+BV173+BM173+BP173</f>
        <v>0</v>
      </c>
      <c r="BZ173" s="6" t="n">
        <f aca="false">+BT173+BW173+BN173+BQ173</f>
        <v>0</v>
      </c>
      <c r="CA173" s="6" t="n">
        <v>0</v>
      </c>
      <c r="CB173" s="6" t="n">
        <v>0</v>
      </c>
      <c r="CC173" s="6" t="n">
        <v>0</v>
      </c>
      <c r="CD173" s="6" t="n">
        <v>0</v>
      </c>
      <c r="CE173" s="6" t="n">
        <v>0</v>
      </c>
      <c r="CF173" s="6" t="n">
        <v>0</v>
      </c>
      <c r="CG173" s="30" t="n">
        <v>1540000</v>
      </c>
      <c r="CH173" s="30" t="n">
        <v>1540000</v>
      </c>
      <c r="CI173" s="6" t="n">
        <v>0</v>
      </c>
      <c r="CJ173" s="6" t="n">
        <v>0</v>
      </c>
      <c r="CK173" s="6" t="n">
        <v>0</v>
      </c>
      <c r="CL173" s="6" t="n">
        <v>1540000</v>
      </c>
      <c r="CM173" s="6" t="n">
        <f aca="false">+CG173+CJ173+CA173+CD173</f>
        <v>1540000</v>
      </c>
      <c r="CN173" s="6" t="n">
        <f aca="false">+CH173+CK173+CB173+CE173</f>
        <v>1540000</v>
      </c>
      <c r="CO173" s="6" t="n">
        <f aca="false">+CI173+CL173+CC173+CF173</f>
        <v>1540000</v>
      </c>
      <c r="CP173" s="6" t="n">
        <v>0</v>
      </c>
      <c r="CQ173" s="6" t="n">
        <v>0</v>
      </c>
      <c r="CR173" s="6" t="n">
        <v>0</v>
      </c>
      <c r="CS173" s="6" t="n">
        <v>0</v>
      </c>
      <c r="CT173" s="6" t="n">
        <v>0</v>
      </c>
      <c r="CU173" s="6" t="n">
        <v>0</v>
      </c>
      <c r="CV173" s="6" t="n">
        <v>0</v>
      </c>
      <c r="CW173" s="6" t="n">
        <v>0</v>
      </c>
      <c r="CX173" s="6" t="n">
        <v>0</v>
      </c>
      <c r="CY173" s="6" t="n">
        <v>0</v>
      </c>
      <c r="CZ173" s="6" t="n">
        <v>0</v>
      </c>
      <c r="DA173" s="6" t="n">
        <v>0</v>
      </c>
      <c r="DB173" s="6" t="n">
        <f aca="false">+CV173+CY173+CP173+CS173</f>
        <v>0</v>
      </c>
      <c r="DC173" s="6" t="n">
        <f aca="false">+CW173+CZ173+CQ173+CT173</f>
        <v>0</v>
      </c>
      <c r="DD173" s="6" t="n">
        <f aca="false">+CX173+DA173+CR173+CU173</f>
        <v>0</v>
      </c>
      <c r="DE173" s="6" t="n">
        <v>0</v>
      </c>
      <c r="DF173" s="6" t="n">
        <v>0</v>
      </c>
      <c r="DG173" s="6" t="n">
        <v>0</v>
      </c>
      <c r="DH173" s="6" t="n">
        <v>0</v>
      </c>
      <c r="DI173" s="6" t="n">
        <v>0</v>
      </c>
      <c r="DJ173" s="6" t="n">
        <v>0</v>
      </c>
      <c r="DK173" s="6" t="n">
        <v>0</v>
      </c>
      <c r="DL173" s="6" t="n">
        <v>0</v>
      </c>
      <c r="DM173" s="6" t="n">
        <v>0</v>
      </c>
      <c r="DN173" s="6" t="n">
        <v>0</v>
      </c>
      <c r="DO173" s="6" t="n">
        <v>0</v>
      </c>
      <c r="DP173" s="6" t="n">
        <v>0</v>
      </c>
      <c r="DQ173" s="6" t="n">
        <f aca="false">+DK173+DN173+DE173+DH173</f>
        <v>0</v>
      </c>
      <c r="DR173" s="6" t="n">
        <f aca="false">+DL173+DO173+DF173+DI173</f>
        <v>0</v>
      </c>
      <c r="DS173" s="6" t="n">
        <f aca="false">+DM173+DP173+DG173+DJ173</f>
        <v>0</v>
      </c>
      <c r="DT173" s="31" t="n">
        <f aca="false">+P173+AE173+AT173+BI173+BX173+CM173+DB173</f>
        <v>1540000</v>
      </c>
      <c r="DU173" s="31" t="n">
        <f aca="false">+Q173+AF173+AU173+BJ173+BY173+CN173+DC173</f>
        <v>1540000</v>
      </c>
      <c r="DV173" s="31" t="n">
        <f aca="false">+R173+AG173+AV173+BK173+BZ173+CO173+DD173</f>
        <v>1540000</v>
      </c>
      <c r="DW173" s="31" t="n">
        <f aca="false">+DU173-DV173</f>
        <v>0</v>
      </c>
    </row>
    <row r="174" customFormat="false" ht="13.8" hidden="false" customHeight="false" outlineLevel="0" collapsed="false">
      <c r="A174" s="27" t="n">
        <v>45811</v>
      </c>
      <c r="B174" s="28" t="s">
        <v>674</v>
      </c>
      <c r="C174" s="28" t="s">
        <v>675</v>
      </c>
      <c r="D174" s="29" t="s">
        <v>676</v>
      </c>
      <c r="E174" s="28" t="s">
        <v>677</v>
      </c>
      <c r="F174" s="27" t="s">
        <v>678</v>
      </c>
      <c r="G174" s="27" t="s">
        <v>23</v>
      </c>
      <c r="H174" s="30" t="n">
        <v>1000000</v>
      </c>
      <c r="I174" s="30" t="n">
        <v>1000000</v>
      </c>
      <c r="J174" s="6" t="n">
        <v>0</v>
      </c>
      <c r="K174" s="6" t="n">
        <v>0</v>
      </c>
      <c r="L174" s="6" t="n">
        <v>0</v>
      </c>
      <c r="M174" s="6" t="n">
        <v>0</v>
      </c>
      <c r="N174" s="6" t="n">
        <v>0</v>
      </c>
      <c r="O174" s="6" t="n">
        <v>0</v>
      </c>
      <c r="P174" s="6" t="n">
        <f aca="false">+J174+M174</f>
        <v>0</v>
      </c>
      <c r="Q174" s="6" t="n">
        <f aca="false">+K174+N174</f>
        <v>0</v>
      </c>
      <c r="R174" s="6" t="n">
        <f aca="false">+L174+O174</f>
        <v>0</v>
      </c>
      <c r="S174" s="6" t="n">
        <v>0</v>
      </c>
      <c r="T174" s="6" t="n">
        <v>0</v>
      </c>
      <c r="U174" s="6" t="n">
        <v>0</v>
      </c>
      <c r="V174" s="6" t="n">
        <v>0</v>
      </c>
      <c r="W174" s="6" t="n">
        <v>0</v>
      </c>
      <c r="X174" s="6" t="n">
        <v>0</v>
      </c>
      <c r="Y174" s="6" t="n">
        <v>0</v>
      </c>
      <c r="Z174" s="6" t="n">
        <v>0</v>
      </c>
      <c r="AA174" s="6" t="n">
        <v>0</v>
      </c>
      <c r="AB174" s="6" t="n">
        <v>0</v>
      </c>
      <c r="AC174" s="6" t="n">
        <v>0</v>
      </c>
      <c r="AD174" s="6" t="n">
        <v>0</v>
      </c>
      <c r="AE174" s="6" t="n">
        <f aca="false">+Y174+AB174+S174+V174</f>
        <v>0</v>
      </c>
      <c r="AF174" s="6" t="n">
        <f aca="false">+Z174+AC174+T174+W174</f>
        <v>0</v>
      </c>
      <c r="AG174" s="6" t="n">
        <f aca="false">+AA174+AD174+U174+X174</f>
        <v>0</v>
      </c>
      <c r="AH174" s="6" t="n">
        <v>0</v>
      </c>
      <c r="AI174" s="6" t="n">
        <v>0</v>
      </c>
      <c r="AJ174" s="6" t="n">
        <v>0</v>
      </c>
      <c r="AK174" s="6" t="n">
        <v>0</v>
      </c>
      <c r="AL174" s="6" t="n">
        <v>0</v>
      </c>
      <c r="AM174" s="6" t="n">
        <v>0</v>
      </c>
      <c r="AN174" s="6" t="n">
        <v>0</v>
      </c>
      <c r="AO174" s="6" t="n">
        <v>0</v>
      </c>
      <c r="AP174" s="6" t="n">
        <v>0</v>
      </c>
      <c r="AQ174" s="6" t="n">
        <v>0</v>
      </c>
      <c r="AR174" s="6" t="n">
        <v>0</v>
      </c>
      <c r="AS174" s="6" t="n">
        <v>0</v>
      </c>
      <c r="AT174" s="6" t="n">
        <f aca="false">+AN174+AQ174+AH174+AK174</f>
        <v>0</v>
      </c>
      <c r="AU174" s="6" t="n">
        <f aca="false">+AO174+AR174+AI174+AL174</f>
        <v>0</v>
      </c>
      <c r="AV174" s="6" t="n">
        <f aca="false">+AP174+AS174+AJ174+AM174</f>
        <v>0</v>
      </c>
      <c r="AW174" s="6" t="n">
        <v>0</v>
      </c>
      <c r="AX174" s="6" t="n">
        <v>0</v>
      </c>
      <c r="AY174" s="6" t="n">
        <v>0</v>
      </c>
      <c r="AZ174" s="6" t="n">
        <v>0</v>
      </c>
      <c r="BA174" s="6" t="n">
        <v>0</v>
      </c>
      <c r="BB174" s="6" t="n">
        <v>0</v>
      </c>
      <c r="BC174" s="6" t="n">
        <v>0</v>
      </c>
      <c r="BD174" s="6" t="n">
        <v>0</v>
      </c>
      <c r="BE174" s="6" t="n">
        <v>0</v>
      </c>
      <c r="BF174" s="6" t="n">
        <v>0</v>
      </c>
      <c r="BG174" s="6" t="n">
        <v>0</v>
      </c>
      <c r="BH174" s="6" t="n">
        <v>0</v>
      </c>
      <c r="BI174" s="6" t="n">
        <f aca="false">+BC174+BF174+AW174+AZ174</f>
        <v>0</v>
      </c>
      <c r="BJ174" s="6" t="n">
        <f aca="false">+BD174+BG174+AX174+BA174</f>
        <v>0</v>
      </c>
      <c r="BK174" s="6" t="n">
        <f aca="false">+BE174+BH174+AY174+BB174</f>
        <v>0</v>
      </c>
      <c r="BL174" s="6" t="n">
        <v>0</v>
      </c>
      <c r="BM174" s="6" t="n">
        <v>0</v>
      </c>
      <c r="BN174" s="6" t="n">
        <v>0</v>
      </c>
      <c r="BO174" s="6" t="n">
        <v>0</v>
      </c>
      <c r="BP174" s="6" t="n">
        <v>0</v>
      </c>
      <c r="BQ174" s="6" t="n">
        <v>0</v>
      </c>
      <c r="BR174" s="6" t="n">
        <v>0</v>
      </c>
      <c r="BS174" s="6" t="n">
        <v>0</v>
      </c>
      <c r="BT174" s="6" t="n">
        <v>0</v>
      </c>
      <c r="BU174" s="6" t="n">
        <v>0</v>
      </c>
      <c r="BV174" s="6" t="n">
        <v>0</v>
      </c>
      <c r="BW174" s="6" t="n">
        <v>0</v>
      </c>
      <c r="BX174" s="6" t="n">
        <f aca="false">+BR174+BU174+BL174+BO174</f>
        <v>0</v>
      </c>
      <c r="BY174" s="6" t="n">
        <f aca="false">+BS174+BV174+BM174+BP174</f>
        <v>0</v>
      </c>
      <c r="BZ174" s="6" t="n">
        <f aca="false">+BT174+BW174+BN174+BQ174</f>
        <v>0</v>
      </c>
      <c r="CA174" s="6" t="n">
        <v>0</v>
      </c>
      <c r="CB174" s="6" t="n">
        <v>0</v>
      </c>
      <c r="CC174" s="6" t="n">
        <v>0</v>
      </c>
      <c r="CD174" s="6" t="n">
        <v>0</v>
      </c>
      <c r="CE174" s="6" t="n">
        <v>0</v>
      </c>
      <c r="CF174" s="6" t="n">
        <v>0</v>
      </c>
      <c r="CG174" s="30" t="n">
        <v>1000000</v>
      </c>
      <c r="CH174" s="30" t="n">
        <v>1000000</v>
      </c>
      <c r="CI174" s="6" t="n">
        <v>0</v>
      </c>
      <c r="CJ174" s="6" t="n">
        <v>0</v>
      </c>
      <c r="CK174" s="6" t="n">
        <v>0</v>
      </c>
      <c r="CL174" s="6" t="n">
        <v>300000</v>
      </c>
      <c r="CM174" s="6" t="n">
        <f aca="false">+CG174+CJ174+CA174+CD174</f>
        <v>1000000</v>
      </c>
      <c r="CN174" s="6" t="n">
        <f aca="false">+CH174+CK174+CB174+CE174</f>
        <v>1000000</v>
      </c>
      <c r="CO174" s="6" t="n">
        <f aca="false">+CI174+CL174+CC174+CF174</f>
        <v>300000</v>
      </c>
      <c r="CP174" s="6" t="n">
        <v>0</v>
      </c>
      <c r="CQ174" s="6" t="n">
        <v>0</v>
      </c>
      <c r="CR174" s="6" t="n">
        <v>50000</v>
      </c>
      <c r="CS174" s="6" t="n">
        <v>0</v>
      </c>
      <c r="CT174" s="6" t="n">
        <v>0</v>
      </c>
      <c r="CU174" s="6" t="n">
        <v>150000</v>
      </c>
      <c r="CV174" s="6" t="n">
        <v>0</v>
      </c>
      <c r="CW174" s="6" t="n">
        <v>0</v>
      </c>
      <c r="CX174" s="6" t="n">
        <v>0</v>
      </c>
      <c r="CY174" s="6" t="n">
        <v>0</v>
      </c>
      <c r="CZ174" s="6" t="n">
        <v>0</v>
      </c>
      <c r="DA174" s="6" t="n">
        <v>0</v>
      </c>
      <c r="DB174" s="6" t="n">
        <f aca="false">+CV174+CY174+CP174+CS174</f>
        <v>0</v>
      </c>
      <c r="DC174" s="6" t="n">
        <f aca="false">+CW174+CZ174+CQ174+CT174</f>
        <v>0</v>
      </c>
      <c r="DD174" s="6" t="n">
        <f aca="false">+CX174+DA174+CR174+CU174</f>
        <v>200000</v>
      </c>
      <c r="DE174" s="6" t="n">
        <v>0</v>
      </c>
      <c r="DF174" s="6" t="n">
        <v>0</v>
      </c>
      <c r="DG174" s="6" t="n">
        <v>50000</v>
      </c>
      <c r="DH174" s="6" t="n">
        <v>0</v>
      </c>
      <c r="DI174" s="6" t="n">
        <v>0</v>
      </c>
      <c r="DJ174" s="6" t="n">
        <v>150000</v>
      </c>
      <c r="DK174" s="6" t="n">
        <v>0</v>
      </c>
      <c r="DL174" s="6" t="n">
        <v>0</v>
      </c>
      <c r="DM174" s="6" t="n">
        <v>0</v>
      </c>
      <c r="DN174" s="6" t="n">
        <v>0</v>
      </c>
      <c r="DO174" s="6" t="n">
        <v>0</v>
      </c>
      <c r="DP174" s="6" t="n">
        <v>0</v>
      </c>
      <c r="DQ174" s="6" t="n">
        <f aca="false">+DK174+DN174+DE174+DH174</f>
        <v>0</v>
      </c>
      <c r="DR174" s="6" t="n">
        <f aca="false">+DL174+DO174+DF174+DI174</f>
        <v>0</v>
      </c>
      <c r="DS174" s="6" t="n">
        <f aca="false">+DM174+DP174+DG174+DJ174</f>
        <v>200000</v>
      </c>
      <c r="DT174" s="31" t="n">
        <f aca="false">+P174+AE174+AT174+BI174+BX174+CM174+DB174</f>
        <v>1000000</v>
      </c>
      <c r="DU174" s="31" t="n">
        <f aca="false">+Q174+AF174+AU174+BJ174+BY174+CN174+DC174</f>
        <v>1000000</v>
      </c>
      <c r="DV174" s="31" t="n">
        <f aca="false">+R174+AG174+AV174+BK174+BZ174+CO174+DD174</f>
        <v>500000</v>
      </c>
      <c r="DW174" s="31" t="n">
        <f aca="false">+DU174-DV174</f>
        <v>500000</v>
      </c>
    </row>
    <row r="175" customFormat="false" ht="13.8" hidden="false" customHeight="false" outlineLevel="0" collapsed="false">
      <c r="A175" s="27" t="n">
        <v>45833</v>
      </c>
      <c r="B175" s="28" t="s">
        <v>679</v>
      </c>
      <c r="C175" s="28" t="s">
        <v>680</v>
      </c>
      <c r="D175" s="29" t="s">
        <v>681</v>
      </c>
      <c r="E175" s="28" t="s">
        <v>682</v>
      </c>
      <c r="F175" s="27" t="s">
        <v>683</v>
      </c>
      <c r="G175" s="27" t="s">
        <v>23</v>
      </c>
      <c r="H175" s="30" t="n">
        <v>1000000</v>
      </c>
      <c r="I175" s="30" t="n">
        <v>1000000</v>
      </c>
      <c r="J175" s="6" t="n">
        <v>0</v>
      </c>
      <c r="K175" s="6" t="n">
        <v>0</v>
      </c>
      <c r="L175" s="6" t="n">
        <v>0</v>
      </c>
      <c r="M175" s="6" t="n">
        <v>0</v>
      </c>
      <c r="N175" s="6" t="n">
        <v>0</v>
      </c>
      <c r="O175" s="6" t="n">
        <v>0</v>
      </c>
      <c r="P175" s="6" t="n">
        <f aca="false">+J175+M175</f>
        <v>0</v>
      </c>
      <c r="Q175" s="6" t="n">
        <f aca="false">+K175+N175</f>
        <v>0</v>
      </c>
      <c r="R175" s="6" t="n">
        <f aca="false">+L175+O175</f>
        <v>0</v>
      </c>
      <c r="S175" s="6" t="n">
        <v>0</v>
      </c>
      <c r="T175" s="6" t="n">
        <v>0</v>
      </c>
      <c r="U175" s="6" t="n">
        <v>0</v>
      </c>
      <c r="V175" s="6" t="n">
        <v>0</v>
      </c>
      <c r="W175" s="6" t="n">
        <v>0</v>
      </c>
      <c r="X175" s="6" t="n">
        <v>0</v>
      </c>
      <c r="Y175" s="6" t="n">
        <v>0</v>
      </c>
      <c r="Z175" s="6" t="n">
        <v>0</v>
      </c>
      <c r="AA175" s="6" t="n">
        <v>0</v>
      </c>
      <c r="AB175" s="6" t="n">
        <v>0</v>
      </c>
      <c r="AC175" s="6" t="n">
        <v>0</v>
      </c>
      <c r="AD175" s="6" t="n">
        <v>0</v>
      </c>
      <c r="AE175" s="6" t="n">
        <f aca="false">+Y175+AB175+S175+V175</f>
        <v>0</v>
      </c>
      <c r="AF175" s="6" t="n">
        <f aca="false">+Z175+AC175+T175+W175</f>
        <v>0</v>
      </c>
      <c r="AG175" s="6" t="n">
        <f aca="false">+AA175+AD175+U175+X175</f>
        <v>0</v>
      </c>
      <c r="AH175" s="6" t="n">
        <v>0</v>
      </c>
      <c r="AI175" s="6" t="n">
        <v>0</v>
      </c>
      <c r="AJ175" s="6" t="n">
        <v>0</v>
      </c>
      <c r="AK175" s="6" t="n">
        <v>0</v>
      </c>
      <c r="AL175" s="6" t="n">
        <v>0</v>
      </c>
      <c r="AM175" s="6" t="n">
        <v>0</v>
      </c>
      <c r="AN175" s="6" t="n">
        <v>0</v>
      </c>
      <c r="AO175" s="6" t="n">
        <v>0</v>
      </c>
      <c r="AP175" s="6" t="n">
        <v>0</v>
      </c>
      <c r="AQ175" s="6" t="n">
        <v>0</v>
      </c>
      <c r="AR175" s="6" t="n">
        <v>0</v>
      </c>
      <c r="AS175" s="6" t="n">
        <v>0</v>
      </c>
      <c r="AT175" s="6" t="n">
        <f aca="false">+AN175+AQ175+AH175+AK175</f>
        <v>0</v>
      </c>
      <c r="AU175" s="6" t="n">
        <f aca="false">+AO175+AR175+AI175+AL175</f>
        <v>0</v>
      </c>
      <c r="AV175" s="6" t="n">
        <f aca="false">+AP175+AS175+AJ175+AM175</f>
        <v>0</v>
      </c>
      <c r="AW175" s="6" t="n">
        <v>0</v>
      </c>
      <c r="AX175" s="6" t="n">
        <v>0</v>
      </c>
      <c r="AY175" s="6" t="n">
        <v>0</v>
      </c>
      <c r="AZ175" s="6" t="n">
        <v>0</v>
      </c>
      <c r="BA175" s="6" t="n">
        <v>0</v>
      </c>
      <c r="BB175" s="6" t="n">
        <v>0</v>
      </c>
      <c r="BC175" s="6" t="n">
        <v>0</v>
      </c>
      <c r="BD175" s="6" t="n">
        <v>0</v>
      </c>
      <c r="BE175" s="6" t="n">
        <v>0</v>
      </c>
      <c r="BF175" s="6" t="n">
        <v>0</v>
      </c>
      <c r="BG175" s="6" t="n">
        <v>0</v>
      </c>
      <c r="BH175" s="6" t="n">
        <v>0</v>
      </c>
      <c r="BI175" s="6" t="n">
        <f aca="false">+BC175+BF175+AW175+AZ175</f>
        <v>0</v>
      </c>
      <c r="BJ175" s="6" t="n">
        <f aca="false">+BD175+BG175+AX175+BA175</f>
        <v>0</v>
      </c>
      <c r="BK175" s="6" t="n">
        <f aca="false">+BE175+BH175+AY175+BB175</f>
        <v>0</v>
      </c>
      <c r="BL175" s="6" t="n">
        <v>0</v>
      </c>
      <c r="BM175" s="6" t="n">
        <v>0</v>
      </c>
      <c r="BN175" s="6" t="n">
        <v>0</v>
      </c>
      <c r="BO175" s="6" t="n">
        <v>0</v>
      </c>
      <c r="BP175" s="6" t="n">
        <v>0</v>
      </c>
      <c r="BQ175" s="6" t="n">
        <v>0</v>
      </c>
      <c r="BR175" s="6" t="n">
        <v>0</v>
      </c>
      <c r="BS175" s="6" t="n">
        <v>0</v>
      </c>
      <c r="BT175" s="6" t="n">
        <v>0</v>
      </c>
      <c r="BU175" s="6" t="n">
        <v>0</v>
      </c>
      <c r="BV175" s="6" t="n">
        <v>0</v>
      </c>
      <c r="BW175" s="6" t="n">
        <v>0</v>
      </c>
      <c r="BX175" s="6" t="n">
        <f aca="false">+BR175+BU175+BL175+BO175</f>
        <v>0</v>
      </c>
      <c r="BY175" s="6" t="n">
        <f aca="false">+BS175+BV175+BM175+BP175</f>
        <v>0</v>
      </c>
      <c r="BZ175" s="6" t="n">
        <f aca="false">+BT175+BW175+BN175+BQ175</f>
        <v>0</v>
      </c>
      <c r="CA175" s="6" t="n">
        <v>0</v>
      </c>
      <c r="CB175" s="6" t="n">
        <v>0</v>
      </c>
      <c r="CC175" s="6" t="n">
        <v>0</v>
      </c>
      <c r="CD175" s="6" t="n">
        <v>0</v>
      </c>
      <c r="CE175" s="6" t="n">
        <v>0</v>
      </c>
      <c r="CF175" s="6" t="n">
        <v>0</v>
      </c>
      <c r="CG175" s="30" t="n">
        <v>1000000</v>
      </c>
      <c r="CH175" s="30" t="n">
        <v>1000000</v>
      </c>
      <c r="CI175" s="6" t="n">
        <v>0</v>
      </c>
      <c r="CJ175" s="6" t="n">
        <v>0</v>
      </c>
      <c r="CK175" s="6" t="n">
        <v>0</v>
      </c>
      <c r="CL175" s="6" t="n">
        <v>300000</v>
      </c>
      <c r="CM175" s="6" t="n">
        <f aca="false">+CG175+CJ175+CA175+CD175</f>
        <v>1000000</v>
      </c>
      <c r="CN175" s="6" t="n">
        <f aca="false">+CH175+CK175+CB175+CE175</f>
        <v>1000000</v>
      </c>
      <c r="CO175" s="6" t="n">
        <f aca="false">+CI175+CL175+CC175+CF175</f>
        <v>300000</v>
      </c>
      <c r="CP175" s="6" t="n">
        <v>0</v>
      </c>
      <c r="CQ175" s="6" t="n">
        <v>0</v>
      </c>
      <c r="CR175" s="6" t="n">
        <v>0</v>
      </c>
      <c r="CS175" s="6" t="n">
        <v>0</v>
      </c>
      <c r="CT175" s="6" t="n">
        <v>0</v>
      </c>
      <c r="CU175" s="6" t="n">
        <v>250000</v>
      </c>
      <c r="CV175" s="6" t="n">
        <v>0</v>
      </c>
      <c r="CW175" s="6" t="n">
        <v>0</v>
      </c>
      <c r="CX175" s="6" t="n">
        <v>0</v>
      </c>
      <c r="CY175" s="6" t="n">
        <v>0</v>
      </c>
      <c r="CZ175" s="6" t="n">
        <v>0</v>
      </c>
      <c r="DA175" s="6" t="n">
        <v>0</v>
      </c>
      <c r="DB175" s="6" t="n">
        <f aca="false">+CV175+CY175+CP175+CS175</f>
        <v>0</v>
      </c>
      <c r="DC175" s="6" t="n">
        <f aca="false">+CW175+CZ175+CQ175+CT175</f>
        <v>0</v>
      </c>
      <c r="DD175" s="6" t="n">
        <f aca="false">+CX175+DA175+CR175+CU175</f>
        <v>250000</v>
      </c>
      <c r="DE175" s="6" t="n">
        <v>0</v>
      </c>
      <c r="DF175" s="6" t="n">
        <v>0</v>
      </c>
      <c r="DG175" s="6" t="n">
        <v>0</v>
      </c>
      <c r="DH175" s="6" t="n">
        <v>0</v>
      </c>
      <c r="DI175" s="6" t="n">
        <v>0</v>
      </c>
      <c r="DJ175" s="6" t="n">
        <v>250000</v>
      </c>
      <c r="DK175" s="6" t="n">
        <v>0</v>
      </c>
      <c r="DL175" s="6" t="n">
        <v>0</v>
      </c>
      <c r="DM175" s="6" t="n">
        <v>0</v>
      </c>
      <c r="DN175" s="6" t="n">
        <v>0</v>
      </c>
      <c r="DO175" s="6" t="n">
        <v>0</v>
      </c>
      <c r="DP175" s="6" t="n">
        <v>0</v>
      </c>
      <c r="DQ175" s="6" t="n">
        <f aca="false">+DK175+DN175+DE175+DH175</f>
        <v>0</v>
      </c>
      <c r="DR175" s="6" t="n">
        <f aca="false">+DL175+DO175+DF175+DI175</f>
        <v>0</v>
      </c>
      <c r="DS175" s="6" t="n">
        <f aca="false">+DM175+DP175+DG175+DJ175</f>
        <v>250000</v>
      </c>
      <c r="DT175" s="31" t="n">
        <f aca="false">+P175+AE175+AT175+BI175+BX175+CM175+DB175</f>
        <v>1000000</v>
      </c>
      <c r="DU175" s="31" t="n">
        <f aca="false">+Q175+AF175+AU175+BJ175+BY175+CN175+DC175</f>
        <v>1000000</v>
      </c>
      <c r="DV175" s="31" t="n">
        <f aca="false">+R175+AG175+AV175+BK175+BZ175+CO175+DD175</f>
        <v>550000</v>
      </c>
      <c r="DW175" s="31" t="n">
        <f aca="false">+DU175-DV175</f>
        <v>450000</v>
      </c>
    </row>
    <row r="176" customFormat="false" ht="13.8" hidden="false" customHeight="false" outlineLevel="0" collapsed="false">
      <c r="A176" s="27" t="n">
        <v>45852</v>
      </c>
      <c r="B176" s="28" t="s">
        <v>684</v>
      </c>
      <c r="C176" s="28" t="s">
        <v>685</v>
      </c>
      <c r="D176" s="29" t="s">
        <v>686</v>
      </c>
      <c r="E176" s="28" t="s">
        <v>687</v>
      </c>
      <c r="F176" s="27" t="s">
        <v>688</v>
      </c>
      <c r="G176" s="27" t="s">
        <v>24</v>
      </c>
      <c r="H176" s="30" t="n">
        <v>233280</v>
      </c>
      <c r="I176" s="30" t="n">
        <v>233280</v>
      </c>
      <c r="J176" s="6" t="n">
        <v>0</v>
      </c>
      <c r="K176" s="6" t="n">
        <v>0</v>
      </c>
      <c r="L176" s="6" t="n">
        <v>0</v>
      </c>
      <c r="M176" s="6" t="n">
        <v>0</v>
      </c>
      <c r="N176" s="6" t="n">
        <v>0</v>
      </c>
      <c r="O176" s="6" t="n">
        <v>0</v>
      </c>
      <c r="P176" s="6" t="n">
        <f aca="false">+J176+M176</f>
        <v>0</v>
      </c>
      <c r="Q176" s="6" t="n">
        <f aca="false">+K176+N176</f>
        <v>0</v>
      </c>
      <c r="R176" s="6" t="n">
        <f aca="false">+L176+O176</f>
        <v>0</v>
      </c>
      <c r="S176" s="6" t="n">
        <v>0</v>
      </c>
      <c r="T176" s="6" t="n">
        <v>0</v>
      </c>
      <c r="U176" s="6" t="n">
        <v>0</v>
      </c>
      <c r="V176" s="6" t="n">
        <v>0</v>
      </c>
      <c r="W176" s="6" t="n">
        <v>0</v>
      </c>
      <c r="X176" s="6" t="n">
        <v>0</v>
      </c>
      <c r="Y176" s="6" t="n">
        <v>0</v>
      </c>
      <c r="Z176" s="6" t="n">
        <v>0</v>
      </c>
      <c r="AA176" s="6" t="n">
        <v>0</v>
      </c>
      <c r="AB176" s="6" t="n">
        <v>0</v>
      </c>
      <c r="AC176" s="6" t="n">
        <v>0</v>
      </c>
      <c r="AD176" s="6" t="n">
        <v>0</v>
      </c>
      <c r="AE176" s="6" t="n">
        <f aca="false">+Y176+AB176+S176+V176</f>
        <v>0</v>
      </c>
      <c r="AF176" s="6" t="n">
        <f aca="false">+Z176+AC176+T176+W176</f>
        <v>0</v>
      </c>
      <c r="AG176" s="6" t="n">
        <f aca="false">+AA176+AD176+U176+X176</f>
        <v>0</v>
      </c>
      <c r="AH176" s="6" t="n">
        <v>0</v>
      </c>
      <c r="AI176" s="6" t="n">
        <v>0</v>
      </c>
      <c r="AJ176" s="6" t="n">
        <v>0</v>
      </c>
      <c r="AK176" s="6" t="n">
        <v>0</v>
      </c>
      <c r="AL176" s="6" t="n">
        <v>0</v>
      </c>
      <c r="AM176" s="6" t="n">
        <v>0</v>
      </c>
      <c r="AN176" s="6" t="n">
        <v>0</v>
      </c>
      <c r="AO176" s="6" t="n">
        <v>0</v>
      </c>
      <c r="AP176" s="6" t="n">
        <v>0</v>
      </c>
      <c r="AQ176" s="6" t="n">
        <v>0</v>
      </c>
      <c r="AR176" s="6" t="n">
        <v>0</v>
      </c>
      <c r="AS176" s="6" t="n">
        <v>0</v>
      </c>
      <c r="AT176" s="6" t="n">
        <f aca="false">+AN176+AQ176+AH176+AK176</f>
        <v>0</v>
      </c>
      <c r="AU176" s="6" t="n">
        <f aca="false">+AO176+AR176+AI176+AL176</f>
        <v>0</v>
      </c>
      <c r="AV176" s="6" t="n">
        <f aca="false">+AP176+AS176+AJ176+AM176</f>
        <v>0</v>
      </c>
      <c r="AW176" s="6" t="n">
        <v>0</v>
      </c>
      <c r="AX176" s="6" t="n">
        <v>0</v>
      </c>
      <c r="AY176" s="6" t="n">
        <v>0</v>
      </c>
      <c r="AZ176" s="6" t="n">
        <v>0</v>
      </c>
      <c r="BA176" s="6" t="n">
        <v>0</v>
      </c>
      <c r="BB176" s="6" t="n">
        <v>0</v>
      </c>
      <c r="BC176" s="6" t="n">
        <v>0</v>
      </c>
      <c r="BD176" s="6" t="n">
        <v>0</v>
      </c>
      <c r="BE176" s="6" t="n">
        <v>0</v>
      </c>
      <c r="BF176" s="6" t="n">
        <v>0</v>
      </c>
      <c r="BG176" s="6" t="n">
        <v>0</v>
      </c>
      <c r="BH176" s="6" t="n">
        <v>0</v>
      </c>
      <c r="BI176" s="6" t="n">
        <f aca="false">+BC176+BF176+AW176+AZ176</f>
        <v>0</v>
      </c>
      <c r="BJ176" s="6" t="n">
        <f aca="false">+BD176+BG176+AX176+BA176</f>
        <v>0</v>
      </c>
      <c r="BK176" s="6" t="n">
        <f aca="false">+BE176+BH176+AY176+BB176</f>
        <v>0</v>
      </c>
      <c r="BL176" s="6" t="n">
        <v>0</v>
      </c>
      <c r="BM176" s="6" t="n">
        <v>0</v>
      </c>
      <c r="BN176" s="6" t="n">
        <v>0</v>
      </c>
      <c r="BO176" s="6" t="n">
        <v>0</v>
      </c>
      <c r="BP176" s="6" t="n">
        <v>0</v>
      </c>
      <c r="BQ176" s="6" t="n">
        <v>0</v>
      </c>
      <c r="BR176" s="6" t="n">
        <v>0</v>
      </c>
      <c r="BS176" s="6" t="n">
        <v>0</v>
      </c>
      <c r="BT176" s="6" t="n">
        <v>0</v>
      </c>
      <c r="BU176" s="6" t="n">
        <v>0</v>
      </c>
      <c r="BV176" s="6" t="n">
        <v>0</v>
      </c>
      <c r="BW176" s="6" t="n">
        <v>0</v>
      </c>
      <c r="BX176" s="6" t="n">
        <f aca="false">+BR176+BU176+BL176+BO176</f>
        <v>0</v>
      </c>
      <c r="BY176" s="6" t="n">
        <f aca="false">+BS176+BV176+BM176+BP176</f>
        <v>0</v>
      </c>
      <c r="BZ176" s="6" t="n">
        <f aca="false">+BT176+BW176+BN176+BQ176</f>
        <v>0</v>
      </c>
      <c r="CA176" s="6" t="n">
        <v>0</v>
      </c>
      <c r="CB176" s="6" t="n">
        <v>0</v>
      </c>
      <c r="CC176" s="6" t="n">
        <v>0</v>
      </c>
      <c r="CD176" s="6" t="n">
        <v>0</v>
      </c>
      <c r="CE176" s="6" t="n">
        <v>0</v>
      </c>
      <c r="CF176" s="6" t="n">
        <v>0</v>
      </c>
      <c r="CG176" s="6" t="n">
        <v>0</v>
      </c>
      <c r="CH176" s="6" t="n">
        <v>0</v>
      </c>
      <c r="CI176" s="6" t="n">
        <v>0</v>
      </c>
      <c r="CJ176" s="30" t="n">
        <v>233280</v>
      </c>
      <c r="CK176" s="30" t="n">
        <v>233280</v>
      </c>
      <c r="CL176" s="6" t="n">
        <v>233280</v>
      </c>
      <c r="CM176" s="6" t="n">
        <f aca="false">+CG176+CJ176+CA176+CD176</f>
        <v>233280</v>
      </c>
      <c r="CN176" s="6" t="n">
        <f aca="false">+CH176+CK176+CB176+CE176</f>
        <v>233280</v>
      </c>
      <c r="CO176" s="6" t="n">
        <f aca="false">+CI176+CL176+CC176+CF176</f>
        <v>233280</v>
      </c>
      <c r="CP176" s="6" t="n">
        <v>0</v>
      </c>
      <c r="CQ176" s="6" t="n">
        <v>0</v>
      </c>
      <c r="CR176" s="6" t="n">
        <v>0</v>
      </c>
      <c r="CS176" s="6" t="n">
        <v>0</v>
      </c>
      <c r="CT176" s="6" t="n">
        <v>0</v>
      </c>
      <c r="CU176" s="6" t="n">
        <v>0</v>
      </c>
      <c r="CV176" s="6" t="n">
        <v>0</v>
      </c>
      <c r="CW176" s="6" t="n">
        <v>0</v>
      </c>
      <c r="CX176" s="6" t="n">
        <v>0</v>
      </c>
      <c r="CY176" s="6" t="n">
        <v>0</v>
      </c>
      <c r="CZ176" s="6" t="n">
        <v>0</v>
      </c>
      <c r="DA176" s="6" t="n">
        <v>0</v>
      </c>
      <c r="DB176" s="6" t="n">
        <f aca="false">+CV176+CY176+CP176+CS176</f>
        <v>0</v>
      </c>
      <c r="DC176" s="6" t="n">
        <f aca="false">+CW176+CZ176+CQ176+CT176</f>
        <v>0</v>
      </c>
      <c r="DD176" s="6" t="n">
        <f aca="false">+CX176+DA176+CR176+CU176</f>
        <v>0</v>
      </c>
      <c r="DE176" s="6" t="n">
        <v>0</v>
      </c>
      <c r="DF176" s="6" t="n">
        <v>0</v>
      </c>
      <c r="DG176" s="6" t="n">
        <v>0</v>
      </c>
      <c r="DH176" s="6" t="n">
        <v>0</v>
      </c>
      <c r="DI176" s="6" t="n">
        <v>0</v>
      </c>
      <c r="DJ176" s="6" t="n">
        <v>0</v>
      </c>
      <c r="DK176" s="6" t="n">
        <v>0</v>
      </c>
      <c r="DL176" s="6" t="n">
        <v>0</v>
      </c>
      <c r="DM176" s="6" t="n">
        <v>0</v>
      </c>
      <c r="DN176" s="6" t="n">
        <v>0</v>
      </c>
      <c r="DO176" s="6" t="n">
        <v>0</v>
      </c>
      <c r="DP176" s="6" t="n">
        <v>0</v>
      </c>
      <c r="DQ176" s="6" t="n">
        <f aca="false">+DK176+DN176+DE176+DH176</f>
        <v>0</v>
      </c>
      <c r="DR176" s="6" t="n">
        <f aca="false">+DL176+DO176+DF176+DI176</f>
        <v>0</v>
      </c>
      <c r="DS176" s="6" t="n">
        <f aca="false">+DM176+DP176+DG176+DJ176</f>
        <v>0</v>
      </c>
      <c r="DT176" s="31" t="n">
        <f aca="false">+P176+AE176+AT176+BI176+BX176+CM176+DB176</f>
        <v>233280</v>
      </c>
      <c r="DU176" s="31" t="n">
        <f aca="false">+Q176+AF176+AU176+BJ176+BY176+CN176+DC176</f>
        <v>233280</v>
      </c>
      <c r="DV176" s="31" t="n">
        <f aca="false">+R176+AG176+AV176+BK176+BZ176+CO176+DD176</f>
        <v>233280</v>
      </c>
      <c r="DW176" s="31" t="n">
        <f aca="false">+DU176-DV176</f>
        <v>0</v>
      </c>
    </row>
    <row r="177" customFormat="false" ht="13.8" hidden="false" customHeight="false" outlineLevel="0" collapsed="false">
      <c r="A177" s="27" t="n">
        <v>45882</v>
      </c>
      <c r="B177" s="28" t="s">
        <v>689</v>
      </c>
      <c r="C177" s="28" t="s">
        <v>690</v>
      </c>
      <c r="D177" s="29" t="s">
        <v>691</v>
      </c>
      <c r="E177" s="28" t="s">
        <v>692</v>
      </c>
      <c r="F177" s="27" t="s">
        <v>693</v>
      </c>
      <c r="G177" s="27" t="s">
        <v>24</v>
      </c>
      <c r="H177" s="30" t="n">
        <v>13237.86</v>
      </c>
      <c r="I177" s="30" t="n">
        <v>13237.86</v>
      </c>
      <c r="J177" s="6" t="n">
        <v>0</v>
      </c>
      <c r="K177" s="6" t="n">
        <v>0</v>
      </c>
      <c r="L177" s="6" t="n">
        <v>0</v>
      </c>
      <c r="M177" s="6" t="n">
        <v>0</v>
      </c>
      <c r="N177" s="6" t="n">
        <v>0</v>
      </c>
      <c r="O177" s="6" t="n">
        <v>0</v>
      </c>
      <c r="P177" s="6" t="n">
        <f aca="false">+J177+M177</f>
        <v>0</v>
      </c>
      <c r="Q177" s="6" t="n">
        <f aca="false">+K177+N177</f>
        <v>0</v>
      </c>
      <c r="R177" s="6" t="n">
        <f aca="false">+L177+O177</f>
        <v>0</v>
      </c>
      <c r="S177" s="6" t="n">
        <v>0</v>
      </c>
      <c r="T177" s="6" t="n">
        <v>0</v>
      </c>
      <c r="U177" s="6" t="n">
        <v>0</v>
      </c>
      <c r="V177" s="6" t="n">
        <v>0</v>
      </c>
      <c r="W177" s="6" t="n">
        <v>0</v>
      </c>
      <c r="X177" s="6" t="n">
        <v>0</v>
      </c>
      <c r="Y177" s="6" t="n">
        <v>0</v>
      </c>
      <c r="Z177" s="6" t="n">
        <v>0</v>
      </c>
      <c r="AA177" s="6" t="n">
        <v>0</v>
      </c>
      <c r="AB177" s="6" t="n">
        <v>0</v>
      </c>
      <c r="AC177" s="6" t="n">
        <v>0</v>
      </c>
      <c r="AD177" s="6" t="n">
        <v>0</v>
      </c>
      <c r="AE177" s="6" t="n">
        <f aca="false">+Y177+AB177+S177+V177</f>
        <v>0</v>
      </c>
      <c r="AF177" s="6" t="n">
        <f aca="false">+Z177+AC177+T177+W177</f>
        <v>0</v>
      </c>
      <c r="AG177" s="6" t="n">
        <f aca="false">+AA177+AD177+U177+X177</f>
        <v>0</v>
      </c>
      <c r="AH177" s="6" t="n">
        <v>0</v>
      </c>
      <c r="AI177" s="6" t="n">
        <v>0</v>
      </c>
      <c r="AJ177" s="6" t="n">
        <v>0</v>
      </c>
      <c r="AK177" s="6" t="n">
        <v>0</v>
      </c>
      <c r="AL177" s="6" t="n">
        <v>0</v>
      </c>
      <c r="AM177" s="6" t="n">
        <v>0</v>
      </c>
      <c r="AN177" s="6" t="n">
        <v>0</v>
      </c>
      <c r="AO177" s="6" t="n">
        <v>0</v>
      </c>
      <c r="AP177" s="6" t="n">
        <v>0</v>
      </c>
      <c r="AQ177" s="6" t="n">
        <v>0</v>
      </c>
      <c r="AR177" s="6" t="n">
        <v>0</v>
      </c>
      <c r="AS177" s="6" t="n">
        <v>0</v>
      </c>
      <c r="AT177" s="6" t="n">
        <f aca="false">+AN177+AQ177+AH177+AK177</f>
        <v>0</v>
      </c>
      <c r="AU177" s="6" t="n">
        <f aca="false">+AO177+AR177+AI177+AL177</f>
        <v>0</v>
      </c>
      <c r="AV177" s="6" t="n">
        <f aca="false">+AP177+AS177+AJ177+AM177</f>
        <v>0</v>
      </c>
      <c r="AW177" s="6" t="n">
        <v>0</v>
      </c>
      <c r="AX177" s="6" t="n">
        <v>0</v>
      </c>
      <c r="AY177" s="6" t="n">
        <v>0</v>
      </c>
      <c r="AZ177" s="6" t="n">
        <v>0</v>
      </c>
      <c r="BA177" s="6" t="n">
        <v>0</v>
      </c>
      <c r="BB177" s="6" t="n">
        <v>0</v>
      </c>
      <c r="BC177" s="6" t="n">
        <v>0</v>
      </c>
      <c r="BD177" s="6" t="n">
        <v>0</v>
      </c>
      <c r="BE177" s="6" t="n">
        <v>0</v>
      </c>
      <c r="BF177" s="6" t="n">
        <v>0</v>
      </c>
      <c r="BG177" s="6" t="n">
        <v>0</v>
      </c>
      <c r="BH177" s="6" t="n">
        <v>0</v>
      </c>
      <c r="BI177" s="6" t="n">
        <f aca="false">+BC177+BF177+AW177+AZ177</f>
        <v>0</v>
      </c>
      <c r="BJ177" s="6" t="n">
        <f aca="false">+BD177+BG177+AX177+BA177</f>
        <v>0</v>
      </c>
      <c r="BK177" s="6" t="n">
        <f aca="false">+BE177+BH177+AY177+BB177</f>
        <v>0</v>
      </c>
      <c r="BL177" s="6" t="n">
        <v>0</v>
      </c>
      <c r="BM177" s="6" t="n">
        <v>0</v>
      </c>
      <c r="BN177" s="6" t="n">
        <v>0</v>
      </c>
      <c r="BO177" s="6" t="n">
        <v>0</v>
      </c>
      <c r="BP177" s="6" t="n">
        <v>0</v>
      </c>
      <c r="BQ177" s="6" t="n">
        <v>0</v>
      </c>
      <c r="BR177" s="6" t="n">
        <v>0</v>
      </c>
      <c r="BS177" s="6" t="n">
        <v>0</v>
      </c>
      <c r="BT177" s="6" t="n">
        <v>0</v>
      </c>
      <c r="BU177" s="6" t="n">
        <v>0</v>
      </c>
      <c r="BV177" s="6" t="n">
        <v>0</v>
      </c>
      <c r="BW177" s="6" t="n">
        <v>0</v>
      </c>
      <c r="BX177" s="6" t="n">
        <f aca="false">+BR177+BU177+BL177+BO177</f>
        <v>0</v>
      </c>
      <c r="BY177" s="6" t="n">
        <f aca="false">+BS177+BV177+BM177+BP177</f>
        <v>0</v>
      </c>
      <c r="BZ177" s="6" t="n">
        <f aca="false">+BT177+BW177+BN177+BQ177</f>
        <v>0</v>
      </c>
      <c r="CA177" s="6" t="n">
        <v>0</v>
      </c>
      <c r="CB177" s="6" t="n">
        <v>0</v>
      </c>
      <c r="CC177" s="6" t="n">
        <v>0</v>
      </c>
      <c r="CD177" s="6" t="n">
        <v>0</v>
      </c>
      <c r="CE177" s="6" t="n">
        <v>0</v>
      </c>
      <c r="CF177" s="6" t="n">
        <v>0</v>
      </c>
      <c r="CG177" s="6" t="n">
        <v>0</v>
      </c>
      <c r="CH177" s="6" t="n">
        <v>0</v>
      </c>
      <c r="CI177" s="6" t="n">
        <v>0</v>
      </c>
      <c r="CJ177" s="30" t="n">
        <v>13237.86</v>
      </c>
      <c r="CK177" s="30" t="n">
        <v>13237.86</v>
      </c>
      <c r="CL177" s="6" t="n">
        <v>0</v>
      </c>
      <c r="CM177" s="6" t="n">
        <f aca="false">+CG177+CJ177+CA177+CD177</f>
        <v>13237.86</v>
      </c>
      <c r="CN177" s="6" t="n">
        <f aca="false">+CH177+CK177+CB177+CE177</f>
        <v>13237.86</v>
      </c>
      <c r="CO177" s="6" t="n">
        <f aca="false">+CI177+CL177+CC177+CF177</f>
        <v>0</v>
      </c>
      <c r="CP177" s="6" t="n">
        <v>0</v>
      </c>
      <c r="CQ177" s="6" t="n">
        <v>0</v>
      </c>
      <c r="CR177" s="6" t="n">
        <v>13237.86</v>
      </c>
      <c r="CS177" s="6" t="n">
        <v>0</v>
      </c>
      <c r="CT177" s="6" t="n">
        <v>0</v>
      </c>
      <c r="CU177" s="6" t="n">
        <v>0</v>
      </c>
      <c r="CV177" s="6" t="n">
        <v>0</v>
      </c>
      <c r="CW177" s="6" t="n">
        <v>0</v>
      </c>
      <c r="CX177" s="6" t="n">
        <v>0</v>
      </c>
      <c r="CY177" s="6" t="n">
        <v>0</v>
      </c>
      <c r="CZ177" s="6" t="n">
        <v>0</v>
      </c>
      <c r="DA177" s="6" t="n">
        <v>0</v>
      </c>
      <c r="DB177" s="6" t="n">
        <f aca="false">+CV177+CY177+CP177+CS177</f>
        <v>0</v>
      </c>
      <c r="DC177" s="6" t="n">
        <f aca="false">+CW177+CZ177+CQ177+CT177</f>
        <v>0</v>
      </c>
      <c r="DD177" s="6" t="n">
        <f aca="false">+CX177+DA177+CR177+CU177</f>
        <v>13237.86</v>
      </c>
      <c r="DE177" s="6" t="n">
        <v>0</v>
      </c>
      <c r="DF177" s="6" t="n">
        <v>0</v>
      </c>
      <c r="DG177" s="6" t="n">
        <v>13237.86</v>
      </c>
      <c r="DH177" s="6" t="n">
        <v>0</v>
      </c>
      <c r="DI177" s="6" t="n">
        <v>0</v>
      </c>
      <c r="DJ177" s="6" t="n">
        <v>0</v>
      </c>
      <c r="DK177" s="6" t="n">
        <v>0</v>
      </c>
      <c r="DL177" s="6" t="n">
        <v>0</v>
      </c>
      <c r="DM177" s="6" t="n">
        <v>0</v>
      </c>
      <c r="DN177" s="6" t="n">
        <v>0</v>
      </c>
      <c r="DO177" s="6" t="n">
        <v>0</v>
      </c>
      <c r="DP177" s="6" t="n">
        <v>0</v>
      </c>
      <c r="DQ177" s="6" t="n">
        <f aca="false">+DK177+DN177+DE177+DH177</f>
        <v>0</v>
      </c>
      <c r="DR177" s="6" t="n">
        <f aca="false">+DL177+DO177+DF177+DI177</f>
        <v>0</v>
      </c>
      <c r="DS177" s="6" t="n">
        <f aca="false">+DM177+DP177+DG177+DJ177</f>
        <v>13237.86</v>
      </c>
      <c r="DT177" s="31" t="n">
        <f aca="false">+P177+AE177+AT177+BI177+BX177+CM177+DB177</f>
        <v>13237.86</v>
      </c>
      <c r="DU177" s="31" t="n">
        <f aca="false">+Q177+AF177+AU177+BJ177+BY177+CN177+DC177</f>
        <v>13237.86</v>
      </c>
      <c r="DV177" s="31" t="n">
        <f aca="false">+R177+AG177+AV177+BK177+BZ177+CO177+DD177</f>
        <v>13237.86</v>
      </c>
      <c r="DW177" s="31" t="n">
        <f aca="false">+DU177-DV177</f>
        <v>0</v>
      </c>
    </row>
    <row r="178" customFormat="false" ht="13.8" hidden="false" customHeight="false" outlineLevel="0" collapsed="false">
      <c r="A178" s="27" t="n">
        <v>45882</v>
      </c>
      <c r="B178" s="28" t="s">
        <v>689</v>
      </c>
      <c r="C178" s="28" t="s">
        <v>690</v>
      </c>
      <c r="D178" s="29" t="s">
        <v>691</v>
      </c>
      <c r="E178" s="28" t="s">
        <v>692</v>
      </c>
      <c r="F178" s="27" t="s">
        <v>693</v>
      </c>
      <c r="G178" s="27" t="s">
        <v>24</v>
      </c>
      <c r="H178" s="30" t="n">
        <v>36762.14</v>
      </c>
      <c r="I178" s="30" t="n">
        <v>36762.14</v>
      </c>
      <c r="J178" s="6" t="n">
        <v>0</v>
      </c>
      <c r="K178" s="6" t="n">
        <v>0</v>
      </c>
      <c r="L178" s="6" t="n">
        <v>0</v>
      </c>
      <c r="M178" s="6" t="n">
        <v>0</v>
      </c>
      <c r="N178" s="6" t="n">
        <v>0</v>
      </c>
      <c r="O178" s="6" t="n">
        <v>0</v>
      </c>
      <c r="P178" s="6" t="n">
        <f aca="false">+J178+M178</f>
        <v>0</v>
      </c>
      <c r="Q178" s="6" t="n">
        <f aca="false">+K178+N178</f>
        <v>0</v>
      </c>
      <c r="R178" s="6" t="n">
        <f aca="false">+L178+O178</f>
        <v>0</v>
      </c>
      <c r="S178" s="6" t="n">
        <v>0</v>
      </c>
      <c r="T178" s="6" t="n">
        <v>0</v>
      </c>
      <c r="U178" s="6" t="n">
        <v>0</v>
      </c>
      <c r="V178" s="6" t="n">
        <v>0</v>
      </c>
      <c r="W178" s="6" t="n">
        <v>0</v>
      </c>
      <c r="X178" s="6" t="n">
        <v>0</v>
      </c>
      <c r="Y178" s="6" t="n">
        <v>0</v>
      </c>
      <c r="Z178" s="6" t="n">
        <v>0</v>
      </c>
      <c r="AA178" s="6" t="n">
        <v>0</v>
      </c>
      <c r="AB178" s="6" t="n">
        <v>0</v>
      </c>
      <c r="AC178" s="6" t="n">
        <v>0</v>
      </c>
      <c r="AD178" s="6" t="n">
        <v>0</v>
      </c>
      <c r="AE178" s="6" t="n">
        <f aca="false">+Y178+AB178+S178+V178</f>
        <v>0</v>
      </c>
      <c r="AF178" s="6" t="n">
        <f aca="false">+Z178+AC178+T178+W178</f>
        <v>0</v>
      </c>
      <c r="AG178" s="6" t="n">
        <f aca="false">+AA178+AD178+U178+X178</f>
        <v>0</v>
      </c>
      <c r="AH178" s="6" t="n">
        <v>0</v>
      </c>
      <c r="AI178" s="6" t="n">
        <v>0</v>
      </c>
      <c r="AJ178" s="6" t="n">
        <v>0</v>
      </c>
      <c r="AK178" s="6" t="n">
        <v>0</v>
      </c>
      <c r="AL178" s="6" t="n">
        <v>0</v>
      </c>
      <c r="AM178" s="6" t="n">
        <v>0</v>
      </c>
      <c r="AN178" s="6" t="n">
        <v>0</v>
      </c>
      <c r="AO178" s="6" t="n">
        <v>0</v>
      </c>
      <c r="AP178" s="6" t="n">
        <v>0</v>
      </c>
      <c r="AQ178" s="6" t="n">
        <v>0</v>
      </c>
      <c r="AR178" s="6" t="n">
        <v>0</v>
      </c>
      <c r="AS178" s="6" t="n">
        <v>0</v>
      </c>
      <c r="AT178" s="6" t="n">
        <f aca="false">+AN178+AQ178+AH178+AK178</f>
        <v>0</v>
      </c>
      <c r="AU178" s="6" t="n">
        <f aca="false">+AO178+AR178+AI178+AL178</f>
        <v>0</v>
      </c>
      <c r="AV178" s="6" t="n">
        <f aca="false">+AP178+AS178+AJ178+AM178</f>
        <v>0</v>
      </c>
      <c r="AW178" s="6" t="n">
        <v>0</v>
      </c>
      <c r="AX178" s="6" t="n">
        <v>0</v>
      </c>
      <c r="AY178" s="6" t="n">
        <v>0</v>
      </c>
      <c r="AZ178" s="6" t="n">
        <v>0</v>
      </c>
      <c r="BA178" s="6" t="n">
        <v>0</v>
      </c>
      <c r="BB178" s="6" t="n">
        <v>0</v>
      </c>
      <c r="BC178" s="6" t="n">
        <v>0</v>
      </c>
      <c r="BD178" s="6" t="n">
        <v>0</v>
      </c>
      <c r="BE178" s="6" t="n">
        <v>0</v>
      </c>
      <c r="BF178" s="6" t="n">
        <v>0</v>
      </c>
      <c r="BG178" s="6" t="n">
        <v>0</v>
      </c>
      <c r="BH178" s="6" t="n">
        <v>0</v>
      </c>
      <c r="BI178" s="6" t="n">
        <f aca="false">+BC178+BF178+AW178+AZ178</f>
        <v>0</v>
      </c>
      <c r="BJ178" s="6" t="n">
        <f aca="false">+BD178+BG178+AX178+BA178</f>
        <v>0</v>
      </c>
      <c r="BK178" s="6" t="n">
        <f aca="false">+BE178+BH178+AY178+BB178</f>
        <v>0</v>
      </c>
      <c r="BL178" s="6" t="n">
        <v>0</v>
      </c>
      <c r="BM178" s="6" t="n">
        <v>0</v>
      </c>
      <c r="BN178" s="6" t="n">
        <v>0</v>
      </c>
      <c r="BO178" s="6" t="n">
        <v>0</v>
      </c>
      <c r="BP178" s="6" t="n">
        <v>0</v>
      </c>
      <c r="BQ178" s="6" t="n">
        <v>0</v>
      </c>
      <c r="BR178" s="6" t="n">
        <v>0</v>
      </c>
      <c r="BS178" s="6" t="n">
        <v>0</v>
      </c>
      <c r="BT178" s="6" t="n">
        <v>0</v>
      </c>
      <c r="BU178" s="6" t="n">
        <v>0</v>
      </c>
      <c r="BV178" s="6" t="n">
        <v>0</v>
      </c>
      <c r="BW178" s="6" t="n">
        <v>0</v>
      </c>
      <c r="BX178" s="6" t="n">
        <f aca="false">+BR178+BU178+BL178+BO178</f>
        <v>0</v>
      </c>
      <c r="BY178" s="6" t="n">
        <f aca="false">+BS178+BV178+BM178+BP178</f>
        <v>0</v>
      </c>
      <c r="BZ178" s="6" t="n">
        <f aca="false">+BT178+BW178+BN178+BQ178</f>
        <v>0</v>
      </c>
      <c r="CA178" s="6" t="n">
        <v>0</v>
      </c>
      <c r="CB178" s="6" t="n">
        <v>0</v>
      </c>
      <c r="CC178" s="6" t="n">
        <v>0</v>
      </c>
      <c r="CD178" s="6" t="n">
        <v>0</v>
      </c>
      <c r="CE178" s="6" t="n">
        <v>0</v>
      </c>
      <c r="CF178" s="6" t="n">
        <v>0</v>
      </c>
      <c r="CG178" s="6" t="n">
        <v>0</v>
      </c>
      <c r="CH178" s="6" t="n">
        <v>0</v>
      </c>
      <c r="CI178" s="6" t="n">
        <v>0</v>
      </c>
      <c r="CJ178" s="30" t="n">
        <v>36762.14</v>
      </c>
      <c r="CK178" s="30" t="n">
        <v>36762.14</v>
      </c>
      <c r="CL178" s="6" t="n">
        <v>0</v>
      </c>
      <c r="CM178" s="6" t="n">
        <f aca="false">+CG178+CJ178+CA178+CD178</f>
        <v>36762.14</v>
      </c>
      <c r="CN178" s="6" t="n">
        <f aca="false">+CH178+CK178+CB178+CE178</f>
        <v>36762.14</v>
      </c>
      <c r="CO178" s="6" t="n">
        <f aca="false">+CI178+CL178+CC178+CF178</f>
        <v>0</v>
      </c>
      <c r="CP178" s="6" t="n">
        <v>0</v>
      </c>
      <c r="CQ178" s="6" t="n">
        <v>0</v>
      </c>
      <c r="CR178" s="6" t="n">
        <v>36762.14</v>
      </c>
      <c r="CS178" s="6" t="n">
        <v>0</v>
      </c>
      <c r="CT178" s="6" t="n">
        <v>0</v>
      </c>
      <c r="CU178" s="6" t="n">
        <v>0</v>
      </c>
      <c r="CV178" s="6" t="n">
        <v>0</v>
      </c>
      <c r="CW178" s="6" t="n">
        <v>0</v>
      </c>
      <c r="CX178" s="6" t="n">
        <v>0</v>
      </c>
      <c r="CY178" s="6" t="n">
        <v>0</v>
      </c>
      <c r="CZ178" s="6" t="n">
        <v>0</v>
      </c>
      <c r="DA178" s="6" t="n">
        <v>0</v>
      </c>
      <c r="DB178" s="6" t="n">
        <f aca="false">+CV178+CY178+CP178+CS178</f>
        <v>0</v>
      </c>
      <c r="DC178" s="6" t="n">
        <f aca="false">+CW178+CZ178+CQ178+CT178</f>
        <v>0</v>
      </c>
      <c r="DD178" s="6" t="n">
        <f aca="false">+CX178+DA178+CR178+CU178</f>
        <v>36762.14</v>
      </c>
      <c r="DE178" s="6" t="n">
        <v>0</v>
      </c>
      <c r="DF178" s="6" t="n">
        <v>0</v>
      </c>
      <c r="DG178" s="6" t="n">
        <v>36762.14</v>
      </c>
      <c r="DH178" s="6" t="n">
        <v>0</v>
      </c>
      <c r="DI178" s="6" t="n">
        <v>0</v>
      </c>
      <c r="DJ178" s="6" t="n">
        <v>0</v>
      </c>
      <c r="DK178" s="6" t="n">
        <v>0</v>
      </c>
      <c r="DL178" s="6" t="n">
        <v>0</v>
      </c>
      <c r="DM178" s="6" t="n">
        <v>0</v>
      </c>
      <c r="DN178" s="6" t="n">
        <v>0</v>
      </c>
      <c r="DO178" s="6" t="n">
        <v>0</v>
      </c>
      <c r="DP178" s="6" t="n">
        <v>0</v>
      </c>
      <c r="DQ178" s="6" t="n">
        <f aca="false">+DK178+DN178+DE178+DH178</f>
        <v>0</v>
      </c>
      <c r="DR178" s="6" t="n">
        <f aca="false">+DL178+DO178+DF178+DI178</f>
        <v>0</v>
      </c>
      <c r="DS178" s="6" t="n">
        <f aca="false">+DM178+DP178+DG178+DJ178</f>
        <v>36762.14</v>
      </c>
      <c r="DT178" s="31" t="n">
        <f aca="false">+P178+AE178+AT178+BI178+BX178+CM178+DB178</f>
        <v>36762.14</v>
      </c>
      <c r="DU178" s="31" t="n">
        <f aca="false">+Q178+AF178+AU178+BJ178+BY178+CN178+DC178</f>
        <v>36762.14</v>
      </c>
      <c r="DV178" s="31" t="n">
        <f aca="false">+R178+AG178+AV178+BK178+BZ178+CO178+DD178</f>
        <v>36762.14</v>
      </c>
      <c r="DW178" s="31" t="n">
        <f aca="false">+DU178-DV178</f>
        <v>0</v>
      </c>
    </row>
    <row r="179" customFormat="false" ht="13.8" hidden="false" customHeight="false" outlineLevel="0" collapsed="false">
      <c r="A179" s="27" t="n">
        <v>45883</v>
      </c>
      <c r="B179" s="28" t="s">
        <v>694</v>
      </c>
      <c r="C179" s="28" t="s">
        <v>695</v>
      </c>
      <c r="D179" s="29" t="s">
        <v>696</v>
      </c>
      <c r="E179" s="28" t="s">
        <v>697</v>
      </c>
      <c r="F179" s="27" t="s">
        <v>698</v>
      </c>
      <c r="G179" s="27" t="s">
        <v>24</v>
      </c>
      <c r="H179" s="30" t="n">
        <v>1479870</v>
      </c>
      <c r="I179" s="30" t="n">
        <v>1479870</v>
      </c>
      <c r="J179" s="6" t="n">
        <v>0</v>
      </c>
      <c r="K179" s="6" t="n">
        <v>0</v>
      </c>
      <c r="L179" s="6" t="n">
        <v>0</v>
      </c>
      <c r="M179" s="6" t="n">
        <v>0</v>
      </c>
      <c r="N179" s="6" t="n">
        <v>0</v>
      </c>
      <c r="O179" s="6" t="n">
        <v>0</v>
      </c>
      <c r="P179" s="6" t="n">
        <f aca="false">+J179+M179</f>
        <v>0</v>
      </c>
      <c r="Q179" s="6" t="n">
        <f aca="false">+K179+N179</f>
        <v>0</v>
      </c>
      <c r="R179" s="6" t="n">
        <f aca="false">+L179+O179</f>
        <v>0</v>
      </c>
      <c r="S179" s="6" t="n">
        <v>0</v>
      </c>
      <c r="T179" s="6" t="n">
        <v>0</v>
      </c>
      <c r="U179" s="6" t="n">
        <v>0</v>
      </c>
      <c r="V179" s="6" t="n">
        <v>0</v>
      </c>
      <c r="W179" s="6" t="n">
        <v>0</v>
      </c>
      <c r="X179" s="6" t="n">
        <v>0</v>
      </c>
      <c r="Y179" s="6" t="n">
        <v>0</v>
      </c>
      <c r="Z179" s="6" t="n">
        <v>0</v>
      </c>
      <c r="AA179" s="6" t="n">
        <v>0</v>
      </c>
      <c r="AB179" s="6" t="n">
        <v>0</v>
      </c>
      <c r="AC179" s="6" t="n">
        <v>0</v>
      </c>
      <c r="AD179" s="6" t="n">
        <v>0</v>
      </c>
      <c r="AE179" s="6" t="n">
        <f aca="false">+Y179+AB179+S179+V179</f>
        <v>0</v>
      </c>
      <c r="AF179" s="6" t="n">
        <f aca="false">+Z179+AC179+T179+W179</f>
        <v>0</v>
      </c>
      <c r="AG179" s="6" t="n">
        <f aca="false">+AA179+AD179+U179+X179</f>
        <v>0</v>
      </c>
      <c r="AH179" s="6" t="n">
        <v>0</v>
      </c>
      <c r="AI179" s="6" t="n">
        <v>0</v>
      </c>
      <c r="AJ179" s="6" t="n">
        <v>0</v>
      </c>
      <c r="AK179" s="6" t="n">
        <v>0</v>
      </c>
      <c r="AL179" s="6" t="n">
        <v>0</v>
      </c>
      <c r="AM179" s="6" t="n">
        <v>0</v>
      </c>
      <c r="AN179" s="6" t="n">
        <v>0</v>
      </c>
      <c r="AO179" s="6" t="n">
        <v>0</v>
      </c>
      <c r="AP179" s="6" t="n">
        <v>0</v>
      </c>
      <c r="AQ179" s="6" t="n">
        <v>0</v>
      </c>
      <c r="AR179" s="6" t="n">
        <v>0</v>
      </c>
      <c r="AS179" s="6" t="n">
        <v>0</v>
      </c>
      <c r="AT179" s="6" t="n">
        <f aca="false">+AN179+AQ179+AH179+AK179</f>
        <v>0</v>
      </c>
      <c r="AU179" s="6" t="n">
        <f aca="false">+AO179+AR179+AI179+AL179</f>
        <v>0</v>
      </c>
      <c r="AV179" s="6" t="n">
        <f aca="false">+AP179+AS179+AJ179+AM179</f>
        <v>0</v>
      </c>
      <c r="AW179" s="6" t="n">
        <v>0</v>
      </c>
      <c r="AX179" s="6" t="n">
        <v>0</v>
      </c>
      <c r="AY179" s="6" t="n">
        <v>0</v>
      </c>
      <c r="AZ179" s="6" t="n">
        <v>0</v>
      </c>
      <c r="BA179" s="6" t="n">
        <v>0</v>
      </c>
      <c r="BB179" s="6" t="n">
        <v>0</v>
      </c>
      <c r="BC179" s="6" t="n">
        <v>0</v>
      </c>
      <c r="BD179" s="6" t="n">
        <v>0</v>
      </c>
      <c r="BE179" s="6" t="n">
        <v>0</v>
      </c>
      <c r="BF179" s="6" t="n">
        <v>0</v>
      </c>
      <c r="BG179" s="6" t="n">
        <v>0</v>
      </c>
      <c r="BH179" s="6" t="n">
        <v>0</v>
      </c>
      <c r="BI179" s="6" t="n">
        <f aca="false">+BC179+BF179+AW179+AZ179</f>
        <v>0</v>
      </c>
      <c r="BJ179" s="6" t="n">
        <f aca="false">+BD179+BG179+AX179+BA179</f>
        <v>0</v>
      </c>
      <c r="BK179" s="6" t="n">
        <f aca="false">+BE179+BH179+AY179+BB179</f>
        <v>0</v>
      </c>
      <c r="BL179" s="6" t="n">
        <v>0</v>
      </c>
      <c r="BM179" s="6" t="n">
        <v>0</v>
      </c>
      <c r="BN179" s="6" t="n">
        <v>0</v>
      </c>
      <c r="BO179" s="6" t="n">
        <v>0</v>
      </c>
      <c r="BP179" s="6" t="n">
        <v>0</v>
      </c>
      <c r="BQ179" s="6" t="n">
        <v>0</v>
      </c>
      <c r="BR179" s="6" t="n">
        <v>0</v>
      </c>
      <c r="BS179" s="6" t="n">
        <v>0</v>
      </c>
      <c r="BT179" s="6" t="n">
        <v>0</v>
      </c>
      <c r="BU179" s="6" t="n">
        <v>0</v>
      </c>
      <c r="BV179" s="6" t="n">
        <v>0</v>
      </c>
      <c r="BW179" s="6" t="n">
        <v>0</v>
      </c>
      <c r="BX179" s="6" t="n">
        <f aca="false">+BR179+BU179+BL179+BO179</f>
        <v>0</v>
      </c>
      <c r="BY179" s="6" t="n">
        <f aca="false">+BS179+BV179+BM179+BP179</f>
        <v>0</v>
      </c>
      <c r="BZ179" s="6" t="n">
        <f aca="false">+BT179+BW179+BN179+BQ179</f>
        <v>0</v>
      </c>
      <c r="CA179" s="6" t="n">
        <v>0</v>
      </c>
      <c r="CB179" s="6" t="n">
        <v>0</v>
      </c>
      <c r="CC179" s="6" t="n">
        <v>0</v>
      </c>
      <c r="CD179" s="6" t="n">
        <v>0</v>
      </c>
      <c r="CE179" s="6" t="n">
        <v>0</v>
      </c>
      <c r="CF179" s="6" t="n">
        <v>0</v>
      </c>
      <c r="CG179" s="6" t="n">
        <v>0</v>
      </c>
      <c r="CH179" s="6" t="n">
        <v>0</v>
      </c>
      <c r="CI179" s="6" t="n">
        <v>0</v>
      </c>
      <c r="CJ179" s="30" t="n">
        <v>1479870</v>
      </c>
      <c r="CK179" s="30" t="n">
        <v>1479870</v>
      </c>
      <c r="CL179" s="6" t="n">
        <v>0</v>
      </c>
      <c r="CM179" s="6" t="n">
        <f aca="false">+CG179+CJ179+CA179+CD179</f>
        <v>1479870</v>
      </c>
      <c r="CN179" s="6" t="n">
        <f aca="false">+CH179+CK179+CB179+CE179</f>
        <v>1479870</v>
      </c>
      <c r="CO179" s="6" t="n">
        <f aca="false">+CI179+CL179+CC179+CF179</f>
        <v>0</v>
      </c>
      <c r="CP179" s="6" t="n">
        <v>0</v>
      </c>
      <c r="CQ179" s="6" t="n">
        <v>0</v>
      </c>
      <c r="CR179" s="6" t="n">
        <v>325000</v>
      </c>
      <c r="CS179" s="6" t="n">
        <v>0</v>
      </c>
      <c r="CT179" s="6" t="n">
        <v>0</v>
      </c>
      <c r="CU179" s="6" t="n">
        <v>250000</v>
      </c>
      <c r="CV179" s="6" t="n">
        <v>0</v>
      </c>
      <c r="CW179" s="6" t="n">
        <v>0</v>
      </c>
      <c r="CX179" s="6" t="n">
        <v>0</v>
      </c>
      <c r="CY179" s="6" t="n">
        <v>0</v>
      </c>
      <c r="CZ179" s="6" t="n">
        <v>0</v>
      </c>
      <c r="DA179" s="6" t="n">
        <v>0</v>
      </c>
      <c r="DB179" s="6" t="n">
        <f aca="false">+CV179+CY179+CP179+CS179</f>
        <v>0</v>
      </c>
      <c r="DC179" s="6" t="n">
        <f aca="false">+CW179+CZ179+CQ179+CT179</f>
        <v>0</v>
      </c>
      <c r="DD179" s="6" t="n">
        <f aca="false">+CX179+DA179+CR179+CU179</f>
        <v>575000</v>
      </c>
      <c r="DE179" s="6" t="n">
        <v>0</v>
      </c>
      <c r="DF179" s="6" t="n">
        <v>0</v>
      </c>
      <c r="DG179" s="6" t="n">
        <v>325000</v>
      </c>
      <c r="DH179" s="6" t="n">
        <v>0</v>
      </c>
      <c r="DI179" s="6" t="n">
        <v>0</v>
      </c>
      <c r="DJ179" s="6" t="n">
        <v>250000</v>
      </c>
      <c r="DK179" s="6" t="n">
        <v>0</v>
      </c>
      <c r="DL179" s="6" t="n">
        <v>0</v>
      </c>
      <c r="DM179" s="6" t="n">
        <v>0</v>
      </c>
      <c r="DN179" s="6" t="n">
        <v>0</v>
      </c>
      <c r="DO179" s="6" t="n">
        <v>0</v>
      </c>
      <c r="DP179" s="6" t="n">
        <v>0</v>
      </c>
      <c r="DQ179" s="6" t="n">
        <f aca="false">+DK179+DN179+DE179+DH179</f>
        <v>0</v>
      </c>
      <c r="DR179" s="6" t="n">
        <f aca="false">+DL179+DO179+DF179+DI179</f>
        <v>0</v>
      </c>
      <c r="DS179" s="6" t="n">
        <f aca="false">+DM179+DP179+DG179+DJ179</f>
        <v>575000</v>
      </c>
      <c r="DT179" s="31" t="n">
        <f aca="false">+P179+AE179+AT179+BI179+BX179+CM179+DB179</f>
        <v>1479870</v>
      </c>
      <c r="DU179" s="31" t="n">
        <f aca="false">+Q179+AF179+AU179+BJ179+BY179+CN179+DC179</f>
        <v>1479870</v>
      </c>
      <c r="DV179" s="31" t="n">
        <f aca="false">+R179+AG179+AV179+BK179+BZ179+CO179+DD179</f>
        <v>575000</v>
      </c>
      <c r="DW179" s="31" t="n">
        <f aca="false">+DU179-DV179</f>
        <v>904870</v>
      </c>
    </row>
    <row r="180" customFormat="false" ht="13.8" hidden="false" customHeight="false" outlineLevel="0" collapsed="false">
      <c r="A180" s="27" t="n">
        <v>45894</v>
      </c>
      <c r="B180" s="28" t="s">
        <v>699</v>
      </c>
      <c r="C180" s="28" t="s">
        <v>700</v>
      </c>
      <c r="D180" s="29" t="s">
        <v>701</v>
      </c>
      <c r="E180" s="28" t="s">
        <v>702</v>
      </c>
      <c r="F180" s="27" t="s">
        <v>703</v>
      </c>
      <c r="G180" s="27" t="s">
        <v>24</v>
      </c>
      <c r="H180" s="30" t="n">
        <v>1600000</v>
      </c>
      <c r="I180" s="30" t="n">
        <v>135253</v>
      </c>
      <c r="J180" s="6" t="n">
        <v>0</v>
      </c>
      <c r="K180" s="6" t="n">
        <v>0</v>
      </c>
      <c r="L180" s="6" t="n">
        <v>0</v>
      </c>
      <c r="M180" s="6" t="n">
        <v>0</v>
      </c>
      <c r="N180" s="6" t="n">
        <v>0</v>
      </c>
      <c r="O180" s="6" t="n">
        <v>0</v>
      </c>
      <c r="P180" s="6" t="n">
        <f aca="false">+J180+M180</f>
        <v>0</v>
      </c>
      <c r="Q180" s="6" t="n">
        <f aca="false">+K180+N180</f>
        <v>0</v>
      </c>
      <c r="R180" s="6" t="n">
        <f aca="false">+L180+O180</f>
        <v>0</v>
      </c>
      <c r="S180" s="6" t="n">
        <v>0</v>
      </c>
      <c r="T180" s="6" t="n">
        <v>0</v>
      </c>
      <c r="U180" s="6" t="n">
        <v>0</v>
      </c>
      <c r="V180" s="6" t="n">
        <v>0</v>
      </c>
      <c r="W180" s="6" t="n">
        <v>0</v>
      </c>
      <c r="X180" s="6" t="n">
        <v>0</v>
      </c>
      <c r="Y180" s="6" t="n">
        <v>0</v>
      </c>
      <c r="Z180" s="6" t="n">
        <v>0</v>
      </c>
      <c r="AA180" s="6" t="n">
        <v>0</v>
      </c>
      <c r="AB180" s="6" t="n">
        <v>0</v>
      </c>
      <c r="AC180" s="6" t="n">
        <v>0</v>
      </c>
      <c r="AD180" s="6" t="n">
        <v>0</v>
      </c>
      <c r="AE180" s="6" t="n">
        <f aca="false">+Y180+AB180+S180+V180</f>
        <v>0</v>
      </c>
      <c r="AF180" s="6" t="n">
        <f aca="false">+Z180+AC180+T180+W180</f>
        <v>0</v>
      </c>
      <c r="AG180" s="6" t="n">
        <f aca="false">+AA180+AD180+U180+X180</f>
        <v>0</v>
      </c>
      <c r="AH180" s="6" t="n">
        <v>0</v>
      </c>
      <c r="AI180" s="6" t="n">
        <v>0</v>
      </c>
      <c r="AJ180" s="6" t="n">
        <v>0</v>
      </c>
      <c r="AK180" s="6" t="n">
        <v>0</v>
      </c>
      <c r="AL180" s="6" t="n">
        <v>0</v>
      </c>
      <c r="AM180" s="6" t="n">
        <v>0</v>
      </c>
      <c r="AN180" s="6" t="n">
        <v>0</v>
      </c>
      <c r="AO180" s="6" t="n">
        <v>0</v>
      </c>
      <c r="AP180" s="6" t="n">
        <v>0</v>
      </c>
      <c r="AQ180" s="6" t="n">
        <v>0</v>
      </c>
      <c r="AR180" s="6" t="n">
        <v>0</v>
      </c>
      <c r="AS180" s="6" t="n">
        <v>0</v>
      </c>
      <c r="AT180" s="6" t="n">
        <f aca="false">+AN180+AQ180+AH180+AK180</f>
        <v>0</v>
      </c>
      <c r="AU180" s="6" t="n">
        <f aca="false">+AO180+AR180+AI180+AL180</f>
        <v>0</v>
      </c>
      <c r="AV180" s="6" t="n">
        <f aca="false">+AP180+AS180+AJ180+AM180</f>
        <v>0</v>
      </c>
      <c r="AW180" s="6" t="n">
        <v>0</v>
      </c>
      <c r="AX180" s="6" t="n">
        <v>0</v>
      </c>
      <c r="AY180" s="6" t="n">
        <v>0</v>
      </c>
      <c r="AZ180" s="6" t="n">
        <v>0</v>
      </c>
      <c r="BA180" s="6" t="n">
        <v>0</v>
      </c>
      <c r="BB180" s="6" t="n">
        <v>0</v>
      </c>
      <c r="BC180" s="6" t="n">
        <v>0</v>
      </c>
      <c r="BD180" s="6" t="n">
        <v>0</v>
      </c>
      <c r="BE180" s="6" t="n">
        <v>0</v>
      </c>
      <c r="BF180" s="6" t="n">
        <v>0</v>
      </c>
      <c r="BG180" s="6" t="n">
        <v>0</v>
      </c>
      <c r="BH180" s="6" t="n">
        <v>0</v>
      </c>
      <c r="BI180" s="6" t="n">
        <f aca="false">+BC180+BF180+AW180+AZ180</f>
        <v>0</v>
      </c>
      <c r="BJ180" s="6" t="n">
        <f aca="false">+BD180+BG180+AX180+BA180</f>
        <v>0</v>
      </c>
      <c r="BK180" s="6" t="n">
        <f aca="false">+BE180+BH180+AY180+BB180</f>
        <v>0</v>
      </c>
      <c r="BL180" s="6" t="n">
        <v>0</v>
      </c>
      <c r="BM180" s="6" t="n">
        <v>0</v>
      </c>
      <c r="BN180" s="6" t="n">
        <v>0</v>
      </c>
      <c r="BO180" s="6" t="n">
        <v>0</v>
      </c>
      <c r="BP180" s="6" t="n">
        <v>0</v>
      </c>
      <c r="BQ180" s="6" t="n">
        <v>0</v>
      </c>
      <c r="BR180" s="6" t="n">
        <v>0</v>
      </c>
      <c r="BS180" s="6" t="n">
        <v>0</v>
      </c>
      <c r="BT180" s="6" t="n">
        <v>0</v>
      </c>
      <c r="BU180" s="6" t="n">
        <v>0</v>
      </c>
      <c r="BV180" s="6" t="n">
        <v>0</v>
      </c>
      <c r="BW180" s="6" t="n">
        <v>0</v>
      </c>
      <c r="BX180" s="6" t="n">
        <f aca="false">+BR180+BU180+BL180+BO180</f>
        <v>0</v>
      </c>
      <c r="BY180" s="6" t="n">
        <f aca="false">+BS180+BV180+BM180+BP180</f>
        <v>0</v>
      </c>
      <c r="BZ180" s="6" t="n">
        <f aca="false">+BT180+BW180+BN180+BQ180</f>
        <v>0</v>
      </c>
      <c r="CA180" s="6" t="n">
        <v>0</v>
      </c>
      <c r="CB180" s="6" t="n">
        <v>0</v>
      </c>
      <c r="CC180" s="6" t="n">
        <v>0</v>
      </c>
      <c r="CD180" s="6" t="n">
        <v>0</v>
      </c>
      <c r="CE180" s="6" t="n">
        <v>0</v>
      </c>
      <c r="CF180" s="6" t="n">
        <v>0</v>
      </c>
      <c r="CG180" s="6" t="n">
        <v>0</v>
      </c>
      <c r="CH180" s="6" t="n">
        <v>0</v>
      </c>
      <c r="CI180" s="6" t="n">
        <v>0</v>
      </c>
      <c r="CJ180" s="30" t="n">
        <v>1600000</v>
      </c>
      <c r="CK180" s="30" t="n">
        <v>135253</v>
      </c>
      <c r="CL180" s="6" t="n">
        <v>0</v>
      </c>
      <c r="CM180" s="6" t="n">
        <f aca="false">+CG180+CJ180+CA180+CD180</f>
        <v>1600000</v>
      </c>
      <c r="CN180" s="6" t="n">
        <f aca="false">+CH180+CK180+CB180+CE180</f>
        <v>135253</v>
      </c>
      <c r="CO180" s="6" t="n">
        <f aca="false">+CI180+CL180+CC180+CF180</f>
        <v>0</v>
      </c>
      <c r="CP180" s="6" t="n">
        <v>0</v>
      </c>
      <c r="CQ180" s="6" t="n">
        <v>0</v>
      </c>
      <c r="CR180" s="6" t="n">
        <v>135253</v>
      </c>
      <c r="CS180" s="6" t="n">
        <v>0</v>
      </c>
      <c r="CT180" s="6" t="n">
        <v>0</v>
      </c>
      <c r="CU180" s="6" t="n">
        <v>0</v>
      </c>
      <c r="CV180" s="6" t="n">
        <v>0</v>
      </c>
      <c r="CW180" s="6" t="n">
        <v>0</v>
      </c>
      <c r="CX180" s="6" t="n">
        <v>0</v>
      </c>
      <c r="CY180" s="6" t="n">
        <v>0</v>
      </c>
      <c r="CZ180" s="6" t="n">
        <v>0</v>
      </c>
      <c r="DA180" s="6" t="n">
        <v>0</v>
      </c>
      <c r="DB180" s="6" t="n">
        <f aca="false">+CV180+CY180+CP180+CS180</f>
        <v>0</v>
      </c>
      <c r="DC180" s="6" t="n">
        <f aca="false">+CW180+CZ180+CQ180+CT180</f>
        <v>0</v>
      </c>
      <c r="DD180" s="6" t="n">
        <f aca="false">+CX180+DA180+CR180+CU180</f>
        <v>135253</v>
      </c>
      <c r="DE180" s="6" t="n">
        <v>0</v>
      </c>
      <c r="DF180" s="6" t="n">
        <v>0</v>
      </c>
      <c r="DG180" s="6" t="n">
        <v>135253</v>
      </c>
      <c r="DH180" s="6" t="n">
        <v>0</v>
      </c>
      <c r="DI180" s="6" t="n">
        <v>0</v>
      </c>
      <c r="DJ180" s="6" t="n">
        <v>0</v>
      </c>
      <c r="DK180" s="6" t="n">
        <v>0</v>
      </c>
      <c r="DL180" s="6" t="n">
        <v>0</v>
      </c>
      <c r="DM180" s="6" t="n">
        <v>0</v>
      </c>
      <c r="DN180" s="6" t="n">
        <v>0</v>
      </c>
      <c r="DO180" s="6" t="n">
        <v>0</v>
      </c>
      <c r="DP180" s="6" t="n">
        <v>0</v>
      </c>
      <c r="DQ180" s="6" t="n">
        <f aca="false">+DK180+DN180+DE180+DH180</f>
        <v>0</v>
      </c>
      <c r="DR180" s="6" t="n">
        <f aca="false">+DL180+DO180+DF180+DI180</f>
        <v>0</v>
      </c>
      <c r="DS180" s="6" t="n">
        <f aca="false">+DM180+DP180+DG180+DJ180</f>
        <v>135253</v>
      </c>
      <c r="DT180" s="31" t="n">
        <f aca="false">+P180+AE180+AT180+BI180+BX180+CM180+DB180</f>
        <v>1600000</v>
      </c>
      <c r="DU180" s="31" t="n">
        <f aca="false">+Q180+AF180+AU180+BJ180+BY180+CN180+DC180</f>
        <v>135253</v>
      </c>
      <c r="DV180" s="31" t="n">
        <f aca="false">+R180+AG180+AV180+BK180+BZ180+CO180+DD180</f>
        <v>135253</v>
      </c>
      <c r="DW180" s="31" t="n">
        <f aca="false">+DU180-DV180</f>
        <v>0</v>
      </c>
    </row>
    <row r="181" customFormat="false" ht="13.8" hidden="false" customHeight="false" outlineLevel="0" collapsed="false">
      <c r="A181" s="27" t="n">
        <v>45992</v>
      </c>
      <c r="B181" s="28" t="s">
        <v>704</v>
      </c>
      <c r="C181" s="28" t="s">
        <v>700</v>
      </c>
      <c r="D181" s="29" t="s">
        <v>701</v>
      </c>
      <c r="E181" s="28" t="s">
        <v>702</v>
      </c>
      <c r="F181" s="27" t="s">
        <v>703</v>
      </c>
      <c r="G181" s="27" t="s">
        <v>24</v>
      </c>
      <c r="H181" s="30"/>
      <c r="I181" s="30" t="n">
        <v>600000</v>
      </c>
      <c r="J181" s="6" t="n">
        <v>0</v>
      </c>
      <c r="K181" s="6" t="n">
        <v>0</v>
      </c>
      <c r="L181" s="6" t="n">
        <v>0</v>
      </c>
      <c r="M181" s="6" t="n">
        <v>0</v>
      </c>
      <c r="N181" s="6" t="n">
        <v>0</v>
      </c>
      <c r="O181" s="6" t="n">
        <v>0</v>
      </c>
      <c r="P181" s="6" t="n">
        <f aca="false">+J181+M181</f>
        <v>0</v>
      </c>
      <c r="Q181" s="6" t="n">
        <f aca="false">+K181+N181</f>
        <v>0</v>
      </c>
      <c r="R181" s="6" t="n">
        <f aca="false">+L181+O181</f>
        <v>0</v>
      </c>
      <c r="S181" s="6" t="n">
        <v>0</v>
      </c>
      <c r="T181" s="6" t="n">
        <v>0</v>
      </c>
      <c r="U181" s="6" t="n">
        <v>0</v>
      </c>
      <c r="V181" s="6" t="n">
        <v>0</v>
      </c>
      <c r="W181" s="6" t="n">
        <v>0</v>
      </c>
      <c r="X181" s="6" t="n">
        <v>0</v>
      </c>
      <c r="Y181" s="6" t="n">
        <v>0</v>
      </c>
      <c r="Z181" s="6" t="n">
        <v>0</v>
      </c>
      <c r="AA181" s="6" t="n">
        <v>0</v>
      </c>
      <c r="AB181" s="6" t="n">
        <v>0</v>
      </c>
      <c r="AC181" s="6" t="n">
        <v>0</v>
      </c>
      <c r="AD181" s="6" t="n">
        <v>0</v>
      </c>
      <c r="AE181" s="6" t="n">
        <f aca="false">+Y181+AB181+S181+V181</f>
        <v>0</v>
      </c>
      <c r="AF181" s="6" t="n">
        <f aca="false">+Z181+AC181+T181+W181</f>
        <v>0</v>
      </c>
      <c r="AG181" s="6" t="n">
        <f aca="false">+AA181+AD181+U181+X181</f>
        <v>0</v>
      </c>
      <c r="AH181" s="6" t="n">
        <v>0</v>
      </c>
      <c r="AI181" s="6" t="n">
        <v>0</v>
      </c>
      <c r="AJ181" s="6" t="n">
        <v>0</v>
      </c>
      <c r="AK181" s="6" t="n">
        <v>0</v>
      </c>
      <c r="AL181" s="6" t="n">
        <v>0</v>
      </c>
      <c r="AM181" s="6" t="n">
        <v>0</v>
      </c>
      <c r="AN181" s="6" t="n">
        <v>0</v>
      </c>
      <c r="AO181" s="6" t="n">
        <v>0</v>
      </c>
      <c r="AP181" s="6" t="n">
        <v>0</v>
      </c>
      <c r="AQ181" s="6" t="n">
        <v>0</v>
      </c>
      <c r="AR181" s="6" t="n">
        <v>0</v>
      </c>
      <c r="AS181" s="6" t="n">
        <v>0</v>
      </c>
      <c r="AT181" s="6" t="n">
        <f aca="false">+AN181+AQ181+AH181+AK181</f>
        <v>0</v>
      </c>
      <c r="AU181" s="6" t="n">
        <f aca="false">+AO181+AR181+AI181+AL181</f>
        <v>0</v>
      </c>
      <c r="AV181" s="6" t="n">
        <f aca="false">+AP181+AS181+AJ181+AM181</f>
        <v>0</v>
      </c>
      <c r="AW181" s="6" t="n">
        <v>0</v>
      </c>
      <c r="AX181" s="6" t="n">
        <v>0</v>
      </c>
      <c r="AY181" s="6" t="n">
        <v>0</v>
      </c>
      <c r="AZ181" s="6" t="n">
        <v>0</v>
      </c>
      <c r="BA181" s="6" t="n">
        <v>0</v>
      </c>
      <c r="BB181" s="6" t="n">
        <v>0</v>
      </c>
      <c r="BC181" s="6" t="n">
        <v>0</v>
      </c>
      <c r="BD181" s="6" t="n">
        <v>0</v>
      </c>
      <c r="BE181" s="6" t="n">
        <v>0</v>
      </c>
      <c r="BF181" s="6" t="n">
        <v>0</v>
      </c>
      <c r="BG181" s="6" t="n">
        <v>0</v>
      </c>
      <c r="BH181" s="6" t="n">
        <v>0</v>
      </c>
      <c r="BI181" s="6" t="n">
        <f aca="false">+BC181+BF181+AW181+AZ181</f>
        <v>0</v>
      </c>
      <c r="BJ181" s="6" t="n">
        <f aca="false">+BD181+BG181+AX181+BA181</f>
        <v>0</v>
      </c>
      <c r="BK181" s="6" t="n">
        <f aca="false">+BE181+BH181+AY181+BB181</f>
        <v>0</v>
      </c>
      <c r="BL181" s="6" t="n">
        <v>0</v>
      </c>
      <c r="BM181" s="6" t="n">
        <v>0</v>
      </c>
      <c r="BN181" s="6" t="n">
        <v>0</v>
      </c>
      <c r="BO181" s="6" t="n">
        <v>0</v>
      </c>
      <c r="BP181" s="6" t="n">
        <v>0</v>
      </c>
      <c r="BQ181" s="6" t="n">
        <v>0</v>
      </c>
      <c r="BR181" s="6" t="n">
        <v>0</v>
      </c>
      <c r="BS181" s="6" t="n">
        <v>0</v>
      </c>
      <c r="BT181" s="6" t="n">
        <v>0</v>
      </c>
      <c r="BU181" s="6" t="n">
        <v>0</v>
      </c>
      <c r="BV181" s="6" t="n">
        <v>0</v>
      </c>
      <c r="BW181" s="6" t="n">
        <v>0</v>
      </c>
      <c r="BX181" s="6" t="n">
        <f aca="false">+BR181+BU181+BL181+BO181</f>
        <v>0</v>
      </c>
      <c r="BY181" s="6" t="n">
        <f aca="false">+BS181+BV181+BM181+BP181</f>
        <v>0</v>
      </c>
      <c r="BZ181" s="6" t="n">
        <f aca="false">+BT181+BW181+BN181+BQ181</f>
        <v>0</v>
      </c>
      <c r="CA181" s="6" t="n">
        <v>0</v>
      </c>
      <c r="CB181" s="6" t="n">
        <v>0</v>
      </c>
      <c r="CC181" s="6" t="n">
        <v>0</v>
      </c>
      <c r="CD181" s="6" t="n">
        <v>0</v>
      </c>
      <c r="CE181" s="6" t="n">
        <v>0</v>
      </c>
      <c r="CF181" s="6" t="n">
        <v>0</v>
      </c>
      <c r="CG181" s="6" t="n">
        <v>0</v>
      </c>
      <c r="CH181" s="6" t="n">
        <v>0</v>
      </c>
      <c r="CI181" s="6" t="n">
        <v>0</v>
      </c>
      <c r="CJ181" s="30" t="n">
        <v>0</v>
      </c>
      <c r="CK181" s="30" t="n">
        <v>600000</v>
      </c>
      <c r="CL181" s="6" t="n">
        <v>0</v>
      </c>
      <c r="CM181" s="6" t="n">
        <f aca="false">+CG181+CJ181+CA181+CD181</f>
        <v>0</v>
      </c>
      <c r="CN181" s="6" t="n">
        <f aca="false">+CH181+CK181+CB181+CE181</f>
        <v>600000</v>
      </c>
      <c r="CO181" s="6" t="n">
        <f aca="false">+CI181+CL181+CC181+CF181</f>
        <v>0</v>
      </c>
      <c r="CP181" s="6" t="n">
        <v>0</v>
      </c>
      <c r="CQ181" s="6" t="n">
        <v>0</v>
      </c>
      <c r="CR181" s="6" t="n">
        <v>0</v>
      </c>
      <c r="CS181" s="6" t="n">
        <v>0</v>
      </c>
      <c r="CT181" s="6" t="n">
        <v>0</v>
      </c>
      <c r="CU181" s="6" t="n">
        <v>600000</v>
      </c>
      <c r="CV181" s="6" t="n">
        <v>0</v>
      </c>
      <c r="CW181" s="6" t="n">
        <v>0</v>
      </c>
      <c r="CX181" s="6" t="n">
        <v>0</v>
      </c>
      <c r="CY181" s="6" t="n">
        <v>0</v>
      </c>
      <c r="CZ181" s="6" t="n">
        <v>0</v>
      </c>
      <c r="DA181" s="6" t="n">
        <v>0</v>
      </c>
      <c r="DB181" s="6" t="n">
        <f aca="false">+CV181+CY181+CP181+CS181</f>
        <v>0</v>
      </c>
      <c r="DC181" s="6" t="n">
        <f aca="false">+CW181+CZ181+CQ181+CT181</f>
        <v>0</v>
      </c>
      <c r="DD181" s="6" t="n">
        <f aca="false">+CX181+DA181+CR181+CU181</f>
        <v>600000</v>
      </c>
      <c r="DE181" s="6" t="n">
        <v>0</v>
      </c>
      <c r="DF181" s="6" t="n">
        <v>0</v>
      </c>
      <c r="DG181" s="6" t="n">
        <v>0</v>
      </c>
      <c r="DH181" s="6" t="n">
        <v>0</v>
      </c>
      <c r="DI181" s="6" t="n">
        <v>0</v>
      </c>
      <c r="DJ181" s="6" t="n">
        <v>600000</v>
      </c>
      <c r="DK181" s="6" t="n">
        <v>0</v>
      </c>
      <c r="DL181" s="6" t="n">
        <v>0</v>
      </c>
      <c r="DM181" s="6" t="n">
        <v>0</v>
      </c>
      <c r="DN181" s="6" t="n">
        <v>0</v>
      </c>
      <c r="DO181" s="6" t="n">
        <v>0</v>
      </c>
      <c r="DP181" s="6" t="n">
        <v>0</v>
      </c>
      <c r="DQ181" s="6" t="n">
        <f aca="false">+DK181+DN181+DE181+DH181</f>
        <v>0</v>
      </c>
      <c r="DR181" s="6" t="n">
        <f aca="false">+DL181+DO181+DF181+DI181</f>
        <v>0</v>
      </c>
      <c r="DS181" s="6" t="n">
        <f aca="false">+DM181+DP181+DG181+DJ181</f>
        <v>600000</v>
      </c>
      <c r="DT181" s="31" t="n">
        <f aca="false">+P181+AE181+AT181+BI181+BX181+CM181+DB181</f>
        <v>0</v>
      </c>
      <c r="DU181" s="31" t="n">
        <f aca="false">+Q181+AF181+AU181+BJ181+BY181+CN181+DC181</f>
        <v>600000</v>
      </c>
      <c r="DV181" s="31" t="n">
        <f aca="false">+R181+AG181+AV181+BK181+BZ181+CO181+DD181</f>
        <v>600000</v>
      </c>
      <c r="DW181" s="31" t="n">
        <f aca="false">+DU181-DV181</f>
        <v>0</v>
      </c>
    </row>
    <row r="182" customFormat="false" ht="13.8" hidden="false" customHeight="false" outlineLevel="0" collapsed="false">
      <c r="A182" s="27" t="n">
        <v>45916</v>
      </c>
      <c r="B182" s="28" t="s">
        <v>705</v>
      </c>
      <c r="C182" s="28" t="s">
        <v>706</v>
      </c>
      <c r="D182" s="29" t="s">
        <v>707</v>
      </c>
      <c r="E182" s="28" t="s">
        <v>708</v>
      </c>
      <c r="F182" s="27" t="s">
        <v>709</v>
      </c>
      <c r="G182" s="27" t="s">
        <v>24</v>
      </c>
      <c r="H182" s="30" t="n">
        <v>1780616.24</v>
      </c>
      <c r="I182" s="30" t="n">
        <v>1780616.24</v>
      </c>
      <c r="J182" s="6" t="n">
        <v>0</v>
      </c>
      <c r="K182" s="6" t="n">
        <v>0</v>
      </c>
      <c r="L182" s="6" t="n">
        <v>0</v>
      </c>
      <c r="M182" s="6" t="n">
        <v>0</v>
      </c>
      <c r="N182" s="6" t="n">
        <v>0</v>
      </c>
      <c r="O182" s="6" t="n">
        <v>0</v>
      </c>
      <c r="P182" s="6" t="n">
        <f aca="false">+J182+M182</f>
        <v>0</v>
      </c>
      <c r="Q182" s="6" t="n">
        <f aca="false">+K182+N182</f>
        <v>0</v>
      </c>
      <c r="R182" s="6" t="n">
        <f aca="false">+L182+O182</f>
        <v>0</v>
      </c>
      <c r="S182" s="6" t="n">
        <v>0</v>
      </c>
      <c r="T182" s="6" t="n">
        <v>0</v>
      </c>
      <c r="U182" s="6" t="n">
        <v>0</v>
      </c>
      <c r="V182" s="6" t="n">
        <v>0</v>
      </c>
      <c r="W182" s="6" t="n">
        <v>0</v>
      </c>
      <c r="X182" s="6" t="n">
        <v>0</v>
      </c>
      <c r="Y182" s="6" t="n">
        <v>0</v>
      </c>
      <c r="Z182" s="6" t="n">
        <v>0</v>
      </c>
      <c r="AA182" s="6" t="n">
        <v>0</v>
      </c>
      <c r="AB182" s="6" t="n">
        <v>0</v>
      </c>
      <c r="AC182" s="6" t="n">
        <v>0</v>
      </c>
      <c r="AD182" s="6" t="n">
        <v>0</v>
      </c>
      <c r="AE182" s="6" t="n">
        <f aca="false">+Y182+AB182+S182+V182</f>
        <v>0</v>
      </c>
      <c r="AF182" s="6" t="n">
        <f aca="false">+Z182+AC182+T182+W182</f>
        <v>0</v>
      </c>
      <c r="AG182" s="6" t="n">
        <f aca="false">+AA182+AD182+U182+X182</f>
        <v>0</v>
      </c>
      <c r="AH182" s="6" t="n">
        <v>0</v>
      </c>
      <c r="AI182" s="6" t="n">
        <v>0</v>
      </c>
      <c r="AJ182" s="6" t="n">
        <v>0</v>
      </c>
      <c r="AK182" s="6" t="n">
        <v>0</v>
      </c>
      <c r="AL182" s="6" t="n">
        <v>0</v>
      </c>
      <c r="AM182" s="6" t="n">
        <v>0</v>
      </c>
      <c r="AN182" s="6" t="n">
        <v>0</v>
      </c>
      <c r="AO182" s="6" t="n">
        <v>0</v>
      </c>
      <c r="AP182" s="6" t="n">
        <v>0</v>
      </c>
      <c r="AQ182" s="6" t="n">
        <v>0</v>
      </c>
      <c r="AR182" s="6" t="n">
        <v>0</v>
      </c>
      <c r="AS182" s="6" t="n">
        <v>0</v>
      </c>
      <c r="AT182" s="6" t="n">
        <f aca="false">+AN182+AQ182+AH182+AK182</f>
        <v>0</v>
      </c>
      <c r="AU182" s="6" t="n">
        <f aca="false">+AO182+AR182+AI182+AL182</f>
        <v>0</v>
      </c>
      <c r="AV182" s="6" t="n">
        <f aca="false">+AP182+AS182+AJ182+AM182</f>
        <v>0</v>
      </c>
      <c r="AW182" s="6" t="n">
        <v>0</v>
      </c>
      <c r="AX182" s="6" t="n">
        <v>0</v>
      </c>
      <c r="AY182" s="6" t="n">
        <v>0</v>
      </c>
      <c r="AZ182" s="6" t="n">
        <v>0</v>
      </c>
      <c r="BA182" s="6" t="n">
        <v>0</v>
      </c>
      <c r="BB182" s="6" t="n">
        <v>0</v>
      </c>
      <c r="BC182" s="6" t="n">
        <v>0</v>
      </c>
      <c r="BD182" s="6" t="n">
        <v>0</v>
      </c>
      <c r="BE182" s="6" t="n">
        <v>0</v>
      </c>
      <c r="BF182" s="6" t="n">
        <v>0</v>
      </c>
      <c r="BG182" s="6" t="n">
        <v>0</v>
      </c>
      <c r="BH182" s="6" t="n">
        <v>0</v>
      </c>
      <c r="BI182" s="6" t="n">
        <f aca="false">+BC182+BF182+AW182+AZ182</f>
        <v>0</v>
      </c>
      <c r="BJ182" s="6" t="n">
        <f aca="false">+BD182+BG182+AX182+BA182</f>
        <v>0</v>
      </c>
      <c r="BK182" s="6" t="n">
        <f aca="false">+BE182+BH182+AY182+BB182</f>
        <v>0</v>
      </c>
      <c r="BL182" s="6" t="n">
        <v>0</v>
      </c>
      <c r="BM182" s="6" t="n">
        <v>0</v>
      </c>
      <c r="BN182" s="6" t="n">
        <v>0</v>
      </c>
      <c r="BO182" s="6" t="n">
        <v>0</v>
      </c>
      <c r="BP182" s="6" t="n">
        <v>0</v>
      </c>
      <c r="BQ182" s="6" t="n">
        <v>0</v>
      </c>
      <c r="BR182" s="6" t="n">
        <v>0</v>
      </c>
      <c r="BS182" s="6" t="n">
        <v>0</v>
      </c>
      <c r="BT182" s="6" t="n">
        <v>0</v>
      </c>
      <c r="BU182" s="6" t="n">
        <v>0</v>
      </c>
      <c r="BV182" s="6" t="n">
        <v>0</v>
      </c>
      <c r="BW182" s="6" t="n">
        <v>0</v>
      </c>
      <c r="BX182" s="6" t="n">
        <f aca="false">+BR182+BU182+BL182+BO182</f>
        <v>0</v>
      </c>
      <c r="BY182" s="6" t="n">
        <f aca="false">+BS182+BV182+BM182+BP182</f>
        <v>0</v>
      </c>
      <c r="BZ182" s="6" t="n">
        <f aca="false">+BT182+BW182+BN182+BQ182</f>
        <v>0</v>
      </c>
      <c r="CA182" s="6" t="n">
        <v>0</v>
      </c>
      <c r="CB182" s="6" t="n">
        <v>0</v>
      </c>
      <c r="CC182" s="6" t="n">
        <v>0</v>
      </c>
      <c r="CD182" s="6" t="n">
        <v>0</v>
      </c>
      <c r="CE182" s="6" t="n">
        <v>0</v>
      </c>
      <c r="CF182" s="6" t="n">
        <v>0</v>
      </c>
      <c r="CG182" s="6" t="n">
        <v>0</v>
      </c>
      <c r="CH182" s="6" t="n">
        <v>0</v>
      </c>
      <c r="CI182" s="6" t="n">
        <v>0</v>
      </c>
      <c r="CJ182" s="30" t="n">
        <v>1780616.24</v>
      </c>
      <c r="CK182" s="30" t="n">
        <v>1780616.24</v>
      </c>
      <c r="CL182" s="6" t="n">
        <v>0</v>
      </c>
      <c r="CM182" s="6" t="n">
        <f aca="false">+CG182+CJ182+CA182+CD182</f>
        <v>1780616.24</v>
      </c>
      <c r="CN182" s="6" t="n">
        <f aca="false">+CH182+CK182+CB182+CE182</f>
        <v>1780616.24</v>
      </c>
      <c r="CO182" s="6" t="n">
        <f aca="false">+CI182+CL182+CC182+CF182</f>
        <v>0</v>
      </c>
      <c r="CP182" s="6" t="n">
        <v>0</v>
      </c>
      <c r="CQ182" s="6" t="n">
        <v>0</v>
      </c>
      <c r="CR182" s="6" t="n">
        <v>1500000</v>
      </c>
      <c r="CS182" s="6" t="n">
        <v>0</v>
      </c>
      <c r="CT182" s="6" t="n">
        <v>0</v>
      </c>
      <c r="CU182" s="6" t="n">
        <v>280616.24</v>
      </c>
      <c r="CV182" s="6" t="n">
        <v>0</v>
      </c>
      <c r="CW182" s="6" t="n">
        <v>0</v>
      </c>
      <c r="CX182" s="6" t="n">
        <v>0</v>
      </c>
      <c r="CY182" s="6" t="n">
        <v>0</v>
      </c>
      <c r="CZ182" s="6" t="n">
        <v>0</v>
      </c>
      <c r="DA182" s="6" t="n">
        <v>0</v>
      </c>
      <c r="DB182" s="6" t="n">
        <f aca="false">+CV182+CY182+CP182+CS182</f>
        <v>0</v>
      </c>
      <c r="DC182" s="6" t="n">
        <f aca="false">+CW182+CZ182+CQ182+CT182</f>
        <v>0</v>
      </c>
      <c r="DD182" s="6" t="n">
        <f aca="false">+CX182+DA182+CR182+CU182</f>
        <v>1780616.24</v>
      </c>
      <c r="DE182" s="6" t="n">
        <v>0</v>
      </c>
      <c r="DF182" s="6" t="n">
        <v>0</v>
      </c>
      <c r="DG182" s="6" t="n">
        <v>1500000</v>
      </c>
      <c r="DH182" s="6" t="n">
        <v>0</v>
      </c>
      <c r="DI182" s="6" t="n">
        <v>0</v>
      </c>
      <c r="DJ182" s="6" t="n">
        <v>280616.24</v>
      </c>
      <c r="DK182" s="6" t="n">
        <v>0</v>
      </c>
      <c r="DL182" s="6" t="n">
        <v>0</v>
      </c>
      <c r="DM182" s="6" t="n">
        <v>0</v>
      </c>
      <c r="DN182" s="6" t="n">
        <v>0</v>
      </c>
      <c r="DO182" s="6" t="n">
        <v>0</v>
      </c>
      <c r="DP182" s="6" t="n">
        <v>0</v>
      </c>
      <c r="DQ182" s="6" t="n">
        <f aca="false">+DK182+DN182+DE182+DH182</f>
        <v>0</v>
      </c>
      <c r="DR182" s="6" t="n">
        <f aca="false">+DL182+DO182+DF182+DI182</f>
        <v>0</v>
      </c>
      <c r="DS182" s="6" t="n">
        <f aca="false">+DM182+DP182+DG182+DJ182</f>
        <v>1780616.24</v>
      </c>
      <c r="DT182" s="31" t="n">
        <f aca="false">+P182+AE182+AT182+BI182+BX182+CM182+DB182</f>
        <v>1780616.24</v>
      </c>
      <c r="DU182" s="31" t="n">
        <f aca="false">+Q182+AF182+AU182+BJ182+BY182+CN182+DC182</f>
        <v>1780616.24</v>
      </c>
      <c r="DV182" s="31" t="n">
        <f aca="false">+R182+AG182+AV182+BK182+BZ182+CO182+DD182</f>
        <v>1780616.24</v>
      </c>
      <c r="DW182" s="31" t="n">
        <f aca="false">+DU182-DV182</f>
        <v>0</v>
      </c>
    </row>
    <row r="183" customFormat="false" ht="13.8" hidden="false" customHeight="false" outlineLevel="0" collapsed="false">
      <c r="A183" s="27" t="n">
        <v>45916</v>
      </c>
      <c r="B183" s="28" t="s">
        <v>705</v>
      </c>
      <c r="C183" s="28" t="s">
        <v>706</v>
      </c>
      <c r="D183" s="29" t="s">
        <v>707</v>
      </c>
      <c r="E183" s="28" t="s">
        <v>708</v>
      </c>
      <c r="F183" s="27" t="s">
        <v>709</v>
      </c>
      <c r="G183" s="27" t="s">
        <v>24</v>
      </c>
      <c r="H183" s="30" t="n">
        <v>2194233.76</v>
      </c>
      <c r="I183" s="30" t="n">
        <v>2194233.76</v>
      </c>
      <c r="J183" s="6" t="n">
        <v>0</v>
      </c>
      <c r="K183" s="6" t="n">
        <v>0</v>
      </c>
      <c r="L183" s="6" t="n">
        <v>0</v>
      </c>
      <c r="M183" s="6" t="n">
        <v>0</v>
      </c>
      <c r="N183" s="6" t="n">
        <v>0</v>
      </c>
      <c r="O183" s="6" t="n">
        <v>0</v>
      </c>
      <c r="P183" s="6" t="n">
        <f aca="false">+J183+M183</f>
        <v>0</v>
      </c>
      <c r="Q183" s="6" t="n">
        <f aca="false">+K183+N183</f>
        <v>0</v>
      </c>
      <c r="R183" s="6" t="n">
        <f aca="false">+L183+O183</f>
        <v>0</v>
      </c>
      <c r="S183" s="6" t="n">
        <v>0</v>
      </c>
      <c r="T183" s="6" t="n">
        <v>0</v>
      </c>
      <c r="U183" s="6" t="n">
        <v>0</v>
      </c>
      <c r="V183" s="6" t="n">
        <v>0</v>
      </c>
      <c r="W183" s="6" t="n">
        <v>0</v>
      </c>
      <c r="X183" s="6" t="n">
        <v>0</v>
      </c>
      <c r="Y183" s="6" t="n">
        <v>0</v>
      </c>
      <c r="Z183" s="6" t="n">
        <v>0</v>
      </c>
      <c r="AA183" s="6" t="n">
        <v>0</v>
      </c>
      <c r="AB183" s="6" t="n">
        <v>0</v>
      </c>
      <c r="AC183" s="6" t="n">
        <v>0</v>
      </c>
      <c r="AD183" s="6" t="n">
        <v>0</v>
      </c>
      <c r="AE183" s="6" t="n">
        <f aca="false">+Y183+AB183+S183+V183</f>
        <v>0</v>
      </c>
      <c r="AF183" s="6" t="n">
        <f aca="false">+Z183+AC183+T183+W183</f>
        <v>0</v>
      </c>
      <c r="AG183" s="6" t="n">
        <f aca="false">+AA183+AD183+U183+X183</f>
        <v>0</v>
      </c>
      <c r="AH183" s="6" t="n">
        <v>0</v>
      </c>
      <c r="AI183" s="6" t="n">
        <v>0</v>
      </c>
      <c r="AJ183" s="6" t="n">
        <v>0</v>
      </c>
      <c r="AK183" s="6" t="n">
        <v>0</v>
      </c>
      <c r="AL183" s="6" t="n">
        <v>0</v>
      </c>
      <c r="AM183" s="6" t="n">
        <v>0</v>
      </c>
      <c r="AN183" s="6" t="n">
        <v>0</v>
      </c>
      <c r="AO183" s="6" t="n">
        <v>0</v>
      </c>
      <c r="AP183" s="6" t="n">
        <v>0</v>
      </c>
      <c r="AQ183" s="6" t="n">
        <v>0</v>
      </c>
      <c r="AR183" s="6" t="n">
        <v>0</v>
      </c>
      <c r="AS183" s="6" t="n">
        <v>0</v>
      </c>
      <c r="AT183" s="6" t="n">
        <f aca="false">+AN183+AQ183+AH183+AK183</f>
        <v>0</v>
      </c>
      <c r="AU183" s="6" t="n">
        <f aca="false">+AO183+AR183+AI183+AL183</f>
        <v>0</v>
      </c>
      <c r="AV183" s="6" t="n">
        <f aca="false">+AP183+AS183+AJ183+AM183</f>
        <v>0</v>
      </c>
      <c r="AW183" s="6" t="n">
        <v>0</v>
      </c>
      <c r="AX183" s="6" t="n">
        <v>0</v>
      </c>
      <c r="AY183" s="6" t="n">
        <v>0</v>
      </c>
      <c r="AZ183" s="6" t="n">
        <v>0</v>
      </c>
      <c r="BA183" s="6" t="n">
        <v>0</v>
      </c>
      <c r="BB183" s="6" t="n">
        <v>0</v>
      </c>
      <c r="BC183" s="6" t="n">
        <v>0</v>
      </c>
      <c r="BD183" s="6" t="n">
        <v>0</v>
      </c>
      <c r="BE183" s="6" t="n">
        <v>0</v>
      </c>
      <c r="BF183" s="6" t="n">
        <v>0</v>
      </c>
      <c r="BG183" s="6" t="n">
        <v>0</v>
      </c>
      <c r="BH183" s="6" t="n">
        <v>0</v>
      </c>
      <c r="BI183" s="6" t="n">
        <f aca="false">+BC183+BF183+AW183+AZ183</f>
        <v>0</v>
      </c>
      <c r="BJ183" s="6" t="n">
        <f aca="false">+BD183+BG183+AX183+BA183</f>
        <v>0</v>
      </c>
      <c r="BK183" s="6" t="n">
        <f aca="false">+BE183+BH183+AY183+BB183</f>
        <v>0</v>
      </c>
      <c r="BL183" s="6" t="n">
        <v>0</v>
      </c>
      <c r="BM183" s="6" t="n">
        <v>0</v>
      </c>
      <c r="BN183" s="6" t="n">
        <v>0</v>
      </c>
      <c r="BO183" s="6" t="n">
        <v>0</v>
      </c>
      <c r="BP183" s="6" t="n">
        <v>0</v>
      </c>
      <c r="BQ183" s="6" t="n">
        <v>0</v>
      </c>
      <c r="BR183" s="6" t="n">
        <v>0</v>
      </c>
      <c r="BS183" s="6" t="n">
        <v>0</v>
      </c>
      <c r="BT183" s="6" t="n">
        <v>0</v>
      </c>
      <c r="BU183" s="6" t="n">
        <v>0</v>
      </c>
      <c r="BV183" s="6" t="n">
        <v>0</v>
      </c>
      <c r="BW183" s="6" t="n">
        <v>0</v>
      </c>
      <c r="BX183" s="6" t="n">
        <f aca="false">+BR183+BU183+BL183+BO183</f>
        <v>0</v>
      </c>
      <c r="BY183" s="6" t="n">
        <f aca="false">+BS183+BV183+BM183+BP183</f>
        <v>0</v>
      </c>
      <c r="BZ183" s="6" t="n">
        <f aca="false">+BT183+BW183+BN183+BQ183</f>
        <v>0</v>
      </c>
      <c r="CA183" s="6" t="n">
        <v>0</v>
      </c>
      <c r="CB183" s="6" t="n">
        <v>0</v>
      </c>
      <c r="CC183" s="6" t="n">
        <v>0</v>
      </c>
      <c r="CD183" s="6" t="n">
        <v>0</v>
      </c>
      <c r="CE183" s="6" t="n">
        <v>0</v>
      </c>
      <c r="CF183" s="6" t="n">
        <v>0</v>
      </c>
      <c r="CG183" s="6" t="n">
        <v>0</v>
      </c>
      <c r="CH183" s="6" t="n">
        <v>0</v>
      </c>
      <c r="CI183" s="6" t="n">
        <v>0</v>
      </c>
      <c r="CJ183" s="30" t="n">
        <v>2194233.76</v>
      </c>
      <c r="CK183" s="30" t="n">
        <v>2194233.76</v>
      </c>
      <c r="CL183" s="6" t="n">
        <v>0</v>
      </c>
      <c r="CM183" s="6" t="n">
        <f aca="false">+CG183+CJ183+CA183+CD183</f>
        <v>2194233.76</v>
      </c>
      <c r="CN183" s="6" t="n">
        <f aca="false">+CH183+CK183+CB183+CE183</f>
        <v>2194233.76</v>
      </c>
      <c r="CO183" s="6" t="n">
        <f aca="false">+CI183+CL183+CC183+CF183</f>
        <v>0</v>
      </c>
      <c r="CP183" s="6" t="n">
        <v>0</v>
      </c>
      <c r="CQ183" s="6" t="n">
        <v>0</v>
      </c>
      <c r="CR183" s="6" t="n">
        <v>0</v>
      </c>
      <c r="CS183" s="6" t="n">
        <v>0</v>
      </c>
      <c r="CT183" s="6" t="n">
        <v>0</v>
      </c>
      <c r="CU183" s="6" t="n">
        <v>600000</v>
      </c>
      <c r="CV183" s="6" t="n">
        <v>0</v>
      </c>
      <c r="CW183" s="6" t="n">
        <v>0</v>
      </c>
      <c r="CX183" s="6" t="n">
        <v>0</v>
      </c>
      <c r="CY183" s="6" t="n">
        <v>0</v>
      </c>
      <c r="CZ183" s="6" t="n">
        <v>0</v>
      </c>
      <c r="DA183" s="6" t="n">
        <v>0</v>
      </c>
      <c r="DB183" s="6" t="n">
        <f aca="false">+CV183+CY183+CP183+CS183</f>
        <v>0</v>
      </c>
      <c r="DC183" s="6" t="n">
        <f aca="false">+CW183+CZ183+CQ183+CT183</f>
        <v>0</v>
      </c>
      <c r="DD183" s="6" t="n">
        <f aca="false">+CX183+DA183+CR183+CU183</f>
        <v>600000</v>
      </c>
      <c r="DE183" s="6" t="n">
        <v>0</v>
      </c>
      <c r="DF183" s="6" t="n">
        <v>0</v>
      </c>
      <c r="DG183" s="6" t="n">
        <v>0</v>
      </c>
      <c r="DH183" s="6" t="n">
        <v>0</v>
      </c>
      <c r="DI183" s="6" t="n">
        <v>0</v>
      </c>
      <c r="DJ183" s="6" t="n">
        <v>600000</v>
      </c>
      <c r="DK183" s="6" t="n">
        <v>0</v>
      </c>
      <c r="DL183" s="6" t="n">
        <v>0</v>
      </c>
      <c r="DM183" s="6" t="n">
        <v>0</v>
      </c>
      <c r="DN183" s="6" t="n">
        <v>0</v>
      </c>
      <c r="DO183" s="6" t="n">
        <v>0</v>
      </c>
      <c r="DP183" s="6" t="n">
        <v>0</v>
      </c>
      <c r="DQ183" s="6" t="n">
        <f aca="false">+DK183+DN183+DE183+DH183</f>
        <v>0</v>
      </c>
      <c r="DR183" s="6" t="n">
        <f aca="false">+DL183+DO183+DF183+DI183</f>
        <v>0</v>
      </c>
      <c r="DS183" s="6" t="n">
        <f aca="false">+DM183+DP183+DG183+DJ183</f>
        <v>600000</v>
      </c>
      <c r="DT183" s="31" t="n">
        <f aca="false">+P183+AE183+AT183+BI183+BX183+CM183+DB183</f>
        <v>2194233.76</v>
      </c>
      <c r="DU183" s="31" t="n">
        <f aca="false">+Q183+AF183+AU183+BJ183+BY183+CN183+DC183</f>
        <v>2194233.76</v>
      </c>
      <c r="DV183" s="31" t="n">
        <f aca="false">+R183+AG183+AV183+BK183+BZ183+CO183+DD183</f>
        <v>600000</v>
      </c>
      <c r="DW183" s="31" t="n">
        <f aca="false">+DU183-DV183</f>
        <v>1594233.76</v>
      </c>
    </row>
    <row r="184" customFormat="false" ht="13.8" hidden="false" customHeight="false" outlineLevel="0" collapsed="false">
      <c r="A184" s="27" t="n">
        <v>46003</v>
      </c>
      <c r="B184" s="28" t="s">
        <v>710</v>
      </c>
      <c r="C184" s="28" t="s">
        <v>711</v>
      </c>
      <c r="D184" s="29" t="s">
        <v>712</v>
      </c>
      <c r="E184" s="28" t="s">
        <v>713</v>
      </c>
      <c r="F184" s="27" t="s">
        <v>714</v>
      </c>
      <c r="G184" s="27" t="s">
        <v>25</v>
      </c>
      <c r="H184" s="30" t="n">
        <v>2805000</v>
      </c>
      <c r="I184" s="30" t="n">
        <v>2805000</v>
      </c>
      <c r="J184" s="6" t="n">
        <v>0</v>
      </c>
      <c r="K184" s="6" t="n">
        <v>0</v>
      </c>
      <c r="L184" s="6" t="n">
        <v>0</v>
      </c>
      <c r="M184" s="6" t="n">
        <v>0</v>
      </c>
      <c r="N184" s="6" t="n">
        <v>0</v>
      </c>
      <c r="O184" s="6" t="n">
        <v>0</v>
      </c>
      <c r="P184" s="6" t="n">
        <f aca="false">+J184+M184</f>
        <v>0</v>
      </c>
      <c r="Q184" s="6" t="n">
        <f aca="false">+K184+N184</f>
        <v>0</v>
      </c>
      <c r="R184" s="6" t="n">
        <f aca="false">+L184+O184</f>
        <v>0</v>
      </c>
      <c r="S184" s="6" t="n">
        <v>0</v>
      </c>
      <c r="T184" s="6" t="n">
        <v>0</v>
      </c>
      <c r="U184" s="6" t="n">
        <v>0</v>
      </c>
      <c r="V184" s="6" t="n">
        <v>0</v>
      </c>
      <c r="W184" s="6" t="n">
        <v>0</v>
      </c>
      <c r="X184" s="6" t="n">
        <v>0</v>
      </c>
      <c r="Y184" s="6" t="n">
        <v>0</v>
      </c>
      <c r="Z184" s="6" t="n">
        <v>0</v>
      </c>
      <c r="AA184" s="6" t="n">
        <v>0</v>
      </c>
      <c r="AB184" s="6" t="n">
        <v>0</v>
      </c>
      <c r="AC184" s="6" t="n">
        <v>0</v>
      </c>
      <c r="AD184" s="6" t="n">
        <v>0</v>
      </c>
      <c r="AE184" s="6" t="n">
        <f aca="false">+Y184+AB184+S184+V184</f>
        <v>0</v>
      </c>
      <c r="AF184" s="6" t="n">
        <f aca="false">+Z184+AC184+T184+W184</f>
        <v>0</v>
      </c>
      <c r="AG184" s="6" t="n">
        <f aca="false">+AA184+AD184+U184+X184</f>
        <v>0</v>
      </c>
      <c r="AH184" s="6" t="n">
        <v>0</v>
      </c>
      <c r="AI184" s="6" t="n">
        <v>0</v>
      </c>
      <c r="AJ184" s="6" t="n">
        <v>0</v>
      </c>
      <c r="AK184" s="6" t="n">
        <v>0</v>
      </c>
      <c r="AL184" s="6" t="n">
        <v>0</v>
      </c>
      <c r="AM184" s="6" t="n">
        <v>0</v>
      </c>
      <c r="AN184" s="6" t="n">
        <v>0</v>
      </c>
      <c r="AO184" s="6" t="n">
        <v>0</v>
      </c>
      <c r="AP184" s="6" t="n">
        <v>0</v>
      </c>
      <c r="AQ184" s="6" t="n">
        <v>0</v>
      </c>
      <c r="AR184" s="6" t="n">
        <v>0</v>
      </c>
      <c r="AS184" s="6" t="n">
        <v>0</v>
      </c>
      <c r="AT184" s="6" t="n">
        <f aca="false">+AN184+AQ184+AH184+AK184</f>
        <v>0</v>
      </c>
      <c r="AU184" s="6" t="n">
        <f aca="false">+AO184+AR184+AI184+AL184</f>
        <v>0</v>
      </c>
      <c r="AV184" s="6" t="n">
        <f aca="false">+AP184+AS184+AJ184+AM184</f>
        <v>0</v>
      </c>
      <c r="AW184" s="6" t="n">
        <v>0</v>
      </c>
      <c r="AX184" s="6" t="n">
        <v>0</v>
      </c>
      <c r="AY184" s="6" t="n">
        <v>0</v>
      </c>
      <c r="AZ184" s="6" t="n">
        <v>0</v>
      </c>
      <c r="BA184" s="6" t="n">
        <v>0</v>
      </c>
      <c r="BB184" s="6" t="n">
        <v>0</v>
      </c>
      <c r="BC184" s="6" t="n">
        <v>0</v>
      </c>
      <c r="BD184" s="6" t="n">
        <v>0</v>
      </c>
      <c r="BE184" s="6" t="n">
        <v>0</v>
      </c>
      <c r="BF184" s="6" t="n">
        <v>0</v>
      </c>
      <c r="BG184" s="6" t="n">
        <v>0</v>
      </c>
      <c r="BH184" s="6" t="n">
        <v>0</v>
      </c>
      <c r="BI184" s="6" t="n">
        <f aca="false">+BC184+BF184+AW184+AZ184</f>
        <v>0</v>
      </c>
      <c r="BJ184" s="6" t="n">
        <f aca="false">+BD184+BG184+AX184+BA184</f>
        <v>0</v>
      </c>
      <c r="BK184" s="6" t="n">
        <f aca="false">+BE184+BH184+AY184+BB184</f>
        <v>0</v>
      </c>
      <c r="BL184" s="6" t="n">
        <v>0</v>
      </c>
      <c r="BM184" s="6" t="n">
        <v>0</v>
      </c>
      <c r="BN184" s="6" t="n">
        <v>0</v>
      </c>
      <c r="BO184" s="6" t="n">
        <v>0</v>
      </c>
      <c r="BP184" s="6" t="n">
        <v>0</v>
      </c>
      <c r="BQ184" s="6" t="n">
        <v>0</v>
      </c>
      <c r="BR184" s="6" t="n">
        <v>0</v>
      </c>
      <c r="BS184" s="6" t="n">
        <v>0</v>
      </c>
      <c r="BT184" s="6" t="n">
        <v>0</v>
      </c>
      <c r="BU184" s="6" t="n">
        <v>0</v>
      </c>
      <c r="BV184" s="6" t="n">
        <v>0</v>
      </c>
      <c r="BW184" s="6" t="n">
        <v>0</v>
      </c>
      <c r="BX184" s="6" t="n">
        <f aca="false">+BR184+BU184+BL184+BO184</f>
        <v>0</v>
      </c>
      <c r="BY184" s="6" t="n">
        <f aca="false">+BS184+BV184+BM184+BP184</f>
        <v>0</v>
      </c>
      <c r="BZ184" s="6" t="n">
        <f aca="false">+BT184+BW184+BN184+BQ184</f>
        <v>0</v>
      </c>
      <c r="CA184" s="6" t="n">
        <v>0</v>
      </c>
      <c r="CB184" s="6" t="n">
        <v>0</v>
      </c>
      <c r="CC184" s="6" t="n">
        <v>0</v>
      </c>
      <c r="CD184" s="6" t="n">
        <v>0</v>
      </c>
      <c r="CE184" s="6" t="n">
        <v>0</v>
      </c>
      <c r="CF184" s="6" t="n">
        <v>0</v>
      </c>
      <c r="CG184" s="6" t="n">
        <v>0</v>
      </c>
      <c r="CH184" s="6" t="n">
        <v>0</v>
      </c>
      <c r="CI184" s="6" t="n">
        <v>0</v>
      </c>
      <c r="CJ184" s="6" t="n">
        <v>0</v>
      </c>
      <c r="CK184" s="6" t="n">
        <v>0</v>
      </c>
      <c r="CL184" s="6" t="n">
        <v>0</v>
      </c>
      <c r="CM184" s="6" t="n">
        <f aca="false">+CG184+CJ184+CA184+CD184</f>
        <v>0</v>
      </c>
      <c r="CN184" s="6" t="n">
        <f aca="false">+CH184+CK184+CB184+CE184</f>
        <v>0</v>
      </c>
      <c r="CO184" s="6" t="n">
        <f aca="false">+CI184+CL184+CC184+CF184</f>
        <v>0</v>
      </c>
      <c r="CP184" s="6" t="n">
        <v>0</v>
      </c>
      <c r="CQ184" s="6" t="n">
        <v>0</v>
      </c>
      <c r="CR184" s="6" t="n">
        <v>0</v>
      </c>
      <c r="CS184" s="6" t="n">
        <v>0</v>
      </c>
      <c r="CT184" s="6" t="n">
        <v>0</v>
      </c>
      <c r="CU184" s="6" t="n">
        <v>0</v>
      </c>
      <c r="CV184" s="6" t="n">
        <v>0</v>
      </c>
      <c r="CW184" s="6" t="n">
        <v>0</v>
      </c>
      <c r="CX184" s="6" t="n">
        <v>0</v>
      </c>
      <c r="CY184" s="6" t="n">
        <v>0</v>
      </c>
      <c r="CZ184" s="6" t="n">
        <v>0</v>
      </c>
      <c r="DA184" s="6" t="n">
        <v>0</v>
      </c>
      <c r="DB184" s="6" t="n">
        <f aca="false">+CV184+CY184+CP184+CS184</f>
        <v>0</v>
      </c>
      <c r="DC184" s="6" t="n">
        <f aca="false">+CW184+CZ184+CQ184+CT184</f>
        <v>0</v>
      </c>
      <c r="DD184" s="6" t="n">
        <f aca="false">+CX184+DA184+CR184+CU184</f>
        <v>0</v>
      </c>
      <c r="DE184" s="6" t="n">
        <v>0</v>
      </c>
      <c r="DF184" s="6" t="n">
        <v>0</v>
      </c>
      <c r="DG184" s="6" t="n">
        <v>0</v>
      </c>
      <c r="DH184" s="6" t="n">
        <v>0</v>
      </c>
      <c r="DI184" s="6" t="n">
        <v>0</v>
      </c>
      <c r="DJ184" s="6" t="n">
        <v>0</v>
      </c>
      <c r="DK184" s="6" t="n">
        <v>0</v>
      </c>
      <c r="DL184" s="6" t="n">
        <v>0</v>
      </c>
      <c r="DM184" s="6" t="n">
        <v>0</v>
      </c>
      <c r="DN184" s="6" t="n">
        <v>0</v>
      </c>
      <c r="DO184" s="6" t="n">
        <v>0</v>
      </c>
      <c r="DP184" s="6" t="n">
        <v>0</v>
      </c>
      <c r="DQ184" s="6" t="n">
        <f aca="false">+DK184+DN184+DE184+DH184</f>
        <v>0</v>
      </c>
      <c r="DR184" s="6" t="n">
        <f aca="false">+DL184+DO184+DF184+DI184</f>
        <v>0</v>
      </c>
      <c r="DS184" s="6" t="n">
        <f aca="false">+DM184+DP184+DG184+DJ184</f>
        <v>0</v>
      </c>
      <c r="DT184" s="31" t="n">
        <f aca="false">+P184+AE184+AT184+BI184+BX184+CM184+DB184</f>
        <v>0</v>
      </c>
      <c r="DU184" s="31" t="n">
        <f aca="false">+Q184+AF184+AU184+BJ184+BY184+CN184+DC184</f>
        <v>0</v>
      </c>
      <c r="DV184" s="31" t="n">
        <f aca="false">+R184+AG184+AV184+BK184+BZ184+CO184+DD184</f>
        <v>0</v>
      </c>
      <c r="DW184" s="31" t="n">
        <f aca="false">+DU184-DV184</f>
        <v>0</v>
      </c>
    </row>
    <row r="185" customFormat="false" ht="13.8" hidden="false" customHeight="false" outlineLevel="0" collapsed="false">
      <c r="A185" s="27" t="n">
        <v>45924</v>
      </c>
      <c r="B185" s="28" t="s">
        <v>715</v>
      </c>
      <c r="C185" s="28" t="s">
        <v>716</v>
      </c>
      <c r="D185" s="29" t="s">
        <v>717</v>
      </c>
      <c r="E185" s="28" t="s">
        <v>718</v>
      </c>
      <c r="F185" s="27" t="s">
        <v>719</v>
      </c>
      <c r="G185" s="27" t="s">
        <v>25</v>
      </c>
      <c r="H185" s="30" t="n">
        <v>1664288.27</v>
      </c>
      <c r="I185" s="30" t="n">
        <v>1664288.27</v>
      </c>
      <c r="J185" s="6" t="n">
        <v>0</v>
      </c>
      <c r="K185" s="6" t="n">
        <v>0</v>
      </c>
      <c r="L185" s="6" t="n">
        <v>0</v>
      </c>
      <c r="M185" s="6" t="n">
        <v>0</v>
      </c>
      <c r="N185" s="6" t="n">
        <v>0</v>
      </c>
      <c r="O185" s="6" t="n">
        <v>0</v>
      </c>
      <c r="P185" s="6" t="n">
        <f aca="false">+J185+M185</f>
        <v>0</v>
      </c>
      <c r="Q185" s="6" t="n">
        <f aca="false">+K185+N185</f>
        <v>0</v>
      </c>
      <c r="R185" s="6" t="n">
        <f aca="false">+L185+O185</f>
        <v>0</v>
      </c>
      <c r="S185" s="6" t="n">
        <v>0</v>
      </c>
      <c r="T185" s="6" t="n">
        <v>0</v>
      </c>
      <c r="U185" s="6" t="n">
        <v>0</v>
      </c>
      <c r="V185" s="6" t="n">
        <v>0</v>
      </c>
      <c r="W185" s="6" t="n">
        <v>0</v>
      </c>
      <c r="X185" s="6" t="n">
        <v>0</v>
      </c>
      <c r="Y185" s="6" t="n">
        <v>0</v>
      </c>
      <c r="Z185" s="6" t="n">
        <v>0</v>
      </c>
      <c r="AA185" s="6" t="n">
        <v>0</v>
      </c>
      <c r="AB185" s="6" t="n">
        <v>0</v>
      </c>
      <c r="AC185" s="6" t="n">
        <v>0</v>
      </c>
      <c r="AD185" s="6" t="n">
        <v>0</v>
      </c>
      <c r="AE185" s="6" t="n">
        <f aca="false">+Y185+AB185+S185+V185</f>
        <v>0</v>
      </c>
      <c r="AF185" s="6" t="n">
        <f aca="false">+Z185+AC185+T185+W185</f>
        <v>0</v>
      </c>
      <c r="AG185" s="6" t="n">
        <f aca="false">+AA185+AD185+U185+X185</f>
        <v>0</v>
      </c>
      <c r="AH185" s="6" t="n">
        <v>0</v>
      </c>
      <c r="AI185" s="6" t="n">
        <v>0</v>
      </c>
      <c r="AJ185" s="6" t="n">
        <v>0</v>
      </c>
      <c r="AK185" s="6" t="n">
        <v>0</v>
      </c>
      <c r="AL185" s="6" t="n">
        <v>0</v>
      </c>
      <c r="AM185" s="6" t="n">
        <v>0</v>
      </c>
      <c r="AN185" s="6" t="n">
        <v>0</v>
      </c>
      <c r="AO185" s="6" t="n">
        <v>0</v>
      </c>
      <c r="AP185" s="6" t="n">
        <v>0</v>
      </c>
      <c r="AQ185" s="6" t="n">
        <v>0</v>
      </c>
      <c r="AR185" s="6" t="n">
        <v>0</v>
      </c>
      <c r="AS185" s="6" t="n">
        <v>0</v>
      </c>
      <c r="AT185" s="6" t="n">
        <f aca="false">+AN185+AQ185+AH185+AK185</f>
        <v>0</v>
      </c>
      <c r="AU185" s="6" t="n">
        <f aca="false">+AO185+AR185+AI185+AL185</f>
        <v>0</v>
      </c>
      <c r="AV185" s="6" t="n">
        <f aca="false">+AP185+AS185+AJ185+AM185</f>
        <v>0</v>
      </c>
      <c r="AW185" s="6" t="n">
        <v>0</v>
      </c>
      <c r="AX185" s="6" t="n">
        <v>0</v>
      </c>
      <c r="AY185" s="6" t="n">
        <v>0</v>
      </c>
      <c r="AZ185" s="6" t="n">
        <v>0</v>
      </c>
      <c r="BA185" s="6" t="n">
        <v>0</v>
      </c>
      <c r="BB185" s="6" t="n">
        <v>0</v>
      </c>
      <c r="BC185" s="6" t="n">
        <v>0</v>
      </c>
      <c r="BD185" s="6" t="n">
        <v>0</v>
      </c>
      <c r="BE185" s="6" t="n">
        <v>0</v>
      </c>
      <c r="BF185" s="6" t="n">
        <v>0</v>
      </c>
      <c r="BG185" s="6" t="n">
        <v>0</v>
      </c>
      <c r="BH185" s="6" t="n">
        <v>0</v>
      </c>
      <c r="BI185" s="6" t="n">
        <f aca="false">+BC185+BF185+AW185+AZ185</f>
        <v>0</v>
      </c>
      <c r="BJ185" s="6" t="n">
        <f aca="false">+BD185+BG185+AX185+BA185</f>
        <v>0</v>
      </c>
      <c r="BK185" s="6" t="n">
        <f aca="false">+BE185+BH185+AY185+BB185</f>
        <v>0</v>
      </c>
      <c r="BL185" s="6" t="n">
        <v>0</v>
      </c>
      <c r="BM185" s="6" t="n">
        <v>0</v>
      </c>
      <c r="BN185" s="6" t="n">
        <v>0</v>
      </c>
      <c r="BO185" s="6" t="n">
        <v>0</v>
      </c>
      <c r="BP185" s="6" t="n">
        <v>0</v>
      </c>
      <c r="BQ185" s="6" t="n">
        <v>0</v>
      </c>
      <c r="BR185" s="6" t="n">
        <v>0</v>
      </c>
      <c r="BS185" s="6" t="n">
        <v>0</v>
      </c>
      <c r="BT185" s="6" t="n">
        <v>0</v>
      </c>
      <c r="BU185" s="6" t="n">
        <v>0</v>
      </c>
      <c r="BV185" s="6" t="n">
        <v>0</v>
      </c>
      <c r="BW185" s="6" t="n">
        <v>0</v>
      </c>
      <c r="BX185" s="6" t="n">
        <f aca="false">+BR185+BU185+BL185+BO185</f>
        <v>0</v>
      </c>
      <c r="BY185" s="6" t="n">
        <f aca="false">+BS185+BV185+BM185+BP185</f>
        <v>0</v>
      </c>
      <c r="BZ185" s="6" t="n">
        <f aca="false">+BT185+BW185+BN185+BQ185</f>
        <v>0</v>
      </c>
      <c r="CA185" s="6" t="n">
        <v>0</v>
      </c>
      <c r="CB185" s="6" t="n">
        <v>0</v>
      </c>
      <c r="CC185" s="6" t="n">
        <v>0</v>
      </c>
      <c r="CD185" s="6" t="n">
        <v>0</v>
      </c>
      <c r="CE185" s="6" t="n">
        <v>0</v>
      </c>
      <c r="CF185" s="6" t="n">
        <v>0</v>
      </c>
      <c r="CG185" s="6" t="n">
        <v>0</v>
      </c>
      <c r="CH185" s="6" t="n">
        <v>0</v>
      </c>
      <c r="CI185" s="6" t="n">
        <v>0</v>
      </c>
      <c r="CJ185" s="6" t="n">
        <v>0</v>
      </c>
      <c r="CK185" s="6" t="n">
        <v>0</v>
      </c>
      <c r="CL185" s="6" t="n">
        <v>0</v>
      </c>
      <c r="CM185" s="6" t="n">
        <f aca="false">+CG185+CJ185+CA185+CD185</f>
        <v>0</v>
      </c>
      <c r="CN185" s="6" t="n">
        <f aca="false">+CH185+CK185+CB185+CE185</f>
        <v>0</v>
      </c>
      <c r="CO185" s="6" t="n">
        <f aca="false">+CI185+CL185+CC185+CF185</f>
        <v>0</v>
      </c>
      <c r="CP185" s="6" t="n">
        <v>0</v>
      </c>
      <c r="CQ185" s="6" t="n">
        <v>0</v>
      </c>
      <c r="CR185" s="6" t="n">
        <v>0</v>
      </c>
      <c r="CS185" s="6" t="n">
        <v>0</v>
      </c>
      <c r="CT185" s="6" t="n">
        <v>0</v>
      </c>
      <c r="CU185" s="6" t="n">
        <v>300000</v>
      </c>
      <c r="CV185" s="6" t="n">
        <v>0</v>
      </c>
      <c r="CW185" s="6" t="n">
        <v>0</v>
      </c>
      <c r="CX185" s="6" t="n">
        <v>0</v>
      </c>
      <c r="CY185" s="6" t="n">
        <v>0</v>
      </c>
      <c r="CZ185" s="6" t="n">
        <v>0</v>
      </c>
      <c r="DA185" s="6" t="n">
        <v>0</v>
      </c>
      <c r="DB185" s="6" t="n">
        <f aca="false">+CV185+CY185+CP185+CS185</f>
        <v>0</v>
      </c>
      <c r="DC185" s="6" t="n">
        <f aca="false">+CW185+CZ185+CQ185+CT185</f>
        <v>0</v>
      </c>
      <c r="DD185" s="6" t="n">
        <f aca="false">+CX185+DA185+CR185+CU185</f>
        <v>300000</v>
      </c>
      <c r="DE185" s="6" t="n">
        <v>0</v>
      </c>
      <c r="DF185" s="6" t="n">
        <v>0</v>
      </c>
      <c r="DG185" s="6" t="n">
        <v>0</v>
      </c>
      <c r="DH185" s="6" t="n">
        <v>0</v>
      </c>
      <c r="DI185" s="6" t="n">
        <v>0</v>
      </c>
      <c r="DJ185" s="6" t="n">
        <v>300000</v>
      </c>
      <c r="DK185" s="6" t="n">
        <v>0</v>
      </c>
      <c r="DL185" s="6" t="n">
        <v>0</v>
      </c>
      <c r="DM185" s="6" t="n">
        <v>0</v>
      </c>
      <c r="DN185" s="6" t="n">
        <v>0</v>
      </c>
      <c r="DO185" s="6" t="n">
        <v>0</v>
      </c>
      <c r="DP185" s="6" t="n">
        <v>0</v>
      </c>
      <c r="DQ185" s="6" t="n">
        <f aca="false">+DK185+DN185+DE185+DH185</f>
        <v>0</v>
      </c>
      <c r="DR185" s="6" t="n">
        <f aca="false">+DL185+DO185+DF185+DI185</f>
        <v>0</v>
      </c>
      <c r="DS185" s="6" t="n">
        <f aca="false">+DM185+DP185+DG185+DJ185</f>
        <v>300000</v>
      </c>
      <c r="DT185" s="31" t="n">
        <f aca="false">+P185+AE185+AT185+BI185+BX185+CM185+DB185</f>
        <v>0</v>
      </c>
      <c r="DU185" s="31" t="n">
        <f aca="false">+Q185+AF185+AU185+BJ185+BY185+CN185+DC185</f>
        <v>0</v>
      </c>
      <c r="DV185" s="31" t="n">
        <f aca="false">+R185+AG185+AV185+BK185+BZ185+CO185+DD185</f>
        <v>300000</v>
      </c>
      <c r="DW185" s="31" t="n">
        <f aca="false">+DU185-DV185</f>
        <v>-300000</v>
      </c>
    </row>
    <row r="186" customFormat="false" ht="13.8" hidden="false" customHeight="false" outlineLevel="0" collapsed="false">
      <c r="A186" s="27" t="n">
        <v>45924</v>
      </c>
      <c r="B186" s="28" t="s">
        <v>715</v>
      </c>
      <c r="C186" s="28" t="s">
        <v>716</v>
      </c>
      <c r="D186" s="29" t="s">
        <v>717</v>
      </c>
      <c r="E186" s="28" t="s">
        <v>718</v>
      </c>
      <c r="F186" s="27" t="s">
        <v>719</v>
      </c>
      <c r="G186" s="27" t="s">
        <v>25</v>
      </c>
      <c r="H186" s="30" t="n">
        <v>65046.88</v>
      </c>
      <c r="I186" s="30" t="n">
        <v>65046.88</v>
      </c>
      <c r="J186" s="6" t="n">
        <v>0</v>
      </c>
      <c r="K186" s="6" t="n">
        <v>0</v>
      </c>
      <c r="L186" s="6" t="n">
        <v>0</v>
      </c>
      <c r="M186" s="6" t="n">
        <v>0</v>
      </c>
      <c r="N186" s="6" t="n">
        <v>0</v>
      </c>
      <c r="O186" s="6" t="n">
        <v>0</v>
      </c>
      <c r="P186" s="6" t="n">
        <f aca="false">+J186+M186</f>
        <v>0</v>
      </c>
      <c r="Q186" s="6" t="n">
        <f aca="false">+K186+N186</f>
        <v>0</v>
      </c>
      <c r="R186" s="6" t="n">
        <f aca="false">+L186+O186</f>
        <v>0</v>
      </c>
      <c r="S186" s="6" t="n">
        <v>0</v>
      </c>
      <c r="T186" s="6" t="n">
        <v>0</v>
      </c>
      <c r="U186" s="6" t="n">
        <v>0</v>
      </c>
      <c r="V186" s="6" t="n">
        <v>0</v>
      </c>
      <c r="W186" s="6" t="n">
        <v>0</v>
      </c>
      <c r="X186" s="6" t="n">
        <v>0</v>
      </c>
      <c r="Y186" s="6" t="n">
        <v>0</v>
      </c>
      <c r="Z186" s="6" t="n">
        <v>0</v>
      </c>
      <c r="AA186" s="6" t="n">
        <v>0</v>
      </c>
      <c r="AB186" s="6" t="n">
        <v>0</v>
      </c>
      <c r="AC186" s="6" t="n">
        <v>0</v>
      </c>
      <c r="AD186" s="6" t="n">
        <v>0</v>
      </c>
      <c r="AE186" s="6" t="n">
        <f aca="false">+Y186+AB186+S186+V186</f>
        <v>0</v>
      </c>
      <c r="AF186" s="6" t="n">
        <f aca="false">+Z186+AC186+T186+W186</f>
        <v>0</v>
      </c>
      <c r="AG186" s="6" t="n">
        <f aca="false">+AA186+AD186+U186+X186</f>
        <v>0</v>
      </c>
      <c r="AH186" s="6" t="n">
        <v>0</v>
      </c>
      <c r="AI186" s="6" t="n">
        <v>0</v>
      </c>
      <c r="AJ186" s="6" t="n">
        <v>0</v>
      </c>
      <c r="AK186" s="6" t="n">
        <v>0</v>
      </c>
      <c r="AL186" s="6" t="n">
        <v>0</v>
      </c>
      <c r="AM186" s="6" t="n">
        <v>0</v>
      </c>
      <c r="AN186" s="6" t="n">
        <v>0</v>
      </c>
      <c r="AO186" s="6" t="n">
        <v>0</v>
      </c>
      <c r="AP186" s="6" t="n">
        <v>0</v>
      </c>
      <c r="AQ186" s="6" t="n">
        <v>0</v>
      </c>
      <c r="AR186" s="6" t="n">
        <v>0</v>
      </c>
      <c r="AS186" s="6" t="n">
        <v>0</v>
      </c>
      <c r="AT186" s="6" t="n">
        <f aca="false">+AN186+AQ186+AH186+AK186</f>
        <v>0</v>
      </c>
      <c r="AU186" s="6" t="n">
        <f aca="false">+AO186+AR186+AI186+AL186</f>
        <v>0</v>
      </c>
      <c r="AV186" s="6" t="n">
        <f aca="false">+AP186+AS186+AJ186+AM186</f>
        <v>0</v>
      </c>
      <c r="AW186" s="6" t="n">
        <v>0</v>
      </c>
      <c r="AX186" s="6" t="n">
        <v>0</v>
      </c>
      <c r="AY186" s="6" t="n">
        <v>0</v>
      </c>
      <c r="AZ186" s="6" t="n">
        <v>0</v>
      </c>
      <c r="BA186" s="6" t="n">
        <v>0</v>
      </c>
      <c r="BB186" s="6" t="n">
        <v>0</v>
      </c>
      <c r="BC186" s="6" t="n">
        <v>0</v>
      </c>
      <c r="BD186" s="6" t="n">
        <v>0</v>
      </c>
      <c r="BE186" s="6" t="n">
        <v>0</v>
      </c>
      <c r="BF186" s="6" t="n">
        <v>0</v>
      </c>
      <c r="BG186" s="6" t="n">
        <v>0</v>
      </c>
      <c r="BH186" s="6" t="n">
        <v>0</v>
      </c>
      <c r="BI186" s="6" t="n">
        <f aca="false">+BC186+BF186+AW186+AZ186</f>
        <v>0</v>
      </c>
      <c r="BJ186" s="6" t="n">
        <f aca="false">+BD186+BG186+AX186+BA186</f>
        <v>0</v>
      </c>
      <c r="BK186" s="6" t="n">
        <f aca="false">+BE186+BH186+AY186+BB186</f>
        <v>0</v>
      </c>
      <c r="BL186" s="6" t="n">
        <v>0</v>
      </c>
      <c r="BM186" s="6" t="n">
        <v>0</v>
      </c>
      <c r="BN186" s="6" t="n">
        <v>0</v>
      </c>
      <c r="BO186" s="6" t="n">
        <v>0</v>
      </c>
      <c r="BP186" s="6" t="n">
        <v>0</v>
      </c>
      <c r="BQ186" s="6" t="n">
        <v>0</v>
      </c>
      <c r="BR186" s="6" t="n">
        <v>0</v>
      </c>
      <c r="BS186" s="6" t="n">
        <v>0</v>
      </c>
      <c r="BT186" s="6" t="n">
        <v>0</v>
      </c>
      <c r="BU186" s="6" t="n">
        <v>0</v>
      </c>
      <c r="BV186" s="6" t="n">
        <v>0</v>
      </c>
      <c r="BW186" s="6" t="n">
        <v>0</v>
      </c>
      <c r="BX186" s="6" t="n">
        <f aca="false">+BR186+BU186+BL186+BO186</f>
        <v>0</v>
      </c>
      <c r="BY186" s="6" t="n">
        <f aca="false">+BS186+BV186+BM186+BP186</f>
        <v>0</v>
      </c>
      <c r="BZ186" s="6" t="n">
        <f aca="false">+BT186+BW186+BN186+BQ186</f>
        <v>0</v>
      </c>
      <c r="CA186" s="6" t="n">
        <v>0</v>
      </c>
      <c r="CB186" s="6" t="n">
        <v>0</v>
      </c>
      <c r="CC186" s="6" t="n">
        <v>0</v>
      </c>
      <c r="CD186" s="6" t="n">
        <v>0</v>
      </c>
      <c r="CE186" s="6" t="n">
        <v>0</v>
      </c>
      <c r="CF186" s="6" t="n">
        <v>0</v>
      </c>
      <c r="CG186" s="6" t="n">
        <v>0</v>
      </c>
      <c r="CH186" s="6" t="n">
        <v>0</v>
      </c>
      <c r="CI186" s="6" t="n">
        <v>0</v>
      </c>
      <c r="CJ186" s="6" t="n">
        <v>0</v>
      </c>
      <c r="CK186" s="6" t="n">
        <v>0</v>
      </c>
      <c r="CL186" s="6" t="n">
        <v>0</v>
      </c>
      <c r="CM186" s="6" t="n">
        <f aca="false">+CG186+CJ186+CA186+CD186</f>
        <v>0</v>
      </c>
      <c r="CN186" s="6" t="n">
        <f aca="false">+CH186+CK186+CB186+CE186</f>
        <v>0</v>
      </c>
      <c r="CO186" s="6" t="n">
        <f aca="false">+CI186+CL186+CC186+CF186</f>
        <v>0</v>
      </c>
      <c r="CP186" s="6" t="n">
        <v>0</v>
      </c>
      <c r="CQ186" s="6" t="n">
        <v>0</v>
      </c>
      <c r="CR186" s="6" t="n">
        <v>0</v>
      </c>
      <c r="CS186" s="6" t="n">
        <v>0</v>
      </c>
      <c r="CT186" s="6" t="n">
        <v>0</v>
      </c>
      <c r="CU186" s="6" t="n">
        <v>0</v>
      </c>
      <c r="CV186" s="6" t="n">
        <v>0</v>
      </c>
      <c r="CW186" s="6" t="n">
        <v>0</v>
      </c>
      <c r="CX186" s="6" t="n">
        <v>0</v>
      </c>
      <c r="CY186" s="6" t="n">
        <v>0</v>
      </c>
      <c r="CZ186" s="6" t="n">
        <v>0</v>
      </c>
      <c r="DA186" s="6" t="n">
        <v>0</v>
      </c>
      <c r="DB186" s="6" t="n">
        <f aca="false">+CV186+CY186+CP186+CS186</f>
        <v>0</v>
      </c>
      <c r="DC186" s="6" t="n">
        <f aca="false">+CW186+CZ186+CQ186+CT186</f>
        <v>0</v>
      </c>
      <c r="DD186" s="6" t="n">
        <f aca="false">+CX186+DA186+CR186+CU186</f>
        <v>0</v>
      </c>
      <c r="DE186" s="6" t="n">
        <v>0</v>
      </c>
      <c r="DF186" s="6" t="n">
        <v>0</v>
      </c>
      <c r="DG186" s="6" t="n">
        <v>0</v>
      </c>
      <c r="DH186" s="6" t="n">
        <v>0</v>
      </c>
      <c r="DI186" s="6" t="n">
        <v>0</v>
      </c>
      <c r="DJ186" s="6" t="n">
        <v>0</v>
      </c>
      <c r="DK186" s="6" t="n">
        <v>0</v>
      </c>
      <c r="DL186" s="6" t="n">
        <v>0</v>
      </c>
      <c r="DM186" s="6" t="n">
        <v>0</v>
      </c>
      <c r="DN186" s="6" t="n">
        <v>0</v>
      </c>
      <c r="DO186" s="6" t="n">
        <v>0</v>
      </c>
      <c r="DP186" s="6" t="n">
        <v>0</v>
      </c>
      <c r="DQ186" s="6" t="n">
        <f aca="false">+DK186+DN186+DE186+DH186</f>
        <v>0</v>
      </c>
      <c r="DR186" s="6" t="n">
        <f aca="false">+DL186+DO186+DF186+DI186</f>
        <v>0</v>
      </c>
      <c r="DS186" s="6" t="n">
        <f aca="false">+DM186+DP186+DG186+DJ186</f>
        <v>0</v>
      </c>
      <c r="DT186" s="31" t="n">
        <f aca="false">+P186+AE186+AT186+BI186+BX186+CM186+DB186</f>
        <v>0</v>
      </c>
      <c r="DU186" s="31" t="n">
        <f aca="false">+Q186+AF186+AU186+BJ186+BY186+CN186+DC186</f>
        <v>0</v>
      </c>
      <c r="DV186" s="31" t="n">
        <f aca="false">+R186+AG186+AV186+BK186+BZ186+CO186+DD186</f>
        <v>0</v>
      </c>
      <c r="DW186" s="31" t="n">
        <f aca="false">+DU186-DV186</f>
        <v>0</v>
      </c>
    </row>
    <row r="187" customFormat="false" ht="13.8" hidden="false" customHeight="false" outlineLevel="0" collapsed="false">
      <c r="A187" s="27" t="n">
        <v>46029</v>
      </c>
      <c r="B187" s="28" t="s">
        <v>720</v>
      </c>
      <c r="C187" s="28" t="s">
        <v>721</v>
      </c>
      <c r="D187" s="29" t="s">
        <v>722</v>
      </c>
      <c r="E187" s="28" t="s">
        <v>723</v>
      </c>
      <c r="F187" s="27" t="s">
        <v>724</v>
      </c>
      <c r="G187" s="27" t="s">
        <v>26</v>
      </c>
      <c r="H187" s="30" t="n">
        <v>822150</v>
      </c>
      <c r="I187" s="30" t="n">
        <v>822150</v>
      </c>
      <c r="J187" s="6" t="n">
        <v>0</v>
      </c>
      <c r="K187" s="6" t="n">
        <v>0</v>
      </c>
      <c r="L187" s="6" t="n">
        <v>0</v>
      </c>
      <c r="M187" s="6" t="n">
        <v>0</v>
      </c>
      <c r="N187" s="6" t="n">
        <v>0</v>
      </c>
      <c r="O187" s="6" t="n">
        <v>0</v>
      </c>
      <c r="P187" s="6" t="n">
        <f aca="false">+J187+M187</f>
        <v>0</v>
      </c>
      <c r="Q187" s="6" t="n">
        <f aca="false">+K187+N187</f>
        <v>0</v>
      </c>
      <c r="R187" s="6" t="n">
        <f aca="false">+L187+O187</f>
        <v>0</v>
      </c>
      <c r="S187" s="6" t="n">
        <v>0</v>
      </c>
      <c r="T187" s="6" t="n">
        <v>0</v>
      </c>
      <c r="U187" s="6" t="n">
        <v>0</v>
      </c>
      <c r="V187" s="6" t="n">
        <v>0</v>
      </c>
      <c r="W187" s="6" t="n">
        <v>0</v>
      </c>
      <c r="X187" s="6" t="n">
        <v>0</v>
      </c>
      <c r="Y187" s="6" t="n">
        <v>0</v>
      </c>
      <c r="Z187" s="6" t="n">
        <v>0</v>
      </c>
      <c r="AA187" s="6" t="n">
        <v>0</v>
      </c>
      <c r="AB187" s="6" t="n">
        <v>0</v>
      </c>
      <c r="AC187" s="6" t="n">
        <v>0</v>
      </c>
      <c r="AD187" s="6" t="n">
        <v>0</v>
      </c>
      <c r="AE187" s="6" t="n">
        <f aca="false">+Y187+AB187+S187+V187</f>
        <v>0</v>
      </c>
      <c r="AF187" s="6" t="n">
        <f aca="false">+Z187+AC187+T187+W187</f>
        <v>0</v>
      </c>
      <c r="AG187" s="6" t="n">
        <f aca="false">+AA187+AD187+U187+X187</f>
        <v>0</v>
      </c>
      <c r="AH187" s="6" t="n">
        <v>0</v>
      </c>
      <c r="AI187" s="6" t="n">
        <v>0</v>
      </c>
      <c r="AJ187" s="6" t="n">
        <v>0</v>
      </c>
      <c r="AK187" s="6" t="n">
        <v>0</v>
      </c>
      <c r="AL187" s="6" t="n">
        <v>0</v>
      </c>
      <c r="AM187" s="6" t="n">
        <v>0</v>
      </c>
      <c r="AN187" s="6" t="n">
        <v>0</v>
      </c>
      <c r="AO187" s="6" t="n">
        <v>0</v>
      </c>
      <c r="AP187" s="6" t="n">
        <v>0</v>
      </c>
      <c r="AQ187" s="6" t="n">
        <v>0</v>
      </c>
      <c r="AR187" s="6" t="n">
        <v>0</v>
      </c>
      <c r="AS187" s="6" t="n">
        <v>0</v>
      </c>
      <c r="AT187" s="6" t="n">
        <f aca="false">+AN187+AQ187+AH187+AK187</f>
        <v>0</v>
      </c>
      <c r="AU187" s="6" t="n">
        <f aca="false">+AO187+AR187+AI187+AL187</f>
        <v>0</v>
      </c>
      <c r="AV187" s="6" t="n">
        <f aca="false">+AP187+AS187+AJ187+AM187</f>
        <v>0</v>
      </c>
      <c r="AW187" s="6" t="n">
        <v>0</v>
      </c>
      <c r="AX187" s="6" t="n">
        <v>0</v>
      </c>
      <c r="AY187" s="6" t="n">
        <v>0</v>
      </c>
      <c r="AZ187" s="6" t="n">
        <v>0</v>
      </c>
      <c r="BA187" s="6" t="n">
        <v>0</v>
      </c>
      <c r="BB187" s="6" t="n">
        <v>0</v>
      </c>
      <c r="BC187" s="6" t="n">
        <v>0</v>
      </c>
      <c r="BD187" s="6" t="n">
        <v>0</v>
      </c>
      <c r="BE187" s="6" t="n">
        <v>0</v>
      </c>
      <c r="BF187" s="6" t="n">
        <v>0</v>
      </c>
      <c r="BG187" s="6" t="n">
        <v>0</v>
      </c>
      <c r="BH187" s="6" t="n">
        <v>0</v>
      </c>
      <c r="BI187" s="6" t="n">
        <f aca="false">+BC187+BF187+AW187+AZ187</f>
        <v>0</v>
      </c>
      <c r="BJ187" s="6" t="n">
        <f aca="false">+BD187+BG187+AX187+BA187</f>
        <v>0</v>
      </c>
      <c r="BK187" s="6" t="n">
        <f aca="false">+BE187+BH187+AY187+BB187</f>
        <v>0</v>
      </c>
      <c r="BL187" s="6" t="n">
        <v>0</v>
      </c>
      <c r="BM187" s="6" t="n">
        <v>0</v>
      </c>
      <c r="BN187" s="6" t="n">
        <v>0</v>
      </c>
      <c r="BO187" s="6" t="n">
        <v>0</v>
      </c>
      <c r="BP187" s="6" t="n">
        <v>0</v>
      </c>
      <c r="BQ187" s="6" t="n">
        <v>0</v>
      </c>
      <c r="BR187" s="6" t="n">
        <v>0</v>
      </c>
      <c r="BS187" s="6" t="n">
        <v>0</v>
      </c>
      <c r="BT187" s="6" t="n">
        <v>0</v>
      </c>
      <c r="BU187" s="6" t="n">
        <v>0</v>
      </c>
      <c r="BV187" s="6" t="n">
        <v>0</v>
      </c>
      <c r="BW187" s="6" t="n">
        <v>0</v>
      </c>
      <c r="BX187" s="6" t="n">
        <f aca="false">+BR187+BU187+BL187+BO187</f>
        <v>0</v>
      </c>
      <c r="BY187" s="6" t="n">
        <f aca="false">+BS187+BV187+BM187+BP187</f>
        <v>0</v>
      </c>
      <c r="BZ187" s="6" t="n">
        <f aca="false">+BT187+BW187+BN187+BQ187</f>
        <v>0</v>
      </c>
      <c r="CA187" s="6" t="n">
        <v>0</v>
      </c>
      <c r="CB187" s="6" t="n">
        <v>0</v>
      </c>
      <c r="CC187" s="6" t="n">
        <v>0</v>
      </c>
      <c r="CD187" s="6" t="n">
        <v>0</v>
      </c>
      <c r="CE187" s="6" t="n">
        <v>0</v>
      </c>
      <c r="CF187" s="6" t="n">
        <v>0</v>
      </c>
      <c r="CG187" s="6" t="n">
        <v>0</v>
      </c>
      <c r="CH187" s="6" t="n">
        <v>0</v>
      </c>
      <c r="CI187" s="6" t="n">
        <v>0</v>
      </c>
      <c r="CJ187" s="6" t="n">
        <v>0</v>
      </c>
      <c r="CK187" s="6" t="n">
        <v>0</v>
      </c>
      <c r="CL187" s="6" t="n">
        <v>0</v>
      </c>
      <c r="CM187" s="6" t="n">
        <f aca="false">+CG187+CJ187+CA187+CD187</f>
        <v>0</v>
      </c>
      <c r="CN187" s="6" t="n">
        <f aca="false">+CH187+CK187+CB187+CE187</f>
        <v>0</v>
      </c>
      <c r="CO187" s="6" t="n">
        <f aca="false">+CI187+CL187+CC187+CF187</f>
        <v>0</v>
      </c>
      <c r="CP187" s="6" t="n">
        <v>0</v>
      </c>
      <c r="CQ187" s="6" t="n">
        <v>0</v>
      </c>
      <c r="CR187" s="6" t="n">
        <v>0</v>
      </c>
      <c r="CS187" s="6" t="n">
        <v>0</v>
      </c>
      <c r="CT187" s="6" t="n">
        <v>0</v>
      </c>
      <c r="CU187" s="6" t="n">
        <v>0</v>
      </c>
      <c r="CV187" s="6" t="n">
        <v>0</v>
      </c>
      <c r="CW187" s="6" t="n">
        <v>0</v>
      </c>
      <c r="CX187" s="6" t="n">
        <v>0</v>
      </c>
      <c r="CY187" s="6" t="n">
        <v>0</v>
      </c>
      <c r="CZ187" s="6" t="n">
        <v>0</v>
      </c>
      <c r="DA187" s="6" t="n">
        <v>0</v>
      </c>
      <c r="DB187" s="6" t="n">
        <f aca="false">+CV187+CY187+CP187+CS187</f>
        <v>0</v>
      </c>
      <c r="DC187" s="6" t="n">
        <f aca="false">+CW187+CZ187+CQ187+CT187</f>
        <v>0</v>
      </c>
      <c r="DD187" s="6" t="n">
        <f aca="false">+CX187+DA187+CR187+CU187</f>
        <v>0</v>
      </c>
      <c r="DE187" s="6" t="n">
        <v>0</v>
      </c>
      <c r="DF187" s="6" t="n">
        <v>0</v>
      </c>
      <c r="DG187" s="6" t="n">
        <v>0</v>
      </c>
      <c r="DH187" s="6" t="n">
        <v>0</v>
      </c>
      <c r="DI187" s="6" t="n">
        <v>0</v>
      </c>
      <c r="DJ187" s="6" t="n">
        <v>0</v>
      </c>
      <c r="DK187" s="6" t="n">
        <v>0</v>
      </c>
      <c r="DL187" s="6" t="n">
        <v>0</v>
      </c>
      <c r="DM187" s="6" t="n">
        <v>0</v>
      </c>
      <c r="DN187" s="6" t="n">
        <v>0</v>
      </c>
      <c r="DO187" s="6" t="n">
        <v>0</v>
      </c>
      <c r="DP187" s="6" t="n">
        <v>0</v>
      </c>
      <c r="DQ187" s="6" t="n">
        <f aca="false">+DK187+DN187+DE187+DH187</f>
        <v>0</v>
      </c>
      <c r="DR187" s="6" t="n">
        <f aca="false">+DL187+DO187+DF187+DI187</f>
        <v>0</v>
      </c>
      <c r="DS187" s="6" t="n">
        <f aca="false">+DM187+DP187+DG187+DJ187</f>
        <v>0</v>
      </c>
      <c r="DT187" s="31" t="n">
        <f aca="false">+P187+AE187+AT187+BI187+BX187+CM187+DB187</f>
        <v>0</v>
      </c>
      <c r="DU187" s="31" t="n">
        <f aca="false">+Q187+AF187+AU187+BJ187+BY187+CN187+DC187</f>
        <v>0</v>
      </c>
      <c r="DV187" s="31" t="n">
        <f aca="false">+R187+AG187+AV187+BK187+BZ187+CO187+DD187</f>
        <v>0</v>
      </c>
      <c r="DW187" s="31" t="n">
        <f aca="false">+DU187-DV187</f>
        <v>0</v>
      </c>
    </row>
    <row r="188" customFormat="false" ht="13.8" hidden="false" customHeight="false" outlineLevel="0" collapsed="false">
      <c r="A188" s="27" t="n">
        <v>46031</v>
      </c>
      <c r="B188" s="28" t="s">
        <v>725</v>
      </c>
      <c r="C188" s="28" t="s">
        <v>726</v>
      </c>
      <c r="D188" s="29" t="s">
        <v>727</v>
      </c>
      <c r="E188" s="28" t="s">
        <v>728</v>
      </c>
      <c r="F188" s="27" t="s">
        <v>729</v>
      </c>
      <c r="G188" s="27" t="s">
        <v>26</v>
      </c>
      <c r="H188" s="30" t="n">
        <v>1479870</v>
      </c>
      <c r="I188" s="30" t="n">
        <v>1479870</v>
      </c>
      <c r="J188" s="6" t="n">
        <v>0</v>
      </c>
      <c r="K188" s="6" t="n">
        <v>0</v>
      </c>
      <c r="L188" s="6" t="n">
        <v>0</v>
      </c>
      <c r="M188" s="6" t="n">
        <v>0</v>
      </c>
      <c r="N188" s="6" t="n">
        <v>0</v>
      </c>
      <c r="O188" s="6" t="n">
        <v>0</v>
      </c>
      <c r="P188" s="6" t="n">
        <f aca="false">+J188+M188</f>
        <v>0</v>
      </c>
      <c r="Q188" s="6" t="n">
        <f aca="false">+K188+N188</f>
        <v>0</v>
      </c>
      <c r="R188" s="6" t="n">
        <f aca="false">+L188+O188</f>
        <v>0</v>
      </c>
      <c r="S188" s="6" t="n">
        <v>0</v>
      </c>
      <c r="T188" s="6" t="n">
        <v>0</v>
      </c>
      <c r="U188" s="6" t="n">
        <v>0</v>
      </c>
      <c r="V188" s="6" t="n">
        <v>0</v>
      </c>
      <c r="W188" s="6" t="n">
        <v>0</v>
      </c>
      <c r="X188" s="6" t="n">
        <v>0</v>
      </c>
      <c r="Y188" s="6" t="n">
        <v>0</v>
      </c>
      <c r="Z188" s="6" t="n">
        <v>0</v>
      </c>
      <c r="AA188" s="6" t="n">
        <v>0</v>
      </c>
      <c r="AB188" s="6" t="n">
        <v>0</v>
      </c>
      <c r="AC188" s="6" t="n">
        <v>0</v>
      </c>
      <c r="AD188" s="6" t="n">
        <v>0</v>
      </c>
      <c r="AE188" s="6" t="n">
        <f aca="false">+Y188+AB188+S188+V188</f>
        <v>0</v>
      </c>
      <c r="AF188" s="6" t="n">
        <f aca="false">+Z188+AC188+T188+W188</f>
        <v>0</v>
      </c>
      <c r="AG188" s="6" t="n">
        <f aca="false">+AA188+AD188+U188+X188</f>
        <v>0</v>
      </c>
      <c r="AH188" s="6" t="n">
        <v>0</v>
      </c>
      <c r="AI188" s="6" t="n">
        <v>0</v>
      </c>
      <c r="AJ188" s="6" t="n">
        <v>0</v>
      </c>
      <c r="AK188" s="6" t="n">
        <v>0</v>
      </c>
      <c r="AL188" s="6" t="n">
        <v>0</v>
      </c>
      <c r="AM188" s="6" t="n">
        <v>0</v>
      </c>
      <c r="AN188" s="6" t="n">
        <v>0</v>
      </c>
      <c r="AO188" s="6" t="n">
        <v>0</v>
      </c>
      <c r="AP188" s="6" t="n">
        <v>0</v>
      </c>
      <c r="AQ188" s="6" t="n">
        <v>0</v>
      </c>
      <c r="AR188" s="6" t="n">
        <v>0</v>
      </c>
      <c r="AS188" s="6" t="n">
        <v>0</v>
      </c>
      <c r="AT188" s="6" t="n">
        <f aca="false">+AN188+AQ188+AH188+AK188</f>
        <v>0</v>
      </c>
      <c r="AU188" s="6" t="n">
        <f aca="false">+AO188+AR188+AI188+AL188</f>
        <v>0</v>
      </c>
      <c r="AV188" s="6" t="n">
        <f aca="false">+AP188+AS188+AJ188+AM188</f>
        <v>0</v>
      </c>
      <c r="AW188" s="6" t="n">
        <v>0</v>
      </c>
      <c r="AX188" s="6" t="n">
        <v>0</v>
      </c>
      <c r="AY188" s="6" t="n">
        <v>0</v>
      </c>
      <c r="AZ188" s="6" t="n">
        <v>0</v>
      </c>
      <c r="BA188" s="6" t="n">
        <v>0</v>
      </c>
      <c r="BB188" s="6" t="n">
        <v>0</v>
      </c>
      <c r="BC188" s="6" t="n">
        <v>0</v>
      </c>
      <c r="BD188" s="6" t="n">
        <v>0</v>
      </c>
      <c r="BE188" s="6" t="n">
        <v>0</v>
      </c>
      <c r="BF188" s="6" t="n">
        <v>0</v>
      </c>
      <c r="BG188" s="6" t="n">
        <v>0</v>
      </c>
      <c r="BH188" s="6" t="n">
        <v>0</v>
      </c>
      <c r="BI188" s="6" t="n">
        <f aca="false">+BC188+BF188+AW188+AZ188</f>
        <v>0</v>
      </c>
      <c r="BJ188" s="6" t="n">
        <f aca="false">+BD188+BG188+AX188+BA188</f>
        <v>0</v>
      </c>
      <c r="BK188" s="6" t="n">
        <f aca="false">+BE188+BH188+AY188+BB188</f>
        <v>0</v>
      </c>
      <c r="BL188" s="6" t="n">
        <v>0</v>
      </c>
      <c r="BM188" s="6" t="n">
        <v>0</v>
      </c>
      <c r="BN188" s="6" t="n">
        <v>0</v>
      </c>
      <c r="BO188" s="6" t="n">
        <v>0</v>
      </c>
      <c r="BP188" s="6" t="n">
        <v>0</v>
      </c>
      <c r="BQ188" s="6" t="n">
        <v>0</v>
      </c>
      <c r="BR188" s="6" t="n">
        <v>0</v>
      </c>
      <c r="BS188" s="6" t="n">
        <v>0</v>
      </c>
      <c r="BT188" s="6" t="n">
        <v>0</v>
      </c>
      <c r="BU188" s="6" t="n">
        <v>0</v>
      </c>
      <c r="BV188" s="6" t="n">
        <v>0</v>
      </c>
      <c r="BW188" s="6" t="n">
        <v>0</v>
      </c>
      <c r="BX188" s="6" t="n">
        <f aca="false">+BR188+BU188+BL188+BO188</f>
        <v>0</v>
      </c>
      <c r="BY188" s="6" t="n">
        <f aca="false">+BS188+BV188+BM188+BP188</f>
        <v>0</v>
      </c>
      <c r="BZ188" s="6" t="n">
        <f aca="false">+BT188+BW188+BN188+BQ188</f>
        <v>0</v>
      </c>
      <c r="CA188" s="6" t="n">
        <v>0</v>
      </c>
      <c r="CB188" s="6" t="n">
        <v>0</v>
      </c>
      <c r="CC188" s="6" t="n">
        <v>0</v>
      </c>
      <c r="CD188" s="6" t="n">
        <v>0</v>
      </c>
      <c r="CE188" s="6" t="n">
        <v>0</v>
      </c>
      <c r="CF188" s="6" t="n">
        <v>0</v>
      </c>
      <c r="CG188" s="6" t="n">
        <v>0</v>
      </c>
      <c r="CH188" s="6" t="n">
        <v>0</v>
      </c>
      <c r="CI188" s="6" t="n">
        <v>0</v>
      </c>
      <c r="CJ188" s="6" t="n">
        <v>0</v>
      </c>
      <c r="CK188" s="6" t="n">
        <v>0</v>
      </c>
      <c r="CL188" s="6" t="n">
        <v>0</v>
      </c>
      <c r="CM188" s="6" t="n">
        <f aca="false">+CG188+CJ188+CA188+CD188</f>
        <v>0</v>
      </c>
      <c r="CN188" s="6" t="n">
        <f aca="false">+CH188+CK188+CB188+CE188</f>
        <v>0</v>
      </c>
      <c r="CO188" s="6" t="n">
        <f aca="false">+CI188+CL188+CC188+CF188</f>
        <v>0</v>
      </c>
      <c r="CP188" s="6" t="n">
        <v>0</v>
      </c>
      <c r="CQ188" s="6" t="n">
        <v>0</v>
      </c>
      <c r="CR188" s="6" t="n">
        <v>0</v>
      </c>
      <c r="CS188" s="6" t="n">
        <v>0</v>
      </c>
      <c r="CT188" s="6" t="n">
        <v>0</v>
      </c>
      <c r="CU188" s="6" t="n">
        <v>0</v>
      </c>
      <c r="CV188" s="6" t="n">
        <v>0</v>
      </c>
      <c r="CW188" s="6" t="n">
        <v>0</v>
      </c>
      <c r="CX188" s="6" t="n">
        <v>0</v>
      </c>
      <c r="CY188" s="6" t="n">
        <v>0</v>
      </c>
      <c r="CZ188" s="6" t="n">
        <v>0</v>
      </c>
      <c r="DA188" s="6" t="n">
        <v>0</v>
      </c>
      <c r="DB188" s="6" t="n">
        <f aca="false">+CV188+CY188+CP188+CS188</f>
        <v>0</v>
      </c>
      <c r="DC188" s="6" t="n">
        <f aca="false">+CW188+CZ188+CQ188+CT188</f>
        <v>0</v>
      </c>
      <c r="DD188" s="6" t="n">
        <f aca="false">+CX188+DA188+CR188+CU188</f>
        <v>0</v>
      </c>
      <c r="DE188" s="6" t="n">
        <v>0</v>
      </c>
      <c r="DF188" s="6" t="n">
        <v>0</v>
      </c>
      <c r="DG188" s="6" t="n">
        <v>0</v>
      </c>
      <c r="DH188" s="6" t="n">
        <v>0</v>
      </c>
      <c r="DI188" s="6" t="n">
        <v>0</v>
      </c>
      <c r="DJ188" s="6" t="n">
        <v>0</v>
      </c>
      <c r="DK188" s="6" t="n">
        <v>0</v>
      </c>
      <c r="DL188" s="6" t="n">
        <v>0</v>
      </c>
      <c r="DM188" s="6" t="n">
        <v>0</v>
      </c>
      <c r="DN188" s="6" t="n">
        <v>0</v>
      </c>
      <c r="DO188" s="6" t="n">
        <v>0</v>
      </c>
      <c r="DP188" s="6" t="n">
        <v>0</v>
      </c>
      <c r="DQ188" s="6" t="n">
        <f aca="false">+DK188+DN188+DE188+DH188</f>
        <v>0</v>
      </c>
      <c r="DR188" s="6" t="n">
        <f aca="false">+DL188+DO188+DF188+DI188</f>
        <v>0</v>
      </c>
      <c r="DS188" s="6" t="n">
        <f aca="false">+DM188+DP188+DG188+DJ188</f>
        <v>0</v>
      </c>
      <c r="DT188" s="31" t="n">
        <f aca="false">+P188+AE188+AT188+BI188+BX188+CM188+DB188</f>
        <v>0</v>
      </c>
      <c r="DU188" s="31" t="n">
        <f aca="false">+Q188+AF188+AU188+BJ188+BY188+CN188+DC188</f>
        <v>0</v>
      </c>
      <c r="DV188" s="31" t="n">
        <f aca="false">+R188+AG188+AV188+BK188+BZ188+CO188+DD188</f>
        <v>0</v>
      </c>
      <c r="DW188" s="31" t="n">
        <f aca="false">+DU188-DV188</f>
        <v>0</v>
      </c>
    </row>
    <row r="189" customFormat="false" ht="13.8" hidden="false" customHeight="false" outlineLevel="0" collapsed="false">
      <c r="A189" s="27" t="n">
        <v>46083</v>
      </c>
      <c r="B189" s="28" t="s">
        <v>730</v>
      </c>
      <c r="C189" s="28" t="s">
        <v>731</v>
      </c>
      <c r="D189" s="29" t="s">
        <v>732</v>
      </c>
      <c r="E189" s="28" t="s">
        <v>733</v>
      </c>
      <c r="F189" s="27" t="s">
        <v>724</v>
      </c>
      <c r="G189" s="27" t="s">
        <v>26</v>
      </c>
      <c r="H189" s="30" t="n">
        <v>250000</v>
      </c>
      <c r="I189" s="30" t="n">
        <v>250000</v>
      </c>
      <c r="J189" s="6" t="n">
        <v>0</v>
      </c>
      <c r="K189" s="6" t="n">
        <v>0</v>
      </c>
      <c r="L189" s="6" t="n">
        <v>0</v>
      </c>
      <c r="M189" s="6" t="n">
        <v>0</v>
      </c>
      <c r="N189" s="6" t="n">
        <v>0</v>
      </c>
      <c r="O189" s="6" t="n">
        <v>0</v>
      </c>
      <c r="P189" s="6" t="n">
        <f aca="false">+J189+M189</f>
        <v>0</v>
      </c>
      <c r="Q189" s="6" t="n">
        <f aca="false">+K189+N189</f>
        <v>0</v>
      </c>
      <c r="R189" s="6" t="n">
        <f aca="false">+L189+O189</f>
        <v>0</v>
      </c>
      <c r="S189" s="6" t="n">
        <v>0</v>
      </c>
      <c r="T189" s="6" t="n">
        <v>0</v>
      </c>
      <c r="U189" s="6" t="n">
        <v>0</v>
      </c>
      <c r="V189" s="6" t="n">
        <v>0</v>
      </c>
      <c r="W189" s="6" t="n">
        <v>0</v>
      </c>
      <c r="X189" s="6" t="n">
        <v>0</v>
      </c>
      <c r="Y189" s="6" t="n">
        <v>0</v>
      </c>
      <c r="Z189" s="6" t="n">
        <v>0</v>
      </c>
      <c r="AA189" s="6" t="n">
        <v>0</v>
      </c>
      <c r="AB189" s="6" t="n">
        <v>0</v>
      </c>
      <c r="AC189" s="6" t="n">
        <v>0</v>
      </c>
      <c r="AD189" s="6" t="n">
        <v>0</v>
      </c>
      <c r="AE189" s="6" t="n">
        <f aca="false">+Y189+AB189+S189+V189</f>
        <v>0</v>
      </c>
      <c r="AF189" s="6" t="n">
        <f aca="false">+Z189+AC189+T189+W189</f>
        <v>0</v>
      </c>
      <c r="AG189" s="6" t="n">
        <f aca="false">+AA189+AD189+U189+X189</f>
        <v>0</v>
      </c>
      <c r="AH189" s="6" t="n">
        <v>0</v>
      </c>
      <c r="AI189" s="6" t="n">
        <v>0</v>
      </c>
      <c r="AJ189" s="6" t="n">
        <v>0</v>
      </c>
      <c r="AK189" s="6" t="n">
        <v>0</v>
      </c>
      <c r="AL189" s="6" t="n">
        <v>0</v>
      </c>
      <c r="AM189" s="6" t="n">
        <v>0</v>
      </c>
      <c r="AN189" s="6" t="n">
        <v>0</v>
      </c>
      <c r="AO189" s="6" t="n">
        <v>0</v>
      </c>
      <c r="AP189" s="6" t="n">
        <v>0</v>
      </c>
      <c r="AQ189" s="6" t="n">
        <v>0</v>
      </c>
      <c r="AR189" s="6" t="n">
        <v>0</v>
      </c>
      <c r="AS189" s="6" t="n">
        <v>0</v>
      </c>
      <c r="AT189" s="6" t="n">
        <f aca="false">+AN189+AQ189+AH189+AK189</f>
        <v>0</v>
      </c>
      <c r="AU189" s="6" t="n">
        <f aca="false">+AO189+AR189+AI189+AL189</f>
        <v>0</v>
      </c>
      <c r="AV189" s="6" t="n">
        <f aca="false">+AP189+AS189+AJ189+AM189</f>
        <v>0</v>
      </c>
      <c r="AW189" s="6" t="n">
        <v>0</v>
      </c>
      <c r="AX189" s="6" t="n">
        <v>0</v>
      </c>
      <c r="AY189" s="6" t="n">
        <v>0</v>
      </c>
      <c r="AZ189" s="6" t="n">
        <v>0</v>
      </c>
      <c r="BA189" s="6" t="n">
        <v>0</v>
      </c>
      <c r="BB189" s="6" t="n">
        <v>0</v>
      </c>
      <c r="BC189" s="6" t="n">
        <v>0</v>
      </c>
      <c r="BD189" s="6" t="n">
        <v>0</v>
      </c>
      <c r="BE189" s="6" t="n">
        <v>0</v>
      </c>
      <c r="BF189" s="6" t="n">
        <v>0</v>
      </c>
      <c r="BG189" s="6" t="n">
        <v>0</v>
      </c>
      <c r="BH189" s="6" t="n">
        <v>0</v>
      </c>
      <c r="BI189" s="6" t="n">
        <f aca="false">+BC189+BF189+AW189+AZ189</f>
        <v>0</v>
      </c>
      <c r="BJ189" s="6" t="n">
        <f aca="false">+BD189+BG189+AX189+BA189</f>
        <v>0</v>
      </c>
      <c r="BK189" s="6" t="n">
        <f aca="false">+BE189+BH189+AY189+BB189</f>
        <v>0</v>
      </c>
      <c r="BL189" s="6" t="n">
        <v>0</v>
      </c>
      <c r="BM189" s="6" t="n">
        <v>0</v>
      </c>
      <c r="BN189" s="6" t="n">
        <v>0</v>
      </c>
      <c r="BO189" s="6" t="n">
        <v>0</v>
      </c>
      <c r="BP189" s="6" t="n">
        <v>0</v>
      </c>
      <c r="BQ189" s="6" t="n">
        <v>0</v>
      </c>
      <c r="BR189" s="6" t="n">
        <v>0</v>
      </c>
      <c r="BS189" s="6" t="n">
        <v>0</v>
      </c>
      <c r="BT189" s="6" t="n">
        <v>0</v>
      </c>
      <c r="BU189" s="6" t="n">
        <v>0</v>
      </c>
      <c r="BV189" s="6" t="n">
        <v>0</v>
      </c>
      <c r="BW189" s="6" t="n">
        <v>0</v>
      </c>
      <c r="BX189" s="6" t="n">
        <f aca="false">+BR189+BU189+BL189+BO189</f>
        <v>0</v>
      </c>
      <c r="BY189" s="6" t="n">
        <f aca="false">+BS189+BV189+BM189+BP189</f>
        <v>0</v>
      </c>
      <c r="BZ189" s="6" t="n">
        <f aca="false">+BT189+BW189+BN189+BQ189</f>
        <v>0</v>
      </c>
      <c r="CA189" s="6" t="n">
        <v>0</v>
      </c>
      <c r="CB189" s="6" t="n">
        <v>0</v>
      </c>
      <c r="CC189" s="6" t="n">
        <v>0</v>
      </c>
      <c r="CD189" s="6" t="n">
        <v>0</v>
      </c>
      <c r="CE189" s="6" t="n">
        <v>0</v>
      </c>
      <c r="CF189" s="6" t="n">
        <v>0</v>
      </c>
      <c r="CG189" s="6" t="n">
        <v>0</v>
      </c>
      <c r="CH189" s="6" t="n">
        <v>0</v>
      </c>
      <c r="CI189" s="6" t="n">
        <v>0</v>
      </c>
      <c r="CJ189" s="6" t="n">
        <v>0</v>
      </c>
      <c r="CK189" s="6" t="n">
        <v>0</v>
      </c>
      <c r="CL189" s="6" t="n">
        <v>0</v>
      </c>
      <c r="CM189" s="6" t="n">
        <f aca="false">+CG189+CJ189+CA189+CD189</f>
        <v>0</v>
      </c>
      <c r="CN189" s="6" t="n">
        <f aca="false">+CH189+CK189+CB189+CE189</f>
        <v>0</v>
      </c>
      <c r="CO189" s="6" t="n">
        <f aca="false">+CI189+CL189+CC189+CF189</f>
        <v>0</v>
      </c>
      <c r="CP189" s="6" t="n">
        <v>0</v>
      </c>
      <c r="CQ189" s="6" t="n">
        <v>0</v>
      </c>
      <c r="CR189" s="6" t="n">
        <v>0</v>
      </c>
      <c r="CS189" s="6" t="n">
        <v>0</v>
      </c>
      <c r="CT189" s="6" t="n">
        <v>0</v>
      </c>
      <c r="CU189" s="6" t="n">
        <v>0</v>
      </c>
      <c r="CV189" s="6" t="n">
        <v>0</v>
      </c>
      <c r="CW189" s="6" t="n">
        <v>0</v>
      </c>
      <c r="CX189" s="6" t="n">
        <v>0</v>
      </c>
      <c r="CY189" s="6" t="n">
        <v>0</v>
      </c>
      <c r="CZ189" s="6" t="n">
        <v>0</v>
      </c>
      <c r="DA189" s="6" t="n">
        <v>0</v>
      </c>
      <c r="DB189" s="6" t="n">
        <f aca="false">+CV189+CY189+CP189+CS189</f>
        <v>0</v>
      </c>
      <c r="DC189" s="6" t="n">
        <f aca="false">+CW189+CZ189+CQ189+CT189</f>
        <v>0</v>
      </c>
      <c r="DD189" s="6" t="n">
        <f aca="false">+CX189+DA189+CR189+CU189</f>
        <v>0</v>
      </c>
      <c r="DE189" s="6" t="n">
        <v>0</v>
      </c>
      <c r="DF189" s="6" t="n">
        <v>0</v>
      </c>
      <c r="DG189" s="6" t="n">
        <v>0</v>
      </c>
      <c r="DH189" s="6" t="n">
        <v>0</v>
      </c>
      <c r="DI189" s="6" t="n">
        <v>0</v>
      </c>
      <c r="DJ189" s="6" t="n">
        <v>0</v>
      </c>
      <c r="DK189" s="6" t="n">
        <v>0</v>
      </c>
      <c r="DL189" s="6" t="n">
        <v>0</v>
      </c>
      <c r="DM189" s="6" t="n">
        <v>0</v>
      </c>
      <c r="DN189" s="6" t="n">
        <v>0</v>
      </c>
      <c r="DO189" s="6" t="n">
        <v>0</v>
      </c>
      <c r="DP189" s="6" t="n">
        <v>0</v>
      </c>
      <c r="DQ189" s="6" t="n">
        <f aca="false">+DK189+DN189+DE189+DH189</f>
        <v>0</v>
      </c>
      <c r="DR189" s="6" t="n">
        <f aca="false">+DL189+DO189+DF189+DI189</f>
        <v>0</v>
      </c>
      <c r="DS189" s="6" t="n">
        <f aca="false">+DM189+DP189+DG189+DJ189</f>
        <v>0</v>
      </c>
      <c r="DT189" s="31" t="n">
        <f aca="false">+P189+AE189+AT189+BI189+BX189+CM189+DB189</f>
        <v>0</v>
      </c>
      <c r="DU189" s="31" t="n">
        <f aca="false">+Q189+AF189+AU189+BJ189+BY189+CN189+DC189</f>
        <v>0</v>
      </c>
      <c r="DV189" s="31" t="n">
        <f aca="false">+R189+AG189+AV189+BK189+BZ189+CO189+DD189</f>
        <v>0</v>
      </c>
      <c r="DW189" s="31" t="n">
        <f aca="false">+DU189-DV189</f>
        <v>0</v>
      </c>
    </row>
    <row r="190" customFormat="false" ht="13.8" hidden="false" customHeight="false" outlineLevel="0" collapsed="false">
      <c r="A190" s="27" t="n">
        <v>46084</v>
      </c>
      <c r="B190" s="28" t="s">
        <v>734</v>
      </c>
      <c r="C190" s="28" t="s">
        <v>735</v>
      </c>
      <c r="D190" s="29" t="s">
        <v>736</v>
      </c>
      <c r="E190" s="28" t="s">
        <v>737</v>
      </c>
      <c r="F190" s="27" t="s">
        <v>738</v>
      </c>
      <c r="G190" s="27" t="s">
        <v>26</v>
      </c>
      <c r="H190" s="30" t="n">
        <v>1000000</v>
      </c>
      <c r="I190" s="30" t="n">
        <v>1000000</v>
      </c>
      <c r="J190" s="6" t="n">
        <v>0</v>
      </c>
      <c r="K190" s="6" t="n">
        <v>0</v>
      </c>
      <c r="L190" s="6" t="n">
        <v>0</v>
      </c>
      <c r="M190" s="6" t="n">
        <v>0</v>
      </c>
      <c r="N190" s="6" t="n">
        <v>0</v>
      </c>
      <c r="O190" s="6" t="n">
        <v>0</v>
      </c>
      <c r="P190" s="6" t="n">
        <f aca="false">+J190+M190</f>
        <v>0</v>
      </c>
      <c r="Q190" s="6" t="n">
        <f aca="false">+K190+N190</f>
        <v>0</v>
      </c>
      <c r="R190" s="6" t="n">
        <f aca="false">+L190+O190</f>
        <v>0</v>
      </c>
      <c r="S190" s="6" t="n">
        <v>0</v>
      </c>
      <c r="T190" s="6" t="n">
        <v>0</v>
      </c>
      <c r="U190" s="6" t="n">
        <v>0</v>
      </c>
      <c r="V190" s="6" t="n">
        <v>0</v>
      </c>
      <c r="W190" s="6" t="n">
        <v>0</v>
      </c>
      <c r="X190" s="6" t="n">
        <v>0</v>
      </c>
      <c r="Y190" s="6" t="n">
        <v>0</v>
      </c>
      <c r="Z190" s="6" t="n">
        <v>0</v>
      </c>
      <c r="AA190" s="6" t="n">
        <v>0</v>
      </c>
      <c r="AB190" s="6" t="n">
        <v>0</v>
      </c>
      <c r="AC190" s="6" t="n">
        <v>0</v>
      </c>
      <c r="AD190" s="6" t="n">
        <v>0</v>
      </c>
      <c r="AE190" s="6" t="n">
        <f aca="false">+Y190+AB190+S190+V190</f>
        <v>0</v>
      </c>
      <c r="AF190" s="6" t="n">
        <f aca="false">+Z190+AC190+T190+W190</f>
        <v>0</v>
      </c>
      <c r="AG190" s="6" t="n">
        <f aca="false">+AA190+AD190+U190+X190</f>
        <v>0</v>
      </c>
      <c r="AH190" s="6" t="n">
        <v>0</v>
      </c>
      <c r="AI190" s="6" t="n">
        <v>0</v>
      </c>
      <c r="AJ190" s="6" t="n">
        <v>0</v>
      </c>
      <c r="AK190" s="6" t="n">
        <v>0</v>
      </c>
      <c r="AL190" s="6" t="n">
        <v>0</v>
      </c>
      <c r="AM190" s="6" t="n">
        <v>0</v>
      </c>
      <c r="AN190" s="6" t="n">
        <v>0</v>
      </c>
      <c r="AO190" s="6" t="n">
        <v>0</v>
      </c>
      <c r="AP190" s="6" t="n">
        <v>0</v>
      </c>
      <c r="AQ190" s="6" t="n">
        <v>0</v>
      </c>
      <c r="AR190" s="6" t="n">
        <v>0</v>
      </c>
      <c r="AS190" s="6" t="n">
        <v>0</v>
      </c>
      <c r="AT190" s="6" t="n">
        <f aca="false">+AN190+AQ190+AH190+AK190</f>
        <v>0</v>
      </c>
      <c r="AU190" s="6" t="n">
        <f aca="false">+AO190+AR190+AI190+AL190</f>
        <v>0</v>
      </c>
      <c r="AV190" s="6" t="n">
        <f aca="false">+AP190+AS190+AJ190+AM190</f>
        <v>0</v>
      </c>
      <c r="AW190" s="6" t="n">
        <v>0</v>
      </c>
      <c r="AX190" s="6" t="n">
        <v>0</v>
      </c>
      <c r="AY190" s="6" t="n">
        <v>0</v>
      </c>
      <c r="AZ190" s="6" t="n">
        <v>0</v>
      </c>
      <c r="BA190" s="6" t="n">
        <v>0</v>
      </c>
      <c r="BB190" s="6" t="n">
        <v>0</v>
      </c>
      <c r="BC190" s="6" t="n">
        <v>0</v>
      </c>
      <c r="BD190" s="6" t="n">
        <v>0</v>
      </c>
      <c r="BE190" s="6" t="n">
        <v>0</v>
      </c>
      <c r="BF190" s="6" t="n">
        <v>0</v>
      </c>
      <c r="BG190" s="6" t="n">
        <v>0</v>
      </c>
      <c r="BH190" s="6" t="n">
        <v>0</v>
      </c>
      <c r="BI190" s="6" t="n">
        <f aca="false">+BC190+BF190+AW190+AZ190</f>
        <v>0</v>
      </c>
      <c r="BJ190" s="6" t="n">
        <f aca="false">+BD190+BG190+AX190+BA190</f>
        <v>0</v>
      </c>
      <c r="BK190" s="6" t="n">
        <f aca="false">+BE190+BH190+AY190+BB190</f>
        <v>0</v>
      </c>
      <c r="BL190" s="6" t="n">
        <v>0</v>
      </c>
      <c r="BM190" s="6" t="n">
        <v>0</v>
      </c>
      <c r="BN190" s="6" t="n">
        <v>0</v>
      </c>
      <c r="BO190" s="6" t="n">
        <v>0</v>
      </c>
      <c r="BP190" s="6" t="n">
        <v>0</v>
      </c>
      <c r="BQ190" s="6" t="n">
        <v>0</v>
      </c>
      <c r="BR190" s="6" t="n">
        <v>0</v>
      </c>
      <c r="BS190" s="6" t="n">
        <v>0</v>
      </c>
      <c r="BT190" s="6" t="n">
        <v>0</v>
      </c>
      <c r="BU190" s="6" t="n">
        <v>0</v>
      </c>
      <c r="BV190" s="6" t="n">
        <v>0</v>
      </c>
      <c r="BW190" s="6" t="n">
        <v>0</v>
      </c>
      <c r="BX190" s="6" t="n">
        <f aca="false">+BR190+BU190+BL190+BO190</f>
        <v>0</v>
      </c>
      <c r="BY190" s="6" t="n">
        <f aca="false">+BS190+BV190+BM190+BP190</f>
        <v>0</v>
      </c>
      <c r="BZ190" s="6" t="n">
        <f aca="false">+BT190+BW190+BN190+BQ190</f>
        <v>0</v>
      </c>
      <c r="CA190" s="6" t="n">
        <v>0</v>
      </c>
      <c r="CB190" s="6" t="n">
        <v>0</v>
      </c>
      <c r="CC190" s="6" t="n">
        <v>0</v>
      </c>
      <c r="CD190" s="6" t="n">
        <v>0</v>
      </c>
      <c r="CE190" s="6" t="n">
        <v>0</v>
      </c>
      <c r="CF190" s="6" t="n">
        <v>0</v>
      </c>
      <c r="CG190" s="6" t="n">
        <v>0</v>
      </c>
      <c r="CH190" s="6" t="n">
        <v>0</v>
      </c>
      <c r="CI190" s="6" t="n">
        <v>0</v>
      </c>
      <c r="CJ190" s="6" t="n">
        <v>0</v>
      </c>
      <c r="CK190" s="6" t="n">
        <v>0</v>
      </c>
      <c r="CL190" s="6" t="n">
        <v>0</v>
      </c>
      <c r="CM190" s="6" t="n">
        <f aca="false">+CG190+CJ190+CA190+CD190</f>
        <v>0</v>
      </c>
      <c r="CN190" s="6" t="n">
        <f aca="false">+CH190+CK190+CB190+CE190</f>
        <v>0</v>
      </c>
      <c r="CO190" s="6" t="n">
        <f aca="false">+CI190+CL190+CC190+CF190</f>
        <v>0</v>
      </c>
      <c r="CP190" s="6" t="n">
        <v>0</v>
      </c>
      <c r="CQ190" s="6" t="n">
        <v>0</v>
      </c>
      <c r="CR190" s="6" t="n">
        <v>0</v>
      </c>
      <c r="CS190" s="6" t="n">
        <v>0</v>
      </c>
      <c r="CT190" s="6" t="n">
        <v>0</v>
      </c>
      <c r="CU190" s="6" t="n">
        <v>0</v>
      </c>
      <c r="CV190" s="6" t="n">
        <v>0</v>
      </c>
      <c r="CW190" s="6" t="n">
        <v>0</v>
      </c>
      <c r="CX190" s="6" t="n">
        <v>0</v>
      </c>
      <c r="CY190" s="6" t="n">
        <v>0</v>
      </c>
      <c r="CZ190" s="6" t="n">
        <v>0</v>
      </c>
      <c r="DA190" s="6" t="n">
        <v>0</v>
      </c>
      <c r="DB190" s="6" t="n">
        <f aca="false">+CV190+CY190+CP190+CS190</f>
        <v>0</v>
      </c>
      <c r="DC190" s="6" t="n">
        <f aca="false">+CW190+CZ190+CQ190+CT190</f>
        <v>0</v>
      </c>
      <c r="DD190" s="6" t="n">
        <f aca="false">+CX190+DA190+CR190+CU190</f>
        <v>0</v>
      </c>
      <c r="DE190" s="6" t="n">
        <v>0</v>
      </c>
      <c r="DF190" s="6" t="n">
        <v>0</v>
      </c>
      <c r="DG190" s="6" t="n">
        <v>0</v>
      </c>
      <c r="DH190" s="6" t="n">
        <v>0</v>
      </c>
      <c r="DI190" s="6" t="n">
        <v>0</v>
      </c>
      <c r="DJ190" s="6" t="n">
        <v>0</v>
      </c>
      <c r="DK190" s="6" t="n">
        <v>0</v>
      </c>
      <c r="DL190" s="6" t="n">
        <v>0</v>
      </c>
      <c r="DM190" s="6" t="n">
        <v>0</v>
      </c>
      <c r="DN190" s="6" t="n">
        <v>0</v>
      </c>
      <c r="DO190" s="6" t="n">
        <v>0</v>
      </c>
      <c r="DP190" s="6" t="n">
        <v>0</v>
      </c>
      <c r="DQ190" s="6" t="n">
        <f aca="false">+DK190+DN190+DE190+DH190</f>
        <v>0</v>
      </c>
      <c r="DR190" s="6" t="n">
        <f aca="false">+DL190+DO190+DF190+DI190</f>
        <v>0</v>
      </c>
      <c r="DS190" s="6" t="n">
        <f aca="false">+DM190+DP190+DG190+DJ190</f>
        <v>0</v>
      </c>
      <c r="DT190" s="31" t="n">
        <f aca="false">+P190+AE190+AT190+BI190+BX190+CM190+DB190</f>
        <v>0</v>
      </c>
      <c r="DU190" s="31" t="n">
        <f aca="false">+Q190+AF190+AU190+BJ190+BY190+CN190+DC190</f>
        <v>0</v>
      </c>
      <c r="DV190" s="31" t="n">
        <f aca="false">+R190+AG190+AV190+BK190+BZ190+CO190+DD190</f>
        <v>0</v>
      </c>
      <c r="DW190" s="31" t="n">
        <f aca="false">+DU190-DV190</f>
        <v>0</v>
      </c>
    </row>
    <row r="191" customFormat="false" ht="13.8" hidden="false" customHeight="false" outlineLevel="0" collapsed="false">
      <c r="A191" s="27" t="n">
        <v>46084</v>
      </c>
      <c r="B191" s="28" t="s">
        <v>739</v>
      </c>
      <c r="C191" s="28" t="s">
        <v>740</v>
      </c>
      <c r="D191" s="29" t="s">
        <v>741</v>
      </c>
      <c r="E191" s="28" t="s">
        <v>742</v>
      </c>
      <c r="F191" s="27" t="s">
        <v>743</v>
      </c>
      <c r="G191" s="27" t="s">
        <v>26</v>
      </c>
      <c r="H191" s="30" t="n">
        <v>800000</v>
      </c>
      <c r="I191" s="30" t="n">
        <v>800000</v>
      </c>
      <c r="J191" s="6" t="n">
        <v>0</v>
      </c>
      <c r="K191" s="6" t="n">
        <v>0</v>
      </c>
      <c r="L191" s="6" t="n">
        <v>0</v>
      </c>
      <c r="M191" s="6" t="n">
        <v>0</v>
      </c>
      <c r="N191" s="6" t="n">
        <v>0</v>
      </c>
      <c r="O191" s="6" t="n">
        <v>0</v>
      </c>
      <c r="P191" s="6" t="n">
        <f aca="false">+J191+M191</f>
        <v>0</v>
      </c>
      <c r="Q191" s="6" t="n">
        <f aca="false">+K191+N191</f>
        <v>0</v>
      </c>
      <c r="R191" s="6" t="n">
        <f aca="false">+L191+O191</f>
        <v>0</v>
      </c>
      <c r="S191" s="6" t="n">
        <v>0</v>
      </c>
      <c r="T191" s="6" t="n">
        <v>0</v>
      </c>
      <c r="U191" s="6" t="n">
        <v>0</v>
      </c>
      <c r="V191" s="6" t="n">
        <v>0</v>
      </c>
      <c r="W191" s="6" t="n">
        <v>0</v>
      </c>
      <c r="X191" s="6" t="n">
        <v>0</v>
      </c>
      <c r="Y191" s="6" t="n">
        <v>0</v>
      </c>
      <c r="Z191" s="6" t="n">
        <v>0</v>
      </c>
      <c r="AA191" s="6" t="n">
        <v>0</v>
      </c>
      <c r="AB191" s="6" t="n">
        <v>0</v>
      </c>
      <c r="AC191" s="6" t="n">
        <v>0</v>
      </c>
      <c r="AD191" s="6" t="n">
        <v>0</v>
      </c>
      <c r="AE191" s="6" t="n">
        <f aca="false">+Y191+AB191+S191+V191</f>
        <v>0</v>
      </c>
      <c r="AF191" s="6" t="n">
        <f aca="false">+Z191+AC191+T191+W191</f>
        <v>0</v>
      </c>
      <c r="AG191" s="6" t="n">
        <f aca="false">+AA191+AD191+U191+X191</f>
        <v>0</v>
      </c>
      <c r="AH191" s="6" t="n">
        <v>0</v>
      </c>
      <c r="AI191" s="6" t="n">
        <v>0</v>
      </c>
      <c r="AJ191" s="6" t="n">
        <v>0</v>
      </c>
      <c r="AK191" s="6" t="n">
        <v>0</v>
      </c>
      <c r="AL191" s="6" t="n">
        <v>0</v>
      </c>
      <c r="AM191" s="6" t="n">
        <v>0</v>
      </c>
      <c r="AN191" s="6" t="n">
        <v>0</v>
      </c>
      <c r="AO191" s="6" t="n">
        <v>0</v>
      </c>
      <c r="AP191" s="6" t="n">
        <v>0</v>
      </c>
      <c r="AQ191" s="6" t="n">
        <v>0</v>
      </c>
      <c r="AR191" s="6" t="n">
        <v>0</v>
      </c>
      <c r="AS191" s="6" t="n">
        <v>0</v>
      </c>
      <c r="AT191" s="6" t="n">
        <f aca="false">+AN191+AQ191+AH191+AK191</f>
        <v>0</v>
      </c>
      <c r="AU191" s="6" t="n">
        <f aca="false">+AO191+AR191+AI191+AL191</f>
        <v>0</v>
      </c>
      <c r="AV191" s="6" t="n">
        <f aca="false">+AP191+AS191+AJ191+AM191</f>
        <v>0</v>
      </c>
      <c r="AW191" s="6" t="n">
        <v>0</v>
      </c>
      <c r="AX191" s="6" t="n">
        <v>0</v>
      </c>
      <c r="AY191" s="6" t="n">
        <v>0</v>
      </c>
      <c r="AZ191" s="6" t="n">
        <v>0</v>
      </c>
      <c r="BA191" s="6" t="n">
        <v>0</v>
      </c>
      <c r="BB191" s="6" t="n">
        <v>0</v>
      </c>
      <c r="BC191" s="6" t="n">
        <v>0</v>
      </c>
      <c r="BD191" s="6" t="n">
        <v>0</v>
      </c>
      <c r="BE191" s="6" t="n">
        <v>0</v>
      </c>
      <c r="BF191" s="6" t="n">
        <v>0</v>
      </c>
      <c r="BG191" s="6" t="n">
        <v>0</v>
      </c>
      <c r="BH191" s="6" t="n">
        <v>0</v>
      </c>
      <c r="BI191" s="6" t="n">
        <f aca="false">+BC191+BF191+AW191+AZ191</f>
        <v>0</v>
      </c>
      <c r="BJ191" s="6" t="n">
        <f aca="false">+BD191+BG191+AX191+BA191</f>
        <v>0</v>
      </c>
      <c r="BK191" s="6" t="n">
        <f aca="false">+BE191+BH191+AY191+BB191</f>
        <v>0</v>
      </c>
      <c r="BL191" s="6" t="n">
        <v>0</v>
      </c>
      <c r="BM191" s="6" t="n">
        <v>0</v>
      </c>
      <c r="BN191" s="6" t="n">
        <v>0</v>
      </c>
      <c r="BO191" s="6" t="n">
        <v>0</v>
      </c>
      <c r="BP191" s="6" t="n">
        <v>0</v>
      </c>
      <c r="BQ191" s="6" t="n">
        <v>0</v>
      </c>
      <c r="BR191" s="6" t="n">
        <v>0</v>
      </c>
      <c r="BS191" s="6" t="n">
        <v>0</v>
      </c>
      <c r="BT191" s="6" t="n">
        <v>0</v>
      </c>
      <c r="BU191" s="6" t="n">
        <v>0</v>
      </c>
      <c r="BV191" s="6" t="n">
        <v>0</v>
      </c>
      <c r="BW191" s="6" t="n">
        <v>0</v>
      </c>
      <c r="BX191" s="6" t="n">
        <f aca="false">+BR191+BU191+BL191+BO191</f>
        <v>0</v>
      </c>
      <c r="BY191" s="6" t="n">
        <f aca="false">+BS191+BV191+BM191+BP191</f>
        <v>0</v>
      </c>
      <c r="BZ191" s="6" t="n">
        <f aca="false">+BT191+BW191+BN191+BQ191</f>
        <v>0</v>
      </c>
      <c r="CA191" s="6" t="n">
        <v>0</v>
      </c>
      <c r="CB191" s="6" t="n">
        <v>0</v>
      </c>
      <c r="CC191" s="6" t="n">
        <v>0</v>
      </c>
      <c r="CD191" s="6" t="n">
        <v>0</v>
      </c>
      <c r="CE191" s="6" t="n">
        <v>0</v>
      </c>
      <c r="CF191" s="6" t="n">
        <v>0</v>
      </c>
      <c r="CG191" s="6" t="n">
        <v>0</v>
      </c>
      <c r="CH191" s="6" t="n">
        <v>0</v>
      </c>
      <c r="CI191" s="6" t="n">
        <v>0</v>
      </c>
      <c r="CJ191" s="6" t="n">
        <v>0</v>
      </c>
      <c r="CK191" s="6" t="n">
        <v>0</v>
      </c>
      <c r="CL191" s="6" t="n">
        <v>0</v>
      </c>
      <c r="CM191" s="6" t="n">
        <f aca="false">+CG191+CJ191+CA191+CD191</f>
        <v>0</v>
      </c>
      <c r="CN191" s="6" t="n">
        <f aca="false">+CH191+CK191+CB191+CE191</f>
        <v>0</v>
      </c>
      <c r="CO191" s="6" t="n">
        <f aca="false">+CI191+CL191+CC191+CF191</f>
        <v>0</v>
      </c>
      <c r="CP191" s="6" t="n">
        <v>0</v>
      </c>
      <c r="CQ191" s="6" t="n">
        <v>0</v>
      </c>
      <c r="CR191" s="6" t="n">
        <v>0</v>
      </c>
      <c r="CS191" s="6" t="n">
        <v>0</v>
      </c>
      <c r="CT191" s="6" t="n">
        <v>0</v>
      </c>
      <c r="CU191" s="6" t="n">
        <v>0</v>
      </c>
      <c r="CV191" s="6" t="n">
        <v>0</v>
      </c>
      <c r="CW191" s="6" t="n">
        <v>0</v>
      </c>
      <c r="CX191" s="6" t="n">
        <v>0</v>
      </c>
      <c r="CY191" s="6" t="n">
        <v>0</v>
      </c>
      <c r="CZ191" s="6" t="n">
        <v>0</v>
      </c>
      <c r="DA191" s="6" t="n">
        <v>0</v>
      </c>
      <c r="DB191" s="6" t="n">
        <f aca="false">+CV191+CY191+CP191+CS191</f>
        <v>0</v>
      </c>
      <c r="DC191" s="6" t="n">
        <f aca="false">+CW191+CZ191+CQ191+CT191</f>
        <v>0</v>
      </c>
      <c r="DD191" s="6" t="n">
        <f aca="false">+CX191+DA191+CR191+CU191</f>
        <v>0</v>
      </c>
      <c r="DE191" s="6" t="n">
        <v>0</v>
      </c>
      <c r="DF191" s="6" t="n">
        <v>0</v>
      </c>
      <c r="DG191" s="6" t="n">
        <v>0</v>
      </c>
      <c r="DH191" s="6" t="n">
        <v>0</v>
      </c>
      <c r="DI191" s="6" t="n">
        <v>0</v>
      </c>
      <c r="DJ191" s="6" t="n">
        <v>0</v>
      </c>
      <c r="DK191" s="6" t="n">
        <v>0</v>
      </c>
      <c r="DL191" s="6" t="n">
        <v>0</v>
      </c>
      <c r="DM191" s="6" t="n">
        <v>0</v>
      </c>
      <c r="DN191" s="6" t="n">
        <v>0</v>
      </c>
      <c r="DO191" s="6" t="n">
        <v>0</v>
      </c>
      <c r="DP191" s="6" t="n">
        <v>0</v>
      </c>
      <c r="DQ191" s="6" t="n">
        <f aca="false">+DK191+DN191+DE191+DH191</f>
        <v>0</v>
      </c>
      <c r="DR191" s="6" t="n">
        <f aca="false">+DL191+DO191+DF191+DI191</f>
        <v>0</v>
      </c>
      <c r="DS191" s="6" t="n">
        <f aca="false">+DM191+DP191+DG191+DJ191</f>
        <v>0</v>
      </c>
      <c r="DT191" s="31" t="n">
        <f aca="false">+P191+AE191+AT191+BI191+BX191+CM191+DB191</f>
        <v>0</v>
      </c>
      <c r="DU191" s="31" t="n">
        <f aca="false">+Q191+AF191+AU191+BJ191+BY191+CN191+DC191</f>
        <v>0</v>
      </c>
      <c r="DV191" s="31" t="n">
        <f aca="false">+R191+AG191+AV191+BK191+BZ191+CO191+DD191</f>
        <v>0</v>
      </c>
      <c r="DW191" s="31" t="n">
        <f aca="false">+DU191-DV191</f>
        <v>0</v>
      </c>
    </row>
    <row r="192" customFormat="false" ht="13.8" hidden="false" customHeight="false" outlineLevel="0" collapsed="false">
      <c r="A192" s="27" t="n">
        <v>46083</v>
      </c>
      <c r="B192" s="28" t="s">
        <v>744</v>
      </c>
      <c r="C192" s="28" t="s">
        <v>745</v>
      </c>
      <c r="D192" s="29" t="s">
        <v>746</v>
      </c>
      <c r="E192" s="28" t="s">
        <v>747</v>
      </c>
      <c r="F192" s="27" t="s">
        <v>748</v>
      </c>
      <c r="G192" s="27" t="s">
        <v>26</v>
      </c>
      <c r="H192" s="30" t="n">
        <v>265000</v>
      </c>
      <c r="I192" s="30" t="n">
        <v>265000</v>
      </c>
      <c r="J192" s="6" t="n">
        <v>0</v>
      </c>
      <c r="K192" s="6" t="n">
        <v>0</v>
      </c>
      <c r="L192" s="6" t="n">
        <v>0</v>
      </c>
      <c r="M192" s="6" t="n">
        <v>0</v>
      </c>
      <c r="N192" s="6" t="n">
        <v>0</v>
      </c>
      <c r="O192" s="6" t="n">
        <v>0</v>
      </c>
      <c r="P192" s="6" t="n">
        <f aca="false">+J192+M192</f>
        <v>0</v>
      </c>
      <c r="Q192" s="6" t="n">
        <f aca="false">+K192+N192</f>
        <v>0</v>
      </c>
      <c r="R192" s="6" t="n">
        <f aca="false">+L192+O192</f>
        <v>0</v>
      </c>
      <c r="S192" s="6" t="n">
        <v>0</v>
      </c>
      <c r="T192" s="6" t="n">
        <v>0</v>
      </c>
      <c r="U192" s="6" t="n">
        <v>0</v>
      </c>
      <c r="V192" s="6" t="n">
        <v>0</v>
      </c>
      <c r="W192" s="6" t="n">
        <v>0</v>
      </c>
      <c r="X192" s="6" t="n">
        <v>0</v>
      </c>
      <c r="Y192" s="6" t="n">
        <v>0</v>
      </c>
      <c r="Z192" s="6" t="n">
        <v>0</v>
      </c>
      <c r="AA192" s="6" t="n">
        <v>0</v>
      </c>
      <c r="AB192" s="6" t="n">
        <v>0</v>
      </c>
      <c r="AC192" s="6" t="n">
        <v>0</v>
      </c>
      <c r="AD192" s="6" t="n">
        <v>0</v>
      </c>
      <c r="AE192" s="6" t="n">
        <f aca="false">+Y192+AB192+S192+V192</f>
        <v>0</v>
      </c>
      <c r="AF192" s="6" t="n">
        <f aca="false">+Z192+AC192+T192+W192</f>
        <v>0</v>
      </c>
      <c r="AG192" s="6" t="n">
        <f aca="false">+AA192+AD192+U192+X192</f>
        <v>0</v>
      </c>
      <c r="AH192" s="6" t="n">
        <v>0</v>
      </c>
      <c r="AI192" s="6" t="n">
        <v>0</v>
      </c>
      <c r="AJ192" s="6" t="n">
        <v>0</v>
      </c>
      <c r="AK192" s="6" t="n">
        <v>0</v>
      </c>
      <c r="AL192" s="6" t="n">
        <v>0</v>
      </c>
      <c r="AM192" s="6" t="n">
        <v>0</v>
      </c>
      <c r="AN192" s="6" t="n">
        <v>0</v>
      </c>
      <c r="AO192" s="6" t="n">
        <v>0</v>
      </c>
      <c r="AP192" s="6" t="n">
        <v>0</v>
      </c>
      <c r="AQ192" s="6" t="n">
        <v>0</v>
      </c>
      <c r="AR192" s="6" t="n">
        <v>0</v>
      </c>
      <c r="AS192" s="6" t="n">
        <v>0</v>
      </c>
      <c r="AT192" s="6" t="n">
        <f aca="false">+AN192+AQ192+AH192+AK192</f>
        <v>0</v>
      </c>
      <c r="AU192" s="6" t="n">
        <f aca="false">+AO192+AR192+AI192+AL192</f>
        <v>0</v>
      </c>
      <c r="AV192" s="6" t="n">
        <f aca="false">+AP192+AS192+AJ192+AM192</f>
        <v>0</v>
      </c>
      <c r="AW192" s="6" t="n">
        <v>0</v>
      </c>
      <c r="AX192" s="6" t="n">
        <v>0</v>
      </c>
      <c r="AY192" s="6" t="n">
        <v>0</v>
      </c>
      <c r="AZ192" s="6" t="n">
        <v>0</v>
      </c>
      <c r="BA192" s="6" t="n">
        <v>0</v>
      </c>
      <c r="BB192" s="6" t="n">
        <v>0</v>
      </c>
      <c r="BC192" s="6" t="n">
        <v>0</v>
      </c>
      <c r="BD192" s="6" t="n">
        <v>0</v>
      </c>
      <c r="BE192" s="6" t="n">
        <v>0</v>
      </c>
      <c r="BF192" s="6" t="n">
        <v>0</v>
      </c>
      <c r="BG192" s="6" t="n">
        <v>0</v>
      </c>
      <c r="BH192" s="6" t="n">
        <v>0</v>
      </c>
      <c r="BI192" s="6" t="n">
        <f aca="false">+BC192+BF192+AW192+AZ192</f>
        <v>0</v>
      </c>
      <c r="BJ192" s="6" t="n">
        <f aca="false">+BD192+BG192+AX192+BA192</f>
        <v>0</v>
      </c>
      <c r="BK192" s="6" t="n">
        <f aca="false">+BE192+BH192+AY192+BB192</f>
        <v>0</v>
      </c>
      <c r="BL192" s="6" t="n">
        <v>0</v>
      </c>
      <c r="BM192" s="6" t="n">
        <v>0</v>
      </c>
      <c r="BN192" s="6" t="n">
        <v>0</v>
      </c>
      <c r="BO192" s="6" t="n">
        <v>0</v>
      </c>
      <c r="BP192" s="6" t="n">
        <v>0</v>
      </c>
      <c r="BQ192" s="6" t="n">
        <v>0</v>
      </c>
      <c r="BR192" s="6" t="n">
        <v>0</v>
      </c>
      <c r="BS192" s="6" t="n">
        <v>0</v>
      </c>
      <c r="BT192" s="6" t="n">
        <v>0</v>
      </c>
      <c r="BU192" s="6" t="n">
        <v>0</v>
      </c>
      <c r="BV192" s="6" t="n">
        <v>0</v>
      </c>
      <c r="BW192" s="6" t="n">
        <v>0</v>
      </c>
      <c r="BX192" s="6" t="n">
        <f aca="false">+BR192+BU192+BL192+BO192</f>
        <v>0</v>
      </c>
      <c r="BY192" s="6" t="n">
        <f aca="false">+BS192+BV192+BM192+BP192</f>
        <v>0</v>
      </c>
      <c r="BZ192" s="6" t="n">
        <f aca="false">+BT192+BW192+BN192+BQ192</f>
        <v>0</v>
      </c>
      <c r="CA192" s="6" t="n">
        <v>0</v>
      </c>
      <c r="CB192" s="6" t="n">
        <v>0</v>
      </c>
      <c r="CC192" s="6" t="n">
        <v>0</v>
      </c>
      <c r="CD192" s="6" t="n">
        <v>0</v>
      </c>
      <c r="CE192" s="6" t="n">
        <v>0</v>
      </c>
      <c r="CF192" s="6" t="n">
        <v>0</v>
      </c>
      <c r="CG192" s="6" t="n">
        <v>0</v>
      </c>
      <c r="CH192" s="6" t="n">
        <v>0</v>
      </c>
      <c r="CI192" s="6" t="n">
        <v>0</v>
      </c>
      <c r="CJ192" s="6" t="n">
        <v>0</v>
      </c>
      <c r="CK192" s="6" t="n">
        <v>0</v>
      </c>
      <c r="CL192" s="6" t="n">
        <v>0</v>
      </c>
      <c r="CM192" s="6" t="n">
        <f aca="false">+CG192+CJ192+CA192+CD192</f>
        <v>0</v>
      </c>
      <c r="CN192" s="6" t="n">
        <f aca="false">+CH192+CK192+CB192+CE192</f>
        <v>0</v>
      </c>
      <c r="CO192" s="6" t="n">
        <f aca="false">+CI192+CL192+CC192+CF192</f>
        <v>0</v>
      </c>
      <c r="CP192" s="6" t="n">
        <v>0</v>
      </c>
      <c r="CQ192" s="6" t="n">
        <v>0</v>
      </c>
      <c r="CR192" s="6" t="n">
        <v>0</v>
      </c>
      <c r="CS192" s="6" t="n">
        <v>0</v>
      </c>
      <c r="CT192" s="6" t="n">
        <v>0</v>
      </c>
      <c r="CU192" s="6" t="n">
        <v>0</v>
      </c>
      <c r="CV192" s="6" t="n">
        <v>0</v>
      </c>
      <c r="CW192" s="6" t="n">
        <v>0</v>
      </c>
      <c r="CX192" s="6" t="n">
        <v>0</v>
      </c>
      <c r="CY192" s="6" t="n">
        <v>0</v>
      </c>
      <c r="CZ192" s="6" t="n">
        <v>0</v>
      </c>
      <c r="DA192" s="6" t="n">
        <v>0</v>
      </c>
      <c r="DB192" s="6" t="n">
        <f aca="false">+CV192+CY192+CP192+CS192</f>
        <v>0</v>
      </c>
      <c r="DC192" s="6" t="n">
        <f aca="false">+CW192+CZ192+CQ192+CT192</f>
        <v>0</v>
      </c>
      <c r="DD192" s="6" t="n">
        <f aca="false">+CX192+DA192+CR192+CU192</f>
        <v>0</v>
      </c>
      <c r="DE192" s="6" t="n">
        <v>0</v>
      </c>
      <c r="DF192" s="6" t="n">
        <v>0</v>
      </c>
      <c r="DG192" s="6" t="n">
        <v>0</v>
      </c>
      <c r="DH192" s="6" t="n">
        <v>0</v>
      </c>
      <c r="DI192" s="6" t="n">
        <v>0</v>
      </c>
      <c r="DJ192" s="6" t="n">
        <v>0</v>
      </c>
      <c r="DK192" s="6" t="n">
        <v>0</v>
      </c>
      <c r="DL192" s="6" t="n">
        <v>0</v>
      </c>
      <c r="DM192" s="6" t="n">
        <v>0</v>
      </c>
      <c r="DN192" s="6" t="n">
        <v>0</v>
      </c>
      <c r="DO192" s="6" t="n">
        <v>0</v>
      </c>
      <c r="DP192" s="6" t="n">
        <v>0</v>
      </c>
      <c r="DQ192" s="6" t="n">
        <f aca="false">+DK192+DN192+DE192+DH192</f>
        <v>0</v>
      </c>
      <c r="DR192" s="6" t="n">
        <f aca="false">+DL192+DO192+DF192+DI192</f>
        <v>0</v>
      </c>
      <c r="DS192" s="6" t="n">
        <f aca="false">+DM192+DP192+DG192+DJ192</f>
        <v>0</v>
      </c>
      <c r="DT192" s="31" t="n">
        <f aca="false">+P192+AE192+AT192+BI192+BX192+CM192+DB192</f>
        <v>0</v>
      </c>
      <c r="DU192" s="31" t="n">
        <f aca="false">+Q192+AF192+AU192+BJ192+BY192+CN192+DC192</f>
        <v>0</v>
      </c>
      <c r="DV192" s="31" t="n">
        <f aca="false">+R192+AG192+AV192+BK192+BZ192+CO192+DD192</f>
        <v>0</v>
      </c>
      <c r="DW192" s="31" t="n">
        <f aca="false">+DU192-DV192</f>
        <v>0</v>
      </c>
    </row>
    <row r="193" customFormat="false" ht="13.8" hidden="false" customHeight="false" outlineLevel="0" collapsed="false">
      <c r="A193" s="27" t="n">
        <v>46085</v>
      </c>
      <c r="B193" s="28" t="s">
        <v>749</v>
      </c>
      <c r="C193" s="28" t="s">
        <v>750</v>
      </c>
      <c r="D193" s="29" t="s">
        <v>751</v>
      </c>
      <c r="E193" s="28" t="s">
        <v>752</v>
      </c>
      <c r="F193" s="27" t="s">
        <v>753</v>
      </c>
      <c r="G193" s="27" t="s">
        <v>26</v>
      </c>
      <c r="H193" s="30" t="n">
        <v>750000</v>
      </c>
      <c r="I193" s="30" t="n">
        <v>750000</v>
      </c>
      <c r="J193" s="6" t="n">
        <v>0</v>
      </c>
      <c r="K193" s="6" t="n">
        <v>0</v>
      </c>
      <c r="L193" s="6" t="n">
        <v>0</v>
      </c>
      <c r="M193" s="6" t="n">
        <v>0</v>
      </c>
      <c r="N193" s="6" t="n">
        <v>0</v>
      </c>
      <c r="O193" s="6" t="n">
        <v>0</v>
      </c>
      <c r="P193" s="6" t="n">
        <f aca="false">+J193+M193</f>
        <v>0</v>
      </c>
      <c r="Q193" s="6" t="n">
        <f aca="false">+K193+N193</f>
        <v>0</v>
      </c>
      <c r="R193" s="6" t="n">
        <f aca="false">+L193+O193</f>
        <v>0</v>
      </c>
      <c r="S193" s="6" t="n">
        <v>0</v>
      </c>
      <c r="T193" s="6" t="n">
        <v>0</v>
      </c>
      <c r="U193" s="6" t="n">
        <v>0</v>
      </c>
      <c r="V193" s="6" t="n">
        <v>0</v>
      </c>
      <c r="W193" s="6" t="n">
        <v>0</v>
      </c>
      <c r="X193" s="6" t="n">
        <v>0</v>
      </c>
      <c r="Y193" s="6" t="n">
        <v>0</v>
      </c>
      <c r="Z193" s="6" t="n">
        <v>0</v>
      </c>
      <c r="AA193" s="6" t="n">
        <v>0</v>
      </c>
      <c r="AB193" s="6" t="n">
        <v>0</v>
      </c>
      <c r="AC193" s="6" t="n">
        <v>0</v>
      </c>
      <c r="AD193" s="6" t="n">
        <v>0</v>
      </c>
      <c r="AE193" s="6" t="n">
        <f aca="false">+Y193+AB193+S193+V193</f>
        <v>0</v>
      </c>
      <c r="AF193" s="6" t="n">
        <f aca="false">+Z193+AC193+T193+W193</f>
        <v>0</v>
      </c>
      <c r="AG193" s="6" t="n">
        <f aca="false">+AA193+AD193+U193+X193</f>
        <v>0</v>
      </c>
      <c r="AH193" s="6" t="n">
        <v>0</v>
      </c>
      <c r="AI193" s="6" t="n">
        <v>0</v>
      </c>
      <c r="AJ193" s="6" t="n">
        <v>0</v>
      </c>
      <c r="AK193" s="6" t="n">
        <v>0</v>
      </c>
      <c r="AL193" s="6" t="n">
        <v>0</v>
      </c>
      <c r="AM193" s="6" t="n">
        <v>0</v>
      </c>
      <c r="AN193" s="6" t="n">
        <v>0</v>
      </c>
      <c r="AO193" s="6" t="n">
        <v>0</v>
      </c>
      <c r="AP193" s="6" t="n">
        <v>0</v>
      </c>
      <c r="AQ193" s="6" t="n">
        <v>0</v>
      </c>
      <c r="AR193" s="6" t="n">
        <v>0</v>
      </c>
      <c r="AS193" s="6" t="n">
        <v>0</v>
      </c>
      <c r="AT193" s="6" t="n">
        <f aca="false">+AN193+AQ193+AH193+AK193</f>
        <v>0</v>
      </c>
      <c r="AU193" s="6" t="n">
        <f aca="false">+AO193+AR193+AI193+AL193</f>
        <v>0</v>
      </c>
      <c r="AV193" s="6" t="n">
        <f aca="false">+AP193+AS193+AJ193+AM193</f>
        <v>0</v>
      </c>
      <c r="AW193" s="6" t="n">
        <v>0</v>
      </c>
      <c r="AX193" s="6" t="n">
        <v>0</v>
      </c>
      <c r="AY193" s="6" t="n">
        <v>0</v>
      </c>
      <c r="AZ193" s="6" t="n">
        <v>0</v>
      </c>
      <c r="BA193" s="6" t="n">
        <v>0</v>
      </c>
      <c r="BB193" s="6" t="n">
        <v>0</v>
      </c>
      <c r="BC193" s="6" t="n">
        <v>0</v>
      </c>
      <c r="BD193" s="6" t="n">
        <v>0</v>
      </c>
      <c r="BE193" s="6" t="n">
        <v>0</v>
      </c>
      <c r="BF193" s="6" t="n">
        <v>0</v>
      </c>
      <c r="BG193" s="6" t="n">
        <v>0</v>
      </c>
      <c r="BH193" s="6" t="n">
        <v>0</v>
      </c>
      <c r="BI193" s="6" t="n">
        <f aca="false">+BC193+BF193+AW193+AZ193</f>
        <v>0</v>
      </c>
      <c r="BJ193" s="6" t="n">
        <f aca="false">+BD193+BG193+AX193+BA193</f>
        <v>0</v>
      </c>
      <c r="BK193" s="6" t="n">
        <f aca="false">+BE193+BH193+AY193+BB193</f>
        <v>0</v>
      </c>
      <c r="BL193" s="6" t="n">
        <v>0</v>
      </c>
      <c r="BM193" s="6" t="n">
        <v>0</v>
      </c>
      <c r="BN193" s="6" t="n">
        <v>0</v>
      </c>
      <c r="BO193" s="6" t="n">
        <v>0</v>
      </c>
      <c r="BP193" s="6" t="n">
        <v>0</v>
      </c>
      <c r="BQ193" s="6" t="n">
        <v>0</v>
      </c>
      <c r="BR193" s="6" t="n">
        <v>0</v>
      </c>
      <c r="BS193" s="6" t="n">
        <v>0</v>
      </c>
      <c r="BT193" s="6" t="n">
        <v>0</v>
      </c>
      <c r="BU193" s="6" t="n">
        <v>0</v>
      </c>
      <c r="BV193" s="6" t="n">
        <v>0</v>
      </c>
      <c r="BW193" s="6" t="n">
        <v>0</v>
      </c>
      <c r="BX193" s="6" t="n">
        <f aca="false">+BR193+BU193+BL193+BO193</f>
        <v>0</v>
      </c>
      <c r="BY193" s="6" t="n">
        <f aca="false">+BS193+BV193+BM193+BP193</f>
        <v>0</v>
      </c>
      <c r="BZ193" s="6" t="n">
        <f aca="false">+BT193+BW193+BN193+BQ193</f>
        <v>0</v>
      </c>
      <c r="CA193" s="6" t="n">
        <v>0</v>
      </c>
      <c r="CB193" s="6" t="n">
        <v>0</v>
      </c>
      <c r="CC193" s="6" t="n">
        <v>0</v>
      </c>
      <c r="CD193" s="6" t="n">
        <v>0</v>
      </c>
      <c r="CE193" s="6" t="n">
        <v>0</v>
      </c>
      <c r="CF193" s="6" t="n">
        <v>0</v>
      </c>
      <c r="CG193" s="6" t="n">
        <v>0</v>
      </c>
      <c r="CH193" s="6" t="n">
        <v>0</v>
      </c>
      <c r="CI193" s="6" t="n">
        <v>0</v>
      </c>
      <c r="CJ193" s="6" t="n">
        <v>0</v>
      </c>
      <c r="CK193" s="6" t="n">
        <v>0</v>
      </c>
      <c r="CL193" s="6" t="n">
        <v>0</v>
      </c>
      <c r="CM193" s="6" t="n">
        <f aca="false">+CG193+CJ193+CA193+CD193</f>
        <v>0</v>
      </c>
      <c r="CN193" s="6" t="n">
        <f aca="false">+CH193+CK193+CB193+CE193</f>
        <v>0</v>
      </c>
      <c r="CO193" s="6" t="n">
        <f aca="false">+CI193+CL193+CC193+CF193</f>
        <v>0</v>
      </c>
      <c r="CP193" s="6" t="n">
        <v>0</v>
      </c>
      <c r="CQ193" s="6" t="n">
        <v>0</v>
      </c>
      <c r="CR193" s="6" t="n">
        <v>0</v>
      </c>
      <c r="CS193" s="6" t="n">
        <v>0</v>
      </c>
      <c r="CT193" s="6" t="n">
        <v>0</v>
      </c>
      <c r="CU193" s="6" t="n">
        <v>0</v>
      </c>
      <c r="CV193" s="6" t="n">
        <v>0</v>
      </c>
      <c r="CW193" s="6" t="n">
        <v>0</v>
      </c>
      <c r="CX193" s="6" t="n">
        <v>0</v>
      </c>
      <c r="CY193" s="6" t="n">
        <v>0</v>
      </c>
      <c r="CZ193" s="6" t="n">
        <v>0</v>
      </c>
      <c r="DA193" s="6" t="n">
        <v>0</v>
      </c>
      <c r="DB193" s="6" t="n">
        <f aca="false">+CV193+CY193+CP193+CS193</f>
        <v>0</v>
      </c>
      <c r="DC193" s="6" t="n">
        <f aca="false">+CW193+CZ193+CQ193+CT193</f>
        <v>0</v>
      </c>
      <c r="DD193" s="6" t="n">
        <f aca="false">+CX193+DA193+CR193+CU193</f>
        <v>0</v>
      </c>
      <c r="DE193" s="6" t="n">
        <v>0</v>
      </c>
      <c r="DF193" s="6" t="n">
        <v>0</v>
      </c>
      <c r="DG193" s="6" t="n">
        <v>0</v>
      </c>
      <c r="DH193" s="6" t="n">
        <v>0</v>
      </c>
      <c r="DI193" s="6" t="n">
        <v>0</v>
      </c>
      <c r="DJ193" s="6" t="n">
        <v>0</v>
      </c>
      <c r="DK193" s="6" t="n">
        <v>0</v>
      </c>
      <c r="DL193" s="6" t="n">
        <v>0</v>
      </c>
      <c r="DM193" s="6" t="n">
        <v>0</v>
      </c>
      <c r="DN193" s="6" t="n">
        <v>0</v>
      </c>
      <c r="DO193" s="6" t="n">
        <v>0</v>
      </c>
      <c r="DP193" s="6" t="n">
        <v>0</v>
      </c>
      <c r="DQ193" s="6" t="n">
        <f aca="false">+DK193+DN193+DE193+DH193</f>
        <v>0</v>
      </c>
      <c r="DR193" s="6" t="n">
        <f aca="false">+DL193+DO193+DF193+DI193</f>
        <v>0</v>
      </c>
      <c r="DS193" s="6" t="n">
        <f aca="false">+DM193+DP193+DG193+DJ193</f>
        <v>0</v>
      </c>
      <c r="DT193" s="31" t="n">
        <f aca="false">+P193+AE193+AT193+BI193+BX193+CM193+DB193</f>
        <v>0</v>
      </c>
      <c r="DU193" s="31" t="n">
        <f aca="false">+Q193+AF193+AU193+BJ193+BY193+CN193+DC193</f>
        <v>0</v>
      </c>
      <c r="DV193" s="31" t="n">
        <f aca="false">+R193+AG193+AV193+BK193+BZ193+CO193+DD193</f>
        <v>0</v>
      </c>
      <c r="DW193" s="31" t="n">
        <f aca="false">+DU193-DV193</f>
        <v>0</v>
      </c>
    </row>
    <row r="194" customFormat="false" ht="13.8" hidden="false" customHeight="false" outlineLevel="0" collapsed="false">
      <c r="A194" s="27" t="n">
        <v>45540</v>
      </c>
      <c r="B194" s="28" t="s">
        <v>754</v>
      </c>
      <c r="C194" s="28" t="s">
        <v>755</v>
      </c>
      <c r="D194" s="29" t="s">
        <v>756</v>
      </c>
      <c r="E194" s="28" t="s">
        <v>757</v>
      </c>
      <c r="F194" s="27" t="s">
        <v>758</v>
      </c>
      <c r="G194" s="27" t="s">
        <v>20</v>
      </c>
      <c r="H194" s="30" t="n">
        <v>588627</v>
      </c>
      <c r="I194" s="30" t="n">
        <v>588627</v>
      </c>
      <c r="J194" s="6" t="n">
        <v>0</v>
      </c>
      <c r="K194" s="6" t="n">
        <v>0</v>
      </c>
      <c r="L194" s="6" t="n">
        <v>0</v>
      </c>
      <c r="M194" s="6" t="n">
        <v>0</v>
      </c>
      <c r="N194" s="6" t="n">
        <v>0</v>
      </c>
      <c r="O194" s="6" t="n">
        <v>0</v>
      </c>
      <c r="P194" s="6" t="n">
        <f aca="false">+J194+M194</f>
        <v>0</v>
      </c>
      <c r="Q194" s="6" t="n">
        <f aca="false">+K194+N194</f>
        <v>0</v>
      </c>
      <c r="R194" s="6" t="n">
        <f aca="false">+L194+O194</f>
        <v>0</v>
      </c>
      <c r="S194" s="6" t="n">
        <v>0</v>
      </c>
      <c r="T194" s="6" t="n">
        <v>0</v>
      </c>
      <c r="U194" s="6" t="n">
        <v>0</v>
      </c>
      <c r="V194" s="6" t="n">
        <v>0</v>
      </c>
      <c r="W194" s="6" t="n">
        <v>0</v>
      </c>
      <c r="X194" s="6" t="n">
        <v>0</v>
      </c>
      <c r="Y194" s="6" t="n">
        <v>0</v>
      </c>
      <c r="Z194" s="6" t="n">
        <v>0</v>
      </c>
      <c r="AA194" s="6" t="n">
        <v>0</v>
      </c>
      <c r="AB194" s="6" t="n">
        <v>0</v>
      </c>
      <c r="AC194" s="6" t="n">
        <v>0</v>
      </c>
      <c r="AD194" s="6" t="n">
        <v>0</v>
      </c>
      <c r="AE194" s="6" t="n">
        <f aca="false">+Y194+AB194+S194+V194</f>
        <v>0</v>
      </c>
      <c r="AF194" s="6" t="n">
        <f aca="false">+Z194+AC194+T194+W194</f>
        <v>0</v>
      </c>
      <c r="AG194" s="6" t="n">
        <f aca="false">+AA194+AD194+U194+X194</f>
        <v>0</v>
      </c>
      <c r="AH194" s="6" t="n">
        <v>0</v>
      </c>
      <c r="AI194" s="6" t="n">
        <v>0</v>
      </c>
      <c r="AJ194" s="6" t="n">
        <v>0</v>
      </c>
      <c r="AK194" s="6" t="n">
        <v>0</v>
      </c>
      <c r="AL194" s="6" t="n">
        <v>0</v>
      </c>
      <c r="AM194" s="6" t="n">
        <v>0</v>
      </c>
      <c r="AN194" s="6" t="n">
        <v>0</v>
      </c>
      <c r="AO194" s="6" t="n">
        <v>0</v>
      </c>
      <c r="AP194" s="6" t="n">
        <v>0</v>
      </c>
      <c r="AQ194" s="6" t="n">
        <v>0</v>
      </c>
      <c r="AR194" s="6" t="n">
        <v>0</v>
      </c>
      <c r="AS194" s="6" t="n">
        <v>0</v>
      </c>
      <c r="AT194" s="6" t="n">
        <f aca="false">+AN194+AQ194+AH194+AK194</f>
        <v>0</v>
      </c>
      <c r="AU194" s="6" t="n">
        <f aca="false">+AO194+AR194+AI194+AL194</f>
        <v>0</v>
      </c>
      <c r="AV194" s="6" t="n">
        <f aca="false">+AP194+AS194+AJ194+AM194</f>
        <v>0</v>
      </c>
      <c r="AW194" s="6" t="n">
        <v>0</v>
      </c>
      <c r="AX194" s="6" t="n">
        <v>0</v>
      </c>
      <c r="AY194" s="6" t="n">
        <v>0</v>
      </c>
      <c r="AZ194" s="6" t="n">
        <v>0</v>
      </c>
      <c r="BA194" s="6" t="n">
        <v>0</v>
      </c>
      <c r="BB194" s="6" t="n">
        <v>0</v>
      </c>
      <c r="BC194" s="6" t="n">
        <v>0</v>
      </c>
      <c r="BD194" s="6" t="n">
        <v>0</v>
      </c>
      <c r="BE194" s="6" t="n">
        <v>0</v>
      </c>
      <c r="BF194" s="6" t="n">
        <v>0</v>
      </c>
      <c r="BG194" s="6" t="n">
        <v>0</v>
      </c>
      <c r="BH194" s="6" t="n">
        <v>0</v>
      </c>
      <c r="BI194" s="6" t="n">
        <f aca="false">+BC194+BF194+AW194+AZ194</f>
        <v>0</v>
      </c>
      <c r="BJ194" s="6" t="n">
        <f aca="false">+BD194+BG194+AX194+BA194</f>
        <v>0</v>
      </c>
      <c r="BK194" s="6" t="n">
        <f aca="false">+BE194+BH194+AY194+BB194</f>
        <v>0</v>
      </c>
      <c r="BL194" s="6" t="n">
        <v>0</v>
      </c>
      <c r="BM194" s="6" t="n">
        <v>0</v>
      </c>
      <c r="BN194" s="6" t="n">
        <v>0</v>
      </c>
      <c r="BO194" s="6" t="n">
        <v>0</v>
      </c>
      <c r="BP194" s="6" t="n">
        <v>0</v>
      </c>
      <c r="BQ194" s="6" t="n">
        <v>0</v>
      </c>
      <c r="BR194" s="6" t="n">
        <v>0</v>
      </c>
      <c r="BS194" s="6" t="n">
        <v>0</v>
      </c>
      <c r="BT194" s="6" t="n">
        <v>0</v>
      </c>
      <c r="BU194" s="6" t="n">
        <v>588627</v>
      </c>
      <c r="BV194" s="6" t="n">
        <v>588627</v>
      </c>
      <c r="BW194" s="6" t="n">
        <v>0</v>
      </c>
      <c r="BX194" s="6" t="n">
        <f aca="false">+BR194+BU194+BL194+BO194</f>
        <v>588627</v>
      </c>
      <c r="BY194" s="6" t="n">
        <f aca="false">+BS194+BV194+BM194+BP194</f>
        <v>588627</v>
      </c>
      <c r="BZ194" s="6" t="n">
        <f aca="false">+BT194+BW194+BN194+BQ194</f>
        <v>0</v>
      </c>
      <c r="CA194" s="6" t="n">
        <v>0</v>
      </c>
      <c r="CB194" s="6" t="n">
        <v>0</v>
      </c>
      <c r="CC194" s="6" t="n">
        <v>588627</v>
      </c>
      <c r="CD194" s="6" t="n">
        <v>0</v>
      </c>
      <c r="CE194" s="6" t="n">
        <v>0</v>
      </c>
      <c r="CF194" s="6" t="n">
        <v>0</v>
      </c>
      <c r="CG194" s="6" t="n">
        <v>0</v>
      </c>
      <c r="CH194" s="6" t="n">
        <v>0</v>
      </c>
      <c r="CI194" s="6" t="n">
        <v>0</v>
      </c>
      <c r="CJ194" s="6" t="n">
        <v>0</v>
      </c>
      <c r="CK194" s="6" t="n">
        <v>0</v>
      </c>
      <c r="CL194" s="6" t="n">
        <v>0</v>
      </c>
      <c r="CM194" s="6" t="n">
        <f aca="false">+CG194+CJ194+CA194+CD194</f>
        <v>0</v>
      </c>
      <c r="CN194" s="6" t="n">
        <f aca="false">+CH194+CK194+CB194+CE194</f>
        <v>0</v>
      </c>
      <c r="CO194" s="6" t="n">
        <f aca="false">+CI194+CL194+CC194+CF194</f>
        <v>588627</v>
      </c>
      <c r="CP194" s="6" t="n">
        <v>0</v>
      </c>
      <c r="CQ194" s="6" t="n">
        <v>0</v>
      </c>
      <c r="CR194" s="6" t="n">
        <v>0</v>
      </c>
      <c r="CS194" s="6" t="n">
        <v>0</v>
      </c>
      <c r="CT194" s="6" t="n">
        <v>0</v>
      </c>
      <c r="CU194" s="6" t="n">
        <v>0</v>
      </c>
      <c r="CV194" s="6" t="n">
        <v>0</v>
      </c>
      <c r="CW194" s="6" t="n">
        <v>0</v>
      </c>
      <c r="CX194" s="6" t="n">
        <v>0</v>
      </c>
      <c r="CY194" s="6" t="n">
        <v>0</v>
      </c>
      <c r="CZ194" s="6" t="n">
        <v>0</v>
      </c>
      <c r="DA194" s="6" t="n">
        <v>0</v>
      </c>
      <c r="DB194" s="6" t="n">
        <f aca="false">+CV194+CY194+CP194+CS194</f>
        <v>0</v>
      </c>
      <c r="DC194" s="6" t="n">
        <f aca="false">+CW194+CZ194+CQ194+CT194</f>
        <v>0</v>
      </c>
      <c r="DD194" s="6" t="n">
        <f aca="false">+CX194+DA194+CR194+CU194</f>
        <v>0</v>
      </c>
      <c r="DE194" s="6" t="n">
        <v>0</v>
      </c>
      <c r="DF194" s="6" t="n">
        <v>0</v>
      </c>
      <c r="DG194" s="6" t="n">
        <v>0</v>
      </c>
      <c r="DH194" s="6" t="n">
        <v>0</v>
      </c>
      <c r="DI194" s="6" t="n">
        <v>0</v>
      </c>
      <c r="DJ194" s="6" t="n">
        <v>0</v>
      </c>
      <c r="DK194" s="6" t="n">
        <v>0</v>
      </c>
      <c r="DL194" s="6" t="n">
        <v>0</v>
      </c>
      <c r="DM194" s="6" t="n">
        <v>0</v>
      </c>
      <c r="DN194" s="6" t="n">
        <v>0</v>
      </c>
      <c r="DO194" s="6" t="n">
        <v>0</v>
      </c>
      <c r="DP194" s="6" t="n">
        <v>0</v>
      </c>
      <c r="DQ194" s="6" t="n">
        <f aca="false">+DK194+DN194+DE194+DH194</f>
        <v>0</v>
      </c>
      <c r="DR194" s="6" t="n">
        <f aca="false">+DL194+DO194+DF194+DI194</f>
        <v>0</v>
      </c>
      <c r="DS194" s="6" t="n">
        <f aca="false">+DM194+DP194+DG194+DJ194</f>
        <v>0</v>
      </c>
      <c r="DT194" s="31" t="n">
        <f aca="false">+P194+AE194+AT194+BI194+BX194+CM194+DB194</f>
        <v>588627</v>
      </c>
      <c r="DU194" s="31" t="n">
        <f aca="false">+Q194+AF194+AU194+BJ194+BY194+CN194+DC194</f>
        <v>588627</v>
      </c>
      <c r="DV194" s="31" t="n">
        <f aca="false">+R194+AG194+AV194+BK194+BZ194+CO194+DD194</f>
        <v>588627</v>
      </c>
      <c r="DW194" s="31" t="n">
        <f aca="false">+DU194-DV194</f>
        <v>0</v>
      </c>
    </row>
    <row r="195" customFormat="false" ht="13.8" hidden="false" customHeight="false" outlineLevel="0" collapsed="false">
      <c r="A195" s="27" t="n">
        <v>45637</v>
      </c>
      <c r="B195" s="28" t="s">
        <v>759</v>
      </c>
      <c r="C195" s="28" t="s">
        <v>760</v>
      </c>
      <c r="D195" s="29" t="s">
        <v>761</v>
      </c>
      <c r="E195" s="28" t="s">
        <v>762</v>
      </c>
      <c r="F195" s="27" t="s">
        <v>763</v>
      </c>
      <c r="G195" s="27" t="s">
        <v>21</v>
      </c>
      <c r="H195" s="30" t="n">
        <v>50000</v>
      </c>
      <c r="I195" s="30" t="n">
        <v>50000</v>
      </c>
      <c r="J195" s="6" t="n">
        <v>0</v>
      </c>
      <c r="K195" s="6" t="n">
        <v>0</v>
      </c>
      <c r="L195" s="6" t="n">
        <v>0</v>
      </c>
      <c r="M195" s="6" t="n">
        <v>0</v>
      </c>
      <c r="N195" s="6" t="n">
        <v>0</v>
      </c>
      <c r="O195" s="6" t="n">
        <v>0</v>
      </c>
      <c r="P195" s="6" t="n">
        <f aca="false">+J195+M195</f>
        <v>0</v>
      </c>
      <c r="Q195" s="6" t="n">
        <f aca="false">+K195+N195</f>
        <v>0</v>
      </c>
      <c r="R195" s="6" t="n">
        <f aca="false">+L195+O195</f>
        <v>0</v>
      </c>
      <c r="S195" s="6" t="n">
        <v>0</v>
      </c>
      <c r="T195" s="6" t="n">
        <v>0</v>
      </c>
      <c r="U195" s="6" t="n">
        <v>0</v>
      </c>
      <c r="V195" s="6" t="n">
        <v>0</v>
      </c>
      <c r="W195" s="6" t="n">
        <v>0</v>
      </c>
      <c r="X195" s="6" t="n">
        <v>0</v>
      </c>
      <c r="Y195" s="6" t="n">
        <v>0</v>
      </c>
      <c r="Z195" s="6" t="n">
        <v>0</v>
      </c>
      <c r="AA195" s="6" t="n">
        <v>0</v>
      </c>
      <c r="AB195" s="6" t="n">
        <v>0</v>
      </c>
      <c r="AC195" s="6" t="n">
        <v>0</v>
      </c>
      <c r="AD195" s="6" t="n">
        <v>0</v>
      </c>
      <c r="AE195" s="6" t="n">
        <f aca="false">+Y195+AB195+S195+V195</f>
        <v>0</v>
      </c>
      <c r="AF195" s="6" t="n">
        <f aca="false">+Z195+AC195+T195+W195</f>
        <v>0</v>
      </c>
      <c r="AG195" s="6" t="n">
        <f aca="false">+AA195+AD195+U195+X195</f>
        <v>0</v>
      </c>
      <c r="AH195" s="6" t="n">
        <v>0</v>
      </c>
      <c r="AI195" s="6" t="n">
        <v>0</v>
      </c>
      <c r="AJ195" s="6" t="n">
        <v>0</v>
      </c>
      <c r="AK195" s="6" t="n">
        <v>0</v>
      </c>
      <c r="AL195" s="6" t="n">
        <v>0</v>
      </c>
      <c r="AM195" s="6" t="n">
        <v>0</v>
      </c>
      <c r="AN195" s="6" t="n">
        <v>0</v>
      </c>
      <c r="AO195" s="6" t="n">
        <v>0</v>
      </c>
      <c r="AP195" s="6" t="n">
        <v>0</v>
      </c>
      <c r="AQ195" s="6" t="n">
        <v>0</v>
      </c>
      <c r="AR195" s="6" t="n">
        <v>0</v>
      </c>
      <c r="AS195" s="6" t="n">
        <v>0</v>
      </c>
      <c r="AT195" s="6" t="n">
        <f aca="false">+AN195+AQ195+AH195+AK195</f>
        <v>0</v>
      </c>
      <c r="AU195" s="6" t="n">
        <f aca="false">+AO195+AR195+AI195+AL195</f>
        <v>0</v>
      </c>
      <c r="AV195" s="6" t="n">
        <f aca="false">+AP195+AS195+AJ195+AM195</f>
        <v>0</v>
      </c>
      <c r="AW195" s="6" t="n">
        <v>0</v>
      </c>
      <c r="AX195" s="6" t="n">
        <v>0</v>
      </c>
      <c r="AY195" s="6" t="n">
        <v>0</v>
      </c>
      <c r="AZ195" s="6" t="n">
        <v>0</v>
      </c>
      <c r="BA195" s="6" t="n">
        <v>0</v>
      </c>
      <c r="BB195" s="6" t="n">
        <v>0</v>
      </c>
      <c r="BC195" s="6" t="n">
        <v>0</v>
      </c>
      <c r="BD195" s="6" t="n">
        <v>0</v>
      </c>
      <c r="BE195" s="6" t="n">
        <v>0</v>
      </c>
      <c r="BF195" s="6" t="n">
        <v>0</v>
      </c>
      <c r="BG195" s="6" t="n">
        <v>0</v>
      </c>
      <c r="BH195" s="6" t="n">
        <v>0</v>
      </c>
      <c r="BI195" s="6" t="n">
        <f aca="false">+BC195+BF195+AW195+AZ195</f>
        <v>0</v>
      </c>
      <c r="BJ195" s="6" t="n">
        <f aca="false">+BD195+BG195+AX195+BA195</f>
        <v>0</v>
      </c>
      <c r="BK195" s="6" t="n">
        <f aca="false">+BE195+BH195+AY195+BB195</f>
        <v>0</v>
      </c>
      <c r="BL195" s="6" t="n">
        <v>0</v>
      </c>
      <c r="BM195" s="6" t="n">
        <v>0</v>
      </c>
      <c r="BN195" s="6" t="n">
        <v>0</v>
      </c>
      <c r="BO195" s="6" t="n">
        <v>0</v>
      </c>
      <c r="BP195" s="6" t="n">
        <v>0</v>
      </c>
      <c r="BQ195" s="6" t="n">
        <v>0</v>
      </c>
      <c r="BR195" s="6" t="n">
        <v>0</v>
      </c>
      <c r="BS195" s="6" t="n">
        <v>0</v>
      </c>
      <c r="BT195" s="6" t="n">
        <v>0</v>
      </c>
      <c r="BU195" s="6" t="n">
        <v>0</v>
      </c>
      <c r="BV195" s="6" t="n">
        <v>0</v>
      </c>
      <c r="BW195" s="6" t="n">
        <v>0</v>
      </c>
      <c r="BX195" s="6" t="n">
        <f aca="false">+BR195+BU195+BL195+BO195</f>
        <v>0</v>
      </c>
      <c r="BY195" s="6" t="n">
        <f aca="false">+BS195+BV195+BM195+BP195</f>
        <v>0</v>
      </c>
      <c r="BZ195" s="6" t="n">
        <f aca="false">+BT195+BW195+BN195+BQ195</f>
        <v>0</v>
      </c>
      <c r="CA195" s="6" t="n">
        <v>50000</v>
      </c>
      <c r="CB195" s="6" t="n">
        <v>50000</v>
      </c>
      <c r="CC195" s="6" t="n">
        <v>0</v>
      </c>
      <c r="CD195" s="6" t="n">
        <v>0</v>
      </c>
      <c r="CE195" s="6" t="n">
        <v>0</v>
      </c>
      <c r="CF195" s="6" t="n">
        <v>50000</v>
      </c>
      <c r="CG195" s="6" t="n">
        <v>0</v>
      </c>
      <c r="CH195" s="6" t="n">
        <v>0</v>
      </c>
      <c r="CI195" s="6" t="n">
        <v>0</v>
      </c>
      <c r="CJ195" s="6" t="n">
        <v>0</v>
      </c>
      <c r="CK195" s="6" t="n">
        <v>0</v>
      </c>
      <c r="CL195" s="6" t="n">
        <v>0</v>
      </c>
      <c r="CM195" s="6" t="n">
        <f aca="false">+CG195+CJ195+CA195+CD195</f>
        <v>50000</v>
      </c>
      <c r="CN195" s="6" t="n">
        <f aca="false">+CH195+CK195+CB195+CE195</f>
        <v>50000</v>
      </c>
      <c r="CO195" s="6" t="n">
        <f aca="false">+CI195+CL195+CC195+CF195</f>
        <v>50000</v>
      </c>
      <c r="CP195" s="6" t="n">
        <v>0</v>
      </c>
      <c r="CQ195" s="6" t="n">
        <v>0</v>
      </c>
      <c r="CR195" s="6" t="n">
        <v>0</v>
      </c>
      <c r="CS195" s="6" t="n">
        <v>0</v>
      </c>
      <c r="CT195" s="6" t="n">
        <v>0</v>
      </c>
      <c r="CU195" s="6" t="n">
        <v>0</v>
      </c>
      <c r="CV195" s="6" t="n">
        <v>0</v>
      </c>
      <c r="CW195" s="6" t="n">
        <v>0</v>
      </c>
      <c r="CX195" s="6" t="n">
        <v>0</v>
      </c>
      <c r="CY195" s="6" t="n">
        <v>0</v>
      </c>
      <c r="CZ195" s="6" t="n">
        <v>0</v>
      </c>
      <c r="DA195" s="6" t="n">
        <v>0</v>
      </c>
      <c r="DB195" s="6" t="n">
        <f aca="false">+CV195+CY195+CP195+CS195</f>
        <v>0</v>
      </c>
      <c r="DC195" s="6" t="n">
        <f aca="false">+CW195+CZ195+CQ195+CT195</f>
        <v>0</v>
      </c>
      <c r="DD195" s="6" t="n">
        <f aca="false">+CX195+DA195+CR195+CU195</f>
        <v>0</v>
      </c>
      <c r="DE195" s="6" t="n">
        <v>0</v>
      </c>
      <c r="DF195" s="6" t="n">
        <v>0</v>
      </c>
      <c r="DG195" s="6" t="n">
        <v>0</v>
      </c>
      <c r="DH195" s="6" t="n">
        <v>0</v>
      </c>
      <c r="DI195" s="6" t="n">
        <v>0</v>
      </c>
      <c r="DJ195" s="6" t="n">
        <v>0</v>
      </c>
      <c r="DK195" s="6" t="n">
        <v>0</v>
      </c>
      <c r="DL195" s="6" t="n">
        <v>0</v>
      </c>
      <c r="DM195" s="6" t="n">
        <v>0</v>
      </c>
      <c r="DN195" s="6" t="n">
        <v>0</v>
      </c>
      <c r="DO195" s="6" t="n">
        <v>0</v>
      </c>
      <c r="DP195" s="6" t="n">
        <v>0</v>
      </c>
      <c r="DQ195" s="6" t="n">
        <f aca="false">+DK195+DN195+DE195+DH195</f>
        <v>0</v>
      </c>
      <c r="DR195" s="6" t="n">
        <f aca="false">+DL195+DO195+DF195+DI195</f>
        <v>0</v>
      </c>
      <c r="DS195" s="6" t="n">
        <f aca="false">+DM195+DP195+DG195+DJ195</f>
        <v>0</v>
      </c>
      <c r="DT195" s="31" t="n">
        <f aca="false">+P195+AE195+AT195+BI195+BX195+CM195+DB195</f>
        <v>50000</v>
      </c>
      <c r="DU195" s="31" t="n">
        <f aca="false">+Q195+AF195+AU195+BJ195+BY195+CN195+DC195</f>
        <v>50000</v>
      </c>
      <c r="DV195" s="31" t="n">
        <f aca="false">+R195+AG195+AV195+BK195+BZ195+CO195+DD195</f>
        <v>50000</v>
      </c>
      <c r="DW195" s="31" t="n">
        <f aca="false">+DU195-DV195</f>
        <v>0</v>
      </c>
    </row>
    <row r="196" customFormat="false" ht="13.8" hidden="false" customHeight="false" outlineLevel="0" collapsed="false">
      <c r="A196" s="27" t="n">
        <v>45637</v>
      </c>
      <c r="B196" s="28" t="s">
        <v>759</v>
      </c>
      <c r="C196" s="28" t="s">
        <v>760</v>
      </c>
      <c r="D196" s="29" t="s">
        <v>761</v>
      </c>
      <c r="E196" s="28" t="s">
        <v>762</v>
      </c>
      <c r="F196" s="27" t="s">
        <v>763</v>
      </c>
      <c r="G196" s="27" t="s">
        <v>21</v>
      </c>
      <c r="H196" s="30" t="n">
        <v>6400000</v>
      </c>
      <c r="I196" s="30" t="n">
        <v>4699428.78</v>
      </c>
      <c r="J196" s="6" t="n">
        <v>0</v>
      </c>
      <c r="K196" s="6" t="n">
        <v>0</v>
      </c>
      <c r="L196" s="6" t="n">
        <v>0</v>
      </c>
      <c r="M196" s="6" t="n">
        <v>0</v>
      </c>
      <c r="N196" s="6" t="n">
        <v>0</v>
      </c>
      <c r="O196" s="6" t="n">
        <v>0</v>
      </c>
      <c r="P196" s="6" t="n">
        <f aca="false">+J196+M196</f>
        <v>0</v>
      </c>
      <c r="Q196" s="6" t="n">
        <f aca="false">+K196+N196</f>
        <v>0</v>
      </c>
      <c r="R196" s="6" t="n">
        <f aca="false">+L196+O196</f>
        <v>0</v>
      </c>
      <c r="S196" s="6" t="n">
        <v>0</v>
      </c>
      <c r="T196" s="6" t="n">
        <v>0</v>
      </c>
      <c r="U196" s="6" t="n">
        <v>0</v>
      </c>
      <c r="V196" s="6" t="n">
        <v>0</v>
      </c>
      <c r="W196" s="6" t="n">
        <v>0</v>
      </c>
      <c r="X196" s="6" t="n">
        <v>0</v>
      </c>
      <c r="Y196" s="6" t="n">
        <v>0</v>
      </c>
      <c r="Z196" s="6" t="n">
        <v>0</v>
      </c>
      <c r="AA196" s="6" t="n">
        <v>0</v>
      </c>
      <c r="AB196" s="6" t="n">
        <v>0</v>
      </c>
      <c r="AC196" s="6" t="n">
        <v>0</v>
      </c>
      <c r="AD196" s="6" t="n">
        <v>0</v>
      </c>
      <c r="AE196" s="6" t="n">
        <f aca="false">+Y196+AB196+S196+V196</f>
        <v>0</v>
      </c>
      <c r="AF196" s="6" t="n">
        <f aca="false">+Z196+AC196+T196+W196</f>
        <v>0</v>
      </c>
      <c r="AG196" s="6" t="n">
        <f aca="false">+AA196+AD196+U196+X196</f>
        <v>0</v>
      </c>
      <c r="AH196" s="6" t="n">
        <v>0</v>
      </c>
      <c r="AI196" s="6" t="n">
        <v>0</v>
      </c>
      <c r="AJ196" s="6" t="n">
        <v>0</v>
      </c>
      <c r="AK196" s="6" t="n">
        <v>0</v>
      </c>
      <c r="AL196" s="6" t="n">
        <v>0</v>
      </c>
      <c r="AM196" s="6" t="n">
        <v>0</v>
      </c>
      <c r="AN196" s="6" t="n">
        <v>0</v>
      </c>
      <c r="AO196" s="6" t="n">
        <v>0</v>
      </c>
      <c r="AP196" s="6" t="n">
        <v>0</v>
      </c>
      <c r="AQ196" s="6" t="n">
        <v>0</v>
      </c>
      <c r="AR196" s="6" t="n">
        <v>0</v>
      </c>
      <c r="AS196" s="6" t="n">
        <v>0</v>
      </c>
      <c r="AT196" s="6" t="n">
        <f aca="false">+AN196+AQ196+AH196+AK196</f>
        <v>0</v>
      </c>
      <c r="AU196" s="6" t="n">
        <f aca="false">+AO196+AR196+AI196+AL196</f>
        <v>0</v>
      </c>
      <c r="AV196" s="6" t="n">
        <f aca="false">+AP196+AS196+AJ196+AM196</f>
        <v>0</v>
      </c>
      <c r="AW196" s="6" t="n">
        <v>0</v>
      </c>
      <c r="AX196" s="6" t="n">
        <v>0</v>
      </c>
      <c r="AY196" s="6" t="n">
        <v>0</v>
      </c>
      <c r="AZ196" s="6" t="n">
        <v>0</v>
      </c>
      <c r="BA196" s="6" t="n">
        <v>0</v>
      </c>
      <c r="BB196" s="6" t="n">
        <v>0</v>
      </c>
      <c r="BC196" s="6" t="n">
        <v>0</v>
      </c>
      <c r="BD196" s="6" t="n">
        <v>0</v>
      </c>
      <c r="BE196" s="6" t="n">
        <v>0</v>
      </c>
      <c r="BF196" s="6" t="n">
        <v>0</v>
      </c>
      <c r="BG196" s="6" t="n">
        <v>0</v>
      </c>
      <c r="BH196" s="6" t="n">
        <v>0</v>
      </c>
      <c r="BI196" s="6" t="n">
        <f aca="false">+BC196+BF196+AW196+AZ196</f>
        <v>0</v>
      </c>
      <c r="BJ196" s="6" t="n">
        <f aca="false">+BD196+BG196+AX196+BA196</f>
        <v>0</v>
      </c>
      <c r="BK196" s="6" t="n">
        <f aca="false">+BE196+BH196+AY196+BB196</f>
        <v>0</v>
      </c>
      <c r="BL196" s="6" t="n">
        <v>0</v>
      </c>
      <c r="BM196" s="6" t="n">
        <v>0</v>
      </c>
      <c r="BN196" s="6" t="n">
        <v>0</v>
      </c>
      <c r="BO196" s="6" t="n">
        <v>0</v>
      </c>
      <c r="BP196" s="6" t="n">
        <v>0</v>
      </c>
      <c r="BQ196" s="6" t="n">
        <v>0</v>
      </c>
      <c r="BR196" s="6" t="n">
        <v>0</v>
      </c>
      <c r="BS196" s="6" t="n">
        <v>0</v>
      </c>
      <c r="BT196" s="6" t="n">
        <v>0</v>
      </c>
      <c r="BU196" s="6" t="n">
        <v>0</v>
      </c>
      <c r="BV196" s="6" t="n">
        <v>0</v>
      </c>
      <c r="BW196" s="6" t="n">
        <v>0</v>
      </c>
      <c r="BX196" s="6" t="n">
        <f aca="false">+BR196+BU196+BL196+BO196</f>
        <v>0</v>
      </c>
      <c r="BY196" s="6" t="n">
        <f aca="false">+BS196+BV196+BM196+BP196</f>
        <v>0</v>
      </c>
      <c r="BZ196" s="6" t="n">
        <f aca="false">+BT196+BW196+BN196+BQ196</f>
        <v>0</v>
      </c>
      <c r="CA196" s="6" t="n">
        <v>6400000</v>
      </c>
      <c r="CB196" s="6" t="n">
        <v>4699428.78</v>
      </c>
      <c r="CC196" s="6" t="n">
        <v>0</v>
      </c>
      <c r="CD196" s="6" t="n">
        <v>0</v>
      </c>
      <c r="CE196" s="6" t="n">
        <v>0</v>
      </c>
      <c r="CF196" s="6" t="n">
        <v>4699428.78</v>
      </c>
      <c r="CG196" s="6" t="n">
        <v>0</v>
      </c>
      <c r="CH196" s="6" t="n">
        <v>0</v>
      </c>
      <c r="CI196" s="6" t="n">
        <v>0</v>
      </c>
      <c r="CJ196" s="6" t="n">
        <v>0</v>
      </c>
      <c r="CK196" s="6" t="n">
        <v>0</v>
      </c>
      <c r="CL196" s="6" t="n">
        <v>0</v>
      </c>
      <c r="CM196" s="6" t="n">
        <f aca="false">+CG196+CJ196+CA196+CD196</f>
        <v>6400000</v>
      </c>
      <c r="CN196" s="6" t="n">
        <f aca="false">+CH196+CK196+CB196+CE196</f>
        <v>4699428.78</v>
      </c>
      <c r="CO196" s="6" t="n">
        <f aca="false">+CI196+CL196+CC196+CF196</f>
        <v>4699428.78</v>
      </c>
      <c r="CP196" s="6" t="n">
        <v>0</v>
      </c>
      <c r="CQ196" s="6" t="n">
        <v>0</v>
      </c>
      <c r="CR196" s="6" t="n">
        <v>0</v>
      </c>
      <c r="CS196" s="6" t="n">
        <v>0</v>
      </c>
      <c r="CT196" s="6" t="n">
        <v>0</v>
      </c>
      <c r="CU196" s="6" t="n">
        <v>0</v>
      </c>
      <c r="CV196" s="6" t="n">
        <v>0</v>
      </c>
      <c r="CW196" s="6" t="n">
        <v>0</v>
      </c>
      <c r="CX196" s="6" t="n">
        <v>0</v>
      </c>
      <c r="CY196" s="6" t="n">
        <v>0</v>
      </c>
      <c r="CZ196" s="6" t="n">
        <v>0</v>
      </c>
      <c r="DA196" s="6" t="n">
        <v>0</v>
      </c>
      <c r="DB196" s="6" t="n">
        <f aca="false">+CV196+CY196+CP196+CS196</f>
        <v>0</v>
      </c>
      <c r="DC196" s="6" t="n">
        <f aca="false">+CW196+CZ196+CQ196+CT196</f>
        <v>0</v>
      </c>
      <c r="DD196" s="6" t="n">
        <f aca="false">+CX196+DA196+CR196+CU196</f>
        <v>0</v>
      </c>
      <c r="DE196" s="6" t="n">
        <v>0</v>
      </c>
      <c r="DF196" s="6" t="n">
        <v>0</v>
      </c>
      <c r="DG196" s="6" t="n">
        <v>0</v>
      </c>
      <c r="DH196" s="6" t="n">
        <v>0</v>
      </c>
      <c r="DI196" s="6" t="n">
        <v>0</v>
      </c>
      <c r="DJ196" s="6" t="n">
        <v>0</v>
      </c>
      <c r="DK196" s="6" t="n">
        <v>0</v>
      </c>
      <c r="DL196" s="6" t="n">
        <v>0</v>
      </c>
      <c r="DM196" s="6" t="n">
        <v>0</v>
      </c>
      <c r="DN196" s="6" t="n">
        <v>0</v>
      </c>
      <c r="DO196" s="6" t="n">
        <v>0</v>
      </c>
      <c r="DP196" s="6" t="n">
        <v>0</v>
      </c>
      <c r="DQ196" s="6" t="n">
        <f aca="false">+DK196+DN196+DE196+DH196</f>
        <v>0</v>
      </c>
      <c r="DR196" s="6" t="n">
        <f aca="false">+DL196+DO196+DF196+DI196</f>
        <v>0</v>
      </c>
      <c r="DS196" s="6" t="n">
        <f aca="false">+DM196+DP196+DG196+DJ196</f>
        <v>0</v>
      </c>
      <c r="DT196" s="31" t="n">
        <f aca="false">+P196+AE196+AT196+BI196+BX196+CM196+DB196</f>
        <v>6400000</v>
      </c>
      <c r="DU196" s="31" t="n">
        <f aca="false">+Q196+AF196+AU196+BJ196+BY196+CN196+DC196</f>
        <v>4699428.78</v>
      </c>
      <c r="DV196" s="31" t="n">
        <f aca="false">+R196+AG196+AV196+BK196+BZ196+CO196+DD196</f>
        <v>4699428.78</v>
      </c>
      <c r="DW196" s="31" t="n">
        <f aca="false">+DU196-DV196</f>
        <v>0</v>
      </c>
    </row>
    <row r="197" customFormat="false" ht="13.8" hidden="false" customHeight="false" outlineLevel="0" collapsed="false">
      <c r="A197" s="27" t="n">
        <v>45994</v>
      </c>
      <c r="B197" s="28" t="s">
        <v>764</v>
      </c>
      <c r="C197" s="28" t="s">
        <v>760</v>
      </c>
      <c r="D197" s="29" t="s">
        <v>761</v>
      </c>
      <c r="E197" s="28" t="s">
        <v>762</v>
      </c>
      <c r="F197" s="27" t="s">
        <v>763</v>
      </c>
      <c r="G197" s="27" t="s">
        <v>21</v>
      </c>
      <c r="H197" s="30"/>
      <c r="I197" s="30" t="n">
        <v>1700571.21</v>
      </c>
      <c r="J197" s="6" t="n">
        <v>0</v>
      </c>
      <c r="K197" s="6" t="n">
        <v>0</v>
      </c>
      <c r="L197" s="6" t="n">
        <v>0</v>
      </c>
      <c r="M197" s="6" t="n">
        <v>0</v>
      </c>
      <c r="N197" s="6" t="n">
        <v>0</v>
      </c>
      <c r="O197" s="6" t="n">
        <v>0</v>
      </c>
      <c r="P197" s="6" t="n">
        <f aca="false">+J197+M197</f>
        <v>0</v>
      </c>
      <c r="Q197" s="6" t="n">
        <f aca="false">+K197+N197</f>
        <v>0</v>
      </c>
      <c r="R197" s="6" t="n">
        <f aca="false">+L197+O197</f>
        <v>0</v>
      </c>
      <c r="S197" s="6" t="n">
        <v>0</v>
      </c>
      <c r="T197" s="6" t="n">
        <v>0</v>
      </c>
      <c r="U197" s="6" t="n">
        <v>0</v>
      </c>
      <c r="V197" s="6" t="n">
        <v>0</v>
      </c>
      <c r="W197" s="6" t="n">
        <v>0</v>
      </c>
      <c r="X197" s="6" t="n">
        <v>0</v>
      </c>
      <c r="Y197" s="6" t="n">
        <v>0</v>
      </c>
      <c r="Z197" s="6" t="n">
        <v>0</v>
      </c>
      <c r="AA197" s="6" t="n">
        <v>0</v>
      </c>
      <c r="AB197" s="6" t="n">
        <v>0</v>
      </c>
      <c r="AC197" s="6" t="n">
        <v>0</v>
      </c>
      <c r="AD197" s="6" t="n">
        <v>0</v>
      </c>
      <c r="AE197" s="6" t="n">
        <f aca="false">+Y197+AB197+S197+V197</f>
        <v>0</v>
      </c>
      <c r="AF197" s="6" t="n">
        <f aca="false">+Z197+AC197+T197+W197</f>
        <v>0</v>
      </c>
      <c r="AG197" s="6" t="n">
        <f aca="false">+AA197+AD197+U197+X197</f>
        <v>0</v>
      </c>
      <c r="AH197" s="6" t="n">
        <v>0</v>
      </c>
      <c r="AI197" s="6" t="n">
        <v>0</v>
      </c>
      <c r="AJ197" s="6" t="n">
        <v>0</v>
      </c>
      <c r="AK197" s="6" t="n">
        <v>0</v>
      </c>
      <c r="AL197" s="6" t="n">
        <v>0</v>
      </c>
      <c r="AM197" s="6" t="n">
        <v>0</v>
      </c>
      <c r="AN197" s="6" t="n">
        <v>0</v>
      </c>
      <c r="AO197" s="6" t="n">
        <v>0</v>
      </c>
      <c r="AP197" s="6" t="n">
        <v>0</v>
      </c>
      <c r="AQ197" s="6" t="n">
        <v>0</v>
      </c>
      <c r="AR197" s="6" t="n">
        <v>0</v>
      </c>
      <c r="AS197" s="6" t="n">
        <v>0</v>
      </c>
      <c r="AT197" s="6" t="n">
        <f aca="false">+AN197+AQ197+AH197+AK197</f>
        <v>0</v>
      </c>
      <c r="AU197" s="6" t="n">
        <f aca="false">+AO197+AR197+AI197+AL197</f>
        <v>0</v>
      </c>
      <c r="AV197" s="6" t="n">
        <f aca="false">+AP197+AS197+AJ197+AM197</f>
        <v>0</v>
      </c>
      <c r="AW197" s="6" t="n">
        <v>0</v>
      </c>
      <c r="AX197" s="6" t="n">
        <v>0</v>
      </c>
      <c r="AY197" s="6" t="n">
        <v>0</v>
      </c>
      <c r="AZ197" s="6" t="n">
        <v>0</v>
      </c>
      <c r="BA197" s="6" t="n">
        <v>0</v>
      </c>
      <c r="BB197" s="6" t="n">
        <v>0</v>
      </c>
      <c r="BC197" s="6" t="n">
        <v>0</v>
      </c>
      <c r="BD197" s="6" t="n">
        <v>0</v>
      </c>
      <c r="BE197" s="6" t="n">
        <v>0</v>
      </c>
      <c r="BF197" s="6" t="n">
        <v>0</v>
      </c>
      <c r="BG197" s="6" t="n">
        <v>0</v>
      </c>
      <c r="BH197" s="6" t="n">
        <v>0</v>
      </c>
      <c r="BI197" s="6" t="n">
        <f aca="false">+BC197+BF197+AW197+AZ197</f>
        <v>0</v>
      </c>
      <c r="BJ197" s="6" t="n">
        <f aca="false">+BD197+BG197+AX197+BA197</f>
        <v>0</v>
      </c>
      <c r="BK197" s="6" t="n">
        <f aca="false">+BE197+BH197+AY197+BB197</f>
        <v>0</v>
      </c>
      <c r="BL197" s="6" t="n">
        <v>0</v>
      </c>
      <c r="BM197" s="6" t="n">
        <v>0</v>
      </c>
      <c r="BN197" s="6" t="n">
        <v>0</v>
      </c>
      <c r="BO197" s="6" t="n">
        <v>0</v>
      </c>
      <c r="BP197" s="6" t="n">
        <v>0</v>
      </c>
      <c r="BQ197" s="6" t="n">
        <v>0</v>
      </c>
      <c r="BR197" s="6" t="n">
        <v>0</v>
      </c>
      <c r="BS197" s="6" t="n">
        <v>0</v>
      </c>
      <c r="BT197" s="6" t="n">
        <v>0</v>
      </c>
      <c r="BU197" s="6" t="n">
        <v>0</v>
      </c>
      <c r="BV197" s="6" t="n">
        <v>0</v>
      </c>
      <c r="BW197" s="6" t="n">
        <v>0</v>
      </c>
      <c r="BX197" s="6" t="n">
        <f aca="false">+BR197+BU197+BL197+BO197</f>
        <v>0</v>
      </c>
      <c r="BY197" s="6" t="n">
        <f aca="false">+BS197+BV197+BM197+BP197</f>
        <v>0</v>
      </c>
      <c r="BZ197" s="6" t="n">
        <f aca="false">+BT197+BW197+BN197+BQ197</f>
        <v>0</v>
      </c>
      <c r="CA197" s="6" t="n">
        <v>0</v>
      </c>
      <c r="CB197" s="6" t="n">
        <v>1700571.21</v>
      </c>
      <c r="CC197" s="6" t="n">
        <v>0</v>
      </c>
      <c r="CD197" s="6" t="n">
        <v>0</v>
      </c>
      <c r="CE197" s="6" t="n">
        <v>0</v>
      </c>
      <c r="CF197" s="6" t="n">
        <v>0</v>
      </c>
      <c r="CG197" s="6" t="n">
        <v>0</v>
      </c>
      <c r="CH197" s="6" t="n">
        <v>0</v>
      </c>
      <c r="CI197" s="6" t="n">
        <v>0</v>
      </c>
      <c r="CJ197" s="6" t="n">
        <v>0</v>
      </c>
      <c r="CK197" s="6" t="n">
        <v>0</v>
      </c>
      <c r="CL197" s="6" t="n">
        <v>0</v>
      </c>
      <c r="CM197" s="6" t="n">
        <f aca="false">+CG197+CJ197+CA197+CD197</f>
        <v>0</v>
      </c>
      <c r="CN197" s="6" t="n">
        <f aca="false">+CH197+CK197+CB197+CE197</f>
        <v>1700571.21</v>
      </c>
      <c r="CO197" s="6" t="n">
        <f aca="false">+CI197+CL197+CC197+CF197</f>
        <v>0</v>
      </c>
      <c r="CP197" s="6" t="n">
        <v>0</v>
      </c>
      <c r="CQ197" s="6" t="n">
        <v>0</v>
      </c>
      <c r="CR197" s="6" t="n">
        <v>0</v>
      </c>
      <c r="CS197" s="6" t="n">
        <v>0</v>
      </c>
      <c r="CT197" s="6" t="n">
        <v>0</v>
      </c>
      <c r="CU197" s="6" t="n">
        <v>1700571.21</v>
      </c>
      <c r="CV197" s="6" t="n">
        <v>0</v>
      </c>
      <c r="CW197" s="6" t="n">
        <v>0</v>
      </c>
      <c r="CX197" s="6" t="n">
        <v>0</v>
      </c>
      <c r="CY197" s="6" t="n">
        <v>0</v>
      </c>
      <c r="CZ197" s="6" t="n">
        <v>0</v>
      </c>
      <c r="DA197" s="6" t="n">
        <v>0</v>
      </c>
      <c r="DB197" s="6" t="n">
        <f aca="false">+CV197+CY197+CP197+CS197</f>
        <v>0</v>
      </c>
      <c r="DC197" s="6" t="n">
        <f aca="false">+CW197+CZ197+CQ197+CT197</f>
        <v>0</v>
      </c>
      <c r="DD197" s="6" t="n">
        <f aca="false">+CX197+DA197+CR197+CU197</f>
        <v>1700571.21</v>
      </c>
      <c r="DE197" s="6" t="n">
        <v>0</v>
      </c>
      <c r="DF197" s="6" t="n">
        <v>0</v>
      </c>
      <c r="DG197" s="6" t="n">
        <v>0</v>
      </c>
      <c r="DH197" s="6" t="n">
        <v>0</v>
      </c>
      <c r="DI197" s="6" t="n">
        <v>0</v>
      </c>
      <c r="DJ197" s="6" t="n">
        <v>1700571.21</v>
      </c>
      <c r="DK197" s="6" t="n">
        <v>0</v>
      </c>
      <c r="DL197" s="6" t="n">
        <v>0</v>
      </c>
      <c r="DM197" s="6" t="n">
        <v>0</v>
      </c>
      <c r="DN197" s="6" t="n">
        <v>0</v>
      </c>
      <c r="DO197" s="6" t="n">
        <v>0</v>
      </c>
      <c r="DP197" s="6" t="n">
        <v>0</v>
      </c>
      <c r="DQ197" s="6" t="n">
        <f aca="false">+DK197+DN197+DE197+DH197</f>
        <v>0</v>
      </c>
      <c r="DR197" s="6" t="n">
        <f aca="false">+DL197+DO197+DF197+DI197</f>
        <v>0</v>
      </c>
      <c r="DS197" s="6" t="n">
        <f aca="false">+DM197+DP197+DG197+DJ197</f>
        <v>1700571.21</v>
      </c>
      <c r="DT197" s="31" t="n">
        <f aca="false">+P197+AE197+AT197+BI197+BX197+CM197+DB197</f>
        <v>0</v>
      </c>
      <c r="DU197" s="31" t="n">
        <f aca="false">+Q197+AF197+AU197+BJ197+BY197+CN197+DC197</f>
        <v>1700571.21</v>
      </c>
      <c r="DV197" s="31" t="n">
        <f aca="false">+R197+AG197+AV197+BK197+BZ197+CO197+DD197</f>
        <v>1700571.21</v>
      </c>
      <c r="DW197" s="31" t="n">
        <f aca="false">+DU197-DV197</f>
        <v>0</v>
      </c>
    </row>
    <row r="198" customFormat="false" ht="13.8" hidden="false" customHeight="false" outlineLevel="0" collapsed="false">
      <c r="A198" s="27" t="n">
        <v>46027</v>
      </c>
      <c r="B198" s="28" t="s">
        <v>765</v>
      </c>
      <c r="C198" s="28" t="s">
        <v>766</v>
      </c>
      <c r="D198" s="29" t="s">
        <v>767</v>
      </c>
      <c r="E198" s="28" t="s">
        <v>768</v>
      </c>
      <c r="F198" s="27" t="s">
        <v>769</v>
      </c>
      <c r="G198" s="27" t="s">
        <v>26</v>
      </c>
      <c r="H198" s="30" t="n">
        <v>3308467.83</v>
      </c>
      <c r="I198" s="30" t="n">
        <v>3308467.83</v>
      </c>
      <c r="J198" s="6" t="n">
        <v>0</v>
      </c>
      <c r="K198" s="6" t="n">
        <v>0</v>
      </c>
      <c r="L198" s="6" t="n">
        <v>0</v>
      </c>
      <c r="M198" s="6" t="n">
        <v>0</v>
      </c>
      <c r="N198" s="6" t="n">
        <v>0</v>
      </c>
      <c r="O198" s="6" t="n">
        <v>0</v>
      </c>
      <c r="P198" s="6" t="n">
        <f aca="false">+J198+M198</f>
        <v>0</v>
      </c>
      <c r="Q198" s="6" t="n">
        <f aca="false">+K198+N198</f>
        <v>0</v>
      </c>
      <c r="R198" s="6" t="n">
        <f aca="false">+L198+O198</f>
        <v>0</v>
      </c>
      <c r="S198" s="6" t="n">
        <v>0</v>
      </c>
      <c r="T198" s="6" t="n">
        <v>0</v>
      </c>
      <c r="U198" s="6" t="n">
        <v>0</v>
      </c>
      <c r="V198" s="6" t="n">
        <v>0</v>
      </c>
      <c r="W198" s="6" t="n">
        <v>0</v>
      </c>
      <c r="X198" s="6" t="n">
        <v>0</v>
      </c>
      <c r="Y198" s="6" t="n">
        <v>0</v>
      </c>
      <c r="Z198" s="6" t="n">
        <v>0</v>
      </c>
      <c r="AA198" s="6" t="n">
        <v>0</v>
      </c>
      <c r="AB198" s="6" t="n">
        <v>0</v>
      </c>
      <c r="AC198" s="6" t="n">
        <v>0</v>
      </c>
      <c r="AD198" s="6" t="n">
        <v>0</v>
      </c>
      <c r="AE198" s="6" t="n">
        <f aca="false">+Y198+AB198+S198+V198</f>
        <v>0</v>
      </c>
      <c r="AF198" s="6" t="n">
        <f aca="false">+Z198+AC198+T198+W198</f>
        <v>0</v>
      </c>
      <c r="AG198" s="6" t="n">
        <f aca="false">+AA198+AD198+U198+X198</f>
        <v>0</v>
      </c>
      <c r="AH198" s="6" t="n">
        <v>0</v>
      </c>
      <c r="AI198" s="6" t="n">
        <v>0</v>
      </c>
      <c r="AJ198" s="6" t="n">
        <v>0</v>
      </c>
      <c r="AK198" s="6" t="n">
        <v>0</v>
      </c>
      <c r="AL198" s="6" t="n">
        <v>0</v>
      </c>
      <c r="AM198" s="6" t="n">
        <v>0</v>
      </c>
      <c r="AN198" s="6" t="n">
        <v>0</v>
      </c>
      <c r="AO198" s="6" t="n">
        <v>0</v>
      </c>
      <c r="AP198" s="6" t="n">
        <v>0</v>
      </c>
      <c r="AQ198" s="6" t="n">
        <v>0</v>
      </c>
      <c r="AR198" s="6" t="n">
        <v>0</v>
      </c>
      <c r="AS198" s="6" t="n">
        <v>0</v>
      </c>
      <c r="AT198" s="6" t="n">
        <f aca="false">+AN198+AQ198+AH198+AK198</f>
        <v>0</v>
      </c>
      <c r="AU198" s="6" t="n">
        <f aca="false">+AO198+AR198+AI198+AL198</f>
        <v>0</v>
      </c>
      <c r="AV198" s="6" t="n">
        <f aca="false">+AP198+AS198+AJ198+AM198</f>
        <v>0</v>
      </c>
      <c r="AW198" s="6" t="n">
        <v>0</v>
      </c>
      <c r="AX198" s="6" t="n">
        <v>0</v>
      </c>
      <c r="AY198" s="6" t="n">
        <v>0</v>
      </c>
      <c r="AZ198" s="6" t="n">
        <v>0</v>
      </c>
      <c r="BA198" s="6" t="n">
        <v>0</v>
      </c>
      <c r="BB198" s="6" t="n">
        <v>0</v>
      </c>
      <c r="BC198" s="6" t="n">
        <v>0</v>
      </c>
      <c r="BD198" s="6" t="n">
        <v>0</v>
      </c>
      <c r="BE198" s="6" t="n">
        <v>0</v>
      </c>
      <c r="BF198" s="6" t="n">
        <v>0</v>
      </c>
      <c r="BG198" s="6" t="n">
        <v>0</v>
      </c>
      <c r="BH198" s="6" t="n">
        <v>0</v>
      </c>
      <c r="BI198" s="6" t="n">
        <f aca="false">+BC198+BF198+AW198+AZ198</f>
        <v>0</v>
      </c>
      <c r="BJ198" s="6" t="n">
        <f aca="false">+BD198+BG198+AX198+BA198</f>
        <v>0</v>
      </c>
      <c r="BK198" s="6" t="n">
        <f aca="false">+BE198+BH198+AY198+BB198</f>
        <v>0</v>
      </c>
      <c r="BL198" s="6" t="n">
        <v>0</v>
      </c>
      <c r="BM198" s="6" t="n">
        <v>0</v>
      </c>
      <c r="BN198" s="6" t="n">
        <v>0</v>
      </c>
      <c r="BO198" s="6" t="n">
        <v>0</v>
      </c>
      <c r="BP198" s="6" t="n">
        <v>0</v>
      </c>
      <c r="BQ198" s="6" t="n">
        <v>0</v>
      </c>
      <c r="BR198" s="6" t="n">
        <v>0</v>
      </c>
      <c r="BS198" s="6" t="n">
        <v>0</v>
      </c>
      <c r="BT198" s="6" t="n">
        <v>0</v>
      </c>
      <c r="BU198" s="6" t="n">
        <v>0</v>
      </c>
      <c r="BV198" s="6" t="n">
        <v>0</v>
      </c>
      <c r="BW198" s="6" t="n">
        <v>0</v>
      </c>
      <c r="BX198" s="6" t="n">
        <f aca="false">+BR198+BU198+BL198+BO198</f>
        <v>0</v>
      </c>
      <c r="BY198" s="6" t="n">
        <f aca="false">+BS198+BV198+BM198+BP198</f>
        <v>0</v>
      </c>
      <c r="BZ198" s="6" t="n">
        <f aca="false">+BT198+BW198+BN198+BQ198</f>
        <v>0</v>
      </c>
      <c r="CA198" s="6" t="n">
        <v>0</v>
      </c>
      <c r="CB198" s="6" t="n">
        <v>0</v>
      </c>
      <c r="CC198" s="6" t="n">
        <v>0</v>
      </c>
      <c r="CD198" s="6" t="n">
        <v>0</v>
      </c>
      <c r="CE198" s="6" t="n">
        <v>0</v>
      </c>
      <c r="CF198" s="6" t="n">
        <v>0</v>
      </c>
      <c r="CG198" s="6" t="n">
        <v>0</v>
      </c>
      <c r="CH198" s="6" t="n">
        <v>0</v>
      </c>
      <c r="CI198" s="6" t="n">
        <v>0</v>
      </c>
      <c r="CJ198" s="6" t="n">
        <v>0</v>
      </c>
      <c r="CK198" s="6" t="n">
        <v>0</v>
      </c>
      <c r="CL198" s="6" t="n">
        <v>0</v>
      </c>
      <c r="CM198" s="6" t="n">
        <f aca="false">+CG198+CJ198+CA198+CD198</f>
        <v>0</v>
      </c>
      <c r="CN198" s="6" t="n">
        <f aca="false">+CH198+CK198+CB198+CE198</f>
        <v>0</v>
      </c>
      <c r="CO198" s="6" t="n">
        <f aca="false">+CI198+CL198+CC198+CF198</f>
        <v>0</v>
      </c>
      <c r="CP198" s="6" t="n">
        <v>0</v>
      </c>
      <c r="CQ198" s="6" t="n">
        <v>0</v>
      </c>
      <c r="CR198" s="6" t="n">
        <v>0</v>
      </c>
      <c r="CS198" s="6" t="n">
        <v>3308467.83</v>
      </c>
      <c r="CT198" s="6" t="n">
        <v>3308467.83</v>
      </c>
      <c r="CU198" s="6" t="n">
        <v>0</v>
      </c>
      <c r="CV198" s="6" t="n">
        <v>0</v>
      </c>
      <c r="CW198" s="6" t="n">
        <v>0</v>
      </c>
      <c r="CX198" s="6" t="n">
        <v>0</v>
      </c>
      <c r="CY198" s="6" t="n">
        <v>0</v>
      </c>
      <c r="CZ198" s="6" t="n">
        <v>0</v>
      </c>
      <c r="DA198" s="6" t="n">
        <v>0</v>
      </c>
      <c r="DB198" s="6" t="n">
        <f aca="false">+CV198+CY198+CP198+CS198</f>
        <v>3308467.83</v>
      </c>
      <c r="DC198" s="6" t="n">
        <f aca="false">+CW198+CZ198+CQ198+CT198</f>
        <v>3308467.83</v>
      </c>
      <c r="DD198" s="6" t="n">
        <f aca="false">+CX198+DA198+CR198+CU198</f>
        <v>0</v>
      </c>
      <c r="DE198" s="6" t="n">
        <v>0</v>
      </c>
      <c r="DF198" s="6" t="n">
        <v>0</v>
      </c>
      <c r="DG198" s="6" t="n">
        <v>0</v>
      </c>
      <c r="DH198" s="6" t="n">
        <v>3308467.83</v>
      </c>
      <c r="DI198" s="6" t="n">
        <v>3308467.83</v>
      </c>
      <c r="DJ198" s="6" t="n">
        <v>0</v>
      </c>
      <c r="DK198" s="6" t="n">
        <v>0</v>
      </c>
      <c r="DL198" s="6" t="n">
        <v>0</v>
      </c>
      <c r="DM198" s="6" t="n">
        <v>0</v>
      </c>
      <c r="DN198" s="6" t="n">
        <v>0</v>
      </c>
      <c r="DO198" s="6" t="n">
        <v>0</v>
      </c>
      <c r="DP198" s="6" t="n">
        <v>0</v>
      </c>
      <c r="DQ198" s="6" t="n">
        <f aca="false">+DK198+DN198+DE198+DH198</f>
        <v>3308467.83</v>
      </c>
      <c r="DR198" s="6" t="n">
        <f aca="false">+DL198+DO198+DF198+DI198</f>
        <v>3308467.83</v>
      </c>
      <c r="DS198" s="6" t="n">
        <f aca="false">+DM198+DP198+DG198+DJ198</f>
        <v>0</v>
      </c>
      <c r="DT198" s="31" t="n">
        <f aca="false">+P198+AE198+AT198+BI198+BX198+CM198+DB198</f>
        <v>3308467.83</v>
      </c>
      <c r="DU198" s="31" t="n">
        <f aca="false">+Q198+AF198+AU198+BJ198+BY198+CN198+DC198</f>
        <v>3308467.83</v>
      </c>
      <c r="DV198" s="31" t="n">
        <f aca="false">+R198+AG198+AV198+BK198+BZ198+CO198+DD198</f>
        <v>0</v>
      </c>
      <c r="DW198" s="31" t="n">
        <f aca="false">+DU198-DV198</f>
        <v>3308467.83</v>
      </c>
    </row>
    <row r="199" customFormat="false" ht="13.8" hidden="false" customHeight="false" outlineLevel="0" collapsed="false">
      <c r="F199" s="1"/>
      <c r="G199" s="1"/>
    </row>
    <row r="200" s="26" customFormat="true" ht="13.8" hidden="false" customHeight="false" outlineLevel="0" collapsed="false">
      <c r="A200" s="40"/>
      <c r="D200" s="8"/>
      <c r="F200" s="40"/>
      <c r="G200" s="41" t="s">
        <v>770</v>
      </c>
      <c r="H200" s="42" t="n">
        <f aca="false">SUM(H7:H199)</f>
        <v>282025533.52</v>
      </c>
      <c r="I200" s="42" t="n">
        <f aca="false">SUM(I7:I199)</f>
        <v>281025228.51</v>
      </c>
      <c r="J200" s="42" t="n">
        <f aca="false">SUM(J7:J199)</f>
        <v>0</v>
      </c>
      <c r="K200" s="42" t="n">
        <f aca="false">SUM(K7:K199)</f>
        <v>0</v>
      </c>
      <c r="L200" s="42" t="n">
        <f aca="false">SUM(L7:L199)</f>
        <v>0</v>
      </c>
      <c r="M200" s="42" t="n">
        <f aca="false">SUM(M7:M199)</f>
        <v>50404706</v>
      </c>
      <c r="N200" s="42" t="n">
        <f aca="false">SUM(N7:N199)</f>
        <v>50404706</v>
      </c>
      <c r="O200" s="42" t="n">
        <f aca="false">SUM(O7:O199)</f>
        <v>0</v>
      </c>
      <c r="P200" s="42" t="n">
        <f aca="false">SUM(P7:P199)</f>
        <v>50404706</v>
      </c>
      <c r="Q200" s="42" t="n">
        <f aca="false">SUM(Q7:Q199)</f>
        <v>50404706</v>
      </c>
      <c r="R200" s="42" t="n">
        <f aca="false">SUM(R7:R199)</f>
        <v>0</v>
      </c>
      <c r="S200" s="42" t="n">
        <f aca="false">SUM(S7:S199)</f>
        <v>9952107</v>
      </c>
      <c r="T200" s="42" t="n">
        <f aca="false">SUM(T7:T199)</f>
        <v>9952107</v>
      </c>
      <c r="U200" s="42" t="n">
        <f aca="false">SUM(U7:U199)</f>
        <v>7820000</v>
      </c>
      <c r="V200" s="42" t="n">
        <f aca="false">SUM(V7:V199)</f>
        <v>5541800</v>
      </c>
      <c r="W200" s="42" t="n">
        <f aca="false">SUM(W7:W199)</f>
        <v>5541800</v>
      </c>
      <c r="X200" s="42" t="n">
        <f aca="false">SUM(X7:X199)</f>
        <v>32180674</v>
      </c>
      <c r="Y200" s="42" t="n">
        <f aca="false">SUM(Y7:Y199)</f>
        <v>12119574.92</v>
      </c>
      <c r="Z200" s="42" t="n">
        <f aca="false">SUM(Z7:Z199)</f>
        <v>12119574.92</v>
      </c>
      <c r="AA200" s="42" t="n">
        <f aca="false">SUM(AA7:AA199)</f>
        <v>0</v>
      </c>
      <c r="AB200" s="42" t="n">
        <f aca="false">SUM(AB7:AB199)</f>
        <v>9258000</v>
      </c>
      <c r="AC200" s="42" t="n">
        <f aca="false">SUM(AC7:AC199)</f>
        <v>9258000</v>
      </c>
      <c r="AD200" s="42" t="n">
        <f aca="false">SUM(AD7:AD199)</f>
        <v>12437682</v>
      </c>
      <c r="AE200" s="42" t="n">
        <f aca="false">SUM(AE7:AE199)</f>
        <v>36871481.92</v>
      </c>
      <c r="AF200" s="42" t="n">
        <f aca="false">SUM(AF7:AF199)</f>
        <v>36871481.92</v>
      </c>
      <c r="AG200" s="42" t="n">
        <f aca="false">SUM(AG7:AG199)</f>
        <v>52438356</v>
      </c>
      <c r="AH200" s="42" t="n">
        <f aca="false">SUM(AH7:AH199)</f>
        <v>11619166</v>
      </c>
      <c r="AI200" s="42" t="n">
        <f aca="false">SUM(AI7:AI199)</f>
        <v>11619166</v>
      </c>
      <c r="AJ200" s="42" t="n">
        <f aca="false">SUM(AJ7:AJ199)</f>
        <v>9561000</v>
      </c>
      <c r="AK200" s="42" t="n">
        <f aca="false">SUM(AK7:AK199)</f>
        <v>833000</v>
      </c>
      <c r="AL200" s="42" t="n">
        <f aca="false">SUM(AL7:AL199)</f>
        <v>833000</v>
      </c>
      <c r="AM200" s="42" t="n">
        <f aca="false">SUM(AM7:AM199)</f>
        <v>7517375.17</v>
      </c>
      <c r="AN200" s="42" t="n">
        <f aca="false">SUM(AN7:AN199)</f>
        <v>11935297.49</v>
      </c>
      <c r="AO200" s="42" t="n">
        <f aca="false">SUM(AO7:AO199)</f>
        <v>11935297.49</v>
      </c>
      <c r="AP200" s="42" t="n">
        <f aca="false">SUM(AP7:AP199)</f>
        <v>5113666.67</v>
      </c>
      <c r="AQ200" s="42" t="n">
        <f aca="false">SUM(AQ7:AQ199)</f>
        <v>5084000</v>
      </c>
      <c r="AR200" s="42" t="n">
        <f aca="false">SUM(AR7:AR199)</f>
        <v>5084000</v>
      </c>
      <c r="AS200" s="42" t="n">
        <f aca="false">SUM(AS7:AS199)</f>
        <v>11803157.75</v>
      </c>
      <c r="AT200" s="42" t="n">
        <f aca="false">SUM(AT7:AT199)</f>
        <v>29471463.49</v>
      </c>
      <c r="AU200" s="42" t="n">
        <f aca="false">SUM(AU7:AU199)</f>
        <v>29471463.49</v>
      </c>
      <c r="AV200" s="42" t="n">
        <f aca="false">SUM(AV7:AV199)</f>
        <v>33995199.59</v>
      </c>
      <c r="AW200" s="42" t="n">
        <f aca="false">SUM(AW7:AW199)</f>
        <v>6206605.42</v>
      </c>
      <c r="AX200" s="42" t="n">
        <f aca="false">SUM(AX7:AX199)</f>
        <v>6206605.42</v>
      </c>
      <c r="AY200" s="42" t="n">
        <f aca="false">SUM(AY7:AY199)</f>
        <v>11390175.17</v>
      </c>
      <c r="AZ200" s="42" t="n">
        <f aca="false">SUM(AZ7:AZ199)</f>
        <v>2221221.98</v>
      </c>
      <c r="BA200" s="42" t="n">
        <f aca="false">SUM(BA7:BA199)</f>
        <v>2221221.98</v>
      </c>
      <c r="BB200" s="42" t="n">
        <f aca="false">SUM(BB7:BB199)</f>
        <v>14352496.15</v>
      </c>
      <c r="BC200" s="42" t="n">
        <f aca="false">SUM(BC7:BC199)</f>
        <v>30136862.99</v>
      </c>
      <c r="BD200" s="42" t="n">
        <f aca="false">SUM(BD7:BD199)</f>
        <v>30136862.99</v>
      </c>
      <c r="BE200" s="42" t="n">
        <f aca="false">SUM(BE7:BE199)</f>
        <v>6442483.21</v>
      </c>
      <c r="BF200" s="42" t="n">
        <f aca="false">SUM(BF7:BF199)</f>
        <v>19139489</v>
      </c>
      <c r="BG200" s="42" t="n">
        <f aca="false">SUM(BG7:BG199)</f>
        <v>19139489</v>
      </c>
      <c r="BH200" s="42" t="n">
        <f aca="false">SUM(BH7:BH199)</f>
        <v>9309384.7497067</v>
      </c>
      <c r="BI200" s="42" t="n">
        <f aca="false">SUM(BI7:BI199)</f>
        <v>57704179.39</v>
      </c>
      <c r="BJ200" s="42" t="n">
        <f aca="false">SUM(BJ7:BJ199)</f>
        <v>57704179.39</v>
      </c>
      <c r="BK200" s="42" t="n">
        <f aca="false">SUM(BK7:BK199)</f>
        <v>41494539.2797067</v>
      </c>
      <c r="BL200" s="42" t="n">
        <f aca="false">SUM(BL7:BL199)</f>
        <v>23670000</v>
      </c>
      <c r="BM200" s="42" t="n">
        <f aca="false">SUM(BM7:BM199)</f>
        <v>23534442</v>
      </c>
      <c r="BN200" s="42" t="n">
        <f aca="false">SUM(BN7:BN199)</f>
        <v>10018699.48</v>
      </c>
      <c r="BO200" s="42" t="n">
        <f aca="false">SUM(BO7:BO199)</f>
        <v>6110326.28</v>
      </c>
      <c r="BP200" s="42" t="n">
        <f aca="false">SUM(BP7:BP199)</f>
        <v>6110326.28</v>
      </c>
      <c r="BQ200" s="42" t="n">
        <f aca="false">SUM(BQ7:BQ199)</f>
        <v>22557753.4</v>
      </c>
      <c r="BR200" s="42" t="n">
        <f aca="false">SUM(BR7:BR199)</f>
        <v>7775088.22</v>
      </c>
      <c r="BS200" s="42" t="n">
        <f aca="false">SUM(BS7:BS199)</f>
        <v>7775088.22</v>
      </c>
      <c r="BT200" s="42" t="n">
        <f aca="false">SUM(BT7:BT199)</f>
        <v>7535527.8</v>
      </c>
      <c r="BU200" s="42" t="n">
        <f aca="false">SUM(BU7:BU199)</f>
        <v>14436900</v>
      </c>
      <c r="BV200" s="42" t="n">
        <f aca="false">SUM(BV7:BV199)</f>
        <v>14436900</v>
      </c>
      <c r="BW200" s="42" t="n">
        <f aca="false">SUM(BW7:BW199)</f>
        <v>9112124.65</v>
      </c>
      <c r="BX200" s="42" t="n">
        <f aca="false">SUM(BX7:BX199)</f>
        <v>51992314.5</v>
      </c>
      <c r="BY200" s="42" t="n">
        <f aca="false">SUM(BY7:BY199)</f>
        <v>51856756.5</v>
      </c>
      <c r="BZ200" s="42" t="n">
        <f aca="false">SUM(BZ7:BZ199)</f>
        <v>49224105.33</v>
      </c>
      <c r="CA200" s="42" t="n">
        <f aca="false">SUM(CA7:CA199)</f>
        <v>8568000</v>
      </c>
      <c r="CB200" s="42" t="n">
        <f aca="false">SUM(CB7:CB199)</f>
        <v>8567999.99</v>
      </c>
      <c r="CC200" s="42" t="n">
        <f aca="false">SUM(CC7:CC199)</f>
        <v>23324421.05</v>
      </c>
      <c r="CD200" s="42" t="n">
        <f aca="false">SUM(CD7:CD199)</f>
        <v>8137000</v>
      </c>
      <c r="CE200" s="42" t="n">
        <f aca="false">SUM(CE7:CE199)</f>
        <v>8137000</v>
      </c>
      <c r="CF200" s="42" t="n">
        <f aca="false">SUM(CF7:CF199)</f>
        <v>16092101.93</v>
      </c>
      <c r="CG200" s="42" t="n">
        <f aca="false">SUM(CG7:CG199)</f>
        <v>10128565.24</v>
      </c>
      <c r="CH200" s="42" t="n">
        <f aca="false">SUM(CH7:CH199)</f>
        <v>10128565.24</v>
      </c>
      <c r="CI200" s="42" t="n">
        <f aca="false">SUM(CI7:CI199)</f>
        <v>4470000</v>
      </c>
      <c r="CJ200" s="42" t="n">
        <f aca="false">SUM(CJ7:CJ199)</f>
        <v>15538000</v>
      </c>
      <c r="CK200" s="42" t="n">
        <f aca="false">SUM(CK7:CK199)</f>
        <v>14673253</v>
      </c>
      <c r="CL200" s="42" t="n">
        <f aca="false">SUM(CL7:CL199)</f>
        <v>6911766.45</v>
      </c>
      <c r="CM200" s="42" t="n">
        <f aca="false">SUM(CM7:CM199)</f>
        <v>42371565.24</v>
      </c>
      <c r="CN200" s="42" t="n">
        <f aca="false">SUM(CN7:CN199)</f>
        <v>41506818.23</v>
      </c>
      <c r="CO200" s="42" t="n">
        <f aca="false">SUM(CO7:CO199)</f>
        <v>50798289.43</v>
      </c>
      <c r="CP200" s="42" t="n">
        <f aca="false">SUM(CP7:CP199)</f>
        <v>4534335.15</v>
      </c>
      <c r="CQ200" s="42" t="n">
        <f aca="false">SUM(CQ7:CQ199)</f>
        <v>4534335.15</v>
      </c>
      <c r="CR200" s="42" t="n">
        <f aca="false">SUM(CR7:CR199)</f>
        <v>6034338.9</v>
      </c>
      <c r="CS200" s="42" t="n">
        <f aca="false">SUM(CS7:CS199)</f>
        <v>8675487.83</v>
      </c>
      <c r="CT200" s="42" t="n">
        <f aca="false">SUM(CT7:CT199)</f>
        <v>8675487.83</v>
      </c>
      <c r="CU200" s="42" t="n">
        <f aca="false">SUM(CU7:CU199)</f>
        <v>8724031.45</v>
      </c>
      <c r="CV200" s="42" t="n">
        <f aca="false">SUM(CV7:CV199)</f>
        <v>0</v>
      </c>
      <c r="CW200" s="42" t="n">
        <f aca="false">SUM(CW7:CW199)</f>
        <v>0</v>
      </c>
      <c r="CX200" s="42" t="n">
        <f aca="false">SUM(CX7:CX199)</f>
        <v>0</v>
      </c>
      <c r="CY200" s="42" t="n">
        <f aca="false">SUM(CY7:CY199)</f>
        <v>0</v>
      </c>
      <c r="CZ200" s="42" t="n">
        <f aca="false">SUM(CZ7:CZ199)</f>
        <v>0</v>
      </c>
      <c r="DA200" s="42" t="n">
        <f aca="false">SUM(DA7:DA199)</f>
        <v>0</v>
      </c>
      <c r="DB200" s="42" t="n">
        <f aca="false">SUM(DB7:DB199)</f>
        <v>13209822.98</v>
      </c>
      <c r="DC200" s="42" t="n">
        <f aca="false">SUM(DC7:DC199)</f>
        <v>13209822.98</v>
      </c>
      <c r="DD200" s="42" t="n">
        <f aca="false">SUM(DD7:DD199)</f>
        <v>14758370.35</v>
      </c>
      <c r="DE200" s="42" t="n">
        <f aca="false">SUM(DE7:DE199)</f>
        <v>4534335.15</v>
      </c>
      <c r="DF200" s="42" t="n">
        <f aca="false">SUM(DF7:DF199)</f>
        <v>4534335.15</v>
      </c>
      <c r="DG200" s="42" t="n">
        <f aca="false">SUM(DG7:DG199)</f>
        <v>6034338.9</v>
      </c>
      <c r="DH200" s="42" t="n">
        <f aca="false">SUM(DH7:DH199)</f>
        <v>8675487.83</v>
      </c>
      <c r="DI200" s="42" t="n">
        <f aca="false">SUM(DI7:DI199)</f>
        <v>8675487.83</v>
      </c>
      <c r="DJ200" s="42" t="n">
        <f aca="false">SUM(DJ7:DJ199)</f>
        <v>8724031.45</v>
      </c>
      <c r="DK200" s="42" t="n">
        <f aca="false">SUM(DK7:DK199)</f>
        <v>0</v>
      </c>
      <c r="DL200" s="42" t="n">
        <f aca="false">SUM(DL7:DL199)</f>
        <v>0</v>
      </c>
      <c r="DM200" s="42" t="n">
        <f aca="false">SUM(DM7:DM199)</f>
        <v>0</v>
      </c>
      <c r="DN200" s="42" t="n">
        <f aca="false">SUM(DN7:DN199)</f>
        <v>0</v>
      </c>
      <c r="DO200" s="42" t="n">
        <f aca="false">SUM(DO7:DO199)</f>
        <v>0</v>
      </c>
      <c r="DP200" s="42" t="n">
        <f aca="false">SUM(DP7:DP199)</f>
        <v>0</v>
      </c>
      <c r="DQ200" s="42" t="n">
        <f aca="false">SUM(DQ7:DQ199)</f>
        <v>13209822.98</v>
      </c>
      <c r="DR200" s="42" t="n">
        <f aca="false">SUM(DR7:DR199)</f>
        <v>13209822.98</v>
      </c>
      <c r="DS200" s="42" t="n">
        <f aca="false">SUM(DS7:DS199)</f>
        <v>14758370.35</v>
      </c>
      <c r="DT200" s="42" t="n">
        <f aca="false">SUM(DT7:DT199)</f>
        <v>282025533.52</v>
      </c>
      <c r="DU200" s="42" t="n">
        <f aca="false">SUM(DU7:DU199)</f>
        <v>281025228.51</v>
      </c>
      <c r="DV200" s="42" t="n">
        <f aca="false">SUM(DV7:DV199)</f>
        <v>242708859.979707</v>
      </c>
      <c r="DW200" s="42" t="n">
        <f aca="false">SUM(DW7:DW199)</f>
        <v>38316368.5302933</v>
      </c>
      <c r="DX200" s="0"/>
      <c r="DY200" s="0"/>
      <c r="DZ200" s="0"/>
    </row>
    <row r="201" customFormat="false" ht="13.8" hidden="false" customHeight="false" outlineLevel="0" collapsed="false">
      <c r="F201" s="1"/>
      <c r="G201" s="1"/>
    </row>
    <row r="202" s="44" customFormat="true" ht="13.8" hidden="false" customHeight="false" outlineLevel="0" collapsed="false">
      <c r="A202" s="43" t="s">
        <v>771</v>
      </c>
      <c r="D202" s="45"/>
      <c r="F202" s="46"/>
      <c r="G202" s="46"/>
      <c r="H202" s="47" t="n">
        <f aca="false">+'SF270 CA2 Source Data'!L222</f>
        <v>309025533.52</v>
      </c>
      <c r="I202" s="47"/>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c r="BI202" s="48"/>
      <c r="BJ202" s="48"/>
      <c r="BK202" s="48"/>
      <c r="BL202" s="48"/>
      <c r="BM202" s="48"/>
      <c r="BN202" s="48"/>
      <c r="BO202" s="48"/>
      <c r="BP202" s="48"/>
      <c r="BQ202" s="48"/>
      <c r="BR202" s="48"/>
      <c r="BS202" s="48"/>
      <c r="BT202" s="48"/>
      <c r="BU202" s="48"/>
      <c r="BV202" s="48"/>
      <c r="BW202" s="48"/>
      <c r="BX202" s="48"/>
      <c r="BY202" s="48"/>
      <c r="BZ202" s="48"/>
      <c r="CA202" s="48"/>
      <c r="CB202" s="48"/>
      <c r="CC202" s="48"/>
      <c r="CD202" s="48"/>
      <c r="CE202" s="48"/>
      <c r="CF202" s="48"/>
      <c r="CG202" s="48"/>
      <c r="CH202" s="48"/>
      <c r="CI202" s="48"/>
      <c r="CJ202" s="48"/>
      <c r="CK202" s="48"/>
      <c r="CL202" s="48"/>
      <c r="CM202" s="48"/>
      <c r="CN202" s="48"/>
      <c r="CO202" s="48"/>
      <c r="CP202" s="48"/>
      <c r="CQ202" s="48"/>
      <c r="CR202" s="48"/>
      <c r="CS202" s="48"/>
      <c r="CT202" s="48"/>
      <c r="CU202" s="48"/>
      <c r="CV202" s="48"/>
      <c r="CW202" s="48"/>
      <c r="CX202" s="48"/>
      <c r="CY202" s="48"/>
      <c r="CZ202" s="48"/>
      <c r="DA202" s="48"/>
      <c r="DB202" s="48"/>
      <c r="DC202" s="48"/>
      <c r="DD202" s="48"/>
      <c r="DE202" s="48"/>
      <c r="DF202" s="48"/>
      <c r="DG202" s="48"/>
      <c r="DH202" s="48"/>
      <c r="DI202" s="48"/>
      <c r="DJ202" s="48"/>
      <c r="DK202" s="48"/>
      <c r="DL202" s="48"/>
      <c r="DM202" s="48"/>
      <c r="DN202" s="48"/>
      <c r="DO202" s="48"/>
      <c r="DP202" s="48"/>
      <c r="DQ202" s="48"/>
      <c r="DR202" s="48"/>
      <c r="DS202" s="48"/>
      <c r="DW202" s="49" t="n">
        <f aca="false">+'SF270 CA2 Source Data'!BG222</f>
        <v>38316368.5302933</v>
      </c>
      <c r="DX202" s="0"/>
      <c r="DY202" s="0"/>
      <c r="DZ202" s="0"/>
    </row>
    <row r="203" s="44" customFormat="true" ht="13.8" hidden="false" customHeight="false" outlineLevel="0" collapsed="false">
      <c r="A203" s="46"/>
      <c r="D203" s="45"/>
      <c r="F203" s="46"/>
      <c r="G203" s="46"/>
      <c r="H203" s="47"/>
      <c r="I203" s="47"/>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c r="BM203" s="48"/>
      <c r="BN203" s="48"/>
      <c r="BO203" s="48"/>
      <c r="BP203" s="48"/>
      <c r="BQ203" s="48"/>
      <c r="BR203" s="48"/>
      <c r="BS203" s="48"/>
      <c r="BT203" s="48"/>
      <c r="BU203" s="48"/>
      <c r="BV203" s="48"/>
      <c r="BW203" s="48"/>
      <c r="BX203" s="48"/>
      <c r="BY203" s="48"/>
      <c r="BZ203" s="48"/>
      <c r="CA203" s="48"/>
      <c r="CB203" s="48"/>
      <c r="CC203" s="48"/>
      <c r="CD203" s="48"/>
      <c r="CE203" s="48"/>
      <c r="CF203" s="48"/>
      <c r="CG203" s="48"/>
      <c r="CH203" s="48"/>
      <c r="CI203" s="48"/>
      <c r="CJ203" s="48"/>
      <c r="CK203" s="48"/>
      <c r="CL203" s="48"/>
      <c r="CM203" s="48"/>
      <c r="CN203" s="48"/>
      <c r="CO203" s="48"/>
      <c r="CP203" s="48"/>
      <c r="CQ203" s="48"/>
      <c r="CR203" s="48"/>
      <c r="CS203" s="48"/>
      <c r="CT203" s="48"/>
      <c r="CU203" s="48"/>
      <c r="CV203" s="48"/>
      <c r="CW203" s="48"/>
      <c r="CX203" s="48"/>
      <c r="CY203" s="48"/>
      <c r="CZ203" s="48"/>
      <c r="DA203" s="48"/>
      <c r="DB203" s="48"/>
      <c r="DC203" s="48"/>
      <c r="DD203" s="48"/>
      <c r="DE203" s="48"/>
      <c r="DF203" s="48"/>
      <c r="DG203" s="48"/>
      <c r="DH203" s="48"/>
      <c r="DI203" s="48"/>
      <c r="DJ203" s="48"/>
      <c r="DK203" s="48"/>
      <c r="DL203" s="48"/>
      <c r="DM203" s="48"/>
      <c r="DN203" s="48"/>
      <c r="DO203" s="48"/>
      <c r="DP203" s="48"/>
      <c r="DQ203" s="48"/>
      <c r="DR203" s="48"/>
      <c r="DS203" s="48"/>
      <c r="DX203" s="0"/>
      <c r="DY203" s="0"/>
      <c r="DZ203" s="0"/>
    </row>
    <row r="204" s="44" customFormat="true" ht="13.8" hidden="false" customHeight="false" outlineLevel="0" collapsed="false">
      <c r="A204" s="46" t="s">
        <v>772</v>
      </c>
      <c r="D204" s="45"/>
      <c r="F204" s="46"/>
      <c r="G204" s="46"/>
      <c r="H204" s="47" t="n">
        <f aca="false">+H200-H202</f>
        <v>-27000000</v>
      </c>
      <c r="I204" s="47"/>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8"/>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c r="DB204" s="48"/>
      <c r="DC204" s="48"/>
      <c r="DD204" s="48"/>
      <c r="DE204" s="48"/>
      <c r="DF204" s="48"/>
      <c r="DG204" s="48"/>
      <c r="DH204" s="48"/>
      <c r="DI204" s="48"/>
      <c r="DJ204" s="48"/>
      <c r="DK204" s="48"/>
      <c r="DL204" s="48"/>
      <c r="DM204" s="48"/>
      <c r="DN204" s="48"/>
      <c r="DO204" s="48"/>
      <c r="DP204" s="48"/>
      <c r="DQ204" s="48"/>
      <c r="DR204" s="48"/>
      <c r="DS204" s="48"/>
      <c r="DW204" s="49" t="n">
        <f aca="false">+DW200-DW202</f>
        <v>0</v>
      </c>
      <c r="DX204" s="0"/>
      <c r="DY204" s="0"/>
      <c r="DZ204" s="0"/>
    </row>
    <row r="205" customFormat="false" ht="13.8" hidden="false" customHeight="false" outlineLevel="0" collapsed="false">
      <c r="F205" s="1"/>
      <c r="G205" s="1"/>
    </row>
    <row r="206" customFormat="false" ht="13.8" hidden="false" customHeight="false" outlineLevel="0" collapsed="false">
      <c r="A206" s="1" t="s">
        <v>773</v>
      </c>
      <c r="F206" s="1"/>
      <c r="G206" s="1"/>
      <c r="H206" s="50" t="n">
        <f aca="false">309025533.52-27000000</f>
        <v>282025533.52</v>
      </c>
    </row>
    <row r="207" customFormat="false" ht="13.8" hidden="false" customHeight="false" outlineLevel="0" collapsed="false">
      <c r="F207" s="1"/>
      <c r="G207" s="1"/>
    </row>
    <row r="208" customFormat="false" ht="13.8" hidden="false" customHeight="false" outlineLevel="0" collapsed="false">
      <c r="A208" s="46" t="s">
        <v>774</v>
      </c>
      <c r="F208" s="1"/>
      <c r="G208" s="1"/>
      <c r="H208" s="5" t="n">
        <f aca="false">+H200-H206</f>
        <v>0</v>
      </c>
    </row>
    <row r="209" customFormat="false" ht="13.8" hidden="false" customHeight="false" outlineLevel="0" collapsed="false">
      <c r="F209" s="1"/>
      <c r="G209" s="1"/>
    </row>
    <row r="210" customFormat="false" ht="13.8" hidden="false" customHeight="false" outlineLevel="0" collapsed="false">
      <c r="F210" s="1"/>
      <c r="G210" s="1"/>
    </row>
    <row r="211" customFormat="false" ht="13.8" hidden="false" customHeight="false" outlineLevel="0" collapsed="false">
      <c r="F211" s="1"/>
      <c r="G211" s="1"/>
    </row>
    <row r="212" customFormat="false" ht="13.8" hidden="false" customHeight="false" outlineLevel="0" collapsed="false">
      <c r="F212" s="1"/>
      <c r="G212" s="1"/>
    </row>
    <row r="213" customFormat="false" ht="13.8" hidden="false" customHeight="false" outlineLevel="0" collapsed="false">
      <c r="F213" s="1"/>
      <c r="G213" s="1"/>
    </row>
    <row r="214" customFormat="false" ht="13.8" hidden="false" customHeight="false" outlineLevel="0" collapsed="false">
      <c r="F214" s="1"/>
      <c r="G214" s="1"/>
    </row>
    <row r="215" customFormat="false" ht="13.8" hidden="false" customHeight="false" outlineLevel="0" collapsed="false">
      <c r="F215" s="1"/>
      <c r="G215" s="1"/>
    </row>
    <row r="216" customFormat="false" ht="13.8" hidden="false" customHeight="false" outlineLevel="0" collapsed="false">
      <c r="F216" s="1"/>
      <c r="G216" s="1"/>
    </row>
    <row r="217" customFormat="false" ht="13.8" hidden="false" customHeight="false" outlineLevel="0" collapsed="false">
      <c r="F217" s="1"/>
      <c r="G217" s="1"/>
    </row>
    <row r="218" customFormat="false" ht="13.8" hidden="false" customHeight="false" outlineLevel="0" collapsed="false">
      <c r="F218" s="1"/>
      <c r="G218" s="1"/>
    </row>
    <row r="219" customFormat="false" ht="13.8" hidden="false" customHeight="false" outlineLevel="0" collapsed="false">
      <c r="F219" s="1"/>
      <c r="G219" s="1"/>
    </row>
    <row r="220" customFormat="false" ht="13.8" hidden="false" customHeight="false" outlineLevel="0" collapsed="false">
      <c r="F220" s="1"/>
      <c r="G220" s="1"/>
    </row>
    <row r="221" customFormat="false" ht="13.8" hidden="false" customHeight="false" outlineLevel="0" collapsed="false">
      <c r="F221" s="1"/>
      <c r="G221" s="1"/>
    </row>
    <row r="222" customFormat="false" ht="13.8" hidden="false" customHeight="false" outlineLevel="0" collapsed="false">
      <c r="F222" s="1"/>
      <c r="G222" s="1"/>
    </row>
    <row r="223" customFormat="false" ht="13.8" hidden="false" customHeight="false" outlineLevel="0" collapsed="false">
      <c r="F223" s="1"/>
      <c r="G223" s="1"/>
    </row>
    <row r="224" customFormat="false" ht="13.8" hidden="false" customHeight="false" outlineLevel="0" collapsed="false">
      <c r="F224" s="1"/>
      <c r="G224" s="1"/>
    </row>
    <row r="225" customFormat="false" ht="13.8" hidden="false" customHeight="false" outlineLevel="0" collapsed="false">
      <c r="F225" s="1"/>
      <c r="G225" s="1"/>
    </row>
    <row r="226" customFormat="false" ht="13.8" hidden="false" customHeight="false" outlineLevel="0" collapsed="false">
      <c r="F226" s="1"/>
      <c r="G226" s="1"/>
    </row>
    <row r="227" customFormat="false" ht="13.8" hidden="false" customHeight="false" outlineLevel="0" collapsed="false">
      <c r="F227" s="1"/>
      <c r="G227" s="1"/>
    </row>
    <row r="228" customFormat="false" ht="13.8" hidden="false" customHeight="false" outlineLevel="0" collapsed="false">
      <c r="F228" s="1"/>
      <c r="G228" s="1"/>
    </row>
    <row r="229" customFormat="false" ht="13.8" hidden="false" customHeight="false" outlineLevel="0" collapsed="false">
      <c r="F229" s="1"/>
      <c r="G229" s="1"/>
    </row>
    <row r="230" customFormat="false" ht="13.8" hidden="false" customHeight="false" outlineLevel="0" collapsed="false">
      <c r="F230" s="1"/>
      <c r="G230" s="1"/>
    </row>
    <row r="231" customFormat="false" ht="13.8" hidden="false" customHeight="false" outlineLevel="0" collapsed="false">
      <c r="F231" s="1"/>
      <c r="G231" s="1"/>
    </row>
    <row r="232" customFormat="false" ht="13.8" hidden="false" customHeight="false" outlineLevel="0" collapsed="false">
      <c r="F232" s="1"/>
      <c r="G232" s="1"/>
    </row>
    <row r="233" customFormat="false" ht="13.8" hidden="false" customHeight="false" outlineLevel="0" collapsed="false">
      <c r="F233" s="1"/>
      <c r="G233" s="1"/>
    </row>
    <row r="234" customFormat="false" ht="13.8" hidden="false" customHeight="false" outlineLevel="0" collapsed="false">
      <c r="F234" s="1"/>
      <c r="G234" s="1"/>
    </row>
    <row r="235" customFormat="false" ht="13.8" hidden="false" customHeight="false" outlineLevel="0" collapsed="false">
      <c r="F235" s="1"/>
      <c r="G235" s="1"/>
    </row>
    <row r="236" customFormat="false" ht="13.8" hidden="false" customHeight="false" outlineLevel="0" collapsed="false">
      <c r="F236" s="1"/>
      <c r="G236" s="1"/>
    </row>
    <row r="237" customFormat="false" ht="13.8" hidden="false" customHeight="false" outlineLevel="0" collapsed="false">
      <c r="F237" s="1"/>
      <c r="G237" s="1"/>
    </row>
    <row r="238" customFormat="false" ht="13.8" hidden="false" customHeight="false" outlineLevel="0" collapsed="false">
      <c r="F238" s="1"/>
      <c r="G238" s="1"/>
    </row>
    <row r="239" customFormat="false" ht="13.8" hidden="false" customHeight="false" outlineLevel="0" collapsed="false">
      <c r="F239" s="1"/>
      <c r="G239" s="1"/>
    </row>
    <row r="240" customFormat="false" ht="13.8" hidden="false" customHeight="false" outlineLevel="0" collapsed="false">
      <c r="F240" s="1"/>
      <c r="G240" s="1"/>
    </row>
    <row r="241" customFormat="false" ht="13.8" hidden="false" customHeight="false" outlineLevel="0" collapsed="false">
      <c r="F241" s="1"/>
      <c r="G241" s="1"/>
    </row>
    <row r="242" customFormat="false" ht="13.8" hidden="false" customHeight="false" outlineLevel="0" collapsed="false">
      <c r="F242" s="1"/>
      <c r="G242" s="1"/>
    </row>
    <row r="243" customFormat="false" ht="13.8" hidden="false" customHeight="false" outlineLevel="0" collapsed="false">
      <c r="F243" s="1"/>
      <c r="G243" s="1"/>
    </row>
    <row r="244" customFormat="false" ht="13.8" hidden="false" customHeight="false" outlineLevel="0" collapsed="false">
      <c r="F244" s="1"/>
      <c r="G244" s="1"/>
    </row>
    <row r="245" customFormat="false" ht="13.8" hidden="false" customHeight="false" outlineLevel="0" collapsed="false">
      <c r="F245" s="1"/>
      <c r="G245" s="1"/>
    </row>
    <row r="246" customFormat="false" ht="13.8" hidden="false" customHeight="false" outlineLevel="0" collapsed="false">
      <c r="F246" s="1"/>
      <c r="G246" s="1"/>
    </row>
    <row r="247" customFormat="false" ht="13.8" hidden="false" customHeight="false" outlineLevel="0" collapsed="false">
      <c r="F247" s="1"/>
      <c r="G247" s="1"/>
    </row>
    <row r="248" customFormat="false" ht="13.8" hidden="false" customHeight="false" outlineLevel="0" collapsed="false">
      <c r="F248" s="1"/>
      <c r="G248" s="1"/>
    </row>
    <row r="249" customFormat="false" ht="13.8" hidden="false" customHeight="false" outlineLevel="0" collapsed="false">
      <c r="F249" s="1"/>
      <c r="G249" s="1"/>
    </row>
    <row r="250" customFormat="false" ht="13.8" hidden="false" customHeight="false" outlineLevel="0" collapsed="false">
      <c r="F250" s="1"/>
      <c r="G250" s="1"/>
    </row>
    <row r="251" customFormat="false" ht="13.8" hidden="false" customHeight="false" outlineLevel="0" collapsed="false">
      <c r="F251" s="1"/>
      <c r="G251" s="1"/>
    </row>
    <row r="252" customFormat="false" ht="13.8" hidden="false" customHeight="false" outlineLevel="0" collapsed="false">
      <c r="F252" s="1"/>
      <c r="G252" s="1"/>
    </row>
    <row r="253" customFormat="false" ht="13.8" hidden="false" customHeight="false" outlineLevel="0" collapsed="false">
      <c r="F253" s="1"/>
      <c r="G253" s="1"/>
    </row>
    <row r="254" customFormat="false" ht="13.8" hidden="false" customHeight="false" outlineLevel="0" collapsed="false">
      <c r="F254" s="1"/>
      <c r="G254" s="1"/>
    </row>
    <row r="255" customFormat="false" ht="13.8" hidden="false" customHeight="false" outlineLevel="0" collapsed="false">
      <c r="F255" s="1"/>
      <c r="G255" s="1"/>
    </row>
    <row r="256" customFormat="false" ht="13.8" hidden="false" customHeight="false" outlineLevel="0" collapsed="false">
      <c r="F256" s="1"/>
      <c r="G256" s="1"/>
    </row>
    <row r="257" customFormat="false" ht="13.8" hidden="false" customHeight="false" outlineLevel="0" collapsed="false">
      <c r="F257" s="1"/>
      <c r="G257" s="1"/>
    </row>
    <row r="258" customFormat="false" ht="13.8" hidden="false" customHeight="false" outlineLevel="0" collapsed="false">
      <c r="F258" s="1"/>
      <c r="G258" s="1"/>
    </row>
    <row r="259" customFormat="false" ht="13.8" hidden="false" customHeight="false" outlineLevel="0" collapsed="false">
      <c r="F259" s="1"/>
      <c r="G259" s="1"/>
    </row>
    <row r="260" customFormat="false" ht="13.8" hidden="false" customHeight="false" outlineLevel="0" collapsed="false">
      <c r="F260" s="1"/>
      <c r="G260" s="1"/>
    </row>
    <row r="261" customFormat="false" ht="13.8" hidden="false" customHeight="false" outlineLevel="0" collapsed="false">
      <c r="F261" s="1"/>
      <c r="G261" s="1"/>
    </row>
    <row r="262" customFormat="false" ht="13.8" hidden="false" customHeight="false" outlineLevel="0" collapsed="false">
      <c r="F262" s="1"/>
      <c r="G262" s="1"/>
    </row>
    <row r="263" customFormat="false" ht="13.8" hidden="false" customHeight="false" outlineLevel="0" collapsed="false">
      <c r="F263" s="1"/>
      <c r="G263" s="1"/>
    </row>
    <row r="264" customFormat="false" ht="13.8" hidden="false" customHeight="false" outlineLevel="0" collapsed="false">
      <c r="F264" s="1"/>
      <c r="G264" s="1"/>
    </row>
    <row r="265" customFormat="false" ht="13.8" hidden="false" customHeight="false" outlineLevel="0" collapsed="false">
      <c r="F265" s="1"/>
      <c r="G265" s="1"/>
    </row>
    <row r="266" customFormat="false" ht="13.8" hidden="false" customHeight="false" outlineLevel="0" collapsed="false">
      <c r="F266" s="1"/>
      <c r="G266" s="1"/>
    </row>
    <row r="267" customFormat="false" ht="13.8" hidden="false" customHeight="false" outlineLevel="0" collapsed="false">
      <c r="F267" s="1"/>
      <c r="G267" s="1"/>
    </row>
    <row r="268" customFormat="false" ht="13.8" hidden="false" customHeight="false" outlineLevel="0" collapsed="false">
      <c r="F268" s="1"/>
      <c r="G268" s="1"/>
    </row>
    <row r="269" customFormat="false" ht="13.8" hidden="false" customHeight="false" outlineLevel="0" collapsed="false">
      <c r="F269" s="1"/>
      <c r="G269" s="1"/>
    </row>
    <row r="270" customFormat="false" ht="13.8" hidden="false" customHeight="false" outlineLevel="0" collapsed="false">
      <c r="F270" s="1"/>
      <c r="G270" s="1"/>
    </row>
    <row r="271" customFormat="false" ht="13.8" hidden="false" customHeight="false" outlineLevel="0" collapsed="false">
      <c r="F271" s="1"/>
      <c r="G271" s="1"/>
    </row>
    <row r="272" customFormat="false" ht="13.8" hidden="false" customHeight="false" outlineLevel="0" collapsed="false">
      <c r="F272" s="1"/>
      <c r="G272" s="1"/>
    </row>
    <row r="273" customFormat="false" ht="13.8" hidden="false" customHeight="false" outlineLevel="0" collapsed="false">
      <c r="F273" s="1"/>
      <c r="G273" s="1"/>
    </row>
    <row r="274" customFormat="false" ht="13.8" hidden="false" customHeight="false" outlineLevel="0" collapsed="false">
      <c r="F274" s="1"/>
      <c r="G274" s="1"/>
    </row>
    <row r="275" customFormat="false" ht="13.8" hidden="false" customHeight="false" outlineLevel="0" collapsed="false">
      <c r="F275" s="1"/>
      <c r="G275" s="1"/>
    </row>
    <row r="276" customFormat="false" ht="13.8" hidden="false" customHeight="false" outlineLevel="0" collapsed="false">
      <c r="F276" s="1"/>
      <c r="G276" s="1"/>
    </row>
    <row r="277" customFormat="false" ht="13.8" hidden="false" customHeight="false" outlineLevel="0" collapsed="false">
      <c r="F277" s="1"/>
      <c r="G277" s="1"/>
    </row>
    <row r="278" customFormat="false" ht="13.8" hidden="false" customHeight="false" outlineLevel="0" collapsed="false">
      <c r="F278" s="1"/>
      <c r="G278" s="1"/>
    </row>
    <row r="279" customFormat="false" ht="13.8" hidden="false" customHeight="false" outlineLevel="0" collapsed="false">
      <c r="F279" s="1"/>
      <c r="G279" s="1"/>
    </row>
    <row r="280" customFormat="false" ht="13.8" hidden="false" customHeight="false" outlineLevel="0" collapsed="false">
      <c r="F280" s="1"/>
      <c r="G280" s="1"/>
    </row>
    <row r="281" customFormat="false" ht="13.8" hidden="false" customHeight="false" outlineLevel="0" collapsed="false">
      <c r="F281" s="1"/>
      <c r="G281" s="1"/>
    </row>
    <row r="282" customFormat="false" ht="13.8" hidden="false" customHeight="false" outlineLevel="0" collapsed="false">
      <c r="F282" s="1"/>
      <c r="G282" s="1"/>
    </row>
    <row r="283" customFormat="false" ht="13.8" hidden="false" customHeight="false" outlineLevel="0" collapsed="false">
      <c r="F283" s="1"/>
      <c r="G283" s="1"/>
    </row>
    <row r="284" customFormat="false" ht="13.8" hidden="false" customHeight="false" outlineLevel="0" collapsed="false">
      <c r="F284" s="1"/>
      <c r="G284" s="1"/>
    </row>
    <row r="285" customFormat="false" ht="13.8" hidden="false" customHeight="false" outlineLevel="0" collapsed="false">
      <c r="F285" s="1"/>
      <c r="G285" s="1"/>
    </row>
    <row r="286" customFormat="false" ht="13.8" hidden="false" customHeight="false" outlineLevel="0" collapsed="false">
      <c r="F286" s="1"/>
      <c r="G286" s="1"/>
    </row>
    <row r="287" customFormat="false" ht="13.8" hidden="false" customHeight="false" outlineLevel="0" collapsed="false">
      <c r="F287" s="1"/>
      <c r="G287" s="1"/>
    </row>
    <row r="288" customFormat="false" ht="13.8" hidden="false" customHeight="false" outlineLevel="0" collapsed="false">
      <c r="F288" s="1"/>
      <c r="G288" s="1"/>
    </row>
    <row r="289" customFormat="false" ht="13.8" hidden="false" customHeight="false" outlineLevel="0" collapsed="false">
      <c r="F289" s="1"/>
      <c r="G289" s="1"/>
    </row>
    <row r="290" customFormat="false" ht="13.8" hidden="false" customHeight="false" outlineLevel="0" collapsed="false">
      <c r="F290" s="1"/>
      <c r="G290" s="1"/>
    </row>
    <row r="291" customFormat="false" ht="13.8" hidden="false" customHeight="false" outlineLevel="0" collapsed="false">
      <c r="F291" s="1"/>
      <c r="G291" s="1"/>
    </row>
    <row r="292" customFormat="false" ht="13.8" hidden="false" customHeight="false" outlineLevel="0" collapsed="false">
      <c r="F292" s="1"/>
      <c r="G292" s="1"/>
    </row>
    <row r="293" customFormat="false" ht="13.8" hidden="false" customHeight="false" outlineLevel="0" collapsed="false">
      <c r="F293" s="1"/>
      <c r="G293" s="1"/>
    </row>
    <row r="294" customFormat="false" ht="13.8" hidden="false" customHeight="false" outlineLevel="0" collapsed="false">
      <c r="F294" s="1"/>
      <c r="G294" s="1"/>
    </row>
    <row r="295" customFormat="false" ht="13.8" hidden="false" customHeight="false" outlineLevel="0" collapsed="false">
      <c r="F295" s="1"/>
      <c r="G295" s="1"/>
    </row>
    <row r="296" customFormat="false" ht="13.8" hidden="false" customHeight="false" outlineLevel="0" collapsed="false">
      <c r="F296" s="1"/>
      <c r="G296" s="1"/>
    </row>
    <row r="297" customFormat="false" ht="13.8" hidden="false" customHeight="false" outlineLevel="0" collapsed="false">
      <c r="F297" s="1"/>
      <c r="G297" s="1"/>
    </row>
    <row r="298" customFormat="false" ht="13.8" hidden="false" customHeight="false" outlineLevel="0" collapsed="false">
      <c r="F298" s="1"/>
      <c r="G298" s="1"/>
    </row>
    <row r="299" customFormat="false" ht="13.8" hidden="false" customHeight="false" outlineLevel="0" collapsed="false">
      <c r="F299" s="1"/>
      <c r="G299" s="1"/>
    </row>
    <row r="300" customFormat="false" ht="13.8" hidden="false" customHeight="false" outlineLevel="0" collapsed="false">
      <c r="F300" s="1"/>
      <c r="G300" s="1"/>
    </row>
    <row r="301" customFormat="false" ht="13.8" hidden="false" customHeight="false" outlineLevel="0" collapsed="false">
      <c r="F301" s="1"/>
      <c r="G301" s="1"/>
    </row>
    <row r="302" customFormat="false" ht="13.8" hidden="false" customHeight="false" outlineLevel="0" collapsed="false">
      <c r="F302" s="1"/>
      <c r="G302" s="1"/>
    </row>
    <row r="303" customFormat="false" ht="13.8" hidden="false" customHeight="false" outlineLevel="0" collapsed="false">
      <c r="F303" s="1"/>
      <c r="G303" s="1"/>
    </row>
    <row r="304" customFormat="false" ht="13.8" hidden="false" customHeight="false" outlineLevel="0" collapsed="false">
      <c r="F304" s="1"/>
      <c r="G304" s="1"/>
    </row>
    <row r="305" customFormat="false" ht="13.8" hidden="false" customHeight="false" outlineLevel="0" collapsed="false">
      <c r="F305" s="1"/>
      <c r="G305" s="1"/>
    </row>
    <row r="306" customFormat="false" ht="13.8" hidden="false" customHeight="false" outlineLevel="0" collapsed="false">
      <c r="F306" s="1"/>
      <c r="G306" s="1"/>
    </row>
  </sheetData>
  <mergeCells count="77">
    <mergeCell ref="J3:L3"/>
    <mergeCell ref="M3:O3"/>
    <mergeCell ref="P3:R3"/>
    <mergeCell ref="S3:U3"/>
    <mergeCell ref="V3:X3"/>
    <mergeCell ref="Y3:AA3"/>
    <mergeCell ref="AB3:AD3"/>
    <mergeCell ref="AE3:AG3"/>
    <mergeCell ref="AH3:AJ3"/>
    <mergeCell ref="AK3:AM3"/>
    <mergeCell ref="AN3:AP3"/>
    <mergeCell ref="AQ3:AS3"/>
    <mergeCell ref="AT3:AV3"/>
    <mergeCell ref="AW3:AY3"/>
    <mergeCell ref="AZ3:BB3"/>
    <mergeCell ref="BC3:BE3"/>
    <mergeCell ref="BF3:BH3"/>
    <mergeCell ref="BI3:BK3"/>
    <mergeCell ref="BL3:BN3"/>
    <mergeCell ref="BO3:BQ3"/>
    <mergeCell ref="BR3:BT3"/>
    <mergeCell ref="BU3:BW3"/>
    <mergeCell ref="BX3:BZ3"/>
    <mergeCell ref="CA3:CC3"/>
    <mergeCell ref="CD3:CF3"/>
    <mergeCell ref="CG3:CI3"/>
    <mergeCell ref="CJ3:CL3"/>
    <mergeCell ref="CM3:CO3"/>
    <mergeCell ref="CP3:CR3"/>
    <mergeCell ref="CS3:CU3"/>
    <mergeCell ref="CV3:CX3"/>
    <mergeCell ref="CY3:DA3"/>
    <mergeCell ref="DB3:DD3"/>
    <mergeCell ref="DE3:DG3"/>
    <mergeCell ref="DH3:DJ3"/>
    <mergeCell ref="DK3:DM3"/>
    <mergeCell ref="DN3:DP3"/>
    <mergeCell ref="DQ3:DS3"/>
    <mergeCell ref="J4:L4"/>
    <mergeCell ref="M4:O4"/>
    <mergeCell ref="P4:R4"/>
    <mergeCell ref="S4:U4"/>
    <mergeCell ref="V4:X4"/>
    <mergeCell ref="Y4:AA4"/>
    <mergeCell ref="AB4:AD4"/>
    <mergeCell ref="AE4:AG4"/>
    <mergeCell ref="AH4:AJ4"/>
    <mergeCell ref="AK4:AM4"/>
    <mergeCell ref="AN4:AP4"/>
    <mergeCell ref="AQ4:AS4"/>
    <mergeCell ref="AT4:AV4"/>
    <mergeCell ref="AW4:AY4"/>
    <mergeCell ref="AZ4:BB4"/>
    <mergeCell ref="BC4:BE4"/>
    <mergeCell ref="BF4:BH4"/>
    <mergeCell ref="BI4:BK4"/>
    <mergeCell ref="BL4:BN4"/>
    <mergeCell ref="BO4:BQ4"/>
    <mergeCell ref="BR4:BT4"/>
    <mergeCell ref="BU4:BW4"/>
    <mergeCell ref="BX4:BZ4"/>
    <mergeCell ref="CA4:CC4"/>
    <mergeCell ref="CD4:CF4"/>
    <mergeCell ref="CG4:CI4"/>
    <mergeCell ref="CJ4:CL4"/>
    <mergeCell ref="CM4:CO4"/>
    <mergeCell ref="CP4:CR4"/>
    <mergeCell ref="CS4:CU4"/>
    <mergeCell ref="CV4:CX4"/>
    <mergeCell ref="CY4:DA4"/>
    <mergeCell ref="DB4:DD4"/>
    <mergeCell ref="DE4:DG4"/>
    <mergeCell ref="DH4:DJ4"/>
    <mergeCell ref="DK4:DM4"/>
    <mergeCell ref="DN4:DP4"/>
    <mergeCell ref="DQ4:DS4"/>
    <mergeCell ref="DT4:DV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N139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2" activeCellId="0" sqref="L2"/>
    </sheetView>
  </sheetViews>
  <sheetFormatPr defaultColWidth="8.6796875" defaultRowHeight="15" zeroHeight="false" outlineLevelRow="0" outlineLevelCol="0"/>
  <cols>
    <col collapsed="false" customWidth="true" hidden="false" outlineLevel="0" max="1" min="1" style="51" width="9.71"/>
    <col collapsed="false" customWidth="true" hidden="false" outlineLevel="0" max="2" min="2" style="51" width="10.71"/>
    <col collapsed="false" customWidth="true" hidden="false" outlineLevel="0" max="3" min="3" style="51" width="15.14"/>
    <col collapsed="false" customWidth="true" hidden="false" outlineLevel="0" max="4" min="4" style="51" width="11.71"/>
    <col collapsed="false" customWidth="true" hidden="false" outlineLevel="0" max="11" min="11" style="0" width="12.42"/>
    <col collapsed="false" customWidth="true" hidden="false" outlineLevel="0" max="12" min="12" style="0" width="13.42"/>
  </cols>
  <sheetData>
    <row r="1" customFormat="false" ht="15" hidden="false" customHeight="false" outlineLevel="0" collapsed="false">
      <c r="A1" s="52" t="s">
        <v>77</v>
      </c>
      <c r="B1" s="52" t="s">
        <v>775</v>
      </c>
      <c r="C1" s="52" t="s">
        <v>776</v>
      </c>
      <c r="D1" s="52" t="s">
        <v>777</v>
      </c>
      <c r="G1" s="53" t="s">
        <v>778</v>
      </c>
      <c r="I1" s="51" t="s">
        <v>82</v>
      </c>
      <c r="J1" s="54" t="s">
        <v>779</v>
      </c>
      <c r="K1" s="51" t="s">
        <v>73</v>
      </c>
      <c r="L1" s="54" t="s">
        <v>780</v>
      </c>
    </row>
    <row r="2" customFormat="false" ht="15" hidden="false" customHeight="false" outlineLevel="0" collapsed="false">
      <c r="A2" s="51" t="s">
        <v>781</v>
      </c>
      <c r="B2" s="55" t="n">
        <v>44012</v>
      </c>
      <c r="C2" s="51" t="s">
        <v>782</v>
      </c>
      <c r="D2" s="51" t="n">
        <v>0</v>
      </c>
    </row>
    <row r="3" customFormat="false" ht="15" hidden="true" customHeight="false" outlineLevel="0" collapsed="false">
      <c r="A3" s="51" t="s">
        <v>783</v>
      </c>
      <c r="B3" s="55" t="n">
        <v>44012</v>
      </c>
      <c r="C3" s="51" t="s">
        <v>782</v>
      </c>
      <c r="D3" s="51" t="n">
        <v>0</v>
      </c>
    </row>
    <row r="4" customFormat="false" ht="15" hidden="true" customHeight="false" outlineLevel="0" collapsed="false">
      <c r="A4" s="51" t="s">
        <v>96</v>
      </c>
      <c r="B4" s="55" t="n">
        <v>44012</v>
      </c>
      <c r="C4" s="51" t="s">
        <v>782</v>
      </c>
      <c r="D4" s="51" t="n">
        <v>0</v>
      </c>
    </row>
    <row r="5" customFormat="false" ht="15" hidden="true" customHeight="false" outlineLevel="0" collapsed="false">
      <c r="A5" s="51" t="s">
        <v>101</v>
      </c>
      <c r="B5" s="55" t="n">
        <v>44012</v>
      </c>
      <c r="C5" s="51" t="s">
        <v>782</v>
      </c>
      <c r="D5" s="51" t="n">
        <v>0</v>
      </c>
    </row>
    <row r="6" customFormat="false" ht="15" hidden="true" customHeight="false" outlineLevel="0" collapsed="false">
      <c r="A6" s="51" t="s">
        <v>106</v>
      </c>
      <c r="B6" s="55" t="n">
        <v>44012</v>
      </c>
      <c r="C6" s="51" t="s">
        <v>782</v>
      </c>
      <c r="D6" s="51" t="n">
        <v>0</v>
      </c>
    </row>
    <row r="7" customFormat="false" ht="15" hidden="true" customHeight="false" outlineLevel="0" collapsed="false">
      <c r="A7" s="51" t="s">
        <v>110</v>
      </c>
      <c r="B7" s="55" t="n">
        <v>44012</v>
      </c>
      <c r="C7" s="51" t="s">
        <v>782</v>
      </c>
      <c r="D7" s="51" t="n">
        <v>0</v>
      </c>
    </row>
    <row r="8" customFormat="false" ht="15" hidden="true" customHeight="false" outlineLevel="0" collapsed="false">
      <c r="A8" s="51" t="s">
        <v>115</v>
      </c>
      <c r="B8" s="55" t="n">
        <v>44012</v>
      </c>
      <c r="C8" s="51" t="s">
        <v>782</v>
      </c>
      <c r="D8" s="51" t="n">
        <v>0</v>
      </c>
      <c r="I8" s="56" t="s">
        <v>784</v>
      </c>
      <c r="K8" s="54" t="s">
        <v>785</v>
      </c>
      <c r="L8" s="57" t="s">
        <v>786</v>
      </c>
      <c r="M8" s="54" t="s">
        <v>787</v>
      </c>
      <c r="N8" s="54" t="s">
        <v>788</v>
      </c>
    </row>
    <row r="9" customFormat="false" ht="15" hidden="true" customHeight="false" outlineLevel="0" collapsed="false">
      <c r="A9" s="51" t="s">
        <v>120</v>
      </c>
      <c r="B9" s="55" t="n">
        <v>44012</v>
      </c>
      <c r="C9" s="51" t="s">
        <v>782</v>
      </c>
      <c r="D9" s="51" t="n">
        <v>0</v>
      </c>
      <c r="M9" s="56" t="s">
        <v>789</v>
      </c>
    </row>
    <row r="10" customFormat="false" ht="15" hidden="true" customHeight="false" outlineLevel="0" collapsed="false">
      <c r="A10" s="51" t="s">
        <v>124</v>
      </c>
      <c r="B10" s="55" t="n">
        <v>44012</v>
      </c>
      <c r="C10" s="51" t="s">
        <v>782</v>
      </c>
      <c r="D10" s="51" t="n">
        <v>0</v>
      </c>
    </row>
    <row r="11" customFormat="false" ht="15" hidden="true" customHeight="false" outlineLevel="0" collapsed="false">
      <c r="A11" s="51" t="s">
        <v>129</v>
      </c>
      <c r="B11" s="55" t="n">
        <v>44012</v>
      </c>
      <c r="C11" s="51" t="s">
        <v>782</v>
      </c>
      <c r="D11" s="51" t="n">
        <v>0</v>
      </c>
    </row>
    <row r="12" customFormat="false" ht="15" hidden="true" customHeight="false" outlineLevel="0" collapsed="false">
      <c r="A12" s="51" t="s">
        <v>134</v>
      </c>
      <c r="B12" s="55" t="n">
        <v>44012</v>
      </c>
      <c r="C12" s="51" t="s">
        <v>782</v>
      </c>
      <c r="D12" s="51" t="n">
        <v>0</v>
      </c>
    </row>
    <row r="13" customFormat="false" ht="15" hidden="true" customHeight="false" outlineLevel="0" collapsed="false">
      <c r="A13" s="51" t="s">
        <v>141</v>
      </c>
      <c r="B13" s="55" t="n">
        <v>44012</v>
      </c>
      <c r="C13" s="51" t="s">
        <v>782</v>
      </c>
      <c r="D13" s="51" t="n">
        <v>0</v>
      </c>
    </row>
    <row r="14" customFormat="false" ht="15" hidden="true" customHeight="false" outlineLevel="0" collapsed="false">
      <c r="A14" s="51" t="s">
        <v>146</v>
      </c>
      <c r="B14" s="55" t="n">
        <v>44012</v>
      </c>
      <c r="C14" s="51" t="s">
        <v>782</v>
      </c>
      <c r="D14" s="51" t="n">
        <v>0</v>
      </c>
    </row>
    <row r="15" customFormat="false" ht="15" hidden="true" customHeight="false" outlineLevel="0" collapsed="false">
      <c r="A15" s="51" t="s">
        <v>151</v>
      </c>
      <c r="B15" s="55" t="n">
        <v>44012</v>
      </c>
      <c r="C15" s="51" t="s">
        <v>782</v>
      </c>
      <c r="D15" s="51" t="n">
        <v>0</v>
      </c>
    </row>
    <row r="16" customFormat="false" ht="15" hidden="true" customHeight="false" outlineLevel="0" collapsed="false">
      <c r="A16" s="51" t="s">
        <v>156</v>
      </c>
      <c r="B16" s="55" t="n">
        <v>44012</v>
      </c>
      <c r="C16" s="51" t="s">
        <v>782</v>
      </c>
      <c r="D16" s="51" t="n">
        <v>0</v>
      </c>
    </row>
    <row r="17" customFormat="false" ht="15" hidden="true" customHeight="false" outlineLevel="0" collapsed="false">
      <c r="A17" s="51" t="s">
        <v>161</v>
      </c>
      <c r="B17" s="55" t="n">
        <v>44012</v>
      </c>
      <c r="C17" s="51" t="s">
        <v>782</v>
      </c>
      <c r="D17" s="51" t="n">
        <v>0</v>
      </c>
    </row>
    <row r="18" customFormat="false" ht="15" hidden="true" customHeight="false" outlineLevel="0" collapsed="false">
      <c r="A18" s="51" t="s">
        <v>166</v>
      </c>
      <c r="B18" s="55" t="n">
        <v>44012</v>
      </c>
      <c r="C18" s="51" t="s">
        <v>782</v>
      </c>
      <c r="D18" s="51" t="n">
        <v>0</v>
      </c>
    </row>
    <row r="19" customFormat="false" ht="15" hidden="true" customHeight="false" outlineLevel="0" collapsed="false">
      <c r="A19" s="51" t="s">
        <v>171</v>
      </c>
      <c r="B19" s="55" t="n">
        <v>44012</v>
      </c>
      <c r="C19" s="51" t="s">
        <v>782</v>
      </c>
      <c r="D19" s="51" t="n">
        <v>0</v>
      </c>
    </row>
    <row r="20" customFormat="false" ht="15" hidden="true" customHeight="false" outlineLevel="0" collapsed="false">
      <c r="A20" s="51" t="s">
        <v>176</v>
      </c>
      <c r="B20" s="55" t="n">
        <v>44012</v>
      </c>
      <c r="C20" s="51" t="s">
        <v>782</v>
      </c>
      <c r="D20" s="51" t="n">
        <v>0</v>
      </c>
    </row>
    <row r="21" customFormat="false" ht="15" hidden="true" customHeight="false" outlineLevel="0" collapsed="false">
      <c r="A21" s="51" t="s">
        <v>181</v>
      </c>
      <c r="B21" s="55" t="n">
        <v>44012</v>
      </c>
      <c r="C21" s="51" t="s">
        <v>782</v>
      </c>
      <c r="D21" s="51" t="n">
        <v>0</v>
      </c>
    </row>
    <row r="22" customFormat="false" ht="15" hidden="true" customHeight="false" outlineLevel="0" collapsed="false">
      <c r="A22" s="51" t="s">
        <v>186</v>
      </c>
      <c r="B22" s="55" t="n">
        <v>44012</v>
      </c>
      <c r="C22" s="51" t="s">
        <v>782</v>
      </c>
      <c r="D22" s="51" t="n">
        <v>0</v>
      </c>
    </row>
    <row r="23" customFormat="false" ht="15" hidden="true" customHeight="false" outlineLevel="0" collapsed="false">
      <c r="A23" s="51" t="s">
        <v>191</v>
      </c>
      <c r="B23" s="55" t="n">
        <v>44012</v>
      </c>
      <c r="C23" s="51" t="s">
        <v>782</v>
      </c>
      <c r="D23" s="51" t="n">
        <v>0</v>
      </c>
    </row>
    <row r="24" customFormat="false" ht="15" hidden="true" customHeight="false" outlineLevel="0" collapsed="false">
      <c r="A24" s="51" t="s">
        <v>196</v>
      </c>
      <c r="B24" s="55" t="n">
        <v>44012</v>
      </c>
      <c r="C24" s="51" t="s">
        <v>782</v>
      </c>
      <c r="D24" s="51" t="n">
        <v>0</v>
      </c>
    </row>
    <row r="25" customFormat="false" ht="15" hidden="true" customHeight="false" outlineLevel="0" collapsed="false">
      <c r="A25" s="51" t="s">
        <v>201</v>
      </c>
      <c r="B25" s="55" t="n">
        <v>44012</v>
      </c>
      <c r="C25" s="51" t="s">
        <v>782</v>
      </c>
      <c r="D25" s="51" t="n">
        <v>0</v>
      </c>
    </row>
    <row r="26" customFormat="false" ht="15" hidden="true" customHeight="false" outlineLevel="0" collapsed="false">
      <c r="A26" s="51" t="s">
        <v>206</v>
      </c>
      <c r="B26" s="55" t="n">
        <v>44012</v>
      </c>
      <c r="C26" s="51" t="s">
        <v>782</v>
      </c>
      <c r="D26" s="51" t="n">
        <v>0</v>
      </c>
    </row>
    <row r="27" customFormat="false" ht="15" hidden="true" customHeight="false" outlineLevel="0" collapsed="false">
      <c r="A27" s="51" t="s">
        <v>210</v>
      </c>
      <c r="B27" s="55" t="n">
        <v>44012</v>
      </c>
      <c r="C27" s="51" t="s">
        <v>782</v>
      </c>
      <c r="D27" s="51" t="n">
        <v>0</v>
      </c>
    </row>
    <row r="28" customFormat="false" ht="15" hidden="true" customHeight="false" outlineLevel="0" collapsed="false">
      <c r="A28" s="51" t="s">
        <v>215</v>
      </c>
      <c r="B28" s="55" t="n">
        <v>44012</v>
      </c>
      <c r="C28" s="51" t="s">
        <v>782</v>
      </c>
      <c r="D28" s="51" t="n">
        <v>0</v>
      </c>
    </row>
    <row r="29" customFormat="false" ht="15" hidden="true" customHeight="false" outlineLevel="0" collapsed="false">
      <c r="A29" s="51" t="s">
        <v>790</v>
      </c>
      <c r="B29" s="55" t="n">
        <v>44012</v>
      </c>
      <c r="C29" s="51" t="s">
        <v>782</v>
      </c>
      <c r="D29" s="51" t="n">
        <v>0</v>
      </c>
    </row>
    <row r="30" customFormat="false" ht="15" hidden="true" customHeight="false" outlineLevel="0" collapsed="false">
      <c r="A30" s="51" t="s">
        <v>225</v>
      </c>
      <c r="B30" s="55" t="n">
        <v>44012</v>
      </c>
      <c r="C30" s="51" t="s">
        <v>782</v>
      </c>
      <c r="D30" s="51" t="n">
        <v>0</v>
      </c>
    </row>
    <row r="31" customFormat="false" ht="15" hidden="true" customHeight="false" outlineLevel="0" collapsed="false">
      <c r="A31" s="51" t="s">
        <v>230</v>
      </c>
      <c r="B31" s="55" t="n">
        <v>44012</v>
      </c>
      <c r="C31" s="51" t="s">
        <v>782</v>
      </c>
      <c r="D31" s="51" t="n">
        <v>0</v>
      </c>
    </row>
    <row r="32" customFormat="false" ht="15" hidden="true" customHeight="false" outlineLevel="0" collapsed="false">
      <c r="A32" s="51" t="s">
        <v>235</v>
      </c>
      <c r="B32" s="55" t="n">
        <v>44012</v>
      </c>
      <c r="C32" s="51" t="s">
        <v>782</v>
      </c>
      <c r="D32" s="51" t="n">
        <v>0</v>
      </c>
    </row>
    <row r="33" customFormat="false" ht="15" hidden="true" customHeight="false" outlineLevel="0" collapsed="false">
      <c r="A33" s="51" t="s">
        <v>240</v>
      </c>
      <c r="B33" s="55" t="n">
        <v>44012</v>
      </c>
      <c r="C33" s="51" t="s">
        <v>782</v>
      </c>
      <c r="D33" s="51" t="n">
        <v>0</v>
      </c>
    </row>
    <row r="34" customFormat="false" ht="15" hidden="true" customHeight="false" outlineLevel="0" collapsed="false">
      <c r="A34" s="51" t="s">
        <v>246</v>
      </c>
      <c r="B34" s="55" t="n">
        <v>44012</v>
      </c>
      <c r="C34" s="51" t="s">
        <v>782</v>
      </c>
      <c r="D34" s="51" t="n">
        <v>0</v>
      </c>
    </row>
    <row r="35" customFormat="false" ht="15" hidden="true" customHeight="false" outlineLevel="0" collapsed="false">
      <c r="A35" s="51" t="s">
        <v>252</v>
      </c>
      <c r="B35" s="55" t="n">
        <v>44012</v>
      </c>
      <c r="C35" s="51" t="s">
        <v>782</v>
      </c>
      <c r="D35" s="51" t="n">
        <v>0</v>
      </c>
    </row>
    <row r="36" customFormat="false" ht="15" hidden="true" customHeight="false" outlineLevel="0" collapsed="false">
      <c r="A36" s="51" t="s">
        <v>257</v>
      </c>
      <c r="B36" s="55" t="n">
        <v>44012</v>
      </c>
      <c r="C36" s="51" t="s">
        <v>782</v>
      </c>
      <c r="D36" s="51" t="n">
        <v>0</v>
      </c>
    </row>
    <row r="37" customFormat="false" ht="15" hidden="true" customHeight="false" outlineLevel="0" collapsed="false">
      <c r="A37" s="51" t="s">
        <v>262</v>
      </c>
      <c r="B37" s="55" t="n">
        <v>44012</v>
      </c>
      <c r="C37" s="51" t="s">
        <v>782</v>
      </c>
      <c r="D37" s="51" t="n">
        <v>0</v>
      </c>
    </row>
    <row r="38" customFormat="false" ht="15" hidden="true" customHeight="false" outlineLevel="0" collapsed="false">
      <c r="A38" s="51" t="s">
        <v>267</v>
      </c>
      <c r="B38" s="55" t="n">
        <v>44012</v>
      </c>
      <c r="C38" s="51" t="s">
        <v>782</v>
      </c>
      <c r="D38" s="51" t="n">
        <v>0</v>
      </c>
    </row>
    <row r="39" customFormat="false" ht="15" hidden="true" customHeight="false" outlineLevel="0" collapsed="false">
      <c r="A39" s="51" t="s">
        <v>272</v>
      </c>
      <c r="B39" s="55" t="n">
        <v>44012</v>
      </c>
      <c r="C39" s="51" t="s">
        <v>782</v>
      </c>
      <c r="D39" s="51" t="n">
        <v>0</v>
      </c>
    </row>
    <row r="40" customFormat="false" ht="15" hidden="true" customHeight="false" outlineLevel="0" collapsed="false">
      <c r="A40" s="51" t="s">
        <v>277</v>
      </c>
      <c r="B40" s="55" t="n">
        <v>44012</v>
      </c>
      <c r="C40" s="51" t="s">
        <v>782</v>
      </c>
      <c r="D40" s="51" t="n">
        <v>0</v>
      </c>
    </row>
    <row r="41" customFormat="false" ht="15" hidden="true" customHeight="false" outlineLevel="0" collapsed="false">
      <c r="A41" s="51" t="s">
        <v>282</v>
      </c>
      <c r="B41" s="55" t="n">
        <v>44012</v>
      </c>
      <c r="C41" s="51" t="s">
        <v>782</v>
      </c>
      <c r="D41" s="51" t="n">
        <v>0</v>
      </c>
    </row>
    <row r="42" customFormat="false" ht="15" hidden="true" customHeight="false" outlineLevel="0" collapsed="false">
      <c r="A42" s="51" t="s">
        <v>287</v>
      </c>
      <c r="B42" s="55" t="n">
        <v>44012</v>
      </c>
      <c r="C42" s="51" t="s">
        <v>782</v>
      </c>
      <c r="D42" s="51" t="n">
        <v>0</v>
      </c>
    </row>
    <row r="43" customFormat="false" ht="15" hidden="true" customHeight="false" outlineLevel="0" collapsed="false">
      <c r="A43" s="51" t="s">
        <v>292</v>
      </c>
      <c r="B43" s="55" t="n">
        <v>44012</v>
      </c>
      <c r="C43" s="51" t="s">
        <v>782</v>
      </c>
      <c r="D43" s="51" t="n">
        <v>0</v>
      </c>
    </row>
    <row r="44" customFormat="false" ht="15" hidden="true" customHeight="false" outlineLevel="0" collapsed="false">
      <c r="A44" s="51" t="s">
        <v>297</v>
      </c>
      <c r="B44" s="55" t="n">
        <v>44012</v>
      </c>
      <c r="C44" s="51" t="s">
        <v>782</v>
      </c>
      <c r="D44" s="51" t="n">
        <v>0</v>
      </c>
    </row>
    <row r="45" customFormat="false" ht="15" hidden="true" customHeight="false" outlineLevel="0" collapsed="false">
      <c r="A45" s="51" t="s">
        <v>302</v>
      </c>
      <c r="B45" s="55" t="n">
        <v>44012</v>
      </c>
      <c r="C45" s="51" t="s">
        <v>782</v>
      </c>
      <c r="D45" s="51" t="n">
        <v>0</v>
      </c>
    </row>
    <row r="46" customFormat="false" ht="15" hidden="true" customHeight="false" outlineLevel="0" collapsed="false">
      <c r="A46" s="51" t="s">
        <v>307</v>
      </c>
      <c r="B46" s="55" t="n">
        <v>44012</v>
      </c>
      <c r="C46" s="51" t="s">
        <v>782</v>
      </c>
      <c r="D46" s="51" t="n">
        <v>0</v>
      </c>
    </row>
    <row r="47" customFormat="false" ht="15" hidden="true" customHeight="false" outlineLevel="0" collapsed="false">
      <c r="A47" s="51" t="s">
        <v>311</v>
      </c>
      <c r="B47" s="55" t="n">
        <v>44012</v>
      </c>
      <c r="C47" s="51" t="s">
        <v>782</v>
      </c>
      <c r="D47" s="51" t="n">
        <v>0</v>
      </c>
    </row>
    <row r="48" customFormat="false" ht="15" hidden="true" customHeight="false" outlineLevel="0" collapsed="false">
      <c r="A48" s="51" t="s">
        <v>317</v>
      </c>
      <c r="B48" s="55" t="n">
        <v>44012</v>
      </c>
      <c r="C48" s="51" t="s">
        <v>782</v>
      </c>
      <c r="D48" s="51" t="n">
        <v>0</v>
      </c>
    </row>
    <row r="49" customFormat="false" ht="15" hidden="true" customHeight="false" outlineLevel="0" collapsed="false">
      <c r="A49" s="51" t="s">
        <v>322</v>
      </c>
      <c r="B49" s="55" t="n">
        <v>44012</v>
      </c>
      <c r="C49" s="51" t="s">
        <v>782</v>
      </c>
      <c r="D49" s="51" t="n">
        <v>0</v>
      </c>
    </row>
    <row r="50" customFormat="false" ht="15" hidden="true" customHeight="false" outlineLevel="0" collapsed="false">
      <c r="A50" s="51" t="s">
        <v>327</v>
      </c>
      <c r="B50" s="55" t="n">
        <v>44012</v>
      </c>
      <c r="C50" s="51" t="s">
        <v>782</v>
      </c>
      <c r="D50" s="51" t="n">
        <v>0</v>
      </c>
    </row>
    <row r="51" customFormat="false" ht="15" hidden="true" customHeight="false" outlineLevel="0" collapsed="false">
      <c r="A51" s="51" t="s">
        <v>332</v>
      </c>
      <c r="B51" s="55" t="n">
        <v>44012</v>
      </c>
      <c r="C51" s="51" t="s">
        <v>782</v>
      </c>
      <c r="D51" s="51" t="n">
        <v>0</v>
      </c>
    </row>
    <row r="52" customFormat="false" ht="15" hidden="true" customHeight="false" outlineLevel="0" collapsed="false">
      <c r="A52" s="51" t="s">
        <v>339</v>
      </c>
      <c r="B52" s="55" t="n">
        <v>44012</v>
      </c>
      <c r="C52" s="51" t="s">
        <v>782</v>
      </c>
      <c r="D52" s="51" t="n">
        <v>0</v>
      </c>
    </row>
    <row r="53" customFormat="false" ht="15" hidden="true" customHeight="false" outlineLevel="0" collapsed="false">
      <c r="A53" s="51" t="s">
        <v>344</v>
      </c>
      <c r="B53" s="55" t="n">
        <v>44012</v>
      </c>
      <c r="C53" s="51" t="s">
        <v>782</v>
      </c>
      <c r="D53" s="51" t="n">
        <v>0</v>
      </c>
    </row>
    <row r="54" customFormat="false" ht="15" hidden="true" customHeight="false" outlineLevel="0" collapsed="false">
      <c r="A54" s="51" t="s">
        <v>349</v>
      </c>
      <c r="B54" s="55" t="n">
        <v>44012</v>
      </c>
      <c r="C54" s="51" t="s">
        <v>782</v>
      </c>
      <c r="D54" s="51" t="n">
        <v>0</v>
      </c>
    </row>
    <row r="55" customFormat="false" ht="15" hidden="true" customHeight="false" outlineLevel="0" collapsed="false">
      <c r="A55" s="51" t="s">
        <v>354</v>
      </c>
      <c r="B55" s="55" t="n">
        <v>44012</v>
      </c>
      <c r="C55" s="51" t="s">
        <v>782</v>
      </c>
      <c r="D55" s="51" t="n">
        <v>0</v>
      </c>
    </row>
    <row r="56" customFormat="false" ht="15" hidden="true" customHeight="false" outlineLevel="0" collapsed="false">
      <c r="A56" s="51" t="s">
        <v>359</v>
      </c>
      <c r="B56" s="55" t="n">
        <v>44012</v>
      </c>
      <c r="C56" s="51" t="s">
        <v>782</v>
      </c>
      <c r="D56" s="51" t="n">
        <v>0</v>
      </c>
    </row>
    <row r="57" customFormat="false" ht="15" hidden="true" customHeight="false" outlineLevel="0" collapsed="false">
      <c r="A57" s="51" t="s">
        <v>364</v>
      </c>
      <c r="B57" s="55" t="n">
        <v>44012</v>
      </c>
      <c r="C57" s="51" t="s">
        <v>782</v>
      </c>
      <c r="D57" s="51" t="n">
        <v>0</v>
      </c>
    </row>
    <row r="58" customFormat="false" ht="15" hidden="true" customHeight="false" outlineLevel="0" collapsed="false">
      <c r="A58" s="51" t="s">
        <v>369</v>
      </c>
      <c r="B58" s="55" t="n">
        <v>44012</v>
      </c>
      <c r="C58" s="51" t="s">
        <v>782</v>
      </c>
      <c r="D58" s="51" t="n">
        <v>0</v>
      </c>
    </row>
    <row r="59" customFormat="false" ht="15" hidden="true" customHeight="false" outlineLevel="0" collapsed="false">
      <c r="A59" s="51" t="s">
        <v>374</v>
      </c>
      <c r="B59" s="55" t="n">
        <v>44012</v>
      </c>
      <c r="C59" s="51" t="s">
        <v>782</v>
      </c>
      <c r="D59" s="51" t="n">
        <v>0</v>
      </c>
    </row>
    <row r="60" customFormat="false" ht="15" hidden="true" customHeight="false" outlineLevel="0" collapsed="false">
      <c r="A60" s="51" t="s">
        <v>379</v>
      </c>
      <c r="B60" s="55" t="n">
        <v>44012</v>
      </c>
      <c r="C60" s="51" t="s">
        <v>782</v>
      </c>
      <c r="D60" s="51" t="n">
        <v>0</v>
      </c>
    </row>
    <row r="61" customFormat="false" ht="15" hidden="true" customHeight="false" outlineLevel="0" collapsed="false">
      <c r="A61" s="51" t="s">
        <v>384</v>
      </c>
      <c r="B61" s="55" t="n">
        <v>44012</v>
      </c>
      <c r="C61" s="51" t="s">
        <v>782</v>
      </c>
      <c r="D61" s="51" t="n">
        <v>0</v>
      </c>
    </row>
    <row r="62" customFormat="false" ht="15" hidden="true" customHeight="false" outlineLevel="0" collapsed="false">
      <c r="A62" s="51" t="s">
        <v>389</v>
      </c>
      <c r="B62" s="55" t="n">
        <v>44012</v>
      </c>
      <c r="C62" s="51" t="s">
        <v>782</v>
      </c>
      <c r="D62" s="51" t="n">
        <v>0</v>
      </c>
    </row>
    <row r="63" customFormat="false" ht="15" hidden="true" customHeight="false" outlineLevel="0" collapsed="false">
      <c r="A63" s="51" t="s">
        <v>394</v>
      </c>
      <c r="B63" s="55" t="n">
        <v>44012</v>
      </c>
      <c r="C63" s="51" t="s">
        <v>782</v>
      </c>
      <c r="D63" s="51" t="n">
        <v>0</v>
      </c>
    </row>
    <row r="64" customFormat="false" ht="15" hidden="true" customHeight="false" outlineLevel="0" collapsed="false">
      <c r="A64" s="51" t="s">
        <v>399</v>
      </c>
      <c r="B64" s="55" t="n">
        <v>44012</v>
      </c>
      <c r="C64" s="51" t="s">
        <v>782</v>
      </c>
      <c r="D64" s="51" t="n">
        <v>0</v>
      </c>
    </row>
    <row r="65" customFormat="false" ht="15" hidden="true" customHeight="false" outlineLevel="0" collapsed="false">
      <c r="A65" s="51" t="s">
        <v>404</v>
      </c>
      <c r="B65" s="55" t="n">
        <v>44012</v>
      </c>
      <c r="C65" s="51" t="s">
        <v>782</v>
      </c>
      <c r="D65" s="51" t="n">
        <v>0</v>
      </c>
    </row>
    <row r="66" customFormat="false" ht="15" hidden="true" customHeight="false" outlineLevel="0" collapsed="false">
      <c r="A66" s="51" t="s">
        <v>409</v>
      </c>
      <c r="B66" s="55" t="n">
        <v>44012</v>
      </c>
      <c r="C66" s="51" t="s">
        <v>782</v>
      </c>
      <c r="D66" s="51" t="n">
        <v>0</v>
      </c>
    </row>
    <row r="67" customFormat="false" ht="15" hidden="true" customHeight="false" outlineLevel="0" collapsed="false">
      <c r="A67" s="51" t="s">
        <v>414</v>
      </c>
      <c r="B67" s="55" t="n">
        <v>44012</v>
      </c>
      <c r="C67" s="51" t="s">
        <v>782</v>
      </c>
      <c r="D67" s="51" t="n">
        <v>0</v>
      </c>
    </row>
    <row r="68" customFormat="false" ht="15" hidden="true" customHeight="false" outlineLevel="0" collapsed="false">
      <c r="A68" s="51" t="s">
        <v>419</v>
      </c>
      <c r="B68" s="55" t="n">
        <v>44012</v>
      </c>
      <c r="C68" s="51" t="s">
        <v>782</v>
      </c>
      <c r="D68" s="51" t="n">
        <v>0</v>
      </c>
    </row>
    <row r="69" customFormat="false" ht="15" hidden="true" customHeight="false" outlineLevel="0" collapsed="false">
      <c r="A69" s="51" t="s">
        <v>424</v>
      </c>
      <c r="B69" s="55" t="n">
        <v>44012</v>
      </c>
      <c r="C69" s="51" t="s">
        <v>782</v>
      </c>
      <c r="D69" s="51" t="n">
        <v>0</v>
      </c>
    </row>
    <row r="70" customFormat="false" ht="15" hidden="true" customHeight="false" outlineLevel="0" collapsed="false">
      <c r="A70" s="51" t="s">
        <v>429</v>
      </c>
      <c r="B70" s="55" t="n">
        <v>44012</v>
      </c>
      <c r="C70" s="51" t="s">
        <v>782</v>
      </c>
      <c r="D70" s="51" t="n">
        <v>0</v>
      </c>
    </row>
    <row r="71" customFormat="false" ht="15" hidden="true" customHeight="false" outlineLevel="0" collapsed="false">
      <c r="A71" s="51" t="s">
        <v>434</v>
      </c>
      <c r="B71" s="55" t="n">
        <v>44012</v>
      </c>
      <c r="C71" s="51" t="s">
        <v>782</v>
      </c>
      <c r="D71" s="51" t="n">
        <v>0</v>
      </c>
    </row>
    <row r="72" customFormat="false" ht="15" hidden="true" customHeight="false" outlineLevel="0" collapsed="false">
      <c r="A72" s="51" t="s">
        <v>438</v>
      </c>
      <c r="B72" s="55" t="n">
        <v>44012</v>
      </c>
      <c r="C72" s="51" t="s">
        <v>782</v>
      </c>
      <c r="D72" s="51" t="n">
        <v>0</v>
      </c>
    </row>
    <row r="73" customFormat="false" ht="15" hidden="true" customHeight="false" outlineLevel="0" collapsed="false">
      <c r="A73" s="51" t="s">
        <v>443</v>
      </c>
      <c r="B73" s="55" t="n">
        <v>44012</v>
      </c>
      <c r="C73" s="51" t="s">
        <v>782</v>
      </c>
      <c r="D73" s="51" t="n">
        <v>0</v>
      </c>
    </row>
    <row r="74" customFormat="false" ht="15" hidden="true" customHeight="false" outlineLevel="0" collapsed="false">
      <c r="A74" s="51" t="s">
        <v>448</v>
      </c>
      <c r="B74" s="55" t="n">
        <v>44012</v>
      </c>
      <c r="C74" s="51" t="s">
        <v>782</v>
      </c>
      <c r="D74" s="51" t="n">
        <v>0</v>
      </c>
    </row>
    <row r="75" customFormat="false" ht="15" hidden="true" customHeight="false" outlineLevel="0" collapsed="false">
      <c r="A75" s="51" t="s">
        <v>453</v>
      </c>
      <c r="B75" s="55" t="n">
        <v>44012</v>
      </c>
      <c r="C75" s="51" t="s">
        <v>782</v>
      </c>
      <c r="D75" s="51" t="n">
        <v>0</v>
      </c>
    </row>
    <row r="76" customFormat="false" ht="15" hidden="true" customHeight="false" outlineLevel="0" collapsed="false">
      <c r="A76" s="51" t="s">
        <v>458</v>
      </c>
      <c r="B76" s="55" t="n">
        <v>44012</v>
      </c>
      <c r="C76" s="51" t="s">
        <v>782</v>
      </c>
      <c r="D76" s="51" t="n">
        <v>0</v>
      </c>
    </row>
    <row r="77" customFormat="false" ht="15" hidden="true" customHeight="false" outlineLevel="0" collapsed="false">
      <c r="A77" s="51" t="s">
        <v>473</v>
      </c>
      <c r="B77" s="55" t="n">
        <v>44012</v>
      </c>
      <c r="C77" s="51" t="s">
        <v>782</v>
      </c>
      <c r="D77" s="51" t="n">
        <v>0</v>
      </c>
    </row>
    <row r="78" customFormat="false" ht="15" hidden="true" customHeight="false" outlineLevel="0" collapsed="false">
      <c r="A78" s="51" t="s">
        <v>479</v>
      </c>
      <c r="B78" s="55" t="n">
        <v>44012</v>
      </c>
      <c r="C78" s="51" t="s">
        <v>782</v>
      </c>
      <c r="D78" s="51" t="n">
        <v>0</v>
      </c>
    </row>
    <row r="79" customFormat="false" ht="15" hidden="true" customHeight="false" outlineLevel="0" collapsed="false">
      <c r="A79" s="51" t="s">
        <v>484</v>
      </c>
      <c r="B79" s="55" t="n">
        <v>44012</v>
      </c>
      <c r="C79" s="51" t="s">
        <v>782</v>
      </c>
      <c r="D79" s="51" t="n">
        <v>0</v>
      </c>
    </row>
    <row r="80" customFormat="false" ht="15" hidden="true" customHeight="false" outlineLevel="0" collapsed="false">
      <c r="A80" s="51" t="s">
        <v>489</v>
      </c>
      <c r="B80" s="55" t="n">
        <v>44012</v>
      </c>
      <c r="C80" s="51" t="s">
        <v>782</v>
      </c>
      <c r="D80" s="51" t="n">
        <v>0</v>
      </c>
    </row>
    <row r="81" customFormat="false" ht="15" hidden="true" customHeight="false" outlineLevel="0" collapsed="false">
      <c r="A81" s="51" t="s">
        <v>494</v>
      </c>
      <c r="B81" s="55" t="n">
        <v>44012</v>
      </c>
      <c r="C81" s="51" t="s">
        <v>782</v>
      </c>
      <c r="D81" s="51" t="n">
        <v>0</v>
      </c>
    </row>
    <row r="82" customFormat="false" ht="15" hidden="true" customHeight="false" outlineLevel="0" collapsed="false">
      <c r="A82" s="51" t="s">
        <v>499</v>
      </c>
      <c r="B82" s="55" t="n">
        <v>44012</v>
      </c>
      <c r="C82" s="51" t="s">
        <v>782</v>
      </c>
      <c r="D82" s="51" t="n">
        <v>0</v>
      </c>
    </row>
    <row r="83" customFormat="false" ht="15" hidden="true" customHeight="false" outlineLevel="0" collapsed="false">
      <c r="A83" s="51" t="s">
        <v>504</v>
      </c>
      <c r="B83" s="55" t="n">
        <v>44012</v>
      </c>
      <c r="C83" s="51" t="s">
        <v>782</v>
      </c>
      <c r="D83" s="51" t="n">
        <v>0</v>
      </c>
    </row>
    <row r="84" customFormat="false" ht="15" hidden="true" customHeight="false" outlineLevel="0" collapsed="false">
      <c r="A84" s="51" t="s">
        <v>509</v>
      </c>
      <c r="B84" s="55" t="n">
        <v>44012</v>
      </c>
      <c r="C84" s="51" t="s">
        <v>782</v>
      </c>
      <c r="D84" s="51" t="n">
        <v>0</v>
      </c>
    </row>
    <row r="85" customFormat="false" ht="15" hidden="true" customHeight="false" outlineLevel="0" collapsed="false">
      <c r="A85" s="51" t="s">
        <v>515</v>
      </c>
      <c r="B85" s="55" t="n">
        <v>44012</v>
      </c>
      <c r="C85" s="51" t="s">
        <v>782</v>
      </c>
      <c r="D85" s="51" t="n">
        <v>0</v>
      </c>
    </row>
    <row r="86" customFormat="false" ht="15" hidden="true" customHeight="false" outlineLevel="0" collapsed="false">
      <c r="A86" s="51" t="s">
        <v>520</v>
      </c>
      <c r="B86" s="55" t="n">
        <v>44012</v>
      </c>
      <c r="C86" s="51" t="s">
        <v>782</v>
      </c>
      <c r="D86" s="51" t="n">
        <v>0</v>
      </c>
    </row>
    <row r="87" customFormat="false" ht="15" hidden="true" customHeight="false" outlineLevel="0" collapsed="false">
      <c r="A87" s="51" t="s">
        <v>525</v>
      </c>
      <c r="B87" s="55" t="n">
        <v>44012</v>
      </c>
      <c r="C87" s="51" t="s">
        <v>782</v>
      </c>
      <c r="D87" s="51" t="n">
        <v>0</v>
      </c>
    </row>
    <row r="88" customFormat="false" ht="15" hidden="true" customHeight="false" outlineLevel="0" collapsed="false">
      <c r="A88" s="51" t="s">
        <v>531</v>
      </c>
      <c r="B88" s="55" t="n">
        <v>44012</v>
      </c>
      <c r="C88" s="51" t="s">
        <v>782</v>
      </c>
      <c r="D88" s="51" t="n">
        <v>0</v>
      </c>
    </row>
    <row r="89" customFormat="false" ht="15" hidden="true" customHeight="false" outlineLevel="0" collapsed="false">
      <c r="A89" s="51" t="s">
        <v>536</v>
      </c>
      <c r="B89" s="55" t="n">
        <v>44012</v>
      </c>
      <c r="C89" s="51" t="s">
        <v>782</v>
      </c>
      <c r="D89" s="51" t="n">
        <v>0</v>
      </c>
    </row>
    <row r="90" customFormat="false" ht="15" hidden="true" customHeight="false" outlineLevel="0" collapsed="false">
      <c r="A90" s="51" t="s">
        <v>541</v>
      </c>
      <c r="B90" s="55" t="n">
        <v>44012</v>
      </c>
      <c r="C90" s="51" t="s">
        <v>782</v>
      </c>
      <c r="D90" s="51" t="n">
        <v>0</v>
      </c>
    </row>
    <row r="91" customFormat="false" ht="15" hidden="true" customHeight="false" outlineLevel="0" collapsed="false">
      <c r="A91" s="51" t="s">
        <v>549</v>
      </c>
      <c r="B91" s="55" t="n">
        <v>44012</v>
      </c>
      <c r="C91" s="51" t="s">
        <v>782</v>
      </c>
      <c r="D91" s="51" t="n">
        <v>0</v>
      </c>
    </row>
    <row r="92" customFormat="false" ht="15" hidden="true" customHeight="false" outlineLevel="0" collapsed="false">
      <c r="A92" s="51" t="s">
        <v>554</v>
      </c>
      <c r="B92" s="55" t="n">
        <v>44012</v>
      </c>
      <c r="C92" s="51" t="s">
        <v>782</v>
      </c>
      <c r="D92" s="51" t="n">
        <v>0</v>
      </c>
    </row>
    <row r="93" customFormat="false" ht="15" hidden="true" customHeight="false" outlineLevel="0" collapsed="false">
      <c r="A93" s="51" t="s">
        <v>559</v>
      </c>
      <c r="B93" s="55" t="n">
        <v>44012</v>
      </c>
      <c r="C93" s="51" t="s">
        <v>782</v>
      </c>
      <c r="D93" s="51" t="n">
        <v>0</v>
      </c>
    </row>
    <row r="94" customFormat="false" ht="15" hidden="true" customHeight="false" outlineLevel="0" collapsed="false">
      <c r="A94" s="51" t="s">
        <v>564</v>
      </c>
      <c r="B94" s="55" t="n">
        <v>44012</v>
      </c>
      <c r="C94" s="51" t="s">
        <v>782</v>
      </c>
      <c r="D94" s="51" t="n">
        <v>0</v>
      </c>
    </row>
    <row r="95" customFormat="false" ht="15" hidden="true" customHeight="false" outlineLevel="0" collapsed="false">
      <c r="A95" s="51" t="s">
        <v>569</v>
      </c>
      <c r="B95" s="55" t="n">
        <v>44012</v>
      </c>
      <c r="C95" s="51" t="s">
        <v>782</v>
      </c>
      <c r="D95" s="51" t="n">
        <v>0</v>
      </c>
    </row>
    <row r="96" customFormat="false" ht="15" hidden="true" customHeight="false" outlineLevel="0" collapsed="false">
      <c r="A96" s="51" t="s">
        <v>574</v>
      </c>
      <c r="B96" s="55" t="n">
        <v>44012</v>
      </c>
      <c r="C96" s="51" t="s">
        <v>782</v>
      </c>
      <c r="D96" s="51" t="n">
        <v>0</v>
      </c>
    </row>
    <row r="97" customFormat="false" ht="15" hidden="true" customHeight="false" outlineLevel="0" collapsed="false">
      <c r="A97" s="51" t="s">
        <v>579</v>
      </c>
      <c r="B97" s="55" t="n">
        <v>44012</v>
      </c>
      <c r="C97" s="51" t="s">
        <v>782</v>
      </c>
      <c r="D97" s="51" t="n">
        <v>0</v>
      </c>
    </row>
    <row r="98" customFormat="false" ht="15" hidden="true" customHeight="false" outlineLevel="0" collapsed="false">
      <c r="A98" s="51" t="s">
        <v>584</v>
      </c>
      <c r="B98" s="55" t="n">
        <v>44012</v>
      </c>
      <c r="C98" s="51" t="s">
        <v>782</v>
      </c>
      <c r="D98" s="51" t="n">
        <v>0</v>
      </c>
    </row>
    <row r="99" customFormat="false" ht="15" hidden="true" customHeight="false" outlineLevel="0" collapsed="false">
      <c r="A99" s="51" t="s">
        <v>589</v>
      </c>
      <c r="B99" s="55" t="n">
        <v>44012</v>
      </c>
      <c r="C99" s="51" t="s">
        <v>782</v>
      </c>
      <c r="D99" s="51" t="n">
        <v>0</v>
      </c>
    </row>
    <row r="100" customFormat="false" ht="15" hidden="true" customHeight="false" outlineLevel="0" collapsed="false">
      <c r="A100" s="51" t="s">
        <v>756</v>
      </c>
      <c r="B100" s="55" t="n">
        <v>44012</v>
      </c>
      <c r="C100" s="51" t="s">
        <v>782</v>
      </c>
      <c r="D100" s="51" t="n">
        <v>0</v>
      </c>
    </row>
    <row r="101" customFormat="false" ht="15" hidden="true" customHeight="false" outlineLevel="0" collapsed="false">
      <c r="A101" s="51" t="s">
        <v>594</v>
      </c>
      <c r="B101" s="55" t="n">
        <v>44012</v>
      </c>
      <c r="C101" s="51" t="s">
        <v>782</v>
      </c>
      <c r="D101" s="51" t="n">
        <v>0</v>
      </c>
    </row>
    <row r="102" customFormat="false" ht="15" hidden="true" customHeight="false" outlineLevel="0" collapsed="false">
      <c r="A102" s="51" t="s">
        <v>761</v>
      </c>
      <c r="B102" s="55" t="n">
        <v>44012</v>
      </c>
      <c r="C102" s="51" t="s">
        <v>782</v>
      </c>
      <c r="D102" s="51" t="n">
        <v>0</v>
      </c>
    </row>
    <row r="103" customFormat="false" ht="15" hidden="true" customHeight="false" outlineLevel="0" collapsed="false">
      <c r="A103" s="51" t="s">
        <v>599</v>
      </c>
      <c r="B103" s="55" t="n">
        <v>44012</v>
      </c>
      <c r="C103" s="51" t="s">
        <v>782</v>
      </c>
      <c r="D103" s="51" t="n">
        <v>0</v>
      </c>
    </row>
    <row r="104" customFormat="false" ht="15" hidden="true" customHeight="false" outlineLevel="0" collapsed="false">
      <c r="A104" s="51" t="s">
        <v>604</v>
      </c>
      <c r="B104" s="55" t="n">
        <v>44012</v>
      </c>
      <c r="C104" s="51" t="s">
        <v>782</v>
      </c>
      <c r="D104" s="51" t="n">
        <v>0</v>
      </c>
    </row>
    <row r="105" customFormat="false" ht="15" hidden="true" customHeight="false" outlineLevel="0" collapsed="false">
      <c r="A105" s="51" t="s">
        <v>609</v>
      </c>
      <c r="B105" s="55" t="n">
        <v>44012</v>
      </c>
      <c r="C105" s="51" t="s">
        <v>782</v>
      </c>
      <c r="D105" s="51" t="n">
        <v>0</v>
      </c>
    </row>
    <row r="106" customFormat="false" ht="15" hidden="true" customHeight="false" outlineLevel="0" collapsed="false">
      <c r="A106" s="51" t="s">
        <v>614</v>
      </c>
      <c r="B106" s="55" t="n">
        <v>44012</v>
      </c>
      <c r="C106" s="51" t="s">
        <v>782</v>
      </c>
      <c r="D106" s="51" t="n">
        <v>0</v>
      </c>
    </row>
    <row r="107" customFormat="false" ht="15" hidden="true" customHeight="false" outlineLevel="0" collapsed="false">
      <c r="A107" s="51" t="s">
        <v>619</v>
      </c>
      <c r="B107" s="55" t="n">
        <v>44012</v>
      </c>
      <c r="C107" s="51" t="s">
        <v>782</v>
      </c>
      <c r="D107" s="51" t="n">
        <v>0</v>
      </c>
    </row>
    <row r="108" customFormat="false" ht="15" hidden="true" customHeight="false" outlineLevel="0" collapsed="false">
      <c r="A108" s="51" t="s">
        <v>624</v>
      </c>
      <c r="B108" s="55" t="n">
        <v>44012</v>
      </c>
      <c r="C108" s="51" t="s">
        <v>782</v>
      </c>
      <c r="D108" s="51" t="n">
        <v>0</v>
      </c>
    </row>
    <row r="109" customFormat="false" ht="15" hidden="true" customHeight="false" outlineLevel="0" collapsed="false">
      <c r="A109" s="51" t="s">
        <v>629</v>
      </c>
      <c r="B109" s="55" t="n">
        <v>44012</v>
      </c>
      <c r="C109" s="51" t="s">
        <v>782</v>
      </c>
      <c r="D109" s="51" t="n">
        <v>0</v>
      </c>
    </row>
    <row r="110" customFormat="false" ht="15" hidden="true" customHeight="false" outlineLevel="0" collapsed="false">
      <c r="A110" s="51" t="s">
        <v>633</v>
      </c>
      <c r="B110" s="55" t="n">
        <v>44012</v>
      </c>
      <c r="C110" s="51" t="s">
        <v>782</v>
      </c>
      <c r="D110" s="51" t="n">
        <v>0</v>
      </c>
    </row>
    <row r="111" customFormat="false" ht="15" hidden="true" customHeight="false" outlineLevel="0" collapsed="false">
      <c r="A111" s="51" t="s">
        <v>638</v>
      </c>
      <c r="B111" s="55" t="n">
        <v>44012</v>
      </c>
      <c r="C111" s="51" t="s">
        <v>782</v>
      </c>
      <c r="D111" s="51" t="n">
        <v>0</v>
      </c>
    </row>
    <row r="112" customFormat="false" ht="15" hidden="true" customHeight="false" outlineLevel="0" collapsed="false">
      <c r="A112" s="51" t="s">
        <v>642</v>
      </c>
      <c r="B112" s="55" t="n">
        <v>44012</v>
      </c>
      <c r="C112" s="51" t="s">
        <v>782</v>
      </c>
      <c r="D112" s="51" t="n">
        <v>0</v>
      </c>
    </row>
    <row r="113" customFormat="false" ht="15" hidden="true" customHeight="false" outlineLevel="0" collapsed="false">
      <c r="A113" s="51" t="s">
        <v>646</v>
      </c>
      <c r="B113" s="55" t="n">
        <v>44012</v>
      </c>
      <c r="C113" s="51" t="s">
        <v>782</v>
      </c>
      <c r="D113" s="51" t="n">
        <v>0</v>
      </c>
    </row>
    <row r="114" customFormat="false" ht="15" hidden="true" customHeight="false" outlineLevel="0" collapsed="false">
      <c r="A114" s="51" t="s">
        <v>651</v>
      </c>
      <c r="B114" s="55" t="n">
        <v>44012</v>
      </c>
      <c r="C114" s="51" t="s">
        <v>782</v>
      </c>
      <c r="D114" s="51" t="n">
        <v>0</v>
      </c>
    </row>
    <row r="115" customFormat="false" ht="15" hidden="true" customHeight="false" outlineLevel="0" collapsed="false">
      <c r="A115" s="51" t="s">
        <v>656</v>
      </c>
      <c r="B115" s="55" t="n">
        <v>44012</v>
      </c>
      <c r="C115" s="51" t="s">
        <v>782</v>
      </c>
      <c r="D115" s="51" t="n">
        <v>0</v>
      </c>
    </row>
    <row r="116" customFormat="false" ht="15" hidden="true" customHeight="false" outlineLevel="0" collapsed="false">
      <c r="A116" s="51" t="s">
        <v>661</v>
      </c>
      <c r="B116" s="55" t="n">
        <v>44012</v>
      </c>
      <c r="C116" s="51" t="s">
        <v>782</v>
      </c>
      <c r="D116" s="51" t="n">
        <v>0</v>
      </c>
    </row>
    <row r="117" customFormat="false" ht="15" hidden="true" customHeight="false" outlineLevel="0" collapsed="false">
      <c r="A117" s="51" t="s">
        <v>666</v>
      </c>
      <c r="B117" s="55" t="n">
        <v>44012</v>
      </c>
      <c r="C117" s="51" t="s">
        <v>782</v>
      </c>
      <c r="D117" s="51" t="n">
        <v>0</v>
      </c>
    </row>
    <row r="118" customFormat="false" ht="15" hidden="true" customHeight="false" outlineLevel="0" collapsed="false">
      <c r="A118" s="51" t="s">
        <v>671</v>
      </c>
      <c r="B118" s="55" t="n">
        <v>44012</v>
      </c>
      <c r="C118" s="51" t="s">
        <v>782</v>
      </c>
      <c r="D118" s="51" t="n">
        <v>0</v>
      </c>
    </row>
    <row r="119" customFormat="false" ht="15" hidden="true" customHeight="false" outlineLevel="0" collapsed="false">
      <c r="A119" s="51" t="s">
        <v>676</v>
      </c>
      <c r="B119" s="55" t="n">
        <v>44012</v>
      </c>
      <c r="C119" s="51" t="s">
        <v>782</v>
      </c>
      <c r="D119" s="51" t="n">
        <v>0</v>
      </c>
    </row>
    <row r="120" customFormat="false" ht="15" hidden="true" customHeight="false" outlineLevel="0" collapsed="false">
      <c r="A120" s="51" t="s">
        <v>681</v>
      </c>
      <c r="B120" s="55" t="n">
        <v>44012</v>
      </c>
      <c r="C120" s="51" t="s">
        <v>782</v>
      </c>
      <c r="D120" s="51" t="n">
        <v>0</v>
      </c>
    </row>
    <row r="121" customFormat="false" ht="15" hidden="true" customHeight="false" outlineLevel="0" collapsed="false">
      <c r="A121" s="51" t="s">
        <v>686</v>
      </c>
      <c r="B121" s="55" t="n">
        <v>44012</v>
      </c>
      <c r="C121" s="51" t="s">
        <v>782</v>
      </c>
      <c r="D121" s="51" t="n">
        <v>0</v>
      </c>
    </row>
    <row r="122" customFormat="false" ht="15" hidden="true" customHeight="false" outlineLevel="0" collapsed="false">
      <c r="A122" s="51" t="s">
        <v>691</v>
      </c>
      <c r="B122" s="55" t="n">
        <v>44012</v>
      </c>
      <c r="C122" s="51" t="s">
        <v>782</v>
      </c>
      <c r="D122" s="51" t="n">
        <v>0</v>
      </c>
    </row>
    <row r="123" customFormat="false" ht="15" hidden="true" customHeight="false" outlineLevel="0" collapsed="false">
      <c r="A123" s="51" t="s">
        <v>696</v>
      </c>
      <c r="B123" s="55" t="n">
        <v>44012</v>
      </c>
      <c r="C123" s="51" t="s">
        <v>782</v>
      </c>
      <c r="D123" s="51" t="n">
        <v>0</v>
      </c>
    </row>
    <row r="124" customFormat="false" ht="15" hidden="true" customHeight="false" outlineLevel="0" collapsed="false">
      <c r="A124" s="51" t="s">
        <v>701</v>
      </c>
      <c r="B124" s="55" t="n">
        <v>44012</v>
      </c>
      <c r="C124" s="51" t="s">
        <v>782</v>
      </c>
      <c r="D124" s="51" t="n">
        <v>0</v>
      </c>
    </row>
    <row r="125" customFormat="false" ht="15" hidden="true" customHeight="false" outlineLevel="0" collapsed="false">
      <c r="A125" s="51" t="s">
        <v>707</v>
      </c>
      <c r="B125" s="55" t="n">
        <v>44012</v>
      </c>
      <c r="C125" s="51" t="s">
        <v>782</v>
      </c>
      <c r="D125" s="51" t="n">
        <v>0</v>
      </c>
    </row>
    <row r="126" customFormat="false" ht="15" hidden="true" customHeight="false" outlineLevel="0" collapsed="false">
      <c r="A126" s="51" t="s">
        <v>712</v>
      </c>
      <c r="B126" s="55" t="n">
        <v>44012</v>
      </c>
      <c r="C126" s="51" t="s">
        <v>782</v>
      </c>
      <c r="D126" s="51" t="n">
        <v>0</v>
      </c>
    </row>
    <row r="127" customFormat="false" ht="15" hidden="true" customHeight="false" outlineLevel="0" collapsed="false">
      <c r="A127" s="51" t="s">
        <v>717</v>
      </c>
      <c r="B127" s="55" t="n">
        <v>44012</v>
      </c>
      <c r="C127" s="51" t="s">
        <v>782</v>
      </c>
      <c r="D127" s="51" t="n">
        <v>0</v>
      </c>
    </row>
    <row r="128" customFormat="false" ht="15" hidden="true" customHeight="false" outlineLevel="0" collapsed="false">
      <c r="A128" s="51" t="s">
        <v>767</v>
      </c>
      <c r="B128" s="55" t="n">
        <v>44012</v>
      </c>
      <c r="C128" s="51" t="s">
        <v>782</v>
      </c>
      <c r="D128" s="51" t="n">
        <v>0</v>
      </c>
    </row>
    <row r="129" customFormat="false" ht="15" hidden="true" customHeight="false" outlineLevel="0" collapsed="false">
      <c r="A129" s="51" t="s">
        <v>722</v>
      </c>
      <c r="B129" s="55" t="n">
        <v>44012</v>
      </c>
      <c r="C129" s="51" t="s">
        <v>782</v>
      </c>
      <c r="D129" s="51" t="n">
        <v>0</v>
      </c>
    </row>
    <row r="130" customFormat="false" ht="15" hidden="true" customHeight="false" outlineLevel="0" collapsed="false">
      <c r="A130" s="51" t="s">
        <v>727</v>
      </c>
      <c r="B130" s="55" t="n">
        <v>44012</v>
      </c>
      <c r="C130" s="51" t="s">
        <v>782</v>
      </c>
      <c r="D130" s="51" t="n">
        <v>0</v>
      </c>
    </row>
    <row r="131" customFormat="false" ht="15" hidden="true" customHeight="false" outlineLevel="0" collapsed="false">
      <c r="A131" s="51" t="s">
        <v>732</v>
      </c>
      <c r="B131" s="55" t="n">
        <v>44012</v>
      </c>
      <c r="C131" s="51" t="s">
        <v>782</v>
      </c>
      <c r="D131" s="51" t="n">
        <v>0</v>
      </c>
    </row>
    <row r="132" customFormat="false" ht="15" hidden="true" customHeight="false" outlineLevel="0" collapsed="false">
      <c r="A132" s="51" t="s">
        <v>736</v>
      </c>
      <c r="B132" s="55" t="n">
        <v>44012</v>
      </c>
      <c r="C132" s="51" t="s">
        <v>782</v>
      </c>
      <c r="D132" s="51" t="n">
        <v>0</v>
      </c>
    </row>
    <row r="133" customFormat="false" ht="15" hidden="true" customHeight="false" outlineLevel="0" collapsed="false">
      <c r="A133" s="51" t="s">
        <v>741</v>
      </c>
      <c r="B133" s="55" t="n">
        <v>44012</v>
      </c>
      <c r="C133" s="51" t="s">
        <v>782</v>
      </c>
      <c r="D133" s="51" t="n">
        <v>0</v>
      </c>
    </row>
    <row r="134" customFormat="false" ht="15" hidden="true" customHeight="false" outlineLevel="0" collapsed="false">
      <c r="A134" s="51" t="s">
        <v>746</v>
      </c>
      <c r="B134" s="55" t="n">
        <v>44012</v>
      </c>
      <c r="C134" s="51" t="s">
        <v>782</v>
      </c>
      <c r="D134" s="51" t="n">
        <v>0</v>
      </c>
    </row>
    <row r="135" customFormat="false" ht="15" hidden="true" customHeight="false" outlineLevel="0" collapsed="false">
      <c r="A135" s="51" t="s">
        <v>751</v>
      </c>
      <c r="B135" s="55" t="n">
        <v>44012</v>
      </c>
      <c r="C135" s="51" t="s">
        <v>782</v>
      </c>
      <c r="D135" s="51" t="n">
        <v>0</v>
      </c>
    </row>
    <row r="136" customFormat="false" ht="15" hidden="false" customHeight="false" outlineLevel="0" collapsed="false">
      <c r="A136" s="51" t="s">
        <v>781</v>
      </c>
      <c r="B136" s="55" t="n">
        <v>44012</v>
      </c>
      <c r="C136" s="51" t="s">
        <v>82</v>
      </c>
      <c r="D136" s="51" t="n">
        <v>0</v>
      </c>
    </row>
    <row r="137" customFormat="false" ht="15" hidden="true" customHeight="false" outlineLevel="0" collapsed="false">
      <c r="A137" s="51" t="s">
        <v>783</v>
      </c>
      <c r="B137" s="55" t="n">
        <v>44012</v>
      </c>
      <c r="C137" s="51" t="s">
        <v>82</v>
      </c>
      <c r="D137" s="51" t="n">
        <v>0</v>
      </c>
    </row>
    <row r="138" customFormat="false" ht="15" hidden="true" customHeight="false" outlineLevel="0" collapsed="false">
      <c r="A138" s="51" t="s">
        <v>96</v>
      </c>
      <c r="B138" s="55" t="n">
        <v>44012</v>
      </c>
      <c r="C138" s="51" t="s">
        <v>82</v>
      </c>
      <c r="D138" s="51" t="n">
        <v>0</v>
      </c>
    </row>
    <row r="139" customFormat="false" ht="15" hidden="true" customHeight="false" outlineLevel="0" collapsed="false">
      <c r="A139" s="51" t="s">
        <v>101</v>
      </c>
      <c r="B139" s="55" t="n">
        <v>44012</v>
      </c>
      <c r="C139" s="51" t="s">
        <v>82</v>
      </c>
      <c r="D139" s="51" t="n">
        <v>0</v>
      </c>
    </row>
    <row r="140" customFormat="false" ht="15" hidden="true" customHeight="false" outlineLevel="0" collapsed="false">
      <c r="A140" s="51" t="s">
        <v>106</v>
      </c>
      <c r="B140" s="55" t="n">
        <v>44012</v>
      </c>
      <c r="C140" s="51" t="s">
        <v>82</v>
      </c>
      <c r="D140" s="51" t="n">
        <v>0</v>
      </c>
    </row>
    <row r="141" customFormat="false" ht="15" hidden="true" customHeight="false" outlineLevel="0" collapsed="false">
      <c r="A141" s="51" t="s">
        <v>110</v>
      </c>
      <c r="B141" s="55" t="n">
        <v>44012</v>
      </c>
      <c r="C141" s="51" t="s">
        <v>82</v>
      </c>
      <c r="D141" s="51" t="n">
        <v>0</v>
      </c>
    </row>
    <row r="142" customFormat="false" ht="15" hidden="true" customHeight="false" outlineLevel="0" collapsed="false">
      <c r="A142" s="51" t="s">
        <v>115</v>
      </c>
      <c r="B142" s="55" t="n">
        <v>44012</v>
      </c>
      <c r="C142" s="51" t="s">
        <v>82</v>
      </c>
      <c r="D142" s="51" t="n">
        <v>0</v>
      </c>
    </row>
    <row r="143" customFormat="false" ht="15" hidden="true" customHeight="false" outlineLevel="0" collapsed="false">
      <c r="A143" s="51" t="s">
        <v>120</v>
      </c>
      <c r="B143" s="55" t="n">
        <v>44012</v>
      </c>
      <c r="C143" s="51" t="s">
        <v>82</v>
      </c>
      <c r="D143" s="51" t="n">
        <v>0</v>
      </c>
    </row>
    <row r="144" customFormat="false" ht="15" hidden="true" customHeight="false" outlineLevel="0" collapsed="false">
      <c r="A144" s="51" t="s">
        <v>124</v>
      </c>
      <c r="B144" s="55" t="n">
        <v>44012</v>
      </c>
      <c r="C144" s="51" t="s">
        <v>82</v>
      </c>
      <c r="D144" s="51" t="n">
        <v>0</v>
      </c>
    </row>
    <row r="145" customFormat="false" ht="15" hidden="true" customHeight="false" outlineLevel="0" collapsed="false">
      <c r="A145" s="51" t="s">
        <v>129</v>
      </c>
      <c r="B145" s="55" t="n">
        <v>44012</v>
      </c>
      <c r="C145" s="51" t="s">
        <v>82</v>
      </c>
      <c r="D145" s="51" t="n">
        <v>0</v>
      </c>
    </row>
    <row r="146" customFormat="false" ht="15" hidden="true" customHeight="false" outlineLevel="0" collapsed="false">
      <c r="A146" s="51" t="s">
        <v>134</v>
      </c>
      <c r="B146" s="55" t="n">
        <v>44012</v>
      </c>
      <c r="C146" s="51" t="s">
        <v>82</v>
      </c>
      <c r="D146" s="51" t="n">
        <v>0</v>
      </c>
    </row>
    <row r="147" customFormat="false" ht="15" hidden="true" customHeight="false" outlineLevel="0" collapsed="false">
      <c r="A147" s="51" t="s">
        <v>141</v>
      </c>
      <c r="B147" s="55" t="n">
        <v>44012</v>
      </c>
      <c r="C147" s="51" t="s">
        <v>82</v>
      </c>
      <c r="D147" s="51" t="n">
        <v>0</v>
      </c>
    </row>
    <row r="148" customFormat="false" ht="15" hidden="true" customHeight="false" outlineLevel="0" collapsed="false">
      <c r="A148" s="51" t="s">
        <v>146</v>
      </c>
      <c r="B148" s="55" t="n">
        <v>44012</v>
      </c>
      <c r="C148" s="51" t="s">
        <v>82</v>
      </c>
      <c r="D148" s="51" t="n">
        <v>0</v>
      </c>
    </row>
    <row r="149" customFormat="false" ht="15" hidden="true" customHeight="false" outlineLevel="0" collapsed="false">
      <c r="A149" s="51" t="s">
        <v>151</v>
      </c>
      <c r="B149" s="55" t="n">
        <v>44012</v>
      </c>
      <c r="C149" s="51" t="s">
        <v>82</v>
      </c>
      <c r="D149" s="51" t="n">
        <v>0</v>
      </c>
    </row>
    <row r="150" customFormat="false" ht="15" hidden="true" customHeight="false" outlineLevel="0" collapsed="false">
      <c r="A150" s="51" t="s">
        <v>156</v>
      </c>
      <c r="B150" s="55" t="n">
        <v>44012</v>
      </c>
      <c r="C150" s="51" t="s">
        <v>82</v>
      </c>
      <c r="D150" s="51" t="n">
        <v>0</v>
      </c>
    </row>
    <row r="151" customFormat="false" ht="15" hidden="true" customHeight="false" outlineLevel="0" collapsed="false">
      <c r="A151" s="51" t="s">
        <v>161</v>
      </c>
      <c r="B151" s="55" t="n">
        <v>44012</v>
      </c>
      <c r="C151" s="51" t="s">
        <v>82</v>
      </c>
      <c r="D151" s="51" t="n">
        <v>0</v>
      </c>
    </row>
    <row r="152" customFormat="false" ht="15" hidden="true" customHeight="false" outlineLevel="0" collapsed="false">
      <c r="A152" s="51" t="s">
        <v>166</v>
      </c>
      <c r="B152" s="55" t="n">
        <v>44012</v>
      </c>
      <c r="C152" s="51" t="s">
        <v>82</v>
      </c>
      <c r="D152" s="51" t="n">
        <v>0</v>
      </c>
    </row>
    <row r="153" customFormat="false" ht="15" hidden="true" customHeight="false" outlineLevel="0" collapsed="false">
      <c r="A153" s="51" t="s">
        <v>171</v>
      </c>
      <c r="B153" s="55" t="n">
        <v>44012</v>
      </c>
      <c r="C153" s="51" t="s">
        <v>82</v>
      </c>
      <c r="D153" s="51" t="n">
        <v>0</v>
      </c>
    </row>
    <row r="154" customFormat="false" ht="15" hidden="true" customHeight="false" outlineLevel="0" collapsed="false">
      <c r="A154" s="51" t="s">
        <v>176</v>
      </c>
      <c r="B154" s="55" t="n">
        <v>44012</v>
      </c>
      <c r="C154" s="51" t="s">
        <v>82</v>
      </c>
      <c r="D154" s="51" t="n">
        <v>0</v>
      </c>
    </row>
    <row r="155" customFormat="false" ht="15" hidden="true" customHeight="false" outlineLevel="0" collapsed="false">
      <c r="A155" s="51" t="s">
        <v>181</v>
      </c>
      <c r="B155" s="55" t="n">
        <v>44012</v>
      </c>
      <c r="C155" s="51" t="s">
        <v>82</v>
      </c>
      <c r="D155" s="51" t="n">
        <v>0</v>
      </c>
    </row>
    <row r="156" customFormat="false" ht="15" hidden="true" customHeight="false" outlineLevel="0" collapsed="false">
      <c r="A156" s="51" t="s">
        <v>186</v>
      </c>
      <c r="B156" s="55" t="n">
        <v>44012</v>
      </c>
      <c r="C156" s="51" t="s">
        <v>82</v>
      </c>
      <c r="D156" s="51" t="n">
        <v>0</v>
      </c>
    </row>
    <row r="157" customFormat="false" ht="15" hidden="true" customHeight="false" outlineLevel="0" collapsed="false">
      <c r="A157" s="51" t="s">
        <v>191</v>
      </c>
      <c r="B157" s="55" t="n">
        <v>44012</v>
      </c>
      <c r="C157" s="51" t="s">
        <v>82</v>
      </c>
      <c r="D157" s="51" t="n">
        <v>0</v>
      </c>
    </row>
    <row r="158" customFormat="false" ht="15" hidden="true" customHeight="false" outlineLevel="0" collapsed="false">
      <c r="A158" s="51" t="s">
        <v>196</v>
      </c>
      <c r="B158" s="55" t="n">
        <v>44012</v>
      </c>
      <c r="C158" s="51" t="s">
        <v>82</v>
      </c>
      <c r="D158" s="51" t="n">
        <v>0</v>
      </c>
    </row>
    <row r="159" customFormat="false" ht="15" hidden="true" customHeight="false" outlineLevel="0" collapsed="false">
      <c r="A159" s="51" t="s">
        <v>201</v>
      </c>
      <c r="B159" s="55" t="n">
        <v>44012</v>
      </c>
      <c r="C159" s="51" t="s">
        <v>82</v>
      </c>
      <c r="D159" s="51" t="n">
        <v>0</v>
      </c>
    </row>
    <row r="160" customFormat="false" ht="15" hidden="true" customHeight="false" outlineLevel="0" collapsed="false">
      <c r="A160" s="51" t="s">
        <v>206</v>
      </c>
      <c r="B160" s="55" t="n">
        <v>44012</v>
      </c>
      <c r="C160" s="51" t="s">
        <v>82</v>
      </c>
      <c r="D160" s="51" t="n">
        <v>0</v>
      </c>
    </row>
    <row r="161" customFormat="false" ht="15" hidden="true" customHeight="false" outlineLevel="0" collapsed="false">
      <c r="A161" s="51" t="s">
        <v>210</v>
      </c>
      <c r="B161" s="55" t="n">
        <v>44012</v>
      </c>
      <c r="C161" s="51" t="s">
        <v>82</v>
      </c>
      <c r="D161" s="51" t="n">
        <v>0</v>
      </c>
    </row>
    <row r="162" customFormat="false" ht="15" hidden="true" customHeight="false" outlineLevel="0" collapsed="false">
      <c r="A162" s="51" t="s">
        <v>215</v>
      </c>
      <c r="B162" s="55" t="n">
        <v>44012</v>
      </c>
      <c r="C162" s="51" t="s">
        <v>82</v>
      </c>
      <c r="D162" s="51" t="n">
        <v>0</v>
      </c>
    </row>
    <row r="163" customFormat="false" ht="15" hidden="true" customHeight="false" outlineLevel="0" collapsed="false">
      <c r="A163" s="51" t="s">
        <v>790</v>
      </c>
      <c r="B163" s="55" t="n">
        <v>44012</v>
      </c>
      <c r="C163" s="51" t="s">
        <v>82</v>
      </c>
      <c r="D163" s="51" t="n">
        <v>0</v>
      </c>
    </row>
    <row r="164" customFormat="false" ht="15" hidden="true" customHeight="false" outlineLevel="0" collapsed="false">
      <c r="A164" s="51" t="s">
        <v>225</v>
      </c>
      <c r="B164" s="55" t="n">
        <v>44012</v>
      </c>
      <c r="C164" s="51" t="s">
        <v>82</v>
      </c>
      <c r="D164" s="51" t="n">
        <v>0</v>
      </c>
    </row>
    <row r="165" customFormat="false" ht="15" hidden="true" customHeight="false" outlineLevel="0" collapsed="false">
      <c r="A165" s="51" t="s">
        <v>230</v>
      </c>
      <c r="B165" s="55" t="n">
        <v>44012</v>
      </c>
      <c r="C165" s="51" t="s">
        <v>82</v>
      </c>
      <c r="D165" s="51" t="n">
        <v>0</v>
      </c>
    </row>
    <row r="166" customFormat="false" ht="15" hidden="true" customHeight="false" outlineLevel="0" collapsed="false">
      <c r="A166" s="51" t="s">
        <v>235</v>
      </c>
      <c r="B166" s="55" t="n">
        <v>44012</v>
      </c>
      <c r="C166" s="51" t="s">
        <v>82</v>
      </c>
      <c r="D166" s="51" t="n">
        <v>0</v>
      </c>
    </row>
    <row r="167" customFormat="false" ht="15" hidden="true" customHeight="false" outlineLevel="0" collapsed="false">
      <c r="A167" s="51" t="s">
        <v>240</v>
      </c>
      <c r="B167" s="55" t="n">
        <v>44012</v>
      </c>
      <c r="C167" s="51" t="s">
        <v>82</v>
      </c>
      <c r="D167" s="51" t="n">
        <v>0</v>
      </c>
    </row>
    <row r="168" customFormat="false" ht="15" hidden="true" customHeight="false" outlineLevel="0" collapsed="false">
      <c r="A168" s="51" t="s">
        <v>246</v>
      </c>
      <c r="B168" s="55" t="n">
        <v>44012</v>
      </c>
      <c r="C168" s="51" t="s">
        <v>82</v>
      </c>
      <c r="D168" s="51" t="n">
        <v>0</v>
      </c>
    </row>
    <row r="169" customFormat="false" ht="15" hidden="true" customHeight="false" outlineLevel="0" collapsed="false">
      <c r="A169" s="51" t="s">
        <v>252</v>
      </c>
      <c r="B169" s="55" t="n">
        <v>44012</v>
      </c>
      <c r="C169" s="51" t="s">
        <v>82</v>
      </c>
      <c r="D169" s="51" t="n">
        <v>0</v>
      </c>
    </row>
    <row r="170" customFormat="false" ht="15" hidden="true" customHeight="false" outlineLevel="0" collapsed="false">
      <c r="A170" s="51" t="s">
        <v>257</v>
      </c>
      <c r="B170" s="55" t="n">
        <v>44012</v>
      </c>
      <c r="C170" s="51" t="s">
        <v>82</v>
      </c>
      <c r="D170" s="51" t="n">
        <v>0</v>
      </c>
    </row>
    <row r="171" customFormat="false" ht="15" hidden="true" customHeight="false" outlineLevel="0" collapsed="false">
      <c r="A171" s="51" t="s">
        <v>262</v>
      </c>
      <c r="B171" s="55" t="n">
        <v>44012</v>
      </c>
      <c r="C171" s="51" t="s">
        <v>82</v>
      </c>
      <c r="D171" s="51" t="n">
        <v>0</v>
      </c>
    </row>
    <row r="172" customFormat="false" ht="15" hidden="true" customHeight="false" outlineLevel="0" collapsed="false">
      <c r="A172" s="51" t="s">
        <v>267</v>
      </c>
      <c r="B172" s="55" t="n">
        <v>44012</v>
      </c>
      <c r="C172" s="51" t="s">
        <v>82</v>
      </c>
      <c r="D172" s="51" t="n">
        <v>0</v>
      </c>
    </row>
    <row r="173" customFormat="false" ht="15" hidden="true" customHeight="false" outlineLevel="0" collapsed="false">
      <c r="A173" s="51" t="s">
        <v>272</v>
      </c>
      <c r="B173" s="55" t="n">
        <v>44012</v>
      </c>
      <c r="C173" s="51" t="s">
        <v>82</v>
      </c>
      <c r="D173" s="51" t="n">
        <v>0</v>
      </c>
    </row>
    <row r="174" customFormat="false" ht="15" hidden="true" customHeight="false" outlineLevel="0" collapsed="false">
      <c r="A174" s="51" t="s">
        <v>277</v>
      </c>
      <c r="B174" s="55" t="n">
        <v>44012</v>
      </c>
      <c r="C174" s="51" t="s">
        <v>82</v>
      </c>
      <c r="D174" s="51" t="n">
        <v>0</v>
      </c>
    </row>
    <row r="175" customFormat="false" ht="15" hidden="true" customHeight="false" outlineLevel="0" collapsed="false">
      <c r="A175" s="51" t="s">
        <v>282</v>
      </c>
      <c r="B175" s="55" t="n">
        <v>44012</v>
      </c>
      <c r="C175" s="51" t="s">
        <v>82</v>
      </c>
      <c r="D175" s="51" t="n">
        <v>0</v>
      </c>
    </row>
    <row r="176" customFormat="false" ht="15" hidden="true" customHeight="false" outlineLevel="0" collapsed="false">
      <c r="A176" s="51" t="s">
        <v>287</v>
      </c>
      <c r="B176" s="55" t="n">
        <v>44012</v>
      </c>
      <c r="C176" s="51" t="s">
        <v>82</v>
      </c>
      <c r="D176" s="51" t="n">
        <v>0</v>
      </c>
    </row>
    <row r="177" customFormat="false" ht="15" hidden="true" customHeight="false" outlineLevel="0" collapsed="false">
      <c r="A177" s="51" t="s">
        <v>292</v>
      </c>
      <c r="B177" s="55" t="n">
        <v>44012</v>
      </c>
      <c r="C177" s="51" t="s">
        <v>82</v>
      </c>
      <c r="D177" s="51" t="n">
        <v>0</v>
      </c>
    </row>
    <row r="178" customFormat="false" ht="15" hidden="true" customHeight="false" outlineLevel="0" collapsed="false">
      <c r="A178" s="51" t="s">
        <v>297</v>
      </c>
      <c r="B178" s="55" t="n">
        <v>44012</v>
      </c>
      <c r="C178" s="51" t="s">
        <v>82</v>
      </c>
      <c r="D178" s="51" t="n">
        <v>0</v>
      </c>
    </row>
    <row r="179" customFormat="false" ht="15" hidden="true" customHeight="false" outlineLevel="0" collapsed="false">
      <c r="A179" s="51" t="s">
        <v>302</v>
      </c>
      <c r="B179" s="55" t="n">
        <v>44012</v>
      </c>
      <c r="C179" s="51" t="s">
        <v>82</v>
      </c>
      <c r="D179" s="51" t="n">
        <v>0</v>
      </c>
    </row>
    <row r="180" customFormat="false" ht="15" hidden="true" customHeight="false" outlineLevel="0" collapsed="false">
      <c r="A180" s="51" t="s">
        <v>307</v>
      </c>
      <c r="B180" s="55" t="n">
        <v>44012</v>
      </c>
      <c r="C180" s="51" t="s">
        <v>82</v>
      </c>
      <c r="D180" s="51" t="n">
        <v>0</v>
      </c>
    </row>
    <row r="181" customFormat="false" ht="15" hidden="true" customHeight="false" outlineLevel="0" collapsed="false">
      <c r="A181" s="51" t="s">
        <v>311</v>
      </c>
      <c r="B181" s="55" t="n">
        <v>44012</v>
      </c>
      <c r="C181" s="51" t="s">
        <v>82</v>
      </c>
      <c r="D181" s="51" t="n">
        <v>0</v>
      </c>
    </row>
    <row r="182" customFormat="false" ht="15" hidden="true" customHeight="false" outlineLevel="0" collapsed="false">
      <c r="A182" s="51" t="s">
        <v>317</v>
      </c>
      <c r="B182" s="55" t="n">
        <v>44012</v>
      </c>
      <c r="C182" s="51" t="s">
        <v>82</v>
      </c>
      <c r="D182" s="51" t="n">
        <v>0</v>
      </c>
    </row>
    <row r="183" customFormat="false" ht="15" hidden="true" customHeight="false" outlineLevel="0" collapsed="false">
      <c r="A183" s="51" t="s">
        <v>322</v>
      </c>
      <c r="B183" s="55" t="n">
        <v>44012</v>
      </c>
      <c r="C183" s="51" t="s">
        <v>82</v>
      </c>
      <c r="D183" s="51" t="n">
        <v>0</v>
      </c>
    </row>
    <row r="184" customFormat="false" ht="15" hidden="true" customHeight="false" outlineLevel="0" collapsed="false">
      <c r="A184" s="51" t="s">
        <v>327</v>
      </c>
      <c r="B184" s="55" t="n">
        <v>44012</v>
      </c>
      <c r="C184" s="51" t="s">
        <v>82</v>
      </c>
      <c r="D184" s="51" t="n">
        <v>0</v>
      </c>
    </row>
    <row r="185" customFormat="false" ht="15" hidden="true" customHeight="false" outlineLevel="0" collapsed="false">
      <c r="A185" s="51" t="s">
        <v>332</v>
      </c>
      <c r="B185" s="55" t="n">
        <v>44012</v>
      </c>
      <c r="C185" s="51" t="s">
        <v>82</v>
      </c>
      <c r="D185" s="51" t="n">
        <v>0</v>
      </c>
    </row>
    <row r="186" customFormat="false" ht="15" hidden="true" customHeight="false" outlineLevel="0" collapsed="false">
      <c r="A186" s="51" t="s">
        <v>339</v>
      </c>
      <c r="B186" s="55" t="n">
        <v>44012</v>
      </c>
      <c r="C186" s="51" t="s">
        <v>82</v>
      </c>
      <c r="D186" s="51" t="n">
        <v>0</v>
      </c>
    </row>
    <row r="187" customFormat="false" ht="15" hidden="true" customHeight="false" outlineLevel="0" collapsed="false">
      <c r="A187" s="51" t="s">
        <v>344</v>
      </c>
      <c r="B187" s="55" t="n">
        <v>44012</v>
      </c>
      <c r="C187" s="51" t="s">
        <v>82</v>
      </c>
      <c r="D187" s="51" t="n">
        <v>0</v>
      </c>
    </row>
    <row r="188" customFormat="false" ht="15" hidden="true" customHeight="false" outlineLevel="0" collapsed="false">
      <c r="A188" s="51" t="s">
        <v>349</v>
      </c>
      <c r="B188" s="55" t="n">
        <v>44012</v>
      </c>
      <c r="C188" s="51" t="s">
        <v>82</v>
      </c>
      <c r="D188" s="51" t="n">
        <v>0</v>
      </c>
    </row>
    <row r="189" customFormat="false" ht="15" hidden="true" customHeight="false" outlineLevel="0" collapsed="false">
      <c r="A189" s="51" t="s">
        <v>354</v>
      </c>
      <c r="B189" s="55" t="n">
        <v>44012</v>
      </c>
      <c r="C189" s="51" t="s">
        <v>82</v>
      </c>
      <c r="D189" s="51" t="n">
        <v>0</v>
      </c>
    </row>
    <row r="190" customFormat="false" ht="15" hidden="true" customHeight="false" outlineLevel="0" collapsed="false">
      <c r="A190" s="51" t="s">
        <v>359</v>
      </c>
      <c r="B190" s="55" t="n">
        <v>44012</v>
      </c>
      <c r="C190" s="51" t="s">
        <v>82</v>
      </c>
      <c r="D190" s="51" t="n">
        <v>0</v>
      </c>
    </row>
    <row r="191" customFormat="false" ht="15" hidden="true" customHeight="false" outlineLevel="0" collapsed="false">
      <c r="A191" s="51" t="s">
        <v>364</v>
      </c>
      <c r="B191" s="55" t="n">
        <v>44012</v>
      </c>
      <c r="C191" s="51" t="s">
        <v>82</v>
      </c>
      <c r="D191" s="51" t="n">
        <v>0</v>
      </c>
    </row>
    <row r="192" customFormat="false" ht="15" hidden="true" customHeight="false" outlineLevel="0" collapsed="false">
      <c r="A192" s="51" t="s">
        <v>369</v>
      </c>
      <c r="B192" s="55" t="n">
        <v>44012</v>
      </c>
      <c r="C192" s="51" t="s">
        <v>82</v>
      </c>
      <c r="D192" s="51" t="n">
        <v>0</v>
      </c>
    </row>
    <row r="193" customFormat="false" ht="15" hidden="true" customHeight="false" outlineLevel="0" collapsed="false">
      <c r="A193" s="51" t="s">
        <v>374</v>
      </c>
      <c r="B193" s="55" t="n">
        <v>44012</v>
      </c>
      <c r="C193" s="51" t="s">
        <v>82</v>
      </c>
      <c r="D193" s="51" t="n">
        <v>0</v>
      </c>
    </row>
    <row r="194" customFormat="false" ht="15" hidden="true" customHeight="false" outlineLevel="0" collapsed="false">
      <c r="A194" s="51" t="s">
        <v>379</v>
      </c>
      <c r="B194" s="55" t="n">
        <v>44012</v>
      </c>
      <c r="C194" s="51" t="s">
        <v>82</v>
      </c>
      <c r="D194" s="51" t="n">
        <v>0</v>
      </c>
    </row>
    <row r="195" customFormat="false" ht="15" hidden="true" customHeight="false" outlineLevel="0" collapsed="false">
      <c r="A195" s="51" t="s">
        <v>384</v>
      </c>
      <c r="B195" s="55" t="n">
        <v>44012</v>
      </c>
      <c r="C195" s="51" t="s">
        <v>82</v>
      </c>
      <c r="D195" s="51" t="n">
        <v>0</v>
      </c>
    </row>
    <row r="196" customFormat="false" ht="15" hidden="true" customHeight="false" outlineLevel="0" collapsed="false">
      <c r="A196" s="51" t="s">
        <v>389</v>
      </c>
      <c r="B196" s="55" t="n">
        <v>44012</v>
      </c>
      <c r="C196" s="51" t="s">
        <v>82</v>
      </c>
      <c r="D196" s="51" t="n">
        <v>0</v>
      </c>
    </row>
    <row r="197" customFormat="false" ht="15" hidden="true" customHeight="false" outlineLevel="0" collapsed="false">
      <c r="A197" s="51" t="s">
        <v>394</v>
      </c>
      <c r="B197" s="55" t="n">
        <v>44012</v>
      </c>
      <c r="C197" s="51" t="s">
        <v>82</v>
      </c>
      <c r="D197" s="51" t="n">
        <v>0</v>
      </c>
    </row>
    <row r="198" customFormat="false" ht="15" hidden="true" customHeight="false" outlineLevel="0" collapsed="false">
      <c r="A198" s="51" t="s">
        <v>399</v>
      </c>
      <c r="B198" s="55" t="n">
        <v>44012</v>
      </c>
      <c r="C198" s="51" t="s">
        <v>82</v>
      </c>
      <c r="D198" s="51" t="n">
        <v>0</v>
      </c>
    </row>
    <row r="199" customFormat="false" ht="15" hidden="true" customHeight="false" outlineLevel="0" collapsed="false">
      <c r="A199" s="51" t="s">
        <v>404</v>
      </c>
      <c r="B199" s="55" t="n">
        <v>44012</v>
      </c>
      <c r="C199" s="51" t="s">
        <v>82</v>
      </c>
      <c r="D199" s="51" t="n">
        <v>0</v>
      </c>
    </row>
    <row r="200" customFormat="false" ht="15" hidden="true" customHeight="false" outlineLevel="0" collapsed="false">
      <c r="A200" s="51" t="s">
        <v>409</v>
      </c>
      <c r="B200" s="55" t="n">
        <v>44012</v>
      </c>
      <c r="C200" s="51" t="s">
        <v>82</v>
      </c>
      <c r="D200" s="51" t="n">
        <v>0</v>
      </c>
    </row>
    <row r="201" customFormat="false" ht="15" hidden="true" customHeight="false" outlineLevel="0" collapsed="false">
      <c r="A201" s="51" t="s">
        <v>414</v>
      </c>
      <c r="B201" s="55" t="n">
        <v>44012</v>
      </c>
      <c r="C201" s="51" t="s">
        <v>82</v>
      </c>
      <c r="D201" s="51" t="n">
        <v>0</v>
      </c>
    </row>
    <row r="202" customFormat="false" ht="15" hidden="true" customHeight="false" outlineLevel="0" collapsed="false">
      <c r="A202" s="51" t="s">
        <v>419</v>
      </c>
      <c r="B202" s="55" t="n">
        <v>44012</v>
      </c>
      <c r="C202" s="51" t="s">
        <v>82</v>
      </c>
      <c r="D202" s="51" t="n">
        <v>0</v>
      </c>
    </row>
    <row r="203" customFormat="false" ht="15" hidden="true" customHeight="false" outlineLevel="0" collapsed="false">
      <c r="A203" s="51" t="s">
        <v>424</v>
      </c>
      <c r="B203" s="55" t="n">
        <v>44012</v>
      </c>
      <c r="C203" s="51" t="s">
        <v>82</v>
      </c>
      <c r="D203" s="51" t="n">
        <v>0</v>
      </c>
    </row>
    <row r="204" customFormat="false" ht="15" hidden="true" customHeight="false" outlineLevel="0" collapsed="false">
      <c r="A204" s="51" t="s">
        <v>429</v>
      </c>
      <c r="B204" s="55" t="n">
        <v>44012</v>
      </c>
      <c r="C204" s="51" t="s">
        <v>82</v>
      </c>
      <c r="D204" s="51" t="n">
        <v>0</v>
      </c>
    </row>
    <row r="205" customFormat="false" ht="15" hidden="true" customHeight="false" outlineLevel="0" collapsed="false">
      <c r="A205" s="51" t="s">
        <v>434</v>
      </c>
      <c r="B205" s="55" t="n">
        <v>44012</v>
      </c>
      <c r="C205" s="51" t="s">
        <v>82</v>
      </c>
      <c r="D205" s="51" t="n">
        <v>0</v>
      </c>
    </row>
    <row r="206" customFormat="false" ht="15" hidden="true" customHeight="false" outlineLevel="0" collapsed="false">
      <c r="A206" s="51" t="s">
        <v>438</v>
      </c>
      <c r="B206" s="55" t="n">
        <v>44012</v>
      </c>
      <c r="C206" s="51" t="s">
        <v>82</v>
      </c>
      <c r="D206" s="51" t="n">
        <v>0</v>
      </c>
    </row>
    <row r="207" customFormat="false" ht="15" hidden="true" customHeight="false" outlineLevel="0" collapsed="false">
      <c r="A207" s="51" t="s">
        <v>443</v>
      </c>
      <c r="B207" s="55" t="n">
        <v>44012</v>
      </c>
      <c r="C207" s="51" t="s">
        <v>82</v>
      </c>
      <c r="D207" s="51" t="n">
        <v>0</v>
      </c>
    </row>
    <row r="208" customFormat="false" ht="15" hidden="true" customHeight="false" outlineLevel="0" collapsed="false">
      <c r="A208" s="51" t="s">
        <v>448</v>
      </c>
      <c r="B208" s="55" t="n">
        <v>44012</v>
      </c>
      <c r="C208" s="51" t="s">
        <v>82</v>
      </c>
      <c r="D208" s="51" t="n">
        <v>0</v>
      </c>
    </row>
    <row r="209" customFormat="false" ht="15" hidden="true" customHeight="false" outlineLevel="0" collapsed="false">
      <c r="A209" s="51" t="s">
        <v>453</v>
      </c>
      <c r="B209" s="55" t="n">
        <v>44012</v>
      </c>
      <c r="C209" s="51" t="s">
        <v>82</v>
      </c>
      <c r="D209" s="51" t="n">
        <v>0</v>
      </c>
    </row>
    <row r="210" customFormat="false" ht="15" hidden="true" customHeight="false" outlineLevel="0" collapsed="false">
      <c r="A210" s="51" t="s">
        <v>458</v>
      </c>
      <c r="B210" s="55" t="n">
        <v>44012</v>
      </c>
      <c r="C210" s="51" t="s">
        <v>82</v>
      </c>
      <c r="D210" s="51" t="n">
        <v>0</v>
      </c>
    </row>
    <row r="211" customFormat="false" ht="15" hidden="true" customHeight="false" outlineLevel="0" collapsed="false">
      <c r="A211" s="51" t="s">
        <v>473</v>
      </c>
      <c r="B211" s="55" t="n">
        <v>44012</v>
      </c>
      <c r="C211" s="51" t="s">
        <v>82</v>
      </c>
      <c r="D211" s="51" t="n">
        <v>0</v>
      </c>
    </row>
    <row r="212" customFormat="false" ht="15" hidden="true" customHeight="false" outlineLevel="0" collapsed="false">
      <c r="A212" s="51" t="s">
        <v>479</v>
      </c>
      <c r="B212" s="55" t="n">
        <v>44012</v>
      </c>
      <c r="C212" s="51" t="s">
        <v>82</v>
      </c>
      <c r="D212" s="51" t="n">
        <v>0</v>
      </c>
    </row>
    <row r="213" customFormat="false" ht="15" hidden="true" customHeight="false" outlineLevel="0" collapsed="false">
      <c r="A213" s="51" t="s">
        <v>484</v>
      </c>
      <c r="B213" s="55" t="n">
        <v>44012</v>
      </c>
      <c r="C213" s="51" t="s">
        <v>82</v>
      </c>
      <c r="D213" s="51" t="n">
        <v>0</v>
      </c>
    </row>
    <row r="214" customFormat="false" ht="15" hidden="true" customHeight="false" outlineLevel="0" collapsed="false">
      <c r="A214" s="51" t="s">
        <v>489</v>
      </c>
      <c r="B214" s="55" t="n">
        <v>44012</v>
      </c>
      <c r="C214" s="51" t="s">
        <v>82</v>
      </c>
      <c r="D214" s="51" t="n">
        <v>0</v>
      </c>
    </row>
    <row r="215" customFormat="false" ht="15" hidden="true" customHeight="false" outlineLevel="0" collapsed="false">
      <c r="A215" s="51" t="s">
        <v>494</v>
      </c>
      <c r="B215" s="55" t="n">
        <v>44012</v>
      </c>
      <c r="C215" s="51" t="s">
        <v>82</v>
      </c>
      <c r="D215" s="51" t="n">
        <v>0</v>
      </c>
    </row>
    <row r="216" customFormat="false" ht="15" hidden="true" customHeight="false" outlineLevel="0" collapsed="false">
      <c r="A216" s="51" t="s">
        <v>499</v>
      </c>
      <c r="B216" s="55" t="n">
        <v>44012</v>
      </c>
      <c r="C216" s="51" t="s">
        <v>82</v>
      </c>
      <c r="D216" s="51" t="n">
        <v>0</v>
      </c>
    </row>
    <row r="217" customFormat="false" ht="15" hidden="true" customHeight="false" outlineLevel="0" collapsed="false">
      <c r="A217" s="51" t="s">
        <v>504</v>
      </c>
      <c r="B217" s="55" t="n">
        <v>44012</v>
      </c>
      <c r="C217" s="51" t="s">
        <v>82</v>
      </c>
      <c r="D217" s="51" t="n">
        <v>0</v>
      </c>
    </row>
    <row r="218" customFormat="false" ht="15" hidden="true" customHeight="false" outlineLevel="0" collapsed="false">
      <c r="A218" s="51" t="s">
        <v>509</v>
      </c>
      <c r="B218" s="55" t="n">
        <v>44012</v>
      </c>
      <c r="C218" s="51" t="s">
        <v>82</v>
      </c>
      <c r="D218" s="51" t="n">
        <v>0</v>
      </c>
    </row>
    <row r="219" customFormat="false" ht="15" hidden="true" customHeight="false" outlineLevel="0" collapsed="false">
      <c r="A219" s="51" t="s">
        <v>515</v>
      </c>
      <c r="B219" s="55" t="n">
        <v>44012</v>
      </c>
      <c r="C219" s="51" t="s">
        <v>82</v>
      </c>
      <c r="D219" s="51" t="n">
        <v>0</v>
      </c>
    </row>
    <row r="220" customFormat="false" ht="15" hidden="true" customHeight="false" outlineLevel="0" collapsed="false">
      <c r="A220" s="51" t="s">
        <v>520</v>
      </c>
      <c r="B220" s="55" t="n">
        <v>44012</v>
      </c>
      <c r="C220" s="51" t="s">
        <v>82</v>
      </c>
      <c r="D220" s="51" t="n">
        <v>0</v>
      </c>
    </row>
    <row r="221" customFormat="false" ht="15" hidden="true" customHeight="false" outlineLevel="0" collapsed="false">
      <c r="A221" s="51" t="s">
        <v>525</v>
      </c>
      <c r="B221" s="55" t="n">
        <v>44012</v>
      </c>
      <c r="C221" s="51" t="s">
        <v>82</v>
      </c>
      <c r="D221" s="51" t="n">
        <v>0</v>
      </c>
    </row>
    <row r="222" customFormat="false" ht="15" hidden="true" customHeight="false" outlineLevel="0" collapsed="false">
      <c r="A222" s="51" t="s">
        <v>531</v>
      </c>
      <c r="B222" s="55" t="n">
        <v>44012</v>
      </c>
      <c r="C222" s="51" t="s">
        <v>82</v>
      </c>
      <c r="D222" s="51" t="n">
        <v>0</v>
      </c>
    </row>
    <row r="223" customFormat="false" ht="15" hidden="true" customHeight="false" outlineLevel="0" collapsed="false">
      <c r="A223" s="51" t="s">
        <v>536</v>
      </c>
      <c r="B223" s="55" t="n">
        <v>44012</v>
      </c>
      <c r="C223" s="51" t="s">
        <v>82</v>
      </c>
      <c r="D223" s="51" t="n">
        <v>0</v>
      </c>
    </row>
    <row r="224" customFormat="false" ht="15" hidden="true" customHeight="false" outlineLevel="0" collapsed="false">
      <c r="A224" s="51" t="s">
        <v>541</v>
      </c>
      <c r="B224" s="55" t="n">
        <v>44012</v>
      </c>
      <c r="C224" s="51" t="s">
        <v>82</v>
      </c>
      <c r="D224" s="51" t="n">
        <v>0</v>
      </c>
    </row>
    <row r="225" customFormat="false" ht="15" hidden="true" customHeight="false" outlineLevel="0" collapsed="false">
      <c r="A225" s="51" t="s">
        <v>549</v>
      </c>
      <c r="B225" s="55" t="n">
        <v>44012</v>
      </c>
      <c r="C225" s="51" t="s">
        <v>82</v>
      </c>
      <c r="D225" s="51" t="n">
        <v>0</v>
      </c>
    </row>
    <row r="226" customFormat="false" ht="15" hidden="true" customHeight="false" outlineLevel="0" collapsed="false">
      <c r="A226" s="51" t="s">
        <v>554</v>
      </c>
      <c r="B226" s="55" t="n">
        <v>44012</v>
      </c>
      <c r="C226" s="51" t="s">
        <v>82</v>
      </c>
      <c r="D226" s="51" t="n">
        <v>0</v>
      </c>
    </row>
    <row r="227" customFormat="false" ht="15" hidden="true" customHeight="false" outlineLevel="0" collapsed="false">
      <c r="A227" s="51" t="s">
        <v>559</v>
      </c>
      <c r="B227" s="55" t="n">
        <v>44012</v>
      </c>
      <c r="C227" s="51" t="s">
        <v>82</v>
      </c>
      <c r="D227" s="51" t="n">
        <v>0</v>
      </c>
    </row>
    <row r="228" customFormat="false" ht="15" hidden="true" customHeight="false" outlineLevel="0" collapsed="false">
      <c r="A228" s="51" t="s">
        <v>564</v>
      </c>
      <c r="B228" s="55" t="n">
        <v>44012</v>
      </c>
      <c r="C228" s="51" t="s">
        <v>82</v>
      </c>
      <c r="D228" s="51" t="n">
        <v>0</v>
      </c>
    </row>
    <row r="229" customFormat="false" ht="15" hidden="true" customHeight="false" outlineLevel="0" collapsed="false">
      <c r="A229" s="51" t="s">
        <v>569</v>
      </c>
      <c r="B229" s="55" t="n">
        <v>44012</v>
      </c>
      <c r="C229" s="51" t="s">
        <v>82</v>
      </c>
      <c r="D229" s="51" t="n">
        <v>0</v>
      </c>
    </row>
    <row r="230" customFormat="false" ht="15" hidden="true" customHeight="false" outlineLevel="0" collapsed="false">
      <c r="A230" s="51" t="s">
        <v>574</v>
      </c>
      <c r="B230" s="55" t="n">
        <v>44012</v>
      </c>
      <c r="C230" s="51" t="s">
        <v>82</v>
      </c>
      <c r="D230" s="51" t="n">
        <v>0</v>
      </c>
    </row>
    <row r="231" customFormat="false" ht="15" hidden="true" customHeight="false" outlineLevel="0" collapsed="false">
      <c r="A231" s="51" t="s">
        <v>579</v>
      </c>
      <c r="B231" s="55" t="n">
        <v>44012</v>
      </c>
      <c r="C231" s="51" t="s">
        <v>82</v>
      </c>
      <c r="D231" s="51" t="n">
        <v>0</v>
      </c>
    </row>
    <row r="232" customFormat="false" ht="15" hidden="true" customHeight="false" outlineLevel="0" collapsed="false">
      <c r="A232" s="51" t="s">
        <v>584</v>
      </c>
      <c r="B232" s="55" t="n">
        <v>44012</v>
      </c>
      <c r="C232" s="51" t="s">
        <v>82</v>
      </c>
      <c r="D232" s="51" t="n">
        <v>0</v>
      </c>
    </row>
    <row r="233" customFormat="false" ht="15" hidden="true" customHeight="false" outlineLevel="0" collapsed="false">
      <c r="A233" s="51" t="s">
        <v>589</v>
      </c>
      <c r="B233" s="55" t="n">
        <v>44012</v>
      </c>
      <c r="C233" s="51" t="s">
        <v>82</v>
      </c>
      <c r="D233" s="51" t="n">
        <v>0</v>
      </c>
    </row>
    <row r="234" customFormat="false" ht="15" hidden="true" customHeight="false" outlineLevel="0" collapsed="false">
      <c r="A234" s="51" t="s">
        <v>756</v>
      </c>
      <c r="B234" s="55" t="n">
        <v>44012</v>
      </c>
      <c r="C234" s="51" t="s">
        <v>82</v>
      </c>
      <c r="D234" s="51" t="n">
        <v>0</v>
      </c>
    </row>
    <row r="235" customFormat="false" ht="15" hidden="true" customHeight="false" outlineLevel="0" collapsed="false">
      <c r="A235" s="51" t="s">
        <v>594</v>
      </c>
      <c r="B235" s="55" t="n">
        <v>44012</v>
      </c>
      <c r="C235" s="51" t="s">
        <v>82</v>
      </c>
      <c r="D235" s="51" t="n">
        <v>0</v>
      </c>
    </row>
    <row r="236" customFormat="false" ht="15" hidden="true" customHeight="false" outlineLevel="0" collapsed="false">
      <c r="A236" s="51" t="s">
        <v>761</v>
      </c>
      <c r="B236" s="55" t="n">
        <v>44012</v>
      </c>
      <c r="C236" s="51" t="s">
        <v>82</v>
      </c>
      <c r="D236" s="51" t="n">
        <v>0</v>
      </c>
    </row>
    <row r="237" customFormat="false" ht="15" hidden="true" customHeight="false" outlineLevel="0" collapsed="false">
      <c r="A237" s="51" t="s">
        <v>599</v>
      </c>
      <c r="B237" s="55" t="n">
        <v>44012</v>
      </c>
      <c r="C237" s="51" t="s">
        <v>82</v>
      </c>
      <c r="D237" s="51" t="n">
        <v>0</v>
      </c>
    </row>
    <row r="238" customFormat="false" ht="15" hidden="true" customHeight="false" outlineLevel="0" collapsed="false">
      <c r="A238" s="51" t="s">
        <v>604</v>
      </c>
      <c r="B238" s="55" t="n">
        <v>44012</v>
      </c>
      <c r="C238" s="51" t="s">
        <v>82</v>
      </c>
      <c r="D238" s="51" t="n">
        <v>0</v>
      </c>
    </row>
    <row r="239" customFormat="false" ht="15" hidden="true" customHeight="false" outlineLevel="0" collapsed="false">
      <c r="A239" s="51" t="s">
        <v>609</v>
      </c>
      <c r="B239" s="55" t="n">
        <v>44012</v>
      </c>
      <c r="C239" s="51" t="s">
        <v>82</v>
      </c>
      <c r="D239" s="51" t="n">
        <v>0</v>
      </c>
    </row>
    <row r="240" customFormat="false" ht="15" hidden="true" customHeight="false" outlineLevel="0" collapsed="false">
      <c r="A240" s="51" t="s">
        <v>614</v>
      </c>
      <c r="B240" s="55" t="n">
        <v>44012</v>
      </c>
      <c r="C240" s="51" t="s">
        <v>82</v>
      </c>
      <c r="D240" s="51" t="n">
        <v>0</v>
      </c>
    </row>
    <row r="241" customFormat="false" ht="15" hidden="true" customHeight="false" outlineLevel="0" collapsed="false">
      <c r="A241" s="51" t="s">
        <v>619</v>
      </c>
      <c r="B241" s="55" t="n">
        <v>44012</v>
      </c>
      <c r="C241" s="51" t="s">
        <v>82</v>
      </c>
      <c r="D241" s="51" t="n">
        <v>0</v>
      </c>
    </row>
    <row r="242" customFormat="false" ht="15" hidden="true" customHeight="false" outlineLevel="0" collapsed="false">
      <c r="A242" s="51" t="s">
        <v>624</v>
      </c>
      <c r="B242" s="55" t="n">
        <v>44012</v>
      </c>
      <c r="C242" s="51" t="s">
        <v>82</v>
      </c>
      <c r="D242" s="51" t="n">
        <v>0</v>
      </c>
    </row>
    <row r="243" customFormat="false" ht="15" hidden="true" customHeight="false" outlineLevel="0" collapsed="false">
      <c r="A243" s="51" t="s">
        <v>629</v>
      </c>
      <c r="B243" s="55" t="n">
        <v>44012</v>
      </c>
      <c r="C243" s="51" t="s">
        <v>82</v>
      </c>
      <c r="D243" s="51" t="n">
        <v>0</v>
      </c>
    </row>
    <row r="244" customFormat="false" ht="15" hidden="true" customHeight="false" outlineLevel="0" collapsed="false">
      <c r="A244" s="51" t="s">
        <v>633</v>
      </c>
      <c r="B244" s="55" t="n">
        <v>44012</v>
      </c>
      <c r="C244" s="51" t="s">
        <v>82</v>
      </c>
      <c r="D244" s="51" t="n">
        <v>0</v>
      </c>
    </row>
    <row r="245" customFormat="false" ht="15" hidden="true" customHeight="false" outlineLevel="0" collapsed="false">
      <c r="A245" s="51" t="s">
        <v>638</v>
      </c>
      <c r="B245" s="55" t="n">
        <v>44012</v>
      </c>
      <c r="C245" s="51" t="s">
        <v>82</v>
      </c>
      <c r="D245" s="51" t="n">
        <v>0</v>
      </c>
    </row>
    <row r="246" customFormat="false" ht="15" hidden="true" customHeight="false" outlineLevel="0" collapsed="false">
      <c r="A246" s="51" t="s">
        <v>642</v>
      </c>
      <c r="B246" s="55" t="n">
        <v>44012</v>
      </c>
      <c r="C246" s="51" t="s">
        <v>82</v>
      </c>
      <c r="D246" s="51" t="n">
        <v>0</v>
      </c>
    </row>
    <row r="247" customFormat="false" ht="15" hidden="true" customHeight="false" outlineLevel="0" collapsed="false">
      <c r="A247" s="51" t="s">
        <v>646</v>
      </c>
      <c r="B247" s="55" t="n">
        <v>44012</v>
      </c>
      <c r="C247" s="51" t="s">
        <v>82</v>
      </c>
      <c r="D247" s="51" t="n">
        <v>0</v>
      </c>
    </row>
    <row r="248" customFormat="false" ht="15" hidden="true" customHeight="false" outlineLevel="0" collapsed="false">
      <c r="A248" s="51" t="s">
        <v>651</v>
      </c>
      <c r="B248" s="55" t="n">
        <v>44012</v>
      </c>
      <c r="C248" s="51" t="s">
        <v>82</v>
      </c>
      <c r="D248" s="51" t="n">
        <v>0</v>
      </c>
    </row>
    <row r="249" customFormat="false" ht="15" hidden="true" customHeight="false" outlineLevel="0" collapsed="false">
      <c r="A249" s="51" t="s">
        <v>656</v>
      </c>
      <c r="B249" s="55" t="n">
        <v>44012</v>
      </c>
      <c r="C249" s="51" t="s">
        <v>82</v>
      </c>
      <c r="D249" s="51" t="n">
        <v>0</v>
      </c>
    </row>
    <row r="250" customFormat="false" ht="15" hidden="true" customHeight="false" outlineLevel="0" collapsed="false">
      <c r="A250" s="51" t="s">
        <v>661</v>
      </c>
      <c r="B250" s="55" t="n">
        <v>44012</v>
      </c>
      <c r="C250" s="51" t="s">
        <v>82</v>
      </c>
      <c r="D250" s="51" t="n">
        <v>0</v>
      </c>
    </row>
    <row r="251" customFormat="false" ht="15" hidden="true" customHeight="false" outlineLevel="0" collapsed="false">
      <c r="A251" s="51" t="s">
        <v>666</v>
      </c>
      <c r="B251" s="55" t="n">
        <v>44012</v>
      </c>
      <c r="C251" s="51" t="s">
        <v>82</v>
      </c>
      <c r="D251" s="51" t="n">
        <v>0</v>
      </c>
    </row>
    <row r="252" customFormat="false" ht="15" hidden="true" customHeight="false" outlineLevel="0" collapsed="false">
      <c r="A252" s="51" t="s">
        <v>671</v>
      </c>
      <c r="B252" s="55" t="n">
        <v>44012</v>
      </c>
      <c r="C252" s="51" t="s">
        <v>82</v>
      </c>
      <c r="D252" s="51" t="n">
        <v>0</v>
      </c>
    </row>
    <row r="253" customFormat="false" ht="15" hidden="true" customHeight="false" outlineLevel="0" collapsed="false">
      <c r="A253" s="51" t="s">
        <v>676</v>
      </c>
      <c r="B253" s="55" t="n">
        <v>44012</v>
      </c>
      <c r="C253" s="51" t="s">
        <v>82</v>
      </c>
      <c r="D253" s="51" t="n">
        <v>0</v>
      </c>
    </row>
    <row r="254" customFormat="false" ht="15" hidden="true" customHeight="false" outlineLevel="0" collapsed="false">
      <c r="A254" s="51" t="s">
        <v>681</v>
      </c>
      <c r="B254" s="55" t="n">
        <v>44012</v>
      </c>
      <c r="C254" s="51" t="s">
        <v>82</v>
      </c>
      <c r="D254" s="51" t="n">
        <v>0</v>
      </c>
    </row>
    <row r="255" customFormat="false" ht="15" hidden="true" customHeight="false" outlineLevel="0" collapsed="false">
      <c r="A255" s="51" t="s">
        <v>686</v>
      </c>
      <c r="B255" s="55" t="n">
        <v>44012</v>
      </c>
      <c r="C255" s="51" t="s">
        <v>82</v>
      </c>
      <c r="D255" s="51" t="n">
        <v>0</v>
      </c>
    </row>
    <row r="256" customFormat="false" ht="15" hidden="true" customHeight="false" outlineLevel="0" collapsed="false">
      <c r="A256" s="51" t="s">
        <v>691</v>
      </c>
      <c r="B256" s="55" t="n">
        <v>44012</v>
      </c>
      <c r="C256" s="51" t="s">
        <v>82</v>
      </c>
      <c r="D256" s="51" t="n">
        <v>0</v>
      </c>
    </row>
    <row r="257" customFormat="false" ht="15" hidden="true" customHeight="false" outlineLevel="0" collapsed="false">
      <c r="A257" s="51" t="s">
        <v>696</v>
      </c>
      <c r="B257" s="55" t="n">
        <v>44012</v>
      </c>
      <c r="C257" s="51" t="s">
        <v>82</v>
      </c>
      <c r="D257" s="51" t="n">
        <v>0</v>
      </c>
    </row>
    <row r="258" customFormat="false" ht="15" hidden="true" customHeight="false" outlineLevel="0" collapsed="false">
      <c r="A258" s="51" t="s">
        <v>701</v>
      </c>
      <c r="B258" s="55" t="n">
        <v>44012</v>
      </c>
      <c r="C258" s="51" t="s">
        <v>82</v>
      </c>
      <c r="D258" s="51" t="n">
        <v>0</v>
      </c>
    </row>
    <row r="259" customFormat="false" ht="15" hidden="true" customHeight="false" outlineLevel="0" collapsed="false">
      <c r="A259" s="51" t="s">
        <v>707</v>
      </c>
      <c r="B259" s="55" t="n">
        <v>44012</v>
      </c>
      <c r="C259" s="51" t="s">
        <v>82</v>
      </c>
      <c r="D259" s="51" t="n">
        <v>0</v>
      </c>
    </row>
    <row r="260" customFormat="false" ht="15" hidden="true" customHeight="false" outlineLevel="0" collapsed="false">
      <c r="A260" s="51" t="s">
        <v>712</v>
      </c>
      <c r="B260" s="55" t="n">
        <v>44012</v>
      </c>
      <c r="C260" s="51" t="s">
        <v>82</v>
      </c>
      <c r="D260" s="51" t="n">
        <v>0</v>
      </c>
    </row>
    <row r="261" customFormat="false" ht="15" hidden="true" customHeight="false" outlineLevel="0" collapsed="false">
      <c r="A261" s="51" t="s">
        <v>717</v>
      </c>
      <c r="B261" s="55" t="n">
        <v>44012</v>
      </c>
      <c r="C261" s="51" t="s">
        <v>82</v>
      </c>
      <c r="D261" s="51" t="n">
        <v>0</v>
      </c>
    </row>
    <row r="262" customFormat="false" ht="15" hidden="true" customHeight="false" outlineLevel="0" collapsed="false">
      <c r="A262" s="51" t="s">
        <v>767</v>
      </c>
      <c r="B262" s="55" t="n">
        <v>44012</v>
      </c>
      <c r="C262" s="51" t="s">
        <v>82</v>
      </c>
      <c r="D262" s="51" t="n">
        <v>0</v>
      </c>
    </row>
    <row r="263" customFormat="false" ht="15" hidden="true" customHeight="false" outlineLevel="0" collapsed="false">
      <c r="A263" s="51" t="s">
        <v>722</v>
      </c>
      <c r="B263" s="55" t="n">
        <v>44012</v>
      </c>
      <c r="C263" s="51" t="s">
        <v>82</v>
      </c>
      <c r="D263" s="51" t="n">
        <v>0</v>
      </c>
    </row>
    <row r="264" customFormat="false" ht="15" hidden="true" customHeight="false" outlineLevel="0" collapsed="false">
      <c r="A264" s="51" t="s">
        <v>727</v>
      </c>
      <c r="B264" s="55" t="n">
        <v>44012</v>
      </c>
      <c r="C264" s="51" t="s">
        <v>82</v>
      </c>
      <c r="D264" s="51" t="n">
        <v>0</v>
      </c>
    </row>
    <row r="265" customFormat="false" ht="15" hidden="true" customHeight="false" outlineLevel="0" collapsed="false">
      <c r="A265" s="51" t="s">
        <v>732</v>
      </c>
      <c r="B265" s="55" t="n">
        <v>44012</v>
      </c>
      <c r="C265" s="51" t="s">
        <v>82</v>
      </c>
      <c r="D265" s="51" t="n">
        <v>0</v>
      </c>
    </row>
    <row r="266" customFormat="false" ht="15" hidden="true" customHeight="false" outlineLevel="0" collapsed="false">
      <c r="A266" s="51" t="s">
        <v>736</v>
      </c>
      <c r="B266" s="55" t="n">
        <v>44012</v>
      </c>
      <c r="C266" s="51" t="s">
        <v>82</v>
      </c>
      <c r="D266" s="51" t="n">
        <v>0</v>
      </c>
    </row>
    <row r="267" customFormat="false" ht="15" hidden="true" customHeight="false" outlineLevel="0" collapsed="false">
      <c r="A267" s="51" t="s">
        <v>741</v>
      </c>
      <c r="B267" s="55" t="n">
        <v>44012</v>
      </c>
      <c r="C267" s="51" t="s">
        <v>82</v>
      </c>
      <c r="D267" s="51" t="n">
        <v>0</v>
      </c>
    </row>
    <row r="268" customFormat="false" ht="15" hidden="true" customHeight="false" outlineLevel="0" collapsed="false">
      <c r="A268" s="51" t="s">
        <v>746</v>
      </c>
      <c r="B268" s="55" t="n">
        <v>44012</v>
      </c>
      <c r="C268" s="51" t="s">
        <v>82</v>
      </c>
      <c r="D268" s="51" t="n">
        <v>0</v>
      </c>
    </row>
    <row r="269" customFormat="false" ht="15" hidden="true" customHeight="false" outlineLevel="0" collapsed="false">
      <c r="A269" s="51" t="s">
        <v>751</v>
      </c>
      <c r="B269" s="55" t="n">
        <v>44012</v>
      </c>
      <c r="C269" s="51" t="s">
        <v>82</v>
      </c>
      <c r="D269" s="51" t="n">
        <v>0</v>
      </c>
    </row>
    <row r="270" customFormat="false" ht="15" hidden="false" customHeight="false" outlineLevel="0" collapsed="false">
      <c r="A270" s="51" t="s">
        <v>781</v>
      </c>
      <c r="B270" s="55" t="n">
        <v>44012</v>
      </c>
      <c r="C270" s="51" t="s">
        <v>73</v>
      </c>
      <c r="D270" s="51" t="n">
        <v>0</v>
      </c>
    </row>
    <row r="271" customFormat="false" ht="15" hidden="true" customHeight="false" outlineLevel="0" collapsed="false">
      <c r="A271" s="51" t="s">
        <v>783</v>
      </c>
      <c r="B271" s="55" t="n">
        <v>44012</v>
      </c>
      <c r="C271" s="51" t="s">
        <v>73</v>
      </c>
      <c r="D271" s="51" t="n">
        <v>0</v>
      </c>
    </row>
    <row r="272" customFormat="false" ht="15" hidden="true" customHeight="false" outlineLevel="0" collapsed="false">
      <c r="A272" s="51" t="s">
        <v>96</v>
      </c>
      <c r="B272" s="55" t="n">
        <v>44012</v>
      </c>
      <c r="C272" s="51" t="s">
        <v>73</v>
      </c>
      <c r="D272" s="51" t="n">
        <v>0</v>
      </c>
    </row>
    <row r="273" customFormat="false" ht="15" hidden="true" customHeight="false" outlineLevel="0" collapsed="false">
      <c r="A273" s="51" t="s">
        <v>101</v>
      </c>
      <c r="B273" s="55" t="n">
        <v>44012</v>
      </c>
      <c r="C273" s="51" t="s">
        <v>73</v>
      </c>
      <c r="D273" s="51" t="n">
        <v>0</v>
      </c>
    </row>
    <row r="274" customFormat="false" ht="15" hidden="true" customHeight="false" outlineLevel="0" collapsed="false">
      <c r="A274" s="51" t="s">
        <v>106</v>
      </c>
      <c r="B274" s="55" t="n">
        <v>44012</v>
      </c>
      <c r="C274" s="51" t="s">
        <v>73</v>
      </c>
      <c r="D274" s="51" t="n">
        <v>0</v>
      </c>
    </row>
    <row r="275" customFormat="false" ht="15" hidden="true" customHeight="false" outlineLevel="0" collapsed="false">
      <c r="A275" s="51" t="s">
        <v>110</v>
      </c>
      <c r="B275" s="55" t="n">
        <v>44012</v>
      </c>
      <c r="C275" s="51" t="s">
        <v>73</v>
      </c>
      <c r="D275" s="51" t="n">
        <v>0</v>
      </c>
    </row>
    <row r="276" customFormat="false" ht="15" hidden="true" customHeight="false" outlineLevel="0" collapsed="false">
      <c r="A276" s="51" t="s">
        <v>115</v>
      </c>
      <c r="B276" s="55" t="n">
        <v>44012</v>
      </c>
      <c r="C276" s="51" t="s">
        <v>73</v>
      </c>
      <c r="D276" s="51" t="n">
        <v>0</v>
      </c>
    </row>
    <row r="277" customFormat="false" ht="15" hidden="true" customHeight="false" outlineLevel="0" collapsed="false">
      <c r="A277" s="51" t="s">
        <v>120</v>
      </c>
      <c r="B277" s="55" t="n">
        <v>44012</v>
      </c>
      <c r="C277" s="51" t="s">
        <v>73</v>
      </c>
      <c r="D277" s="51" t="n">
        <v>0</v>
      </c>
    </row>
    <row r="278" customFormat="false" ht="15" hidden="true" customHeight="false" outlineLevel="0" collapsed="false">
      <c r="A278" s="51" t="s">
        <v>124</v>
      </c>
      <c r="B278" s="55" t="n">
        <v>44012</v>
      </c>
      <c r="C278" s="51" t="s">
        <v>73</v>
      </c>
      <c r="D278" s="51" t="n">
        <v>0</v>
      </c>
    </row>
    <row r="279" customFormat="false" ht="15" hidden="true" customHeight="false" outlineLevel="0" collapsed="false">
      <c r="A279" s="51" t="s">
        <v>129</v>
      </c>
      <c r="B279" s="55" t="n">
        <v>44012</v>
      </c>
      <c r="C279" s="51" t="s">
        <v>73</v>
      </c>
      <c r="D279" s="51" t="n">
        <v>0</v>
      </c>
    </row>
    <row r="280" customFormat="false" ht="15" hidden="true" customHeight="false" outlineLevel="0" collapsed="false">
      <c r="A280" s="51" t="s">
        <v>134</v>
      </c>
      <c r="B280" s="55" t="n">
        <v>44012</v>
      </c>
      <c r="C280" s="51" t="s">
        <v>73</v>
      </c>
      <c r="D280" s="51" t="n">
        <v>0</v>
      </c>
    </row>
    <row r="281" customFormat="false" ht="15" hidden="true" customHeight="false" outlineLevel="0" collapsed="false">
      <c r="A281" s="51" t="s">
        <v>141</v>
      </c>
      <c r="B281" s="55" t="n">
        <v>44012</v>
      </c>
      <c r="C281" s="51" t="s">
        <v>73</v>
      </c>
      <c r="D281" s="51" t="n">
        <v>0</v>
      </c>
    </row>
    <row r="282" customFormat="false" ht="15" hidden="true" customHeight="false" outlineLevel="0" collapsed="false">
      <c r="A282" s="51" t="s">
        <v>146</v>
      </c>
      <c r="B282" s="55" t="n">
        <v>44012</v>
      </c>
      <c r="C282" s="51" t="s">
        <v>73</v>
      </c>
      <c r="D282" s="51" t="n">
        <v>0</v>
      </c>
    </row>
    <row r="283" customFormat="false" ht="15" hidden="true" customHeight="false" outlineLevel="0" collapsed="false">
      <c r="A283" s="51" t="s">
        <v>151</v>
      </c>
      <c r="B283" s="55" t="n">
        <v>44012</v>
      </c>
      <c r="C283" s="51" t="s">
        <v>73</v>
      </c>
      <c r="D283" s="51" t="n">
        <v>0</v>
      </c>
    </row>
    <row r="284" customFormat="false" ht="15" hidden="true" customHeight="false" outlineLevel="0" collapsed="false">
      <c r="A284" s="51" t="s">
        <v>156</v>
      </c>
      <c r="B284" s="55" t="n">
        <v>44012</v>
      </c>
      <c r="C284" s="51" t="s">
        <v>73</v>
      </c>
      <c r="D284" s="51" t="n">
        <v>0</v>
      </c>
    </row>
    <row r="285" customFormat="false" ht="15" hidden="true" customHeight="false" outlineLevel="0" collapsed="false">
      <c r="A285" s="51" t="s">
        <v>161</v>
      </c>
      <c r="B285" s="55" t="n">
        <v>44012</v>
      </c>
      <c r="C285" s="51" t="s">
        <v>73</v>
      </c>
      <c r="D285" s="51" t="n">
        <v>0</v>
      </c>
    </row>
    <row r="286" customFormat="false" ht="15" hidden="true" customHeight="false" outlineLevel="0" collapsed="false">
      <c r="A286" s="51" t="s">
        <v>166</v>
      </c>
      <c r="B286" s="55" t="n">
        <v>44012</v>
      </c>
      <c r="C286" s="51" t="s">
        <v>73</v>
      </c>
      <c r="D286" s="51" t="n">
        <v>0</v>
      </c>
    </row>
    <row r="287" customFormat="false" ht="15" hidden="true" customHeight="false" outlineLevel="0" collapsed="false">
      <c r="A287" s="51" t="s">
        <v>171</v>
      </c>
      <c r="B287" s="55" t="n">
        <v>44012</v>
      </c>
      <c r="C287" s="51" t="s">
        <v>73</v>
      </c>
      <c r="D287" s="51" t="n">
        <v>0</v>
      </c>
    </row>
    <row r="288" customFormat="false" ht="15" hidden="true" customHeight="false" outlineLevel="0" collapsed="false">
      <c r="A288" s="51" t="s">
        <v>176</v>
      </c>
      <c r="B288" s="55" t="n">
        <v>44012</v>
      </c>
      <c r="C288" s="51" t="s">
        <v>73</v>
      </c>
      <c r="D288" s="51" t="n">
        <v>0</v>
      </c>
    </row>
    <row r="289" customFormat="false" ht="15" hidden="true" customHeight="false" outlineLevel="0" collapsed="false">
      <c r="A289" s="51" t="s">
        <v>181</v>
      </c>
      <c r="B289" s="55" t="n">
        <v>44012</v>
      </c>
      <c r="C289" s="51" t="s">
        <v>73</v>
      </c>
      <c r="D289" s="51" t="n">
        <v>0</v>
      </c>
    </row>
    <row r="290" customFormat="false" ht="15" hidden="true" customHeight="false" outlineLevel="0" collapsed="false">
      <c r="A290" s="51" t="s">
        <v>186</v>
      </c>
      <c r="B290" s="55" t="n">
        <v>44012</v>
      </c>
      <c r="C290" s="51" t="s">
        <v>73</v>
      </c>
      <c r="D290" s="51" t="n">
        <v>0</v>
      </c>
    </row>
    <row r="291" customFormat="false" ht="15" hidden="true" customHeight="false" outlineLevel="0" collapsed="false">
      <c r="A291" s="51" t="s">
        <v>191</v>
      </c>
      <c r="B291" s="55" t="n">
        <v>44012</v>
      </c>
      <c r="C291" s="51" t="s">
        <v>73</v>
      </c>
      <c r="D291" s="51" t="n">
        <v>0</v>
      </c>
    </row>
    <row r="292" customFormat="false" ht="15" hidden="true" customHeight="false" outlineLevel="0" collapsed="false">
      <c r="A292" s="51" t="s">
        <v>196</v>
      </c>
      <c r="B292" s="55" t="n">
        <v>44012</v>
      </c>
      <c r="C292" s="51" t="s">
        <v>73</v>
      </c>
      <c r="D292" s="51" t="n">
        <v>0</v>
      </c>
    </row>
    <row r="293" customFormat="false" ht="15" hidden="true" customHeight="false" outlineLevel="0" collapsed="false">
      <c r="A293" s="51" t="s">
        <v>201</v>
      </c>
      <c r="B293" s="55" t="n">
        <v>44012</v>
      </c>
      <c r="C293" s="51" t="s">
        <v>73</v>
      </c>
      <c r="D293" s="51" t="n">
        <v>0</v>
      </c>
    </row>
    <row r="294" customFormat="false" ht="15" hidden="true" customHeight="false" outlineLevel="0" collapsed="false">
      <c r="A294" s="51" t="s">
        <v>206</v>
      </c>
      <c r="B294" s="55" t="n">
        <v>44012</v>
      </c>
      <c r="C294" s="51" t="s">
        <v>73</v>
      </c>
      <c r="D294" s="51" t="n">
        <v>0</v>
      </c>
    </row>
    <row r="295" customFormat="false" ht="15" hidden="true" customHeight="false" outlineLevel="0" collapsed="false">
      <c r="A295" s="51" t="s">
        <v>210</v>
      </c>
      <c r="B295" s="55" t="n">
        <v>44012</v>
      </c>
      <c r="C295" s="51" t="s">
        <v>73</v>
      </c>
      <c r="D295" s="51" t="n">
        <v>0</v>
      </c>
    </row>
    <row r="296" customFormat="false" ht="15" hidden="true" customHeight="false" outlineLevel="0" collapsed="false">
      <c r="A296" s="51" t="s">
        <v>215</v>
      </c>
      <c r="B296" s="55" t="n">
        <v>44012</v>
      </c>
      <c r="C296" s="51" t="s">
        <v>73</v>
      </c>
      <c r="D296" s="51" t="n">
        <v>0</v>
      </c>
    </row>
    <row r="297" customFormat="false" ht="15" hidden="true" customHeight="false" outlineLevel="0" collapsed="false">
      <c r="A297" s="51" t="s">
        <v>790</v>
      </c>
      <c r="B297" s="55" t="n">
        <v>44012</v>
      </c>
      <c r="C297" s="51" t="s">
        <v>73</v>
      </c>
      <c r="D297" s="51" t="n">
        <v>0</v>
      </c>
    </row>
    <row r="298" customFormat="false" ht="15" hidden="true" customHeight="false" outlineLevel="0" collapsed="false">
      <c r="A298" s="51" t="s">
        <v>225</v>
      </c>
      <c r="B298" s="55" t="n">
        <v>44012</v>
      </c>
      <c r="C298" s="51" t="s">
        <v>73</v>
      </c>
      <c r="D298" s="51" t="n">
        <v>0</v>
      </c>
    </row>
    <row r="299" customFormat="false" ht="15" hidden="true" customHeight="false" outlineLevel="0" collapsed="false">
      <c r="A299" s="51" t="s">
        <v>230</v>
      </c>
      <c r="B299" s="55" t="n">
        <v>44012</v>
      </c>
      <c r="C299" s="51" t="s">
        <v>73</v>
      </c>
      <c r="D299" s="51" t="n">
        <v>0</v>
      </c>
    </row>
    <row r="300" customFormat="false" ht="15" hidden="true" customHeight="false" outlineLevel="0" collapsed="false">
      <c r="A300" s="51" t="s">
        <v>235</v>
      </c>
      <c r="B300" s="55" t="n">
        <v>44012</v>
      </c>
      <c r="C300" s="51" t="s">
        <v>73</v>
      </c>
      <c r="D300" s="51" t="n">
        <v>0</v>
      </c>
    </row>
    <row r="301" customFormat="false" ht="15" hidden="true" customHeight="false" outlineLevel="0" collapsed="false">
      <c r="A301" s="51" t="s">
        <v>240</v>
      </c>
      <c r="B301" s="55" t="n">
        <v>44012</v>
      </c>
      <c r="C301" s="51" t="s">
        <v>73</v>
      </c>
      <c r="D301" s="51" t="n">
        <v>0</v>
      </c>
    </row>
    <row r="302" customFormat="false" ht="15" hidden="true" customHeight="false" outlineLevel="0" collapsed="false">
      <c r="A302" s="51" t="s">
        <v>246</v>
      </c>
      <c r="B302" s="55" t="n">
        <v>44012</v>
      </c>
      <c r="C302" s="51" t="s">
        <v>73</v>
      </c>
      <c r="D302" s="51" t="n">
        <v>0</v>
      </c>
    </row>
    <row r="303" customFormat="false" ht="15" hidden="true" customHeight="false" outlineLevel="0" collapsed="false">
      <c r="A303" s="51" t="s">
        <v>252</v>
      </c>
      <c r="B303" s="55" t="n">
        <v>44012</v>
      </c>
      <c r="C303" s="51" t="s">
        <v>73</v>
      </c>
      <c r="D303" s="51" t="n">
        <v>0</v>
      </c>
    </row>
    <row r="304" customFormat="false" ht="15" hidden="true" customHeight="false" outlineLevel="0" collapsed="false">
      <c r="A304" s="51" t="s">
        <v>257</v>
      </c>
      <c r="B304" s="55" t="n">
        <v>44012</v>
      </c>
      <c r="C304" s="51" t="s">
        <v>73</v>
      </c>
      <c r="D304" s="51" t="n">
        <v>0</v>
      </c>
    </row>
    <row r="305" customFormat="false" ht="15" hidden="true" customHeight="false" outlineLevel="0" collapsed="false">
      <c r="A305" s="51" t="s">
        <v>262</v>
      </c>
      <c r="B305" s="55" t="n">
        <v>44012</v>
      </c>
      <c r="C305" s="51" t="s">
        <v>73</v>
      </c>
      <c r="D305" s="51" t="n">
        <v>0</v>
      </c>
    </row>
    <row r="306" customFormat="false" ht="15" hidden="true" customHeight="false" outlineLevel="0" collapsed="false">
      <c r="A306" s="51" t="s">
        <v>267</v>
      </c>
      <c r="B306" s="55" t="n">
        <v>44012</v>
      </c>
      <c r="C306" s="51" t="s">
        <v>73</v>
      </c>
      <c r="D306" s="51" t="n">
        <v>0</v>
      </c>
    </row>
    <row r="307" customFormat="false" ht="15" hidden="true" customHeight="false" outlineLevel="0" collapsed="false">
      <c r="A307" s="51" t="s">
        <v>272</v>
      </c>
      <c r="B307" s="55" t="n">
        <v>44012</v>
      </c>
      <c r="C307" s="51" t="s">
        <v>73</v>
      </c>
      <c r="D307" s="51" t="n">
        <v>0</v>
      </c>
    </row>
    <row r="308" customFormat="false" ht="15" hidden="true" customHeight="false" outlineLevel="0" collapsed="false">
      <c r="A308" s="51" t="s">
        <v>277</v>
      </c>
      <c r="B308" s="55" t="n">
        <v>44012</v>
      </c>
      <c r="C308" s="51" t="s">
        <v>73</v>
      </c>
      <c r="D308" s="51" t="n">
        <v>0</v>
      </c>
    </row>
    <row r="309" customFormat="false" ht="15" hidden="true" customHeight="false" outlineLevel="0" collapsed="false">
      <c r="A309" s="51" t="s">
        <v>282</v>
      </c>
      <c r="B309" s="55" t="n">
        <v>44012</v>
      </c>
      <c r="C309" s="51" t="s">
        <v>73</v>
      </c>
      <c r="D309" s="51" t="n">
        <v>0</v>
      </c>
    </row>
    <row r="310" customFormat="false" ht="15" hidden="true" customHeight="false" outlineLevel="0" collapsed="false">
      <c r="A310" s="51" t="s">
        <v>287</v>
      </c>
      <c r="B310" s="55" t="n">
        <v>44012</v>
      </c>
      <c r="C310" s="51" t="s">
        <v>73</v>
      </c>
      <c r="D310" s="51" t="n">
        <v>0</v>
      </c>
    </row>
    <row r="311" customFormat="false" ht="15" hidden="true" customHeight="false" outlineLevel="0" collapsed="false">
      <c r="A311" s="51" t="s">
        <v>292</v>
      </c>
      <c r="B311" s="55" t="n">
        <v>44012</v>
      </c>
      <c r="C311" s="51" t="s">
        <v>73</v>
      </c>
      <c r="D311" s="51" t="n">
        <v>0</v>
      </c>
    </row>
    <row r="312" customFormat="false" ht="15" hidden="true" customHeight="false" outlineLevel="0" collapsed="false">
      <c r="A312" s="51" t="s">
        <v>297</v>
      </c>
      <c r="B312" s="55" t="n">
        <v>44012</v>
      </c>
      <c r="C312" s="51" t="s">
        <v>73</v>
      </c>
      <c r="D312" s="51" t="n">
        <v>0</v>
      </c>
    </row>
    <row r="313" customFormat="false" ht="15" hidden="true" customHeight="false" outlineLevel="0" collapsed="false">
      <c r="A313" s="51" t="s">
        <v>302</v>
      </c>
      <c r="B313" s="55" t="n">
        <v>44012</v>
      </c>
      <c r="C313" s="51" t="s">
        <v>73</v>
      </c>
      <c r="D313" s="51" t="n">
        <v>0</v>
      </c>
    </row>
    <row r="314" customFormat="false" ht="15" hidden="true" customHeight="false" outlineLevel="0" collapsed="false">
      <c r="A314" s="51" t="s">
        <v>307</v>
      </c>
      <c r="B314" s="55" t="n">
        <v>44012</v>
      </c>
      <c r="C314" s="51" t="s">
        <v>73</v>
      </c>
      <c r="D314" s="51" t="n">
        <v>0</v>
      </c>
    </row>
    <row r="315" customFormat="false" ht="15" hidden="true" customHeight="false" outlineLevel="0" collapsed="false">
      <c r="A315" s="51" t="s">
        <v>311</v>
      </c>
      <c r="B315" s="55" t="n">
        <v>44012</v>
      </c>
      <c r="C315" s="51" t="s">
        <v>73</v>
      </c>
      <c r="D315" s="51" t="n">
        <v>0</v>
      </c>
    </row>
    <row r="316" customFormat="false" ht="15" hidden="true" customHeight="false" outlineLevel="0" collapsed="false">
      <c r="A316" s="51" t="s">
        <v>317</v>
      </c>
      <c r="B316" s="55" t="n">
        <v>44012</v>
      </c>
      <c r="C316" s="51" t="s">
        <v>73</v>
      </c>
      <c r="D316" s="51" t="n">
        <v>0</v>
      </c>
    </row>
    <row r="317" customFormat="false" ht="15" hidden="true" customHeight="false" outlineLevel="0" collapsed="false">
      <c r="A317" s="51" t="s">
        <v>322</v>
      </c>
      <c r="B317" s="55" t="n">
        <v>44012</v>
      </c>
      <c r="C317" s="51" t="s">
        <v>73</v>
      </c>
      <c r="D317" s="51" t="n">
        <v>0</v>
      </c>
    </row>
    <row r="318" customFormat="false" ht="15" hidden="true" customHeight="false" outlineLevel="0" collapsed="false">
      <c r="A318" s="51" t="s">
        <v>327</v>
      </c>
      <c r="B318" s="55" t="n">
        <v>44012</v>
      </c>
      <c r="C318" s="51" t="s">
        <v>73</v>
      </c>
      <c r="D318" s="51" t="n">
        <v>0</v>
      </c>
    </row>
    <row r="319" customFormat="false" ht="15" hidden="true" customHeight="false" outlineLevel="0" collapsed="false">
      <c r="A319" s="51" t="s">
        <v>332</v>
      </c>
      <c r="B319" s="55" t="n">
        <v>44012</v>
      </c>
      <c r="C319" s="51" t="s">
        <v>73</v>
      </c>
      <c r="D319" s="51" t="n">
        <v>0</v>
      </c>
    </row>
    <row r="320" customFormat="false" ht="15" hidden="true" customHeight="false" outlineLevel="0" collapsed="false">
      <c r="A320" s="51" t="s">
        <v>339</v>
      </c>
      <c r="B320" s="55" t="n">
        <v>44012</v>
      </c>
      <c r="C320" s="51" t="s">
        <v>73</v>
      </c>
      <c r="D320" s="51" t="n">
        <v>0</v>
      </c>
    </row>
    <row r="321" customFormat="false" ht="15" hidden="true" customHeight="false" outlineLevel="0" collapsed="false">
      <c r="A321" s="51" t="s">
        <v>344</v>
      </c>
      <c r="B321" s="55" t="n">
        <v>44012</v>
      </c>
      <c r="C321" s="51" t="s">
        <v>73</v>
      </c>
      <c r="D321" s="51" t="n">
        <v>0</v>
      </c>
    </row>
    <row r="322" customFormat="false" ht="15" hidden="true" customHeight="false" outlineLevel="0" collapsed="false">
      <c r="A322" s="51" t="s">
        <v>349</v>
      </c>
      <c r="B322" s="55" t="n">
        <v>44012</v>
      </c>
      <c r="C322" s="51" t="s">
        <v>73</v>
      </c>
      <c r="D322" s="51" t="n">
        <v>0</v>
      </c>
    </row>
    <row r="323" customFormat="false" ht="15" hidden="true" customHeight="false" outlineLevel="0" collapsed="false">
      <c r="A323" s="51" t="s">
        <v>354</v>
      </c>
      <c r="B323" s="55" t="n">
        <v>44012</v>
      </c>
      <c r="C323" s="51" t="s">
        <v>73</v>
      </c>
      <c r="D323" s="51" t="n">
        <v>0</v>
      </c>
    </row>
    <row r="324" customFormat="false" ht="15" hidden="true" customHeight="false" outlineLevel="0" collapsed="false">
      <c r="A324" s="51" t="s">
        <v>359</v>
      </c>
      <c r="B324" s="55" t="n">
        <v>44012</v>
      </c>
      <c r="C324" s="51" t="s">
        <v>73</v>
      </c>
      <c r="D324" s="51" t="n">
        <v>0</v>
      </c>
    </row>
    <row r="325" customFormat="false" ht="15" hidden="true" customHeight="false" outlineLevel="0" collapsed="false">
      <c r="A325" s="51" t="s">
        <v>364</v>
      </c>
      <c r="B325" s="55" t="n">
        <v>44012</v>
      </c>
      <c r="C325" s="51" t="s">
        <v>73</v>
      </c>
      <c r="D325" s="51" t="n">
        <v>0</v>
      </c>
    </row>
    <row r="326" customFormat="false" ht="15" hidden="true" customHeight="false" outlineLevel="0" collapsed="false">
      <c r="A326" s="51" t="s">
        <v>369</v>
      </c>
      <c r="B326" s="55" t="n">
        <v>44012</v>
      </c>
      <c r="C326" s="51" t="s">
        <v>73</v>
      </c>
      <c r="D326" s="51" t="n">
        <v>0</v>
      </c>
    </row>
    <row r="327" customFormat="false" ht="15" hidden="true" customHeight="false" outlineLevel="0" collapsed="false">
      <c r="A327" s="51" t="s">
        <v>374</v>
      </c>
      <c r="B327" s="55" t="n">
        <v>44012</v>
      </c>
      <c r="C327" s="51" t="s">
        <v>73</v>
      </c>
      <c r="D327" s="51" t="n">
        <v>0</v>
      </c>
    </row>
    <row r="328" customFormat="false" ht="15" hidden="true" customHeight="false" outlineLevel="0" collapsed="false">
      <c r="A328" s="51" t="s">
        <v>379</v>
      </c>
      <c r="B328" s="55" t="n">
        <v>44012</v>
      </c>
      <c r="C328" s="51" t="s">
        <v>73</v>
      </c>
      <c r="D328" s="51" t="n">
        <v>0</v>
      </c>
    </row>
    <row r="329" customFormat="false" ht="15" hidden="true" customHeight="false" outlineLevel="0" collapsed="false">
      <c r="A329" s="51" t="s">
        <v>384</v>
      </c>
      <c r="B329" s="55" t="n">
        <v>44012</v>
      </c>
      <c r="C329" s="51" t="s">
        <v>73</v>
      </c>
      <c r="D329" s="51" t="n">
        <v>0</v>
      </c>
    </row>
    <row r="330" customFormat="false" ht="15" hidden="true" customHeight="false" outlineLevel="0" collapsed="false">
      <c r="A330" s="51" t="s">
        <v>389</v>
      </c>
      <c r="B330" s="55" t="n">
        <v>44012</v>
      </c>
      <c r="C330" s="51" t="s">
        <v>73</v>
      </c>
      <c r="D330" s="51" t="n">
        <v>0</v>
      </c>
    </row>
    <row r="331" customFormat="false" ht="15" hidden="true" customHeight="false" outlineLevel="0" collapsed="false">
      <c r="A331" s="51" t="s">
        <v>394</v>
      </c>
      <c r="B331" s="55" t="n">
        <v>44012</v>
      </c>
      <c r="C331" s="51" t="s">
        <v>73</v>
      </c>
      <c r="D331" s="51" t="n">
        <v>0</v>
      </c>
    </row>
    <row r="332" customFormat="false" ht="15" hidden="true" customHeight="false" outlineLevel="0" collapsed="false">
      <c r="A332" s="51" t="s">
        <v>399</v>
      </c>
      <c r="B332" s="55" t="n">
        <v>44012</v>
      </c>
      <c r="C332" s="51" t="s">
        <v>73</v>
      </c>
      <c r="D332" s="51" t="n">
        <v>0</v>
      </c>
    </row>
    <row r="333" customFormat="false" ht="15" hidden="true" customHeight="false" outlineLevel="0" collapsed="false">
      <c r="A333" s="51" t="s">
        <v>404</v>
      </c>
      <c r="B333" s="55" t="n">
        <v>44012</v>
      </c>
      <c r="C333" s="51" t="s">
        <v>73</v>
      </c>
      <c r="D333" s="51" t="n">
        <v>0</v>
      </c>
    </row>
    <row r="334" customFormat="false" ht="15" hidden="true" customHeight="false" outlineLevel="0" collapsed="false">
      <c r="A334" s="51" t="s">
        <v>409</v>
      </c>
      <c r="B334" s="55" t="n">
        <v>44012</v>
      </c>
      <c r="C334" s="51" t="s">
        <v>73</v>
      </c>
      <c r="D334" s="51" t="n">
        <v>0</v>
      </c>
    </row>
    <row r="335" customFormat="false" ht="15" hidden="true" customHeight="false" outlineLevel="0" collapsed="false">
      <c r="A335" s="51" t="s">
        <v>414</v>
      </c>
      <c r="B335" s="55" t="n">
        <v>44012</v>
      </c>
      <c r="C335" s="51" t="s">
        <v>73</v>
      </c>
      <c r="D335" s="51" t="n">
        <v>0</v>
      </c>
    </row>
    <row r="336" customFormat="false" ht="15" hidden="true" customHeight="false" outlineLevel="0" collapsed="false">
      <c r="A336" s="51" t="s">
        <v>419</v>
      </c>
      <c r="B336" s="55" t="n">
        <v>44012</v>
      </c>
      <c r="C336" s="51" t="s">
        <v>73</v>
      </c>
      <c r="D336" s="51" t="n">
        <v>0</v>
      </c>
    </row>
    <row r="337" customFormat="false" ht="15" hidden="true" customHeight="false" outlineLevel="0" collapsed="false">
      <c r="A337" s="51" t="s">
        <v>424</v>
      </c>
      <c r="B337" s="55" t="n">
        <v>44012</v>
      </c>
      <c r="C337" s="51" t="s">
        <v>73</v>
      </c>
      <c r="D337" s="51" t="n">
        <v>0</v>
      </c>
    </row>
    <row r="338" customFormat="false" ht="15" hidden="true" customHeight="false" outlineLevel="0" collapsed="false">
      <c r="A338" s="51" t="s">
        <v>429</v>
      </c>
      <c r="B338" s="55" t="n">
        <v>44012</v>
      </c>
      <c r="C338" s="51" t="s">
        <v>73</v>
      </c>
      <c r="D338" s="51" t="n">
        <v>0</v>
      </c>
    </row>
    <row r="339" customFormat="false" ht="15" hidden="true" customHeight="false" outlineLevel="0" collapsed="false">
      <c r="A339" s="51" t="s">
        <v>434</v>
      </c>
      <c r="B339" s="55" t="n">
        <v>44012</v>
      </c>
      <c r="C339" s="51" t="s">
        <v>73</v>
      </c>
      <c r="D339" s="51" t="n">
        <v>0</v>
      </c>
    </row>
    <row r="340" customFormat="false" ht="15" hidden="true" customHeight="false" outlineLevel="0" collapsed="false">
      <c r="A340" s="51" t="s">
        <v>438</v>
      </c>
      <c r="B340" s="55" t="n">
        <v>44012</v>
      </c>
      <c r="C340" s="51" t="s">
        <v>73</v>
      </c>
      <c r="D340" s="51" t="n">
        <v>0</v>
      </c>
    </row>
    <row r="341" customFormat="false" ht="15" hidden="true" customHeight="false" outlineLevel="0" collapsed="false">
      <c r="A341" s="51" t="s">
        <v>443</v>
      </c>
      <c r="B341" s="55" t="n">
        <v>44012</v>
      </c>
      <c r="C341" s="51" t="s">
        <v>73</v>
      </c>
      <c r="D341" s="51" t="n">
        <v>0</v>
      </c>
    </row>
    <row r="342" customFormat="false" ht="15" hidden="true" customHeight="false" outlineLevel="0" collapsed="false">
      <c r="A342" s="51" t="s">
        <v>448</v>
      </c>
      <c r="B342" s="55" t="n">
        <v>44012</v>
      </c>
      <c r="C342" s="51" t="s">
        <v>73</v>
      </c>
      <c r="D342" s="51" t="n">
        <v>0</v>
      </c>
    </row>
    <row r="343" customFormat="false" ht="15" hidden="true" customHeight="false" outlineLevel="0" collapsed="false">
      <c r="A343" s="51" t="s">
        <v>453</v>
      </c>
      <c r="B343" s="55" t="n">
        <v>44012</v>
      </c>
      <c r="C343" s="51" t="s">
        <v>73</v>
      </c>
      <c r="D343" s="51" t="n">
        <v>0</v>
      </c>
    </row>
    <row r="344" customFormat="false" ht="15" hidden="true" customHeight="false" outlineLevel="0" collapsed="false">
      <c r="A344" s="51" t="s">
        <v>458</v>
      </c>
      <c r="B344" s="55" t="n">
        <v>44012</v>
      </c>
      <c r="C344" s="51" t="s">
        <v>73</v>
      </c>
      <c r="D344" s="51" t="n">
        <v>0</v>
      </c>
    </row>
    <row r="345" customFormat="false" ht="15" hidden="true" customHeight="false" outlineLevel="0" collapsed="false">
      <c r="A345" s="51" t="s">
        <v>473</v>
      </c>
      <c r="B345" s="55" t="n">
        <v>44012</v>
      </c>
      <c r="C345" s="51" t="s">
        <v>73</v>
      </c>
      <c r="D345" s="51" t="n">
        <v>0</v>
      </c>
    </row>
    <row r="346" customFormat="false" ht="15" hidden="true" customHeight="false" outlineLevel="0" collapsed="false">
      <c r="A346" s="51" t="s">
        <v>479</v>
      </c>
      <c r="B346" s="55" t="n">
        <v>44012</v>
      </c>
      <c r="C346" s="51" t="s">
        <v>73</v>
      </c>
      <c r="D346" s="51" t="n">
        <v>0</v>
      </c>
    </row>
    <row r="347" customFormat="false" ht="15" hidden="true" customHeight="false" outlineLevel="0" collapsed="false">
      <c r="A347" s="51" t="s">
        <v>484</v>
      </c>
      <c r="B347" s="55" t="n">
        <v>44012</v>
      </c>
      <c r="C347" s="51" t="s">
        <v>73</v>
      </c>
      <c r="D347" s="51" t="n">
        <v>0</v>
      </c>
    </row>
    <row r="348" customFormat="false" ht="15" hidden="true" customHeight="false" outlineLevel="0" collapsed="false">
      <c r="A348" s="51" t="s">
        <v>489</v>
      </c>
      <c r="B348" s="55" t="n">
        <v>44012</v>
      </c>
      <c r="C348" s="51" t="s">
        <v>73</v>
      </c>
      <c r="D348" s="51" t="n">
        <v>0</v>
      </c>
    </row>
    <row r="349" customFormat="false" ht="15" hidden="true" customHeight="false" outlineLevel="0" collapsed="false">
      <c r="A349" s="51" t="s">
        <v>494</v>
      </c>
      <c r="B349" s="55" t="n">
        <v>44012</v>
      </c>
      <c r="C349" s="51" t="s">
        <v>73</v>
      </c>
      <c r="D349" s="51" t="n">
        <v>0</v>
      </c>
    </row>
    <row r="350" customFormat="false" ht="15" hidden="true" customHeight="false" outlineLevel="0" collapsed="false">
      <c r="A350" s="51" t="s">
        <v>499</v>
      </c>
      <c r="B350" s="55" t="n">
        <v>44012</v>
      </c>
      <c r="C350" s="51" t="s">
        <v>73</v>
      </c>
      <c r="D350" s="51" t="n">
        <v>0</v>
      </c>
    </row>
    <row r="351" customFormat="false" ht="15" hidden="true" customHeight="false" outlineLevel="0" collapsed="false">
      <c r="A351" s="51" t="s">
        <v>504</v>
      </c>
      <c r="B351" s="55" t="n">
        <v>44012</v>
      </c>
      <c r="C351" s="51" t="s">
        <v>73</v>
      </c>
      <c r="D351" s="51" t="n">
        <v>0</v>
      </c>
    </row>
    <row r="352" customFormat="false" ht="15" hidden="true" customHeight="false" outlineLevel="0" collapsed="false">
      <c r="A352" s="51" t="s">
        <v>509</v>
      </c>
      <c r="B352" s="55" t="n">
        <v>44012</v>
      </c>
      <c r="C352" s="51" t="s">
        <v>73</v>
      </c>
      <c r="D352" s="51" t="n">
        <v>0</v>
      </c>
    </row>
    <row r="353" customFormat="false" ht="15" hidden="true" customHeight="false" outlineLevel="0" collapsed="false">
      <c r="A353" s="51" t="s">
        <v>515</v>
      </c>
      <c r="B353" s="55" t="n">
        <v>44012</v>
      </c>
      <c r="C353" s="51" t="s">
        <v>73</v>
      </c>
      <c r="D353" s="51" t="n">
        <v>0</v>
      </c>
    </row>
    <row r="354" customFormat="false" ht="15" hidden="true" customHeight="false" outlineLevel="0" collapsed="false">
      <c r="A354" s="51" t="s">
        <v>520</v>
      </c>
      <c r="B354" s="55" t="n">
        <v>44012</v>
      </c>
      <c r="C354" s="51" t="s">
        <v>73</v>
      </c>
      <c r="D354" s="51" t="n">
        <v>0</v>
      </c>
    </row>
    <row r="355" customFormat="false" ht="15" hidden="true" customHeight="false" outlineLevel="0" collapsed="false">
      <c r="A355" s="51" t="s">
        <v>525</v>
      </c>
      <c r="B355" s="55" t="n">
        <v>44012</v>
      </c>
      <c r="C355" s="51" t="s">
        <v>73</v>
      </c>
      <c r="D355" s="51" t="n">
        <v>0</v>
      </c>
    </row>
    <row r="356" customFormat="false" ht="15" hidden="true" customHeight="false" outlineLevel="0" collapsed="false">
      <c r="A356" s="51" t="s">
        <v>531</v>
      </c>
      <c r="B356" s="55" t="n">
        <v>44012</v>
      </c>
      <c r="C356" s="51" t="s">
        <v>73</v>
      </c>
      <c r="D356" s="51" t="n">
        <v>0</v>
      </c>
    </row>
    <row r="357" customFormat="false" ht="15" hidden="true" customHeight="false" outlineLevel="0" collapsed="false">
      <c r="A357" s="51" t="s">
        <v>536</v>
      </c>
      <c r="B357" s="55" t="n">
        <v>44012</v>
      </c>
      <c r="C357" s="51" t="s">
        <v>73</v>
      </c>
      <c r="D357" s="51" t="n">
        <v>0</v>
      </c>
    </row>
    <row r="358" customFormat="false" ht="15" hidden="true" customHeight="false" outlineLevel="0" collapsed="false">
      <c r="A358" s="51" t="s">
        <v>541</v>
      </c>
      <c r="B358" s="55" t="n">
        <v>44012</v>
      </c>
      <c r="C358" s="51" t="s">
        <v>73</v>
      </c>
      <c r="D358" s="51" t="n">
        <v>0</v>
      </c>
    </row>
    <row r="359" customFormat="false" ht="15" hidden="true" customHeight="false" outlineLevel="0" collapsed="false">
      <c r="A359" s="51" t="s">
        <v>549</v>
      </c>
      <c r="B359" s="55" t="n">
        <v>44012</v>
      </c>
      <c r="C359" s="51" t="s">
        <v>73</v>
      </c>
      <c r="D359" s="51" t="n">
        <v>0</v>
      </c>
    </row>
    <row r="360" customFormat="false" ht="15" hidden="true" customHeight="false" outlineLevel="0" collapsed="false">
      <c r="A360" s="51" t="s">
        <v>554</v>
      </c>
      <c r="B360" s="55" t="n">
        <v>44012</v>
      </c>
      <c r="C360" s="51" t="s">
        <v>73</v>
      </c>
      <c r="D360" s="51" t="n">
        <v>0</v>
      </c>
    </row>
    <row r="361" customFormat="false" ht="15" hidden="true" customHeight="false" outlineLevel="0" collapsed="false">
      <c r="A361" s="51" t="s">
        <v>559</v>
      </c>
      <c r="B361" s="55" t="n">
        <v>44012</v>
      </c>
      <c r="C361" s="51" t="s">
        <v>73</v>
      </c>
      <c r="D361" s="51" t="n">
        <v>0</v>
      </c>
    </row>
    <row r="362" customFormat="false" ht="15" hidden="true" customHeight="false" outlineLevel="0" collapsed="false">
      <c r="A362" s="51" t="s">
        <v>564</v>
      </c>
      <c r="B362" s="55" t="n">
        <v>44012</v>
      </c>
      <c r="C362" s="51" t="s">
        <v>73</v>
      </c>
      <c r="D362" s="51" t="n">
        <v>0</v>
      </c>
    </row>
    <row r="363" customFormat="false" ht="15" hidden="true" customHeight="false" outlineLevel="0" collapsed="false">
      <c r="A363" s="51" t="s">
        <v>569</v>
      </c>
      <c r="B363" s="55" t="n">
        <v>44012</v>
      </c>
      <c r="C363" s="51" t="s">
        <v>73</v>
      </c>
      <c r="D363" s="51" t="n">
        <v>0</v>
      </c>
    </row>
    <row r="364" customFormat="false" ht="15" hidden="true" customHeight="false" outlineLevel="0" collapsed="false">
      <c r="A364" s="51" t="s">
        <v>574</v>
      </c>
      <c r="B364" s="55" t="n">
        <v>44012</v>
      </c>
      <c r="C364" s="51" t="s">
        <v>73</v>
      </c>
      <c r="D364" s="51" t="n">
        <v>0</v>
      </c>
    </row>
    <row r="365" customFormat="false" ht="15" hidden="true" customHeight="false" outlineLevel="0" collapsed="false">
      <c r="A365" s="51" t="s">
        <v>579</v>
      </c>
      <c r="B365" s="55" t="n">
        <v>44012</v>
      </c>
      <c r="C365" s="51" t="s">
        <v>73</v>
      </c>
      <c r="D365" s="51" t="n">
        <v>0</v>
      </c>
    </row>
    <row r="366" customFormat="false" ht="15" hidden="true" customHeight="false" outlineLevel="0" collapsed="false">
      <c r="A366" s="51" t="s">
        <v>584</v>
      </c>
      <c r="B366" s="55" t="n">
        <v>44012</v>
      </c>
      <c r="C366" s="51" t="s">
        <v>73</v>
      </c>
      <c r="D366" s="51" t="n">
        <v>0</v>
      </c>
    </row>
    <row r="367" customFormat="false" ht="15" hidden="true" customHeight="false" outlineLevel="0" collapsed="false">
      <c r="A367" s="51" t="s">
        <v>589</v>
      </c>
      <c r="B367" s="55" t="n">
        <v>44012</v>
      </c>
      <c r="C367" s="51" t="s">
        <v>73</v>
      </c>
      <c r="D367" s="51" t="n">
        <v>0</v>
      </c>
    </row>
    <row r="368" customFormat="false" ht="15" hidden="true" customHeight="false" outlineLevel="0" collapsed="false">
      <c r="A368" s="51" t="s">
        <v>756</v>
      </c>
      <c r="B368" s="55" t="n">
        <v>44012</v>
      </c>
      <c r="C368" s="51" t="s">
        <v>73</v>
      </c>
      <c r="D368" s="51" t="n">
        <v>0</v>
      </c>
    </row>
    <row r="369" customFormat="false" ht="15" hidden="true" customHeight="false" outlineLevel="0" collapsed="false">
      <c r="A369" s="51" t="s">
        <v>594</v>
      </c>
      <c r="B369" s="55" t="n">
        <v>44012</v>
      </c>
      <c r="C369" s="51" t="s">
        <v>73</v>
      </c>
      <c r="D369" s="51" t="n">
        <v>0</v>
      </c>
    </row>
    <row r="370" customFormat="false" ht="15" hidden="true" customHeight="false" outlineLevel="0" collapsed="false">
      <c r="A370" s="51" t="s">
        <v>761</v>
      </c>
      <c r="B370" s="55" t="n">
        <v>44012</v>
      </c>
      <c r="C370" s="51" t="s">
        <v>73</v>
      </c>
      <c r="D370" s="51" t="n">
        <v>0</v>
      </c>
    </row>
    <row r="371" customFormat="false" ht="15" hidden="true" customHeight="false" outlineLevel="0" collapsed="false">
      <c r="A371" s="51" t="s">
        <v>599</v>
      </c>
      <c r="B371" s="55" t="n">
        <v>44012</v>
      </c>
      <c r="C371" s="51" t="s">
        <v>73</v>
      </c>
      <c r="D371" s="51" t="n">
        <v>0</v>
      </c>
    </row>
    <row r="372" customFormat="false" ht="15" hidden="true" customHeight="false" outlineLevel="0" collapsed="false">
      <c r="A372" s="51" t="s">
        <v>604</v>
      </c>
      <c r="B372" s="55" t="n">
        <v>44012</v>
      </c>
      <c r="C372" s="51" t="s">
        <v>73</v>
      </c>
      <c r="D372" s="51" t="n">
        <v>0</v>
      </c>
    </row>
    <row r="373" customFormat="false" ht="15" hidden="true" customHeight="false" outlineLevel="0" collapsed="false">
      <c r="A373" s="51" t="s">
        <v>609</v>
      </c>
      <c r="B373" s="55" t="n">
        <v>44012</v>
      </c>
      <c r="C373" s="51" t="s">
        <v>73</v>
      </c>
      <c r="D373" s="51" t="n">
        <v>0</v>
      </c>
    </row>
    <row r="374" customFormat="false" ht="15" hidden="true" customHeight="false" outlineLevel="0" collapsed="false">
      <c r="A374" s="51" t="s">
        <v>614</v>
      </c>
      <c r="B374" s="55" t="n">
        <v>44012</v>
      </c>
      <c r="C374" s="51" t="s">
        <v>73</v>
      </c>
      <c r="D374" s="51" t="n">
        <v>0</v>
      </c>
    </row>
    <row r="375" customFormat="false" ht="15" hidden="true" customHeight="false" outlineLevel="0" collapsed="false">
      <c r="A375" s="51" t="s">
        <v>619</v>
      </c>
      <c r="B375" s="55" t="n">
        <v>44012</v>
      </c>
      <c r="C375" s="51" t="s">
        <v>73</v>
      </c>
      <c r="D375" s="51" t="n">
        <v>0</v>
      </c>
    </row>
    <row r="376" customFormat="false" ht="15" hidden="true" customHeight="false" outlineLevel="0" collapsed="false">
      <c r="A376" s="51" t="s">
        <v>624</v>
      </c>
      <c r="B376" s="55" t="n">
        <v>44012</v>
      </c>
      <c r="C376" s="51" t="s">
        <v>73</v>
      </c>
      <c r="D376" s="51" t="n">
        <v>0</v>
      </c>
    </row>
    <row r="377" customFormat="false" ht="15" hidden="true" customHeight="false" outlineLevel="0" collapsed="false">
      <c r="A377" s="51" t="s">
        <v>629</v>
      </c>
      <c r="B377" s="55" t="n">
        <v>44012</v>
      </c>
      <c r="C377" s="51" t="s">
        <v>73</v>
      </c>
      <c r="D377" s="51" t="n">
        <v>0</v>
      </c>
    </row>
    <row r="378" customFormat="false" ht="15" hidden="true" customHeight="false" outlineLevel="0" collapsed="false">
      <c r="A378" s="51" t="s">
        <v>633</v>
      </c>
      <c r="B378" s="55" t="n">
        <v>44012</v>
      </c>
      <c r="C378" s="51" t="s">
        <v>73</v>
      </c>
      <c r="D378" s="51" t="n">
        <v>0</v>
      </c>
    </row>
    <row r="379" customFormat="false" ht="15" hidden="true" customHeight="false" outlineLevel="0" collapsed="false">
      <c r="A379" s="51" t="s">
        <v>638</v>
      </c>
      <c r="B379" s="55" t="n">
        <v>44012</v>
      </c>
      <c r="C379" s="51" t="s">
        <v>73</v>
      </c>
      <c r="D379" s="51" t="n">
        <v>0</v>
      </c>
    </row>
    <row r="380" customFormat="false" ht="15" hidden="true" customHeight="false" outlineLevel="0" collapsed="false">
      <c r="A380" s="51" t="s">
        <v>642</v>
      </c>
      <c r="B380" s="55" t="n">
        <v>44012</v>
      </c>
      <c r="C380" s="51" t="s">
        <v>73</v>
      </c>
      <c r="D380" s="51" t="n">
        <v>0</v>
      </c>
    </row>
    <row r="381" customFormat="false" ht="15" hidden="true" customHeight="false" outlineLevel="0" collapsed="false">
      <c r="A381" s="51" t="s">
        <v>646</v>
      </c>
      <c r="B381" s="55" t="n">
        <v>44012</v>
      </c>
      <c r="C381" s="51" t="s">
        <v>73</v>
      </c>
      <c r="D381" s="51" t="n">
        <v>0</v>
      </c>
    </row>
    <row r="382" customFormat="false" ht="15" hidden="true" customHeight="false" outlineLevel="0" collapsed="false">
      <c r="A382" s="51" t="s">
        <v>651</v>
      </c>
      <c r="B382" s="55" t="n">
        <v>44012</v>
      </c>
      <c r="C382" s="51" t="s">
        <v>73</v>
      </c>
      <c r="D382" s="51" t="n">
        <v>0</v>
      </c>
    </row>
    <row r="383" customFormat="false" ht="15" hidden="true" customHeight="false" outlineLevel="0" collapsed="false">
      <c r="A383" s="51" t="s">
        <v>656</v>
      </c>
      <c r="B383" s="55" t="n">
        <v>44012</v>
      </c>
      <c r="C383" s="51" t="s">
        <v>73</v>
      </c>
      <c r="D383" s="51" t="n">
        <v>0</v>
      </c>
    </row>
    <row r="384" customFormat="false" ht="15" hidden="true" customHeight="false" outlineLevel="0" collapsed="false">
      <c r="A384" s="51" t="s">
        <v>661</v>
      </c>
      <c r="B384" s="55" t="n">
        <v>44012</v>
      </c>
      <c r="C384" s="51" t="s">
        <v>73</v>
      </c>
      <c r="D384" s="51" t="n">
        <v>0</v>
      </c>
    </row>
    <row r="385" customFormat="false" ht="15" hidden="true" customHeight="false" outlineLevel="0" collapsed="false">
      <c r="A385" s="51" t="s">
        <v>666</v>
      </c>
      <c r="B385" s="55" t="n">
        <v>44012</v>
      </c>
      <c r="C385" s="51" t="s">
        <v>73</v>
      </c>
      <c r="D385" s="51" t="n">
        <v>0</v>
      </c>
    </row>
    <row r="386" customFormat="false" ht="15" hidden="true" customHeight="false" outlineLevel="0" collapsed="false">
      <c r="A386" s="51" t="s">
        <v>671</v>
      </c>
      <c r="B386" s="55" t="n">
        <v>44012</v>
      </c>
      <c r="C386" s="51" t="s">
        <v>73</v>
      </c>
      <c r="D386" s="51" t="n">
        <v>0</v>
      </c>
    </row>
    <row r="387" customFormat="false" ht="15" hidden="true" customHeight="false" outlineLevel="0" collapsed="false">
      <c r="A387" s="51" t="s">
        <v>676</v>
      </c>
      <c r="B387" s="55" t="n">
        <v>44012</v>
      </c>
      <c r="C387" s="51" t="s">
        <v>73</v>
      </c>
      <c r="D387" s="51" t="n">
        <v>0</v>
      </c>
    </row>
    <row r="388" customFormat="false" ht="15" hidden="true" customHeight="false" outlineLevel="0" collapsed="false">
      <c r="A388" s="51" t="s">
        <v>681</v>
      </c>
      <c r="B388" s="55" t="n">
        <v>44012</v>
      </c>
      <c r="C388" s="51" t="s">
        <v>73</v>
      </c>
      <c r="D388" s="51" t="n">
        <v>0</v>
      </c>
    </row>
    <row r="389" customFormat="false" ht="15" hidden="true" customHeight="false" outlineLevel="0" collapsed="false">
      <c r="A389" s="51" t="s">
        <v>686</v>
      </c>
      <c r="B389" s="55" t="n">
        <v>44012</v>
      </c>
      <c r="C389" s="51" t="s">
        <v>73</v>
      </c>
      <c r="D389" s="51" t="n">
        <v>0</v>
      </c>
    </row>
    <row r="390" customFormat="false" ht="15" hidden="true" customHeight="false" outlineLevel="0" collapsed="false">
      <c r="A390" s="51" t="s">
        <v>691</v>
      </c>
      <c r="B390" s="55" t="n">
        <v>44012</v>
      </c>
      <c r="C390" s="51" t="s">
        <v>73</v>
      </c>
      <c r="D390" s="51" t="n">
        <v>0</v>
      </c>
    </row>
    <row r="391" customFormat="false" ht="15" hidden="true" customHeight="false" outlineLevel="0" collapsed="false">
      <c r="A391" s="51" t="s">
        <v>696</v>
      </c>
      <c r="B391" s="55" t="n">
        <v>44012</v>
      </c>
      <c r="C391" s="51" t="s">
        <v>73</v>
      </c>
      <c r="D391" s="51" t="n">
        <v>0</v>
      </c>
    </row>
    <row r="392" customFormat="false" ht="15" hidden="true" customHeight="false" outlineLevel="0" collapsed="false">
      <c r="A392" s="51" t="s">
        <v>701</v>
      </c>
      <c r="B392" s="55" t="n">
        <v>44012</v>
      </c>
      <c r="C392" s="51" t="s">
        <v>73</v>
      </c>
      <c r="D392" s="51" t="n">
        <v>0</v>
      </c>
    </row>
    <row r="393" customFormat="false" ht="15" hidden="true" customHeight="false" outlineLevel="0" collapsed="false">
      <c r="A393" s="51" t="s">
        <v>707</v>
      </c>
      <c r="B393" s="55" t="n">
        <v>44012</v>
      </c>
      <c r="C393" s="51" t="s">
        <v>73</v>
      </c>
      <c r="D393" s="51" t="n">
        <v>0</v>
      </c>
    </row>
    <row r="394" customFormat="false" ht="15" hidden="true" customHeight="false" outlineLevel="0" collapsed="false">
      <c r="A394" s="51" t="s">
        <v>712</v>
      </c>
      <c r="B394" s="55" t="n">
        <v>44012</v>
      </c>
      <c r="C394" s="51" t="s">
        <v>73</v>
      </c>
      <c r="D394" s="51" t="n">
        <v>0</v>
      </c>
    </row>
    <row r="395" customFormat="false" ht="15" hidden="true" customHeight="false" outlineLevel="0" collapsed="false">
      <c r="A395" s="51" t="s">
        <v>717</v>
      </c>
      <c r="B395" s="55" t="n">
        <v>44012</v>
      </c>
      <c r="C395" s="51" t="s">
        <v>73</v>
      </c>
      <c r="D395" s="51" t="n">
        <v>0</v>
      </c>
    </row>
    <row r="396" customFormat="false" ht="15" hidden="true" customHeight="false" outlineLevel="0" collapsed="false">
      <c r="A396" s="51" t="s">
        <v>767</v>
      </c>
      <c r="B396" s="55" t="n">
        <v>44012</v>
      </c>
      <c r="C396" s="51" t="s">
        <v>73</v>
      </c>
      <c r="D396" s="51" t="n">
        <v>0</v>
      </c>
    </row>
    <row r="397" customFormat="false" ht="15" hidden="true" customHeight="false" outlineLevel="0" collapsed="false">
      <c r="A397" s="51" t="s">
        <v>722</v>
      </c>
      <c r="B397" s="55" t="n">
        <v>44012</v>
      </c>
      <c r="C397" s="51" t="s">
        <v>73</v>
      </c>
      <c r="D397" s="51" t="n">
        <v>0</v>
      </c>
    </row>
    <row r="398" customFormat="false" ht="15" hidden="true" customHeight="false" outlineLevel="0" collapsed="false">
      <c r="A398" s="51" t="s">
        <v>727</v>
      </c>
      <c r="B398" s="55" t="n">
        <v>44012</v>
      </c>
      <c r="C398" s="51" t="s">
        <v>73</v>
      </c>
      <c r="D398" s="51" t="n">
        <v>0</v>
      </c>
    </row>
    <row r="399" customFormat="false" ht="15" hidden="true" customHeight="false" outlineLevel="0" collapsed="false">
      <c r="A399" s="51" t="s">
        <v>732</v>
      </c>
      <c r="B399" s="55" t="n">
        <v>44012</v>
      </c>
      <c r="C399" s="51" t="s">
        <v>73</v>
      </c>
      <c r="D399" s="51" t="n">
        <v>0</v>
      </c>
    </row>
    <row r="400" customFormat="false" ht="15" hidden="true" customHeight="false" outlineLevel="0" collapsed="false">
      <c r="A400" s="51" t="s">
        <v>736</v>
      </c>
      <c r="B400" s="55" t="n">
        <v>44012</v>
      </c>
      <c r="C400" s="51" t="s">
        <v>73</v>
      </c>
      <c r="D400" s="51" t="n">
        <v>0</v>
      </c>
    </row>
    <row r="401" customFormat="false" ht="15" hidden="true" customHeight="false" outlineLevel="0" collapsed="false">
      <c r="A401" s="51" t="s">
        <v>741</v>
      </c>
      <c r="B401" s="55" t="n">
        <v>44012</v>
      </c>
      <c r="C401" s="51" t="s">
        <v>73</v>
      </c>
      <c r="D401" s="51" t="n">
        <v>0</v>
      </c>
    </row>
    <row r="402" customFormat="false" ht="15" hidden="true" customHeight="false" outlineLevel="0" collapsed="false">
      <c r="A402" s="51" t="s">
        <v>746</v>
      </c>
      <c r="B402" s="55" t="n">
        <v>44012</v>
      </c>
      <c r="C402" s="51" t="s">
        <v>73</v>
      </c>
      <c r="D402" s="51" t="n">
        <v>0</v>
      </c>
    </row>
    <row r="403" customFormat="false" ht="15" hidden="true" customHeight="false" outlineLevel="0" collapsed="false">
      <c r="A403" s="51" t="s">
        <v>751</v>
      </c>
      <c r="B403" s="55" t="n">
        <v>44012</v>
      </c>
      <c r="C403" s="51" t="s">
        <v>73</v>
      </c>
      <c r="D403" s="51" t="n">
        <v>0</v>
      </c>
    </row>
    <row r="404" customFormat="false" ht="15" hidden="false" customHeight="false" outlineLevel="0" collapsed="false">
      <c r="A404" s="51" t="s">
        <v>781</v>
      </c>
      <c r="B404" s="55" t="n">
        <v>44012</v>
      </c>
      <c r="C404" s="51" t="s">
        <v>791</v>
      </c>
      <c r="D404" s="51" t="n">
        <v>0</v>
      </c>
    </row>
    <row r="405" customFormat="false" ht="15" hidden="true" customHeight="false" outlineLevel="0" collapsed="false">
      <c r="A405" s="51" t="s">
        <v>783</v>
      </c>
      <c r="B405" s="55" t="n">
        <v>44012</v>
      </c>
      <c r="C405" s="51" t="s">
        <v>791</v>
      </c>
      <c r="D405" s="51" t="n">
        <v>0</v>
      </c>
    </row>
    <row r="406" customFormat="false" ht="15" hidden="true" customHeight="false" outlineLevel="0" collapsed="false">
      <c r="A406" s="51" t="s">
        <v>96</v>
      </c>
      <c r="B406" s="55" t="n">
        <v>44012</v>
      </c>
      <c r="C406" s="51" t="s">
        <v>791</v>
      </c>
      <c r="D406" s="51" t="n">
        <v>0</v>
      </c>
    </row>
    <row r="407" customFormat="false" ht="15" hidden="true" customHeight="false" outlineLevel="0" collapsed="false">
      <c r="A407" s="51" t="s">
        <v>101</v>
      </c>
      <c r="B407" s="55" t="n">
        <v>44012</v>
      </c>
      <c r="C407" s="51" t="s">
        <v>791</v>
      </c>
      <c r="D407" s="51" t="n">
        <v>0</v>
      </c>
    </row>
    <row r="408" customFormat="false" ht="15" hidden="true" customHeight="false" outlineLevel="0" collapsed="false">
      <c r="A408" s="51" t="s">
        <v>106</v>
      </c>
      <c r="B408" s="55" t="n">
        <v>44012</v>
      </c>
      <c r="C408" s="51" t="s">
        <v>791</v>
      </c>
      <c r="D408" s="51" t="n">
        <v>0</v>
      </c>
    </row>
    <row r="409" customFormat="false" ht="15" hidden="true" customHeight="false" outlineLevel="0" collapsed="false">
      <c r="A409" s="51" t="s">
        <v>110</v>
      </c>
      <c r="B409" s="55" t="n">
        <v>44012</v>
      </c>
      <c r="C409" s="51" t="s">
        <v>791</v>
      </c>
      <c r="D409" s="51" t="n">
        <v>0</v>
      </c>
    </row>
    <row r="410" customFormat="false" ht="15" hidden="true" customHeight="false" outlineLevel="0" collapsed="false">
      <c r="A410" s="51" t="s">
        <v>115</v>
      </c>
      <c r="B410" s="55" t="n">
        <v>44012</v>
      </c>
      <c r="C410" s="51" t="s">
        <v>791</v>
      </c>
      <c r="D410" s="51" t="n">
        <v>0</v>
      </c>
    </row>
    <row r="411" customFormat="false" ht="15" hidden="true" customHeight="false" outlineLevel="0" collapsed="false">
      <c r="A411" s="51" t="s">
        <v>120</v>
      </c>
      <c r="B411" s="55" t="n">
        <v>44012</v>
      </c>
      <c r="C411" s="51" t="s">
        <v>791</v>
      </c>
      <c r="D411" s="51" t="n">
        <v>0</v>
      </c>
    </row>
    <row r="412" customFormat="false" ht="15" hidden="true" customHeight="false" outlineLevel="0" collapsed="false">
      <c r="A412" s="51" t="s">
        <v>124</v>
      </c>
      <c r="B412" s="55" t="n">
        <v>44012</v>
      </c>
      <c r="C412" s="51" t="s">
        <v>791</v>
      </c>
      <c r="D412" s="51" t="n">
        <v>0</v>
      </c>
    </row>
    <row r="413" customFormat="false" ht="15" hidden="true" customHeight="false" outlineLevel="0" collapsed="false">
      <c r="A413" s="51" t="s">
        <v>129</v>
      </c>
      <c r="B413" s="55" t="n">
        <v>44012</v>
      </c>
      <c r="C413" s="51" t="s">
        <v>791</v>
      </c>
      <c r="D413" s="51" t="n">
        <v>0</v>
      </c>
    </row>
    <row r="414" customFormat="false" ht="15" hidden="true" customHeight="false" outlineLevel="0" collapsed="false">
      <c r="A414" s="51" t="s">
        <v>134</v>
      </c>
      <c r="B414" s="55" t="n">
        <v>44012</v>
      </c>
      <c r="C414" s="51" t="s">
        <v>791</v>
      </c>
      <c r="D414" s="51" t="n">
        <v>0</v>
      </c>
    </row>
    <row r="415" customFormat="false" ht="15" hidden="true" customHeight="false" outlineLevel="0" collapsed="false">
      <c r="A415" s="51" t="s">
        <v>141</v>
      </c>
      <c r="B415" s="55" t="n">
        <v>44012</v>
      </c>
      <c r="C415" s="51" t="s">
        <v>791</v>
      </c>
      <c r="D415" s="51" t="n">
        <v>0</v>
      </c>
    </row>
    <row r="416" customFormat="false" ht="15" hidden="true" customHeight="false" outlineLevel="0" collapsed="false">
      <c r="A416" s="51" t="s">
        <v>146</v>
      </c>
      <c r="B416" s="55" t="n">
        <v>44012</v>
      </c>
      <c r="C416" s="51" t="s">
        <v>791</v>
      </c>
      <c r="D416" s="51" t="n">
        <v>0</v>
      </c>
    </row>
    <row r="417" customFormat="false" ht="15" hidden="true" customHeight="false" outlineLevel="0" collapsed="false">
      <c r="A417" s="51" t="s">
        <v>151</v>
      </c>
      <c r="B417" s="55" t="n">
        <v>44012</v>
      </c>
      <c r="C417" s="51" t="s">
        <v>791</v>
      </c>
      <c r="D417" s="51" t="n">
        <v>0</v>
      </c>
    </row>
    <row r="418" customFormat="false" ht="15" hidden="true" customHeight="false" outlineLevel="0" collapsed="false">
      <c r="A418" s="51" t="s">
        <v>156</v>
      </c>
      <c r="B418" s="55" t="n">
        <v>44012</v>
      </c>
      <c r="C418" s="51" t="s">
        <v>791</v>
      </c>
      <c r="D418" s="51" t="n">
        <v>0</v>
      </c>
    </row>
    <row r="419" customFormat="false" ht="15" hidden="true" customHeight="false" outlineLevel="0" collapsed="false">
      <c r="A419" s="51" t="s">
        <v>161</v>
      </c>
      <c r="B419" s="55" t="n">
        <v>44012</v>
      </c>
      <c r="C419" s="51" t="s">
        <v>791</v>
      </c>
      <c r="D419" s="51" t="n">
        <v>0</v>
      </c>
    </row>
    <row r="420" customFormat="false" ht="15" hidden="true" customHeight="false" outlineLevel="0" collapsed="false">
      <c r="A420" s="51" t="s">
        <v>166</v>
      </c>
      <c r="B420" s="55" t="n">
        <v>44012</v>
      </c>
      <c r="C420" s="51" t="s">
        <v>791</v>
      </c>
      <c r="D420" s="51" t="n">
        <v>0</v>
      </c>
    </row>
    <row r="421" customFormat="false" ht="15" hidden="true" customHeight="false" outlineLevel="0" collapsed="false">
      <c r="A421" s="51" t="s">
        <v>171</v>
      </c>
      <c r="B421" s="55" t="n">
        <v>44012</v>
      </c>
      <c r="C421" s="51" t="s">
        <v>791</v>
      </c>
      <c r="D421" s="51" t="n">
        <v>0</v>
      </c>
    </row>
    <row r="422" customFormat="false" ht="15" hidden="true" customHeight="false" outlineLevel="0" collapsed="false">
      <c r="A422" s="51" t="s">
        <v>176</v>
      </c>
      <c r="B422" s="55" t="n">
        <v>44012</v>
      </c>
      <c r="C422" s="51" t="s">
        <v>791</v>
      </c>
      <c r="D422" s="51" t="n">
        <v>0</v>
      </c>
    </row>
    <row r="423" customFormat="false" ht="15" hidden="true" customHeight="false" outlineLevel="0" collapsed="false">
      <c r="A423" s="51" t="s">
        <v>181</v>
      </c>
      <c r="B423" s="55" t="n">
        <v>44012</v>
      </c>
      <c r="C423" s="51" t="s">
        <v>791</v>
      </c>
      <c r="D423" s="51" t="n">
        <v>0</v>
      </c>
    </row>
    <row r="424" customFormat="false" ht="15" hidden="true" customHeight="false" outlineLevel="0" collapsed="false">
      <c r="A424" s="51" t="s">
        <v>186</v>
      </c>
      <c r="B424" s="55" t="n">
        <v>44012</v>
      </c>
      <c r="C424" s="51" t="s">
        <v>791</v>
      </c>
      <c r="D424" s="51" t="n">
        <v>0</v>
      </c>
    </row>
    <row r="425" customFormat="false" ht="15" hidden="true" customHeight="false" outlineLevel="0" collapsed="false">
      <c r="A425" s="51" t="s">
        <v>191</v>
      </c>
      <c r="B425" s="55" t="n">
        <v>44012</v>
      </c>
      <c r="C425" s="51" t="s">
        <v>791</v>
      </c>
      <c r="D425" s="51" t="n">
        <v>0</v>
      </c>
    </row>
    <row r="426" customFormat="false" ht="15" hidden="true" customHeight="false" outlineLevel="0" collapsed="false">
      <c r="A426" s="51" t="s">
        <v>196</v>
      </c>
      <c r="B426" s="55" t="n">
        <v>44012</v>
      </c>
      <c r="C426" s="51" t="s">
        <v>791</v>
      </c>
      <c r="D426" s="51" t="n">
        <v>0</v>
      </c>
    </row>
    <row r="427" customFormat="false" ht="15" hidden="true" customHeight="false" outlineLevel="0" collapsed="false">
      <c r="A427" s="51" t="s">
        <v>201</v>
      </c>
      <c r="B427" s="55" t="n">
        <v>44012</v>
      </c>
      <c r="C427" s="51" t="s">
        <v>791</v>
      </c>
      <c r="D427" s="51" t="n">
        <v>0</v>
      </c>
    </row>
    <row r="428" customFormat="false" ht="15" hidden="true" customHeight="false" outlineLevel="0" collapsed="false">
      <c r="A428" s="51" t="s">
        <v>206</v>
      </c>
      <c r="B428" s="55" t="n">
        <v>44012</v>
      </c>
      <c r="C428" s="51" t="s">
        <v>791</v>
      </c>
      <c r="D428" s="51" t="n">
        <v>0</v>
      </c>
    </row>
    <row r="429" customFormat="false" ht="15" hidden="true" customHeight="false" outlineLevel="0" collapsed="false">
      <c r="A429" s="51" t="s">
        <v>210</v>
      </c>
      <c r="B429" s="55" t="n">
        <v>44012</v>
      </c>
      <c r="C429" s="51" t="s">
        <v>791</v>
      </c>
      <c r="D429" s="51" t="n">
        <v>0</v>
      </c>
    </row>
    <row r="430" customFormat="false" ht="15" hidden="true" customHeight="false" outlineLevel="0" collapsed="false">
      <c r="A430" s="51" t="s">
        <v>215</v>
      </c>
      <c r="B430" s="55" t="n">
        <v>44012</v>
      </c>
      <c r="C430" s="51" t="s">
        <v>791</v>
      </c>
      <c r="D430" s="51" t="n">
        <v>0</v>
      </c>
    </row>
    <row r="431" customFormat="false" ht="15" hidden="true" customHeight="false" outlineLevel="0" collapsed="false">
      <c r="A431" s="51" t="s">
        <v>790</v>
      </c>
      <c r="B431" s="55" t="n">
        <v>44012</v>
      </c>
      <c r="C431" s="51" t="s">
        <v>791</v>
      </c>
      <c r="D431" s="51" t="n">
        <v>0</v>
      </c>
    </row>
    <row r="432" customFormat="false" ht="15" hidden="true" customHeight="false" outlineLevel="0" collapsed="false">
      <c r="A432" s="51" t="s">
        <v>225</v>
      </c>
      <c r="B432" s="55" t="n">
        <v>44012</v>
      </c>
      <c r="C432" s="51" t="s">
        <v>791</v>
      </c>
      <c r="D432" s="51" t="n">
        <v>0</v>
      </c>
    </row>
    <row r="433" customFormat="false" ht="15" hidden="true" customHeight="false" outlineLevel="0" collapsed="false">
      <c r="A433" s="51" t="s">
        <v>230</v>
      </c>
      <c r="B433" s="55" t="n">
        <v>44012</v>
      </c>
      <c r="C433" s="51" t="s">
        <v>791</v>
      </c>
      <c r="D433" s="51" t="n">
        <v>0</v>
      </c>
    </row>
    <row r="434" customFormat="false" ht="15" hidden="true" customHeight="false" outlineLevel="0" collapsed="false">
      <c r="A434" s="51" t="s">
        <v>235</v>
      </c>
      <c r="B434" s="55" t="n">
        <v>44012</v>
      </c>
      <c r="C434" s="51" t="s">
        <v>791</v>
      </c>
      <c r="D434" s="51" t="n">
        <v>0</v>
      </c>
    </row>
    <row r="435" customFormat="false" ht="15" hidden="true" customHeight="false" outlineLevel="0" collapsed="false">
      <c r="A435" s="51" t="s">
        <v>240</v>
      </c>
      <c r="B435" s="55" t="n">
        <v>44012</v>
      </c>
      <c r="C435" s="51" t="s">
        <v>791</v>
      </c>
      <c r="D435" s="51" t="n">
        <v>0</v>
      </c>
    </row>
    <row r="436" customFormat="false" ht="15" hidden="true" customHeight="false" outlineLevel="0" collapsed="false">
      <c r="A436" s="51" t="s">
        <v>246</v>
      </c>
      <c r="B436" s="55" t="n">
        <v>44012</v>
      </c>
      <c r="C436" s="51" t="s">
        <v>791</v>
      </c>
      <c r="D436" s="51" t="n">
        <v>0</v>
      </c>
    </row>
    <row r="437" customFormat="false" ht="15" hidden="true" customHeight="false" outlineLevel="0" collapsed="false">
      <c r="A437" s="51" t="s">
        <v>252</v>
      </c>
      <c r="B437" s="55" t="n">
        <v>44012</v>
      </c>
      <c r="C437" s="51" t="s">
        <v>791</v>
      </c>
      <c r="D437" s="51" t="n">
        <v>0</v>
      </c>
    </row>
    <row r="438" customFormat="false" ht="15" hidden="true" customHeight="false" outlineLevel="0" collapsed="false">
      <c r="A438" s="51" t="s">
        <v>257</v>
      </c>
      <c r="B438" s="55" t="n">
        <v>44012</v>
      </c>
      <c r="C438" s="51" t="s">
        <v>791</v>
      </c>
      <c r="D438" s="51" t="n">
        <v>0</v>
      </c>
    </row>
    <row r="439" customFormat="false" ht="15" hidden="true" customHeight="false" outlineLevel="0" collapsed="false">
      <c r="A439" s="51" t="s">
        <v>262</v>
      </c>
      <c r="B439" s="55" t="n">
        <v>44012</v>
      </c>
      <c r="C439" s="51" t="s">
        <v>791</v>
      </c>
      <c r="D439" s="51" t="n">
        <v>0</v>
      </c>
    </row>
    <row r="440" customFormat="false" ht="15" hidden="true" customHeight="false" outlineLevel="0" collapsed="false">
      <c r="A440" s="51" t="s">
        <v>267</v>
      </c>
      <c r="B440" s="55" t="n">
        <v>44012</v>
      </c>
      <c r="C440" s="51" t="s">
        <v>791</v>
      </c>
      <c r="D440" s="51" t="n">
        <v>0</v>
      </c>
    </row>
    <row r="441" customFormat="false" ht="15" hidden="true" customHeight="false" outlineLevel="0" collapsed="false">
      <c r="A441" s="51" t="s">
        <v>272</v>
      </c>
      <c r="B441" s="55" t="n">
        <v>44012</v>
      </c>
      <c r="C441" s="51" t="s">
        <v>791</v>
      </c>
      <c r="D441" s="51" t="n">
        <v>0</v>
      </c>
    </row>
    <row r="442" customFormat="false" ht="15" hidden="true" customHeight="false" outlineLevel="0" collapsed="false">
      <c r="A442" s="51" t="s">
        <v>277</v>
      </c>
      <c r="B442" s="55" t="n">
        <v>44012</v>
      </c>
      <c r="C442" s="51" t="s">
        <v>791</v>
      </c>
      <c r="D442" s="51" t="n">
        <v>0</v>
      </c>
    </row>
    <row r="443" customFormat="false" ht="15" hidden="true" customHeight="false" outlineLevel="0" collapsed="false">
      <c r="A443" s="51" t="s">
        <v>282</v>
      </c>
      <c r="B443" s="55" t="n">
        <v>44012</v>
      </c>
      <c r="C443" s="51" t="s">
        <v>791</v>
      </c>
      <c r="D443" s="51" t="n">
        <v>0</v>
      </c>
    </row>
    <row r="444" customFormat="false" ht="15" hidden="true" customHeight="false" outlineLevel="0" collapsed="false">
      <c r="A444" s="51" t="s">
        <v>287</v>
      </c>
      <c r="B444" s="55" t="n">
        <v>44012</v>
      </c>
      <c r="C444" s="51" t="s">
        <v>791</v>
      </c>
      <c r="D444" s="51" t="n">
        <v>0</v>
      </c>
    </row>
    <row r="445" customFormat="false" ht="15" hidden="true" customHeight="false" outlineLevel="0" collapsed="false">
      <c r="A445" s="51" t="s">
        <v>292</v>
      </c>
      <c r="B445" s="55" t="n">
        <v>44012</v>
      </c>
      <c r="C445" s="51" t="s">
        <v>791</v>
      </c>
      <c r="D445" s="51" t="n">
        <v>0</v>
      </c>
    </row>
    <row r="446" customFormat="false" ht="15" hidden="true" customHeight="false" outlineLevel="0" collapsed="false">
      <c r="A446" s="51" t="s">
        <v>297</v>
      </c>
      <c r="B446" s="55" t="n">
        <v>44012</v>
      </c>
      <c r="C446" s="51" t="s">
        <v>791</v>
      </c>
      <c r="D446" s="51" t="n">
        <v>0</v>
      </c>
    </row>
    <row r="447" customFormat="false" ht="15" hidden="true" customHeight="false" outlineLevel="0" collapsed="false">
      <c r="A447" s="51" t="s">
        <v>302</v>
      </c>
      <c r="B447" s="55" t="n">
        <v>44012</v>
      </c>
      <c r="C447" s="51" t="s">
        <v>791</v>
      </c>
      <c r="D447" s="51" t="n">
        <v>0</v>
      </c>
    </row>
    <row r="448" customFormat="false" ht="15" hidden="true" customHeight="false" outlineLevel="0" collapsed="false">
      <c r="A448" s="51" t="s">
        <v>307</v>
      </c>
      <c r="B448" s="55" t="n">
        <v>44012</v>
      </c>
      <c r="C448" s="51" t="s">
        <v>791</v>
      </c>
      <c r="D448" s="51" t="n">
        <v>0</v>
      </c>
    </row>
    <row r="449" customFormat="false" ht="15" hidden="true" customHeight="false" outlineLevel="0" collapsed="false">
      <c r="A449" s="51" t="s">
        <v>311</v>
      </c>
      <c r="B449" s="55" t="n">
        <v>44012</v>
      </c>
      <c r="C449" s="51" t="s">
        <v>791</v>
      </c>
      <c r="D449" s="51" t="n">
        <v>0</v>
      </c>
    </row>
    <row r="450" customFormat="false" ht="15" hidden="true" customHeight="false" outlineLevel="0" collapsed="false">
      <c r="A450" s="51" t="s">
        <v>317</v>
      </c>
      <c r="B450" s="55" t="n">
        <v>44012</v>
      </c>
      <c r="C450" s="51" t="s">
        <v>791</v>
      </c>
      <c r="D450" s="51" t="n">
        <v>0</v>
      </c>
    </row>
    <row r="451" customFormat="false" ht="15" hidden="true" customHeight="false" outlineLevel="0" collapsed="false">
      <c r="A451" s="51" t="s">
        <v>322</v>
      </c>
      <c r="B451" s="55" t="n">
        <v>44012</v>
      </c>
      <c r="C451" s="51" t="s">
        <v>791</v>
      </c>
      <c r="D451" s="51" t="n">
        <v>0</v>
      </c>
    </row>
    <row r="452" customFormat="false" ht="15" hidden="true" customHeight="false" outlineLevel="0" collapsed="false">
      <c r="A452" s="51" t="s">
        <v>327</v>
      </c>
      <c r="B452" s="55" t="n">
        <v>44012</v>
      </c>
      <c r="C452" s="51" t="s">
        <v>791</v>
      </c>
      <c r="D452" s="51" t="n">
        <v>0</v>
      </c>
    </row>
    <row r="453" customFormat="false" ht="15" hidden="true" customHeight="false" outlineLevel="0" collapsed="false">
      <c r="A453" s="51" t="s">
        <v>332</v>
      </c>
      <c r="B453" s="55" t="n">
        <v>44012</v>
      </c>
      <c r="C453" s="51" t="s">
        <v>791</v>
      </c>
      <c r="D453" s="51" t="n">
        <v>0</v>
      </c>
    </row>
    <row r="454" customFormat="false" ht="15" hidden="true" customHeight="false" outlineLevel="0" collapsed="false">
      <c r="A454" s="51" t="s">
        <v>339</v>
      </c>
      <c r="B454" s="55" t="n">
        <v>44012</v>
      </c>
      <c r="C454" s="51" t="s">
        <v>791</v>
      </c>
      <c r="D454" s="51" t="n">
        <v>0</v>
      </c>
    </row>
    <row r="455" customFormat="false" ht="15" hidden="true" customHeight="false" outlineLevel="0" collapsed="false">
      <c r="A455" s="51" t="s">
        <v>344</v>
      </c>
      <c r="B455" s="55" t="n">
        <v>44012</v>
      </c>
      <c r="C455" s="51" t="s">
        <v>791</v>
      </c>
      <c r="D455" s="51" t="n">
        <v>0</v>
      </c>
    </row>
    <row r="456" customFormat="false" ht="15" hidden="true" customHeight="false" outlineLevel="0" collapsed="false">
      <c r="A456" s="51" t="s">
        <v>349</v>
      </c>
      <c r="B456" s="55" t="n">
        <v>44012</v>
      </c>
      <c r="C456" s="51" t="s">
        <v>791</v>
      </c>
      <c r="D456" s="51" t="n">
        <v>0</v>
      </c>
    </row>
    <row r="457" customFormat="false" ht="15" hidden="true" customHeight="false" outlineLevel="0" collapsed="false">
      <c r="A457" s="51" t="s">
        <v>354</v>
      </c>
      <c r="B457" s="55" t="n">
        <v>44012</v>
      </c>
      <c r="C457" s="51" t="s">
        <v>791</v>
      </c>
      <c r="D457" s="51" t="n">
        <v>0</v>
      </c>
    </row>
    <row r="458" customFormat="false" ht="15" hidden="true" customHeight="false" outlineLevel="0" collapsed="false">
      <c r="A458" s="51" t="s">
        <v>359</v>
      </c>
      <c r="B458" s="55" t="n">
        <v>44012</v>
      </c>
      <c r="C458" s="51" t="s">
        <v>791</v>
      </c>
      <c r="D458" s="51" t="n">
        <v>0</v>
      </c>
    </row>
    <row r="459" customFormat="false" ht="15" hidden="true" customHeight="false" outlineLevel="0" collapsed="false">
      <c r="A459" s="51" t="s">
        <v>364</v>
      </c>
      <c r="B459" s="55" t="n">
        <v>44012</v>
      </c>
      <c r="C459" s="51" t="s">
        <v>791</v>
      </c>
      <c r="D459" s="51" t="n">
        <v>0</v>
      </c>
    </row>
    <row r="460" customFormat="false" ht="15" hidden="true" customHeight="false" outlineLevel="0" collapsed="false">
      <c r="A460" s="51" t="s">
        <v>369</v>
      </c>
      <c r="B460" s="55" t="n">
        <v>44012</v>
      </c>
      <c r="C460" s="51" t="s">
        <v>791</v>
      </c>
      <c r="D460" s="51" t="n">
        <v>0</v>
      </c>
    </row>
    <row r="461" customFormat="false" ht="15" hidden="true" customHeight="false" outlineLevel="0" collapsed="false">
      <c r="A461" s="51" t="s">
        <v>374</v>
      </c>
      <c r="B461" s="55" t="n">
        <v>44012</v>
      </c>
      <c r="C461" s="51" t="s">
        <v>791</v>
      </c>
      <c r="D461" s="51" t="n">
        <v>0</v>
      </c>
    </row>
    <row r="462" customFormat="false" ht="15" hidden="true" customHeight="false" outlineLevel="0" collapsed="false">
      <c r="A462" s="51" t="s">
        <v>379</v>
      </c>
      <c r="B462" s="55" t="n">
        <v>44012</v>
      </c>
      <c r="C462" s="51" t="s">
        <v>791</v>
      </c>
      <c r="D462" s="51" t="n">
        <v>0</v>
      </c>
    </row>
    <row r="463" customFormat="false" ht="15" hidden="true" customHeight="false" outlineLevel="0" collapsed="false">
      <c r="A463" s="51" t="s">
        <v>384</v>
      </c>
      <c r="B463" s="55" t="n">
        <v>44012</v>
      </c>
      <c r="C463" s="51" t="s">
        <v>791</v>
      </c>
      <c r="D463" s="51" t="n">
        <v>0</v>
      </c>
    </row>
    <row r="464" customFormat="false" ht="15" hidden="true" customHeight="false" outlineLevel="0" collapsed="false">
      <c r="A464" s="51" t="s">
        <v>389</v>
      </c>
      <c r="B464" s="55" t="n">
        <v>44012</v>
      </c>
      <c r="C464" s="51" t="s">
        <v>791</v>
      </c>
      <c r="D464" s="51" t="n">
        <v>0</v>
      </c>
    </row>
    <row r="465" customFormat="false" ht="15" hidden="true" customHeight="false" outlineLevel="0" collapsed="false">
      <c r="A465" s="51" t="s">
        <v>394</v>
      </c>
      <c r="B465" s="55" t="n">
        <v>44012</v>
      </c>
      <c r="C465" s="51" t="s">
        <v>791</v>
      </c>
      <c r="D465" s="51" t="n">
        <v>0</v>
      </c>
    </row>
    <row r="466" customFormat="false" ht="15" hidden="true" customHeight="false" outlineLevel="0" collapsed="false">
      <c r="A466" s="51" t="s">
        <v>399</v>
      </c>
      <c r="B466" s="55" t="n">
        <v>44012</v>
      </c>
      <c r="C466" s="51" t="s">
        <v>791</v>
      </c>
      <c r="D466" s="51" t="n">
        <v>0</v>
      </c>
    </row>
    <row r="467" customFormat="false" ht="15" hidden="true" customHeight="false" outlineLevel="0" collapsed="false">
      <c r="A467" s="51" t="s">
        <v>404</v>
      </c>
      <c r="B467" s="55" t="n">
        <v>44012</v>
      </c>
      <c r="C467" s="51" t="s">
        <v>791</v>
      </c>
      <c r="D467" s="51" t="n">
        <v>0</v>
      </c>
    </row>
    <row r="468" customFormat="false" ht="15" hidden="true" customHeight="false" outlineLevel="0" collapsed="false">
      <c r="A468" s="51" t="s">
        <v>409</v>
      </c>
      <c r="B468" s="55" t="n">
        <v>44012</v>
      </c>
      <c r="C468" s="51" t="s">
        <v>791</v>
      </c>
      <c r="D468" s="51" t="n">
        <v>0</v>
      </c>
    </row>
    <row r="469" customFormat="false" ht="15" hidden="true" customHeight="false" outlineLevel="0" collapsed="false">
      <c r="A469" s="51" t="s">
        <v>414</v>
      </c>
      <c r="B469" s="55" t="n">
        <v>44012</v>
      </c>
      <c r="C469" s="51" t="s">
        <v>791</v>
      </c>
      <c r="D469" s="51" t="n">
        <v>0</v>
      </c>
    </row>
    <row r="470" customFormat="false" ht="15" hidden="true" customHeight="false" outlineLevel="0" collapsed="false">
      <c r="A470" s="51" t="s">
        <v>419</v>
      </c>
      <c r="B470" s="55" t="n">
        <v>44012</v>
      </c>
      <c r="C470" s="51" t="s">
        <v>791</v>
      </c>
      <c r="D470" s="51" t="n">
        <v>0</v>
      </c>
    </row>
    <row r="471" customFormat="false" ht="15" hidden="true" customHeight="false" outlineLevel="0" collapsed="false">
      <c r="A471" s="51" t="s">
        <v>424</v>
      </c>
      <c r="B471" s="55" t="n">
        <v>44012</v>
      </c>
      <c r="C471" s="51" t="s">
        <v>791</v>
      </c>
      <c r="D471" s="51" t="n">
        <v>0</v>
      </c>
    </row>
    <row r="472" customFormat="false" ht="15" hidden="true" customHeight="false" outlineLevel="0" collapsed="false">
      <c r="A472" s="51" t="s">
        <v>429</v>
      </c>
      <c r="B472" s="55" t="n">
        <v>44012</v>
      </c>
      <c r="C472" s="51" t="s">
        <v>791</v>
      </c>
      <c r="D472" s="51" t="n">
        <v>0</v>
      </c>
    </row>
    <row r="473" customFormat="false" ht="15" hidden="true" customHeight="false" outlineLevel="0" collapsed="false">
      <c r="A473" s="51" t="s">
        <v>434</v>
      </c>
      <c r="B473" s="55" t="n">
        <v>44012</v>
      </c>
      <c r="C473" s="51" t="s">
        <v>791</v>
      </c>
      <c r="D473" s="51" t="n">
        <v>0</v>
      </c>
    </row>
    <row r="474" customFormat="false" ht="15" hidden="true" customHeight="false" outlineLevel="0" collapsed="false">
      <c r="A474" s="51" t="s">
        <v>438</v>
      </c>
      <c r="B474" s="55" t="n">
        <v>44012</v>
      </c>
      <c r="C474" s="51" t="s">
        <v>791</v>
      </c>
      <c r="D474" s="51" t="n">
        <v>0</v>
      </c>
    </row>
    <row r="475" customFormat="false" ht="15" hidden="true" customHeight="false" outlineLevel="0" collapsed="false">
      <c r="A475" s="51" t="s">
        <v>443</v>
      </c>
      <c r="B475" s="55" t="n">
        <v>44012</v>
      </c>
      <c r="C475" s="51" t="s">
        <v>791</v>
      </c>
      <c r="D475" s="51" t="n">
        <v>0</v>
      </c>
    </row>
    <row r="476" customFormat="false" ht="15" hidden="true" customHeight="false" outlineLevel="0" collapsed="false">
      <c r="A476" s="51" t="s">
        <v>448</v>
      </c>
      <c r="B476" s="55" t="n">
        <v>44012</v>
      </c>
      <c r="C476" s="51" t="s">
        <v>791</v>
      </c>
      <c r="D476" s="51" t="n">
        <v>0</v>
      </c>
    </row>
    <row r="477" customFormat="false" ht="15" hidden="true" customHeight="false" outlineLevel="0" collapsed="false">
      <c r="A477" s="51" t="s">
        <v>453</v>
      </c>
      <c r="B477" s="55" t="n">
        <v>44012</v>
      </c>
      <c r="C477" s="51" t="s">
        <v>791</v>
      </c>
      <c r="D477" s="51" t="n">
        <v>0</v>
      </c>
    </row>
    <row r="478" customFormat="false" ht="15" hidden="true" customHeight="false" outlineLevel="0" collapsed="false">
      <c r="A478" s="51" t="s">
        <v>458</v>
      </c>
      <c r="B478" s="55" t="n">
        <v>44012</v>
      </c>
      <c r="C478" s="51" t="s">
        <v>791</v>
      </c>
      <c r="D478" s="51" t="n">
        <v>0</v>
      </c>
    </row>
    <row r="479" customFormat="false" ht="15" hidden="true" customHeight="false" outlineLevel="0" collapsed="false">
      <c r="A479" s="51" t="s">
        <v>473</v>
      </c>
      <c r="B479" s="55" t="n">
        <v>44012</v>
      </c>
      <c r="C479" s="51" t="s">
        <v>791</v>
      </c>
      <c r="D479" s="51" t="n">
        <v>0</v>
      </c>
    </row>
    <row r="480" customFormat="false" ht="15" hidden="true" customHeight="false" outlineLevel="0" collapsed="false">
      <c r="A480" s="51" t="s">
        <v>479</v>
      </c>
      <c r="B480" s="55" t="n">
        <v>44012</v>
      </c>
      <c r="C480" s="51" t="s">
        <v>791</v>
      </c>
      <c r="D480" s="51" t="n">
        <v>0</v>
      </c>
    </row>
    <row r="481" customFormat="false" ht="15" hidden="true" customHeight="false" outlineLevel="0" collapsed="false">
      <c r="A481" s="51" t="s">
        <v>484</v>
      </c>
      <c r="B481" s="55" t="n">
        <v>44012</v>
      </c>
      <c r="C481" s="51" t="s">
        <v>791</v>
      </c>
      <c r="D481" s="51" t="n">
        <v>0</v>
      </c>
    </row>
    <row r="482" customFormat="false" ht="15" hidden="true" customHeight="false" outlineLevel="0" collapsed="false">
      <c r="A482" s="51" t="s">
        <v>489</v>
      </c>
      <c r="B482" s="55" t="n">
        <v>44012</v>
      </c>
      <c r="C482" s="51" t="s">
        <v>791</v>
      </c>
      <c r="D482" s="51" t="n">
        <v>0</v>
      </c>
    </row>
    <row r="483" customFormat="false" ht="15" hidden="true" customHeight="false" outlineLevel="0" collapsed="false">
      <c r="A483" s="51" t="s">
        <v>494</v>
      </c>
      <c r="B483" s="55" t="n">
        <v>44012</v>
      </c>
      <c r="C483" s="51" t="s">
        <v>791</v>
      </c>
      <c r="D483" s="51" t="n">
        <v>0</v>
      </c>
    </row>
    <row r="484" customFormat="false" ht="15" hidden="true" customHeight="false" outlineLevel="0" collapsed="false">
      <c r="A484" s="51" t="s">
        <v>499</v>
      </c>
      <c r="B484" s="55" t="n">
        <v>44012</v>
      </c>
      <c r="C484" s="51" t="s">
        <v>791</v>
      </c>
      <c r="D484" s="51" t="n">
        <v>0</v>
      </c>
    </row>
    <row r="485" customFormat="false" ht="15" hidden="true" customHeight="false" outlineLevel="0" collapsed="false">
      <c r="A485" s="51" t="s">
        <v>504</v>
      </c>
      <c r="B485" s="55" t="n">
        <v>44012</v>
      </c>
      <c r="C485" s="51" t="s">
        <v>791</v>
      </c>
      <c r="D485" s="51" t="n">
        <v>0</v>
      </c>
    </row>
    <row r="486" customFormat="false" ht="15" hidden="true" customHeight="false" outlineLevel="0" collapsed="false">
      <c r="A486" s="51" t="s">
        <v>509</v>
      </c>
      <c r="B486" s="55" t="n">
        <v>44012</v>
      </c>
      <c r="C486" s="51" t="s">
        <v>791</v>
      </c>
      <c r="D486" s="51" t="n">
        <v>0</v>
      </c>
    </row>
    <row r="487" customFormat="false" ht="15" hidden="true" customHeight="false" outlineLevel="0" collapsed="false">
      <c r="A487" s="51" t="s">
        <v>515</v>
      </c>
      <c r="B487" s="55" t="n">
        <v>44012</v>
      </c>
      <c r="C487" s="51" t="s">
        <v>791</v>
      </c>
      <c r="D487" s="51" t="n">
        <v>0</v>
      </c>
    </row>
    <row r="488" customFormat="false" ht="15" hidden="true" customHeight="false" outlineLevel="0" collapsed="false">
      <c r="A488" s="51" t="s">
        <v>520</v>
      </c>
      <c r="B488" s="55" t="n">
        <v>44012</v>
      </c>
      <c r="C488" s="51" t="s">
        <v>791</v>
      </c>
      <c r="D488" s="51" t="n">
        <v>0</v>
      </c>
    </row>
    <row r="489" customFormat="false" ht="15" hidden="true" customHeight="false" outlineLevel="0" collapsed="false">
      <c r="A489" s="51" t="s">
        <v>525</v>
      </c>
      <c r="B489" s="55" t="n">
        <v>44012</v>
      </c>
      <c r="C489" s="51" t="s">
        <v>791</v>
      </c>
      <c r="D489" s="51" t="n">
        <v>0</v>
      </c>
    </row>
    <row r="490" customFormat="false" ht="15" hidden="true" customHeight="false" outlineLevel="0" collapsed="false">
      <c r="A490" s="51" t="s">
        <v>531</v>
      </c>
      <c r="B490" s="55" t="n">
        <v>44012</v>
      </c>
      <c r="C490" s="51" t="s">
        <v>791</v>
      </c>
      <c r="D490" s="51" t="n">
        <v>0</v>
      </c>
    </row>
    <row r="491" customFormat="false" ht="15" hidden="true" customHeight="false" outlineLevel="0" collapsed="false">
      <c r="A491" s="51" t="s">
        <v>536</v>
      </c>
      <c r="B491" s="55" t="n">
        <v>44012</v>
      </c>
      <c r="C491" s="51" t="s">
        <v>791</v>
      </c>
      <c r="D491" s="51" t="n">
        <v>0</v>
      </c>
    </row>
    <row r="492" customFormat="false" ht="15" hidden="true" customHeight="false" outlineLevel="0" collapsed="false">
      <c r="A492" s="51" t="s">
        <v>541</v>
      </c>
      <c r="B492" s="55" t="n">
        <v>44012</v>
      </c>
      <c r="C492" s="51" t="s">
        <v>791</v>
      </c>
      <c r="D492" s="51" t="n">
        <v>0</v>
      </c>
    </row>
    <row r="493" customFormat="false" ht="15" hidden="true" customHeight="false" outlineLevel="0" collapsed="false">
      <c r="A493" s="51" t="s">
        <v>549</v>
      </c>
      <c r="B493" s="55" t="n">
        <v>44012</v>
      </c>
      <c r="C493" s="51" t="s">
        <v>791</v>
      </c>
      <c r="D493" s="51" t="n">
        <v>0</v>
      </c>
    </row>
    <row r="494" customFormat="false" ht="15" hidden="true" customHeight="false" outlineLevel="0" collapsed="false">
      <c r="A494" s="51" t="s">
        <v>554</v>
      </c>
      <c r="B494" s="55" t="n">
        <v>44012</v>
      </c>
      <c r="C494" s="51" t="s">
        <v>791</v>
      </c>
      <c r="D494" s="51" t="n">
        <v>0</v>
      </c>
    </row>
    <row r="495" customFormat="false" ht="15" hidden="true" customHeight="false" outlineLevel="0" collapsed="false">
      <c r="A495" s="51" t="s">
        <v>559</v>
      </c>
      <c r="B495" s="55" t="n">
        <v>44012</v>
      </c>
      <c r="C495" s="51" t="s">
        <v>791</v>
      </c>
      <c r="D495" s="51" t="n">
        <v>0</v>
      </c>
    </row>
    <row r="496" customFormat="false" ht="15" hidden="true" customHeight="false" outlineLevel="0" collapsed="false">
      <c r="A496" s="51" t="s">
        <v>564</v>
      </c>
      <c r="B496" s="55" t="n">
        <v>44012</v>
      </c>
      <c r="C496" s="51" t="s">
        <v>791</v>
      </c>
      <c r="D496" s="51" t="n">
        <v>0</v>
      </c>
    </row>
    <row r="497" customFormat="false" ht="15" hidden="true" customHeight="false" outlineLevel="0" collapsed="false">
      <c r="A497" s="51" t="s">
        <v>569</v>
      </c>
      <c r="B497" s="55" t="n">
        <v>44012</v>
      </c>
      <c r="C497" s="51" t="s">
        <v>791</v>
      </c>
      <c r="D497" s="51" t="n">
        <v>0</v>
      </c>
    </row>
    <row r="498" customFormat="false" ht="15" hidden="true" customHeight="false" outlineLevel="0" collapsed="false">
      <c r="A498" s="51" t="s">
        <v>574</v>
      </c>
      <c r="B498" s="55" t="n">
        <v>44012</v>
      </c>
      <c r="C498" s="51" t="s">
        <v>791</v>
      </c>
      <c r="D498" s="51" t="n">
        <v>0</v>
      </c>
    </row>
    <row r="499" customFormat="false" ht="15" hidden="true" customHeight="false" outlineLevel="0" collapsed="false">
      <c r="A499" s="51" t="s">
        <v>579</v>
      </c>
      <c r="B499" s="55" t="n">
        <v>44012</v>
      </c>
      <c r="C499" s="51" t="s">
        <v>791</v>
      </c>
      <c r="D499" s="51" t="n">
        <v>0</v>
      </c>
    </row>
    <row r="500" customFormat="false" ht="15" hidden="true" customHeight="false" outlineLevel="0" collapsed="false">
      <c r="A500" s="51" t="s">
        <v>584</v>
      </c>
      <c r="B500" s="55" t="n">
        <v>44012</v>
      </c>
      <c r="C500" s="51" t="s">
        <v>791</v>
      </c>
      <c r="D500" s="51" t="n">
        <v>0</v>
      </c>
    </row>
    <row r="501" customFormat="false" ht="15" hidden="true" customHeight="false" outlineLevel="0" collapsed="false">
      <c r="A501" s="51" t="s">
        <v>589</v>
      </c>
      <c r="B501" s="55" t="n">
        <v>44012</v>
      </c>
      <c r="C501" s="51" t="s">
        <v>791</v>
      </c>
      <c r="D501" s="51" t="n">
        <v>0</v>
      </c>
    </row>
    <row r="502" customFormat="false" ht="15" hidden="true" customHeight="false" outlineLevel="0" collapsed="false">
      <c r="A502" s="51" t="s">
        <v>756</v>
      </c>
      <c r="B502" s="55" t="n">
        <v>44012</v>
      </c>
      <c r="C502" s="51" t="s">
        <v>791</v>
      </c>
      <c r="D502" s="51" t="n">
        <v>0</v>
      </c>
    </row>
    <row r="503" customFormat="false" ht="15" hidden="true" customHeight="false" outlineLevel="0" collapsed="false">
      <c r="A503" s="51" t="s">
        <v>594</v>
      </c>
      <c r="B503" s="55" t="n">
        <v>44012</v>
      </c>
      <c r="C503" s="51" t="s">
        <v>791</v>
      </c>
      <c r="D503" s="51" t="n">
        <v>0</v>
      </c>
    </row>
    <row r="504" customFormat="false" ht="15" hidden="true" customHeight="false" outlineLevel="0" collapsed="false">
      <c r="A504" s="51" t="s">
        <v>761</v>
      </c>
      <c r="B504" s="55" t="n">
        <v>44012</v>
      </c>
      <c r="C504" s="51" t="s">
        <v>791</v>
      </c>
      <c r="D504" s="51" t="n">
        <v>0</v>
      </c>
    </row>
    <row r="505" customFormat="false" ht="15" hidden="true" customHeight="false" outlineLevel="0" collapsed="false">
      <c r="A505" s="51" t="s">
        <v>599</v>
      </c>
      <c r="B505" s="55" t="n">
        <v>44012</v>
      </c>
      <c r="C505" s="51" t="s">
        <v>791</v>
      </c>
      <c r="D505" s="51" t="n">
        <v>0</v>
      </c>
    </row>
    <row r="506" customFormat="false" ht="15" hidden="true" customHeight="false" outlineLevel="0" collapsed="false">
      <c r="A506" s="51" t="s">
        <v>604</v>
      </c>
      <c r="B506" s="55" t="n">
        <v>44012</v>
      </c>
      <c r="C506" s="51" t="s">
        <v>791</v>
      </c>
      <c r="D506" s="51" t="n">
        <v>0</v>
      </c>
    </row>
    <row r="507" customFormat="false" ht="15" hidden="true" customHeight="false" outlineLevel="0" collapsed="false">
      <c r="A507" s="51" t="s">
        <v>609</v>
      </c>
      <c r="B507" s="55" t="n">
        <v>44012</v>
      </c>
      <c r="C507" s="51" t="s">
        <v>791</v>
      </c>
      <c r="D507" s="51" t="n">
        <v>0</v>
      </c>
    </row>
    <row r="508" customFormat="false" ht="15" hidden="true" customHeight="false" outlineLevel="0" collapsed="false">
      <c r="A508" s="51" t="s">
        <v>614</v>
      </c>
      <c r="B508" s="55" t="n">
        <v>44012</v>
      </c>
      <c r="C508" s="51" t="s">
        <v>791</v>
      </c>
      <c r="D508" s="51" t="n">
        <v>0</v>
      </c>
    </row>
    <row r="509" customFormat="false" ht="15" hidden="true" customHeight="false" outlineLevel="0" collapsed="false">
      <c r="A509" s="51" t="s">
        <v>619</v>
      </c>
      <c r="B509" s="55" t="n">
        <v>44012</v>
      </c>
      <c r="C509" s="51" t="s">
        <v>791</v>
      </c>
      <c r="D509" s="51" t="n">
        <v>0</v>
      </c>
    </row>
    <row r="510" customFormat="false" ht="15" hidden="true" customHeight="false" outlineLevel="0" collapsed="false">
      <c r="A510" s="51" t="s">
        <v>624</v>
      </c>
      <c r="B510" s="55" t="n">
        <v>44012</v>
      </c>
      <c r="C510" s="51" t="s">
        <v>791</v>
      </c>
      <c r="D510" s="51" t="n">
        <v>0</v>
      </c>
    </row>
    <row r="511" customFormat="false" ht="15" hidden="true" customHeight="false" outlineLevel="0" collapsed="false">
      <c r="A511" s="51" t="s">
        <v>629</v>
      </c>
      <c r="B511" s="55" t="n">
        <v>44012</v>
      </c>
      <c r="C511" s="51" t="s">
        <v>791</v>
      </c>
      <c r="D511" s="51" t="n">
        <v>0</v>
      </c>
    </row>
    <row r="512" customFormat="false" ht="15" hidden="true" customHeight="false" outlineLevel="0" collapsed="false">
      <c r="A512" s="51" t="s">
        <v>633</v>
      </c>
      <c r="B512" s="55" t="n">
        <v>44012</v>
      </c>
      <c r="C512" s="51" t="s">
        <v>791</v>
      </c>
      <c r="D512" s="51" t="n">
        <v>0</v>
      </c>
    </row>
    <row r="513" customFormat="false" ht="15" hidden="true" customHeight="false" outlineLevel="0" collapsed="false">
      <c r="A513" s="51" t="s">
        <v>638</v>
      </c>
      <c r="B513" s="55" t="n">
        <v>44012</v>
      </c>
      <c r="C513" s="51" t="s">
        <v>791</v>
      </c>
      <c r="D513" s="51" t="n">
        <v>0</v>
      </c>
    </row>
    <row r="514" customFormat="false" ht="15" hidden="true" customHeight="false" outlineLevel="0" collapsed="false">
      <c r="A514" s="51" t="s">
        <v>642</v>
      </c>
      <c r="B514" s="55" t="n">
        <v>44012</v>
      </c>
      <c r="C514" s="51" t="s">
        <v>791</v>
      </c>
      <c r="D514" s="51" t="n">
        <v>0</v>
      </c>
    </row>
    <row r="515" customFormat="false" ht="15" hidden="true" customHeight="false" outlineLevel="0" collapsed="false">
      <c r="A515" s="51" t="s">
        <v>646</v>
      </c>
      <c r="B515" s="55" t="n">
        <v>44012</v>
      </c>
      <c r="C515" s="51" t="s">
        <v>791</v>
      </c>
      <c r="D515" s="51" t="n">
        <v>0</v>
      </c>
    </row>
    <row r="516" customFormat="false" ht="15" hidden="true" customHeight="false" outlineLevel="0" collapsed="false">
      <c r="A516" s="51" t="s">
        <v>651</v>
      </c>
      <c r="B516" s="55" t="n">
        <v>44012</v>
      </c>
      <c r="C516" s="51" t="s">
        <v>791</v>
      </c>
      <c r="D516" s="51" t="n">
        <v>0</v>
      </c>
    </row>
    <row r="517" customFormat="false" ht="15" hidden="true" customHeight="false" outlineLevel="0" collapsed="false">
      <c r="A517" s="51" t="s">
        <v>656</v>
      </c>
      <c r="B517" s="55" t="n">
        <v>44012</v>
      </c>
      <c r="C517" s="51" t="s">
        <v>791</v>
      </c>
      <c r="D517" s="51" t="n">
        <v>0</v>
      </c>
    </row>
    <row r="518" customFormat="false" ht="15" hidden="true" customHeight="false" outlineLevel="0" collapsed="false">
      <c r="A518" s="51" t="s">
        <v>661</v>
      </c>
      <c r="B518" s="55" t="n">
        <v>44012</v>
      </c>
      <c r="C518" s="51" t="s">
        <v>791</v>
      </c>
      <c r="D518" s="51" t="n">
        <v>0</v>
      </c>
    </row>
    <row r="519" customFormat="false" ht="15" hidden="true" customHeight="false" outlineLevel="0" collapsed="false">
      <c r="A519" s="51" t="s">
        <v>666</v>
      </c>
      <c r="B519" s="55" t="n">
        <v>44012</v>
      </c>
      <c r="C519" s="51" t="s">
        <v>791</v>
      </c>
      <c r="D519" s="51" t="n">
        <v>0</v>
      </c>
    </row>
    <row r="520" customFormat="false" ht="15" hidden="true" customHeight="false" outlineLevel="0" collapsed="false">
      <c r="A520" s="51" t="s">
        <v>671</v>
      </c>
      <c r="B520" s="55" t="n">
        <v>44012</v>
      </c>
      <c r="C520" s="51" t="s">
        <v>791</v>
      </c>
      <c r="D520" s="51" t="n">
        <v>0</v>
      </c>
    </row>
    <row r="521" customFormat="false" ht="15" hidden="true" customHeight="false" outlineLevel="0" collapsed="false">
      <c r="A521" s="51" t="s">
        <v>676</v>
      </c>
      <c r="B521" s="55" t="n">
        <v>44012</v>
      </c>
      <c r="C521" s="51" t="s">
        <v>791</v>
      </c>
      <c r="D521" s="51" t="n">
        <v>0</v>
      </c>
    </row>
    <row r="522" customFormat="false" ht="15" hidden="true" customHeight="false" outlineLevel="0" collapsed="false">
      <c r="A522" s="51" t="s">
        <v>681</v>
      </c>
      <c r="B522" s="55" t="n">
        <v>44012</v>
      </c>
      <c r="C522" s="51" t="s">
        <v>791</v>
      </c>
      <c r="D522" s="51" t="n">
        <v>0</v>
      </c>
    </row>
    <row r="523" customFormat="false" ht="15" hidden="true" customHeight="false" outlineLevel="0" collapsed="false">
      <c r="A523" s="51" t="s">
        <v>686</v>
      </c>
      <c r="B523" s="55" t="n">
        <v>44012</v>
      </c>
      <c r="C523" s="51" t="s">
        <v>791</v>
      </c>
      <c r="D523" s="51" t="n">
        <v>0</v>
      </c>
    </row>
    <row r="524" customFormat="false" ht="15" hidden="true" customHeight="false" outlineLevel="0" collapsed="false">
      <c r="A524" s="51" t="s">
        <v>691</v>
      </c>
      <c r="B524" s="55" t="n">
        <v>44012</v>
      </c>
      <c r="C524" s="51" t="s">
        <v>791</v>
      </c>
      <c r="D524" s="51" t="n">
        <v>0</v>
      </c>
    </row>
    <row r="525" customFormat="false" ht="15" hidden="true" customHeight="false" outlineLevel="0" collapsed="false">
      <c r="A525" s="51" t="s">
        <v>696</v>
      </c>
      <c r="B525" s="55" t="n">
        <v>44012</v>
      </c>
      <c r="C525" s="51" t="s">
        <v>791</v>
      </c>
      <c r="D525" s="51" t="n">
        <v>0</v>
      </c>
    </row>
    <row r="526" customFormat="false" ht="15" hidden="true" customHeight="false" outlineLevel="0" collapsed="false">
      <c r="A526" s="51" t="s">
        <v>701</v>
      </c>
      <c r="B526" s="55" t="n">
        <v>44012</v>
      </c>
      <c r="C526" s="51" t="s">
        <v>791</v>
      </c>
      <c r="D526" s="51" t="n">
        <v>0</v>
      </c>
    </row>
    <row r="527" customFormat="false" ht="15" hidden="true" customHeight="false" outlineLevel="0" collapsed="false">
      <c r="A527" s="51" t="s">
        <v>707</v>
      </c>
      <c r="B527" s="55" t="n">
        <v>44012</v>
      </c>
      <c r="C527" s="51" t="s">
        <v>791</v>
      </c>
      <c r="D527" s="51" t="n">
        <v>0</v>
      </c>
    </row>
    <row r="528" customFormat="false" ht="15" hidden="true" customHeight="false" outlineLevel="0" collapsed="false">
      <c r="A528" s="51" t="s">
        <v>712</v>
      </c>
      <c r="B528" s="55" t="n">
        <v>44012</v>
      </c>
      <c r="C528" s="51" t="s">
        <v>791</v>
      </c>
      <c r="D528" s="51" t="n">
        <v>0</v>
      </c>
    </row>
    <row r="529" customFormat="false" ht="15" hidden="true" customHeight="false" outlineLevel="0" collapsed="false">
      <c r="A529" s="51" t="s">
        <v>717</v>
      </c>
      <c r="B529" s="55" t="n">
        <v>44012</v>
      </c>
      <c r="C529" s="51" t="s">
        <v>791</v>
      </c>
      <c r="D529" s="51" t="n">
        <v>0</v>
      </c>
    </row>
    <row r="530" customFormat="false" ht="15" hidden="true" customHeight="false" outlineLevel="0" collapsed="false">
      <c r="A530" s="51" t="s">
        <v>767</v>
      </c>
      <c r="B530" s="55" t="n">
        <v>44012</v>
      </c>
      <c r="C530" s="51" t="s">
        <v>791</v>
      </c>
      <c r="D530" s="51" t="n">
        <v>0</v>
      </c>
    </row>
    <row r="531" customFormat="false" ht="15" hidden="true" customHeight="false" outlineLevel="0" collapsed="false">
      <c r="A531" s="51" t="s">
        <v>722</v>
      </c>
      <c r="B531" s="55" t="n">
        <v>44012</v>
      </c>
      <c r="C531" s="51" t="s">
        <v>791</v>
      </c>
      <c r="D531" s="51" t="n">
        <v>0</v>
      </c>
    </row>
    <row r="532" customFormat="false" ht="15" hidden="true" customHeight="false" outlineLevel="0" collapsed="false">
      <c r="A532" s="51" t="s">
        <v>727</v>
      </c>
      <c r="B532" s="55" t="n">
        <v>44012</v>
      </c>
      <c r="C532" s="51" t="s">
        <v>791</v>
      </c>
      <c r="D532" s="51" t="n">
        <v>0</v>
      </c>
    </row>
    <row r="533" customFormat="false" ht="15" hidden="true" customHeight="false" outlineLevel="0" collapsed="false">
      <c r="A533" s="51" t="s">
        <v>732</v>
      </c>
      <c r="B533" s="55" t="n">
        <v>44012</v>
      </c>
      <c r="C533" s="51" t="s">
        <v>791</v>
      </c>
      <c r="D533" s="51" t="n">
        <v>0</v>
      </c>
    </row>
    <row r="534" customFormat="false" ht="15" hidden="true" customHeight="false" outlineLevel="0" collapsed="false">
      <c r="A534" s="51" t="s">
        <v>736</v>
      </c>
      <c r="B534" s="55" t="n">
        <v>44012</v>
      </c>
      <c r="C534" s="51" t="s">
        <v>791</v>
      </c>
      <c r="D534" s="51" t="n">
        <v>0</v>
      </c>
    </row>
    <row r="535" customFormat="false" ht="15" hidden="true" customHeight="false" outlineLevel="0" collapsed="false">
      <c r="A535" s="51" t="s">
        <v>741</v>
      </c>
      <c r="B535" s="55" t="n">
        <v>44012</v>
      </c>
      <c r="C535" s="51" t="s">
        <v>791</v>
      </c>
      <c r="D535" s="51" t="n">
        <v>0</v>
      </c>
    </row>
    <row r="536" customFormat="false" ht="15" hidden="true" customHeight="false" outlineLevel="0" collapsed="false">
      <c r="A536" s="51" t="s">
        <v>746</v>
      </c>
      <c r="B536" s="55" t="n">
        <v>44012</v>
      </c>
      <c r="C536" s="51" t="s">
        <v>791</v>
      </c>
      <c r="D536" s="51" t="n">
        <v>0</v>
      </c>
    </row>
    <row r="537" customFormat="false" ht="15" hidden="true" customHeight="false" outlineLevel="0" collapsed="false">
      <c r="A537" s="51" t="s">
        <v>751</v>
      </c>
      <c r="B537" s="55" t="n">
        <v>44012</v>
      </c>
      <c r="C537" s="51" t="s">
        <v>791</v>
      </c>
      <c r="D537" s="51" t="n">
        <v>0</v>
      </c>
    </row>
    <row r="538" customFormat="false" ht="15" hidden="false" customHeight="false" outlineLevel="0" collapsed="false">
      <c r="A538" s="51" t="s">
        <v>781</v>
      </c>
      <c r="B538" s="55" t="n">
        <v>44104</v>
      </c>
      <c r="C538" s="51" t="s">
        <v>782</v>
      </c>
      <c r="D538" s="51" t="n">
        <v>27100000</v>
      </c>
    </row>
    <row r="539" customFormat="false" ht="15" hidden="true" customHeight="false" outlineLevel="0" collapsed="false">
      <c r="A539" s="51" t="s">
        <v>783</v>
      </c>
      <c r="B539" s="55" t="n">
        <v>44104</v>
      </c>
      <c r="C539" s="51" t="s">
        <v>782</v>
      </c>
      <c r="D539" s="51" t="n">
        <v>900000</v>
      </c>
    </row>
    <row r="540" customFormat="false" ht="15" hidden="true" customHeight="false" outlineLevel="0" collapsed="false">
      <c r="A540" s="51" t="s">
        <v>96</v>
      </c>
      <c r="B540" s="55" t="n">
        <v>44104</v>
      </c>
      <c r="C540" s="51" t="s">
        <v>782</v>
      </c>
      <c r="D540" s="51" t="n">
        <v>5651000</v>
      </c>
    </row>
    <row r="541" customFormat="false" ht="15" hidden="true" customHeight="false" outlineLevel="0" collapsed="false">
      <c r="A541" s="51" t="s">
        <v>101</v>
      </c>
      <c r="B541" s="55" t="n">
        <v>44104</v>
      </c>
      <c r="C541" s="51" t="s">
        <v>782</v>
      </c>
      <c r="D541" s="51" t="n">
        <v>0</v>
      </c>
    </row>
    <row r="542" customFormat="false" ht="15" hidden="true" customHeight="false" outlineLevel="0" collapsed="false">
      <c r="A542" s="51" t="s">
        <v>106</v>
      </c>
      <c r="B542" s="55" t="n">
        <v>44104</v>
      </c>
      <c r="C542" s="51" t="s">
        <v>782</v>
      </c>
      <c r="D542" s="51" t="n">
        <v>1000000</v>
      </c>
    </row>
    <row r="543" customFormat="false" ht="15" hidden="true" customHeight="false" outlineLevel="0" collapsed="false">
      <c r="A543" s="51" t="s">
        <v>110</v>
      </c>
      <c r="B543" s="55" t="n">
        <v>44104</v>
      </c>
      <c r="C543" s="51" t="s">
        <v>782</v>
      </c>
      <c r="D543" s="51" t="n">
        <v>1849000</v>
      </c>
    </row>
    <row r="544" customFormat="false" ht="15" hidden="true" customHeight="false" outlineLevel="0" collapsed="false">
      <c r="A544" s="51" t="s">
        <v>115</v>
      </c>
      <c r="B544" s="55" t="n">
        <v>44104</v>
      </c>
      <c r="C544" s="51" t="s">
        <v>782</v>
      </c>
      <c r="D544" s="51" t="n">
        <v>180000</v>
      </c>
    </row>
    <row r="545" customFormat="false" ht="15" hidden="true" customHeight="false" outlineLevel="0" collapsed="false">
      <c r="A545" s="51" t="s">
        <v>120</v>
      </c>
      <c r="B545" s="55" t="n">
        <v>44104</v>
      </c>
      <c r="C545" s="51" t="s">
        <v>782</v>
      </c>
      <c r="D545" s="51" t="n">
        <v>800000</v>
      </c>
    </row>
    <row r="546" customFormat="false" ht="15" hidden="true" customHeight="false" outlineLevel="0" collapsed="false">
      <c r="A546" s="51" t="s">
        <v>124</v>
      </c>
      <c r="B546" s="55" t="n">
        <v>44104</v>
      </c>
      <c r="C546" s="51" t="s">
        <v>782</v>
      </c>
      <c r="D546" s="51" t="n">
        <v>9391000</v>
      </c>
    </row>
    <row r="547" customFormat="false" ht="15" hidden="true" customHeight="false" outlineLevel="0" collapsed="false">
      <c r="A547" s="51" t="s">
        <v>129</v>
      </c>
      <c r="B547" s="55" t="n">
        <v>44104</v>
      </c>
      <c r="C547" s="51" t="s">
        <v>782</v>
      </c>
      <c r="D547" s="51" t="n">
        <v>695780</v>
      </c>
    </row>
    <row r="548" customFormat="false" ht="15" hidden="true" customHeight="false" outlineLevel="0" collapsed="false">
      <c r="A548" s="51" t="s">
        <v>134</v>
      </c>
      <c r="B548" s="55" t="n">
        <v>44104</v>
      </c>
      <c r="C548" s="51" t="s">
        <v>782</v>
      </c>
      <c r="D548" s="51" t="n">
        <v>2337926</v>
      </c>
    </row>
    <row r="549" customFormat="false" ht="15" hidden="true" customHeight="false" outlineLevel="0" collapsed="false">
      <c r="A549" s="51" t="s">
        <v>141</v>
      </c>
      <c r="B549" s="55" t="n">
        <v>44104</v>
      </c>
      <c r="C549" s="51" t="s">
        <v>782</v>
      </c>
      <c r="D549" s="51" t="n">
        <v>0</v>
      </c>
    </row>
    <row r="550" customFormat="false" ht="15" hidden="true" customHeight="false" outlineLevel="0" collapsed="false">
      <c r="A550" s="51" t="s">
        <v>146</v>
      </c>
      <c r="B550" s="55" t="n">
        <v>44104</v>
      </c>
      <c r="C550" s="51" t="s">
        <v>782</v>
      </c>
      <c r="D550" s="51" t="n">
        <v>500000</v>
      </c>
    </row>
    <row r="551" customFormat="false" ht="15" hidden="true" customHeight="false" outlineLevel="0" collapsed="false">
      <c r="A551" s="51" t="s">
        <v>151</v>
      </c>
      <c r="B551" s="55" t="n">
        <v>44104</v>
      </c>
      <c r="C551" s="51" t="s">
        <v>782</v>
      </c>
      <c r="D551" s="51" t="n">
        <v>0</v>
      </c>
    </row>
    <row r="552" customFormat="false" ht="15" hidden="true" customHeight="false" outlineLevel="0" collapsed="false">
      <c r="A552" s="51" t="s">
        <v>156</v>
      </c>
      <c r="B552" s="55" t="n">
        <v>44104</v>
      </c>
      <c r="C552" s="51" t="s">
        <v>782</v>
      </c>
      <c r="D552" s="51" t="n">
        <v>0</v>
      </c>
    </row>
    <row r="553" customFormat="false" ht="15" hidden="true" customHeight="false" outlineLevel="0" collapsed="false">
      <c r="A553" s="51" t="s">
        <v>161</v>
      </c>
      <c r="B553" s="55" t="n">
        <v>44104</v>
      </c>
      <c r="C553" s="51" t="s">
        <v>782</v>
      </c>
      <c r="D553" s="51" t="n">
        <v>0</v>
      </c>
    </row>
    <row r="554" customFormat="false" ht="15" hidden="true" customHeight="false" outlineLevel="0" collapsed="false">
      <c r="A554" s="51" t="s">
        <v>166</v>
      </c>
      <c r="B554" s="55" t="n">
        <v>44104</v>
      </c>
      <c r="C554" s="51" t="s">
        <v>782</v>
      </c>
      <c r="D554" s="51" t="n">
        <v>0</v>
      </c>
    </row>
    <row r="555" customFormat="false" ht="15" hidden="true" customHeight="false" outlineLevel="0" collapsed="false">
      <c r="A555" s="51" t="s">
        <v>171</v>
      </c>
      <c r="B555" s="55" t="n">
        <v>44104</v>
      </c>
      <c r="C555" s="51" t="s">
        <v>782</v>
      </c>
      <c r="D555" s="51" t="n">
        <v>0</v>
      </c>
    </row>
    <row r="556" customFormat="false" ht="15" hidden="true" customHeight="false" outlineLevel="0" collapsed="false">
      <c r="A556" s="51" t="s">
        <v>176</v>
      </c>
      <c r="B556" s="55" t="n">
        <v>44104</v>
      </c>
      <c r="C556" s="51" t="s">
        <v>782</v>
      </c>
      <c r="D556" s="51" t="n">
        <v>0</v>
      </c>
    </row>
    <row r="557" customFormat="false" ht="15" hidden="true" customHeight="false" outlineLevel="0" collapsed="false">
      <c r="A557" s="51" t="s">
        <v>181</v>
      </c>
      <c r="B557" s="55" t="n">
        <v>44104</v>
      </c>
      <c r="C557" s="51" t="s">
        <v>782</v>
      </c>
      <c r="D557" s="51" t="n">
        <v>0</v>
      </c>
    </row>
    <row r="558" customFormat="false" ht="15" hidden="true" customHeight="false" outlineLevel="0" collapsed="false">
      <c r="A558" s="51" t="s">
        <v>186</v>
      </c>
      <c r="B558" s="55" t="n">
        <v>44104</v>
      </c>
      <c r="C558" s="51" t="s">
        <v>782</v>
      </c>
      <c r="D558" s="51" t="n">
        <v>0</v>
      </c>
    </row>
    <row r="559" customFormat="false" ht="15" hidden="true" customHeight="false" outlineLevel="0" collapsed="false">
      <c r="A559" s="51" t="s">
        <v>191</v>
      </c>
      <c r="B559" s="55" t="n">
        <v>44104</v>
      </c>
      <c r="C559" s="51" t="s">
        <v>782</v>
      </c>
      <c r="D559" s="51" t="n">
        <v>0</v>
      </c>
    </row>
    <row r="560" customFormat="false" ht="15" hidden="true" customHeight="false" outlineLevel="0" collapsed="false">
      <c r="A560" s="51" t="s">
        <v>196</v>
      </c>
      <c r="B560" s="55" t="n">
        <v>44104</v>
      </c>
      <c r="C560" s="51" t="s">
        <v>782</v>
      </c>
      <c r="D560" s="51" t="n">
        <v>0</v>
      </c>
    </row>
    <row r="561" customFormat="false" ht="15" hidden="true" customHeight="false" outlineLevel="0" collapsed="false">
      <c r="A561" s="51" t="s">
        <v>201</v>
      </c>
      <c r="B561" s="55" t="n">
        <v>44104</v>
      </c>
      <c r="C561" s="51" t="s">
        <v>782</v>
      </c>
      <c r="D561" s="51" t="n">
        <v>0</v>
      </c>
    </row>
    <row r="562" customFormat="false" ht="15" hidden="true" customHeight="false" outlineLevel="0" collapsed="false">
      <c r="A562" s="51" t="s">
        <v>206</v>
      </c>
      <c r="B562" s="55" t="n">
        <v>44104</v>
      </c>
      <c r="C562" s="51" t="s">
        <v>782</v>
      </c>
      <c r="D562" s="51" t="n">
        <v>0</v>
      </c>
    </row>
    <row r="563" customFormat="false" ht="15" hidden="true" customHeight="false" outlineLevel="0" collapsed="false">
      <c r="A563" s="51" t="s">
        <v>210</v>
      </c>
      <c r="B563" s="55" t="n">
        <v>44104</v>
      </c>
      <c r="C563" s="51" t="s">
        <v>782</v>
      </c>
      <c r="D563" s="51" t="n">
        <v>0</v>
      </c>
    </row>
    <row r="564" customFormat="false" ht="15" hidden="true" customHeight="false" outlineLevel="0" collapsed="false">
      <c r="A564" s="51" t="s">
        <v>215</v>
      </c>
      <c r="B564" s="55" t="n">
        <v>44104</v>
      </c>
      <c r="C564" s="51" t="s">
        <v>782</v>
      </c>
      <c r="D564" s="51" t="n">
        <v>0</v>
      </c>
    </row>
    <row r="565" customFormat="false" ht="15" hidden="true" customHeight="false" outlineLevel="0" collapsed="false">
      <c r="A565" s="51" t="s">
        <v>790</v>
      </c>
      <c r="B565" s="55" t="n">
        <v>44104</v>
      </c>
      <c r="C565" s="51" t="s">
        <v>782</v>
      </c>
      <c r="D565" s="51" t="n">
        <v>0</v>
      </c>
    </row>
    <row r="566" customFormat="false" ht="15" hidden="true" customHeight="false" outlineLevel="0" collapsed="false">
      <c r="A566" s="51" t="s">
        <v>225</v>
      </c>
      <c r="B566" s="55" t="n">
        <v>44104</v>
      </c>
      <c r="C566" s="51" t="s">
        <v>782</v>
      </c>
      <c r="D566" s="51" t="n">
        <v>0</v>
      </c>
    </row>
    <row r="567" customFormat="false" ht="15" hidden="true" customHeight="false" outlineLevel="0" collapsed="false">
      <c r="A567" s="51" t="s">
        <v>230</v>
      </c>
      <c r="B567" s="55" t="n">
        <v>44104</v>
      </c>
      <c r="C567" s="51" t="s">
        <v>782</v>
      </c>
      <c r="D567" s="51" t="n">
        <v>0</v>
      </c>
    </row>
    <row r="568" customFormat="false" ht="15" hidden="true" customHeight="false" outlineLevel="0" collapsed="false">
      <c r="A568" s="51" t="s">
        <v>235</v>
      </c>
      <c r="B568" s="55" t="n">
        <v>44104</v>
      </c>
      <c r="C568" s="51" t="s">
        <v>782</v>
      </c>
      <c r="D568" s="51" t="n">
        <v>0</v>
      </c>
    </row>
    <row r="569" customFormat="false" ht="15" hidden="true" customHeight="false" outlineLevel="0" collapsed="false">
      <c r="A569" s="51" t="s">
        <v>240</v>
      </c>
      <c r="B569" s="55" t="n">
        <v>44104</v>
      </c>
      <c r="C569" s="51" t="s">
        <v>782</v>
      </c>
      <c r="D569" s="51" t="n">
        <v>0</v>
      </c>
    </row>
    <row r="570" customFormat="false" ht="15" hidden="true" customHeight="false" outlineLevel="0" collapsed="false">
      <c r="A570" s="51" t="s">
        <v>246</v>
      </c>
      <c r="B570" s="55" t="n">
        <v>44104</v>
      </c>
      <c r="C570" s="51" t="s">
        <v>782</v>
      </c>
      <c r="D570" s="51" t="n">
        <v>0</v>
      </c>
    </row>
    <row r="571" customFormat="false" ht="15" hidden="true" customHeight="false" outlineLevel="0" collapsed="false">
      <c r="A571" s="51" t="s">
        <v>252</v>
      </c>
      <c r="B571" s="55" t="n">
        <v>44104</v>
      </c>
      <c r="C571" s="51" t="s">
        <v>782</v>
      </c>
      <c r="D571" s="51" t="n">
        <v>0</v>
      </c>
    </row>
    <row r="572" customFormat="false" ht="15" hidden="true" customHeight="false" outlineLevel="0" collapsed="false">
      <c r="A572" s="51" t="s">
        <v>257</v>
      </c>
      <c r="B572" s="55" t="n">
        <v>44104</v>
      </c>
      <c r="C572" s="51" t="s">
        <v>782</v>
      </c>
      <c r="D572" s="51" t="n">
        <v>0</v>
      </c>
    </row>
    <row r="573" customFormat="false" ht="15" hidden="true" customHeight="false" outlineLevel="0" collapsed="false">
      <c r="A573" s="51" t="s">
        <v>262</v>
      </c>
      <c r="B573" s="55" t="n">
        <v>44104</v>
      </c>
      <c r="C573" s="51" t="s">
        <v>782</v>
      </c>
      <c r="D573" s="51" t="n">
        <v>0</v>
      </c>
    </row>
    <row r="574" customFormat="false" ht="15" hidden="true" customHeight="false" outlineLevel="0" collapsed="false">
      <c r="A574" s="51" t="s">
        <v>267</v>
      </c>
      <c r="B574" s="55" t="n">
        <v>44104</v>
      </c>
      <c r="C574" s="51" t="s">
        <v>782</v>
      </c>
      <c r="D574" s="51" t="n">
        <v>0</v>
      </c>
    </row>
    <row r="575" customFormat="false" ht="15" hidden="true" customHeight="false" outlineLevel="0" collapsed="false">
      <c r="A575" s="51" t="s">
        <v>272</v>
      </c>
      <c r="B575" s="55" t="n">
        <v>44104</v>
      </c>
      <c r="C575" s="51" t="s">
        <v>782</v>
      </c>
      <c r="D575" s="51" t="n">
        <v>0</v>
      </c>
    </row>
    <row r="576" customFormat="false" ht="15" hidden="true" customHeight="false" outlineLevel="0" collapsed="false">
      <c r="A576" s="51" t="s">
        <v>277</v>
      </c>
      <c r="B576" s="55" t="n">
        <v>44104</v>
      </c>
      <c r="C576" s="51" t="s">
        <v>782</v>
      </c>
      <c r="D576" s="51" t="n">
        <v>0</v>
      </c>
    </row>
    <row r="577" customFormat="false" ht="15" hidden="true" customHeight="false" outlineLevel="0" collapsed="false">
      <c r="A577" s="51" t="s">
        <v>282</v>
      </c>
      <c r="B577" s="55" t="n">
        <v>44104</v>
      </c>
      <c r="C577" s="51" t="s">
        <v>782</v>
      </c>
      <c r="D577" s="51" t="n">
        <v>0</v>
      </c>
    </row>
    <row r="578" customFormat="false" ht="15" hidden="true" customHeight="false" outlineLevel="0" collapsed="false">
      <c r="A578" s="51" t="s">
        <v>287</v>
      </c>
      <c r="B578" s="55" t="n">
        <v>44104</v>
      </c>
      <c r="C578" s="51" t="s">
        <v>782</v>
      </c>
      <c r="D578" s="51" t="n">
        <v>0</v>
      </c>
    </row>
    <row r="579" customFormat="false" ht="15" hidden="true" customHeight="false" outlineLevel="0" collapsed="false">
      <c r="A579" s="51" t="s">
        <v>292</v>
      </c>
      <c r="B579" s="55" t="n">
        <v>44104</v>
      </c>
      <c r="C579" s="51" t="s">
        <v>782</v>
      </c>
      <c r="D579" s="51" t="n">
        <v>0</v>
      </c>
    </row>
    <row r="580" customFormat="false" ht="15" hidden="true" customHeight="false" outlineLevel="0" collapsed="false">
      <c r="A580" s="51" t="s">
        <v>297</v>
      </c>
      <c r="B580" s="55" t="n">
        <v>44104</v>
      </c>
      <c r="C580" s="51" t="s">
        <v>782</v>
      </c>
      <c r="D580" s="51" t="n">
        <v>0</v>
      </c>
    </row>
    <row r="581" customFormat="false" ht="15" hidden="true" customHeight="false" outlineLevel="0" collapsed="false">
      <c r="A581" s="51" t="s">
        <v>302</v>
      </c>
      <c r="B581" s="55" t="n">
        <v>44104</v>
      </c>
      <c r="C581" s="51" t="s">
        <v>782</v>
      </c>
      <c r="D581" s="51" t="n">
        <v>0</v>
      </c>
    </row>
    <row r="582" customFormat="false" ht="15" hidden="true" customHeight="false" outlineLevel="0" collapsed="false">
      <c r="A582" s="51" t="s">
        <v>307</v>
      </c>
      <c r="B582" s="55" t="n">
        <v>44104</v>
      </c>
      <c r="C582" s="51" t="s">
        <v>782</v>
      </c>
      <c r="D582" s="51" t="n">
        <v>0</v>
      </c>
    </row>
    <row r="583" customFormat="false" ht="15" hidden="true" customHeight="false" outlineLevel="0" collapsed="false">
      <c r="A583" s="51" t="s">
        <v>311</v>
      </c>
      <c r="B583" s="55" t="n">
        <v>44104</v>
      </c>
      <c r="C583" s="51" t="s">
        <v>782</v>
      </c>
      <c r="D583" s="51" t="n">
        <v>0</v>
      </c>
    </row>
    <row r="584" customFormat="false" ht="15" hidden="true" customHeight="false" outlineLevel="0" collapsed="false">
      <c r="A584" s="51" t="s">
        <v>317</v>
      </c>
      <c r="B584" s="55" t="n">
        <v>44104</v>
      </c>
      <c r="C584" s="51" t="s">
        <v>782</v>
      </c>
      <c r="D584" s="51" t="n">
        <v>0</v>
      </c>
    </row>
    <row r="585" customFormat="false" ht="15" hidden="true" customHeight="false" outlineLevel="0" collapsed="false">
      <c r="A585" s="51" t="s">
        <v>322</v>
      </c>
      <c r="B585" s="55" t="n">
        <v>44104</v>
      </c>
      <c r="C585" s="51" t="s">
        <v>782</v>
      </c>
      <c r="D585" s="51" t="n">
        <v>0</v>
      </c>
    </row>
    <row r="586" customFormat="false" ht="15" hidden="true" customHeight="false" outlineLevel="0" collapsed="false">
      <c r="A586" s="51" t="s">
        <v>327</v>
      </c>
      <c r="B586" s="55" t="n">
        <v>44104</v>
      </c>
      <c r="C586" s="51" t="s">
        <v>782</v>
      </c>
      <c r="D586" s="51" t="n">
        <v>0</v>
      </c>
    </row>
    <row r="587" customFormat="false" ht="15" hidden="true" customHeight="false" outlineLevel="0" collapsed="false">
      <c r="A587" s="51" t="s">
        <v>332</v>
      </c>
      <c r="B587" s="55" t="n">
        <v>44104</v>
      </c>
      <c r="C587" s="51" t="s">
        <v>782</v>
      </c>
      <c r="D587" s="51" t="n">
        <v>0</v>
      </c>
    </row>
    <row r="588" customFormat="false" ht="15" hidden="true" customHeight="false" outlineLevel="0" collapsed="false">
      <c r="A588" s="51" t="s">
        <v>339</v>
      </c>
      <c r="B588" s="55" t="n">
        <v>44104</v>
      </c>
      <c r="C588" s="51" t="s">
        <v>782</v>
      </c>
      <c r="D588" s="51" t="n">
        <v>0</v>
      </c>
    </row>
    <row r="589" customFormat="false" ht="15" hidden="true" customHeight="false" outlineLevel="0" collapsed="false">
      <c r="A589" s="51" t="s">
        <v>344</v>
      </c>
      <c r="B589" s="55" t="n">
        <v>44104</v>
      </c>
      <c r="C589" s="51" t="s">
        <v>782</v>
      </c>
      <c r="D589" s="51" t="n">
        <v>0</v>
      </c>
    </row>
    <row r="590" customFormat="false" ht="15" hidden="true" customHeight="false" outlineLevel="0" collapsed="false">
      <c r="A590" s="51" t="s">
        <v>349</v>
      </c>
      <c r="B590" s="55" t="n">
        <v>44104</v>
      </c>
      <c r="C590" s="51" t="s">
        <v>782</v>
      </c>
      <c r="D590" s="51" t="n">
        <v>0</v>
      </c>
    </row>
    <row r="591" customFormat="false" ht="15" hidden="true" customHeight="false" outlineLevel="0" collapsed="false">
      <c r="A591" s="51" t="s">
        <v>354</v>
      </c>
      <c r="B591" s="55" t="n">
        <v>44104</v>
      </c>
      <c r="C591" s="51" t="s">
        <v>782</v>
      </c>
      <c r="D591" s="51" t="n">
        <v>0</v>
      </c>
    </row>
    <row r="592" customFormat="false" ht="15" hidden="true" customHeight="false" outlineLevel="0" collapsed="false">
      <c r="A592" s="51" t="s">
        <v>359</v>
      </c>
      <c r="B592" s="55" t="n">
        <v>44104</v>
      </c>
      <c r="C592" s="51" t="s">
        <v>782</v>
      </c>
      <c r="D592" s="51" t="n">
        <v>0</v>
      </c>
    </row>
    <row r="593" customFormat="false" ht="15" hidden="true" customHeight="false" outlineLevel="0" collapsed="false">
      <c r="A593" s="51" t="s">
        <v>364</v>
      </c>
      <c r="B593" s="55" t="n">
        <v>44104</v>
      </c>
      <c r="C593" s="51" t="s">
        <v>782</v>
      </c>
      <c r="D593" s="51" t="n">
        <v>0</v>
      </c>
    </row>
    <row r="594" customFormat="false" ht="15" hidden="true" customHeight="false" outlineLevel="0" collapsed="false">
      <c r="A594" s="51" t="s">
        <v>369</v>
      </c>
      <c r="B594" s="55" t="n">
        <v>44104</v>
      </c>
      <c r="C594" s="51" t="s">
        <v>782</v>
      </c>
      <c r="D594" s="51" t="n">
        <v>0</v>
      </c>
    </row>
    <row r="595" customFormat="false" ht="15" hidden="true" customHeight="false" outlineLevel="0" collapsed="false">
      <c r="A595" s="51" t="s">
        <v>374</v>
      </c>
      <c r="B595" s="55" t="n">
        <v>44104</v>
      </c>
      <c r="C595" s="51" t="s">
        <v>782</v>
      </c>
      <c r="D595" s="51" t="n">
        <v>0</v>
      </c>
    </row>
    <row r="596" customFormat="false" ht="15" hidden="true" customHeight="false" outlineLevel="0" collapsed="false">
      <c r="A596" s="51" t="s">
        <v>379</v>
      </c>
      <c r="B596" s="55" t="n">
        <v>44104</v>
      </c>
      <c r="C596" s="51" t="s">
        <v>782</v>
      </c>
      <c r="D596" s="51" t="n">
        <v>0</v>
      </c>
    </row>
    <row r="597" customFormat="false" ht="15" hidden="true" customHeight="false" outlineLevel="0" collapsed="false">
      <c r="A597" s="51" t="s">
        <v>384</v>
      </c>
      <c r="B597" s="55" t="n">
        <v>44104</v>
      </c>
      <c r="C597" s="51" t="s">
        <v>782</v>
      </c>
      <c r="D597" s="51" t="n">
        <v>0</v>
      </c>
    </row>
    <row r="598" customFormat="false" ht="15" hidden="true" customHeight="false" outlineLevel="0" collapsed="false">
      <c r="A598" s="51" t="s">
        <v>389</v>
      </c>
      <c r="B598" s="55" t="n">
        <v>44104</v>
      </c>
      <c r="C598" s="51" t="s">
        <v>782</v>
      </c>
      <c r="D598" s="51" t="n">
        <v>0</v>
      </c>
    </row>
    <row r="599" customFormat="false" ht="15" hidden="true" customHeight="false" outlineLevel="0" collapsed="false">
      <c r="A599" s="51" t="s">
        <v>394</v>
      </c>
      <c r="B599" s="55" t="n">
        <v>44104</v>
      </c>
      <c r="C599" s="51" t="s">
        <v>782</v>
      </c>
      <c r="D599" s="51" t="n">
        <v>0</v>
      </c>
    </row>
    <row r="600" customFormat="false" ht="15" hidden="true" customHeight="false" outlineLevel="0" collapsed="false">
      <c r="A600" s="51" t="s">
        <v>399</v>
      </c>
      <c r="B600" s="55" t="n">
        <v>44104</v>
      </c>
      <c r="C600" s="51" t="s">
        <v>782</v>
      </c>
      <c r="D600" s="51" t="n">
        <v>0</v>
      </c>
    </row>
    <row r="601" customFormat="false" ht="15" hidden="true" customHeight="false" outlineLevel="0" collapsed="false">
      <c r="A601" s="51" t="s">
        <v>404</v>
      </c>
      <c r="B601" s="55" t="n">
        <v>44104</v>
      </c>
      <c r="C601" s="51" t="s">
        <v>782</v>
      </c>
      <c r="D601" s="51" t="n">
        <v>0</v>
      </c>
    </row>
    <row r="602" customFormat="false" ht="15" hidden="true" customHeight="false" outlineLevel="0" collapsed="false">
      <c r="A602" s="51" t="s">
        <v>409</v>
      </c>
      <c r="B602" s="55" t="n">
        <v>44104</v>
      </c>
      <c r="C602" s="51" t="s">
        <v>782</v>
      </c>
      <c r="D602" s="51" t="n">
        <v>0</v>
      </c>
    </row>
    <row r="603" customFormat="false" ht="15" hidden="true" customHeight="false" outlineLevel="0" collapsed="false">
      <c r="A603" s="51" t="s">
        <v>414</v>
      </c>
      <c r="B603" s="55" t="n">
        <v>44104</v>
      </c>
      <c r="C603" s="51" t="s">
        <v>782</v>
      </c>
      <c r="D603" s="51" t="n">
        <v>0</v>
      </c>
    </row>
    <row r="604" customFormat="false" ht="15" hidden="true" customHeight="false" outlineLevel="0" collapsed="false">
      <c r="A604" s="51" t="s">
        <v>419</v>
      </c>
      <c r="B604" s="55" t="n">
        <v>44104</v>
      </c>
      <c r="C604" s="51" t="s">
        <v>782</v>
      </c>
      <c r="D604" s="51" t="n">
        <v>0</v>
      </c>
    </row>
    <row r="605" customFormat="false" ht="15" hidden="true" customHeight="false" outlineLevel="0" collapsed="false">
      <c r="A605" s="51" t="s">
        <v>424</v>
      </c>
      <c r="B605" s="55" t="n">
        <v>44104</v>
      </c>
      <c r="C605" s="51" t="s">
        <v>782</v>
      </c>
      <c r="D605" s="51" t="n">
        <v>0</v>
      </c>
    </row>
    <row r="606" customFormat="false" ht="15" hidden="true" customHeight="false" outlineLevel="0" collapsed="false">
      <c r="A606" s="51" t="s">
        <v>429</v>
      </c>
      <c r="B606" s="55" t="n">
        <v>44104</v>
      </c>
      <c r="C606" s="51" t="s">
        <v>782</v>
      </c>
      <c r="D606" s="51" t="n">
        <v>0</v>
      </c>
    </row>
    <row r="607" customFormat="false" ht="15" hidden="true" customHeight="false" outlineLevel="0" collapsed="false">
      <c r="A607" s="51" t="s">
        <v>434</v>
      </c>
      <c r="B607" s="55" t="n">
        <v>44104</v>
      </c>
      <c r="C607" s="51" t="s">
        <v>782</v>
      </c>
      <c r="D607" s="51" t="n">
        <v>0</v>
      </c>
    </row>
    <row r="608" customFormat="false" ht="15" hidden="true" customHeight="false" outlineLevel="0" collapsed="false">
      <c r="A608" s="51" t="s">
        <v>438</v>
      </c>
      <c r="B608" s="55" t="n">
        <v>44104</v>
      </c>
      <c r="C608" s="51" t="s">
        <v>782</v>
      </c>
      <c r="D608" s="51" t="n">
        <v>0</v>
      </c>
    </row>
    <row r="609" customFormat="false" ht="15" hidden="true" customHeight="false" outlineLevel="0" collapsed="false">
      <c r="A609" s="51" t="s">
        <v>443</v>
      </c>
      <c r="B609" s="55" t="n">
        <v>44104</v>
      </c>
      <c r="C609" s="51" t="s">
        <v>782</v>
      </c>
      <c r="D609" s="51" t="n">
        <v>0</v>
      </c>
    </row>
    <row r="610" customFormat="false" ht="15" hidden="true" customHeight="false" outlineLevel="0" collapsed="false">
      <c r="A610" s="51" t="s">
        <v>448</v>
      </c>
      <c r="B610" s="55" t="n">
        <v>44104</v>
      </c>
      <c r="C610" s="51" t="s">
        <v>782</v>
      </c>
      <c r="D610" s="51" t="n">
        <v>0</v>
      </c>
    </row>
    <row r="611" customFormat="false" ht="15" hidden="true" customHeight="false" outlineLevel="0" collapsed="false">
      <c r="A611" s="51" t="s">
        <v>453</v>
      </c>
      <c r="B611" s="55" t="n">
        <v>44104</v>
      </c>
      <c r="C611" s="51" t="s">
        <v>782</v>
      </c>
      <c r="D611" s="51" t="n">
        <v>0</v>
      </c>
    </row>
    <row r="612" customFormat="false" ht="15" hidden="true" customHeight="false" outlineLevel="0" collapsed="false">
      <c r="A612" s="51" t="s">
        <v>458</v>
      </c>
      <c r="B612" s="55" t="n">
        <v>44104</v>
      </c>
      <c r="C612" s="51" t="s">
        <v>782</v>
      </c>
      <c r="D612" s="51" t="n">
        <v>0</v>
      </c>
    </row>
    <row r="613" customFormat="false" ht="15" hidden="true" customHeight="false" outlineLevel="0" collapsed="false">
      <c r="A613" s="51" t="s">
        <v>473</v>
      </c>
      <c r="B613" s="55" t="n">
        <v>44104</v>
      </c>
      <c r="C613" s="51" t="s">
        <v>782</v>
      </c>
      <c r="D613" s="51" t="n">
        <v>0</v>
      </c>
    </row>
    <row r="614" customFormat="false" ht="15" hidden="true" customHeight="false" outlineLevel="0" collapsed="false">
      <c r="A614" s="51" t="s">
        <v>479</v>
      </c>
      <c r="B614" s="55" t="n">
        <v>44104</v>
      </c>
      <c r="C614" s="51" t="s">
        <v>782</v>
      </c>
      <c r="D614" s="51" t="n">
        <v>0</v>
      </c>
    </row>
    <row r="615" customFormat="false" ht="15" hidden="true" customHeight="false" outlineLevel="0" collapsed="false">
      <c r="A615" s="51" t="s">
        <v>484</v>
      </c>
      <c r="B615" s="55" t="n">
        <v>44104</v>
      </c>
      <c r="C615" s="51" t="s">
        <v>782</v>
      </c>
      <c r="D615" s="51" t="n">
        <v>0</v>
      </c>
    </row>
    <row r="616" customFormat="false" ht="15" hidden="true" customHeight="false" outlineLevel="0" collapsed="false">
      <c r="A616" s="51" t="s">
        <v>489</v>
      </c>
      <c r="B616" s="55" t="n">
        <v>44104</v>
      </c>
      <c r="C616" s="51" t="s">
        <v>782</v>
      </c>
      <c r="D616" s="51" t="n">
        <v>0</v>
      </c>
    </row>
    <row r="617" customFormat="false" ht="15" hidden="true" customHeight="false" outlineLevel="0" collapsed="false">
      <c r="A617" s="51" t="s">
        <v>494</v>
      </c>
      <c r="B617" s="55" t="n">
        <v>44104</v>
      </c>
      <c r="C617" s="51" t="s">
        <v>782</v>
      </c>
      <c r="D617" s="51" t="n">
        <v>0</v>
      </c>
    </row>
    <row r="618" customFormat="false" ht="15" hidden="true" customHeight="false" outlineLevel="0" collapsed="false">
      <c r="A618" s="51" t="s">
        <v>499</v>
      </c>
      <c r="B618" s="55" t="n">
        <v>44104</v>
      </c>
      <c r="C618" s="51" t="s">
        <v>782</v>
      </c>
      <c r="D618" s="51" t="n">
        <v>0</v>
      </c>
    </row>
    <row r="619" customFormat="false" ht="15" hidden="true" customHeight="false" outlineLevel="0" collapsed="false">
      <c r="A619" s="51" t="s">
        <v>504</v>
      </c>
      <c r="B619" s="55" t="n">
        <v>44104</v>
      </c>
      <c r="C619" s="51" t="s">
        <v>782</v>
      </c>
      <c r="D619" s="51" t="n">
        <v>0</v>
      </c>
    </row>
    <row r="620" customFormat="false" ht="15" hidden="true" customHeight="false" outlineLevel="0" collapsed="false">
      <c r="A620" s="51" t="s">
        <v>509</v>
      </c>
      <c r="B620" s="55" t="n">
        <v>44104</v>
      </c>
      <c r="C620" s="51" t="s">
        <v>782</v>
      </c>
      <c r="D620" s="51" t="n">
        <v>0</v>
      </c>
    </row>
    <row r="621" customFormat="false" ht="15" hidden="true" customHeight="false" outlineLevel="0" collapsed="false">
      <c r="A621" s="51" t="s">
        <v>515</v>
      </c>
      <c r="B621" s="55" t="n">
        <v>44104</v>
      </c>
      <c r="C621" s="51" t="s">
        <v>782</v>
      </c>
      <c r="D621" s="51" t="n">
        <v>0</v>
      </c>
    </row>
    <row r="622" customFormat="false" ht="15" hidden="true" customHeight="false" outlineLevel="0" collapsed="false">
      <c r="A622" s="51" t="s">
        <v>520</v>
      </c>
      <c r="B622" s="55" t="n">
        <v>44104</v>
      </c>
      <c r="C622" s="51" t="s">
        <v>782</v>
      </c>
      <c r="D622" s="51" t="n">
        <v>0</v>
      </c>
    </row>
    <row r="623" customFormat="false" ht="15" hidden="true" customHeight="false" outlineLevel="0" collapsed="false">
      <c r="A623" s="51" t="s">
        <v>525</v>
      </c>
      <c r="B623" s="55" t="n">
        <v>44104</v>
      </c>
      <c r="C623" s="51" t="s">
        <v>782</v>
      </c>
      <c r="D623" s="51" t="n">
        <v>0</v>
      </c>
    </row>
    <row r="624" customFormat="false" ht="15" hidden="true" customHeight="false" outlineLevel="0" collapsed="false">
      <c r="A624" s="51" t="s">
        <v>531</v>
      </c>
      <c r="B624" s="55" t="n">
        <v>44104</v>
      </c>
      <c r="C624" s="51" t="s">
        <v>782</v>
      </c>
      <c r="D624" s="51" t="n">
        <v>0</v>
      </c>
    </row>
    <row r="625" customFormat="false" ht="15" hidden="true" customHeight="false" outlineLevel="0" collapsed="false">
      <c r="A625" s="51" t="s">
        <v>536</v>
      </c>
      <c r="B625" s="55" t="n">
        <v>44104</v>
      </c>
      <c r="C625" s="51" t="s">
        <v>782</v>
      </c>
      <c r="D625" s="51" t="n">
        <v>0</v>
      </c>
    </row>
    <row r="626" customFormat="false" ht="15" hidden="true" customHeight="false" outlineLevel="0" collapsed="false">
      <c r="A626" s="51" t="s">
        <v>541</v>
      </c>
      <c r="B626" s="55" t="n">
        <v>44104</v>
      </c>
      <c r="C626" s="51" t="s">
        <v>782</v>
      </c>
      <c r="D626" s="51" t="n">
        <v>0</v>
      </c>
    </row>
    <row r="627" customFormat="false" ht="15" hidden="true" customHeight="false" outlineLevel="0" collapsed="false">
      <c r="A627" s="51" t="s">
        <v>549</v>
      </c>
      <c r="B627" s="55" t="n">
        <v>44104</v>
      </c>
      <c r="C627" s="51" t="s">
        <v>782</v>
      </c>
      <c r="D627" s="51" t="n">
        <v>0</v>
      </c>
    </row>
    <row r="628" customFormat="false" ht="15" hidden="true" customHeight="false" outlineLevel="0" collapsed="false">
      <c r="A628" s="51" t="s">
        <v>554</v>
      </c>
      <c r="B628" s="55" t="n">
        <v>44104</v>
      </c>
      <c r="C628" s="51" t="s">
        <v>782</v>
      </c>
      <c r="D628" s="51" t="n">
        <v>0</v>
      </c>
    </row>
    <row r="629" customFormat="false" ht="15" hidden="true" customHeight="false" outlineLevel="0" collapsed="false">
      <c r="A629" s="51" t="s">
        <v>559</v>
      </c>
      <c r="B629" s="55" t="n">
        <v>44104</v>
      </c>
      <c r="C629" s="51" t="s">
        <v>782</v>
      </c>
      <c r="D629" s="51" t="n">
        <v>0</v>
      </c>
    </row>
    <row r="630" customFormat="false" ht="15" hidden="true" customHeight="false" outlineLevel="0" collapsed="false">
      <c r="A630" s="51" t="s">
        <v>564</v>
      </c>
      <c r="B630" s="55" t="n">
        <v>44104</v>
      </c>
      <c r="C630" s="51" t="s">
        <v>782</v>
      </c>
      <c r="D630" s="51" t="n">
        <v>0</v>
      </c>
    </row>
    <row r="631" customFormat="false" ht="15" hidden="true" customHeight="false" outlineLevel="0" collapsed="false">
      <c r="A631" s="51" t="s">
        <v>569</v>
      </c>
      <c r="B631" s="55" t="n">
        <v>44104</v>
      </c>
      <c r="C631" s="51" t="s">
        <v>782</v>
      </c>
      <c r="D631" s="51" t="n">
        <v>0</v>
      </c>
    </row>
    <row r="632" customFormat="false" ht="15" hidden="true" customHeight="false" outlineLevel="0" collapsed="false">
      <c r="A632" s="51" t="s">
        <v>574</v>
      </c>
      <c r="B632" s="55" t="n">
        <v>44104</v>
      </c>
      <c r="C632" s="51" t="s">
        <v>782</v>
      </c>
      <c r="D632" s="51" t="n">
        <v>0</v>
      </c>
    </row>
    <row r="633" customFormat="false" ht="15" hidden="true" customHeight="false" outlineLevel="0" collapsed="false">
      <c r="A633" s="51" t="s">
        <v>579</v>
      </c>
      <c r="B633" s="55" t="n">
        <v>44104</v>
      </c>
      <c r="C633" s="51" t="s">
        <v>782</v>
      </c>
      <c r="D633" s="51" t="n">
        <v>0</v>
      </c>
    </row>
    <row r="634" customFormat="false" ht="15" hidden="true" customHeight="false" outlineLevel="0" collapsed="false">
      <c r="A634" s="51" t="s">
        <v>584</v>
      </c>
      <c r="B634" s="55" t="n">
        <v>44104</v>
      </c>
      <c r="C634" s="51" t="s">
        <v>782</v>
      </c>
      <c r="D634" s="51" t="n">
        <v>0</v>
      </c>
    </row>
    <row r="635" customFormat="false" ht="15" hidden="true" customHeight="false" outlineLevel="0" collapsed="false">
      <c r="A635" s="51" t="s">
        <v>589</v>
      </c>
      <c r="B635" s="55" t="n">
        <v>44104</v>
      </c>
      <c r="C635" s="51" t="s">
        <v>782</v>
      </c>
      <c r="D635" s="51" t="n">
        <v>0</v>
      </c>
    </row>
    <row r="636" customFormat="false" ht="15" hidden="true" customHeight="false" outlineLevel="0" collapsed="false">
      <c r="A636" s="51" t="s">
        <v>756</v>
      </c>
      <c r="B636" s="55" t="n">
        <v>44104</v>
      </c>
      <c r="C636" s="51" t="s">
        <v>782</v>
      </c>
      <c r="D636" s="51" t="n">
        <v>0</v>
      </c>
    </row>
    <row r="637" customFormat="false" ht="15" hidden="true" customHeight="false" outlineLevel="0" collapsed="false">
      <c r="A637" s="51" t="s">
        <v>594</v>
      </c>
      <c r="B637" s="55" t="n">
        <v>44104</v>
      </c>
      <c r="C637" s="51" t="s">
        <v>782</v>
      </c>
      <c r="D637" s="51" t="n">
        <v>0</v>
      </c>
    </row>
    <row r="638" customFormat="false" ht="15" hidden="true" customHeight="false" outlineLevel="0" collapsed="false">
      <c r="A638" s="51" t="s">
        <v>761</v>
      </c>
      <c r="B638" s="55" t="n">
        <v>44104</v>
      </c>
      <c r="C638" s="51" t="s">
        <v>782</v>
      </c>
      <c r="D638" s="51" t="n">
        <v>0</v>
      </c>
    </row>
    <row r="639" customFormat="false" ht="15" hidden="true" customHeight="false" outlineLevel="0" collapsed="false">
      <c r="A639" s="51" t="s">
        <v>599</v>
      </c>
      <c r="B639" s="55" t="n">
        <v>44104</v>
      </c>
      <c r="C639" s="51" t="s">
        <v>782</v>
      </c>
      <c r="D639" s="51" t="n">
        <v>0</v>
      </c>
    </row>
    <row r="640" customFormat="false" ht="15" hidden="true" customHeight="false" outlineLevel="0" collapsed="false">
      <c r="A640" s="51" t="s">
        <v>604</v>
      </c>
      <c r="B640" s="55" t="n">
        <v>44104</v>
      </c>
      <c r="C640" s="51" t="s">
        <v>782</v>
      </c>
      <c r="D640" s="51" t="n">
        <v>0</v>
      </c>
    </row>
    <row r="641" customFormat="false" ht="15" hidden="true" customHeight="false" outlineLevel="0" collapsed="false">
      <c r="A641" s="51" t="s">
        <v>609</v>
      </c>
      <c r="B641" s="55" t="n">
        <v>44104</v>
      </c>
      <c r="C641" s="51" t="s">
        <v>782</v>
      </c>
      <c r="D641" s="51" t="n">
        <v>0</v>
      </c>
    </row>
    <row r="642" customFormat="false" ht="15" hidden="true" customHeight="false" outlineLevel="0" collapsed="false">
      <c r="A642" s="51" t="s">
        <v>614</v>
      </c>
      <c r="B642" s="55" t="n">
        <v>44104</v>
      </c>
      <c r="C642" s="51" t="s">
        <v>782</v>
      </c>
      <c r="D642" s="51" t="n">
        <v>0</v>
      </c>
    </row>
    <row r="643" customFormat="false" ht="15" hidden="true" customHeight="false" outlineLevel="0" collapsed="false">
      <c r="A643" s="51" t="s">
        <v>619</v>
      </c>
      <c r="B643" s="55" t="n">
        <v>44104</v>
      </c>
      <c r="C643" s="51" t="s">
        <v>782</v>
      </c>
      <c r="D643" s="51" t="n">
        <v>0</v>
      </c>
    </row>
    <row r="644" customFormat="false" ht="15" hidden="true" customHeight="false" outlineLevel="0" collapsed="false">
      <c r="A644" s="51" t="s">
        <v>624</v>
      </c>
      <c r="B644" s="55" t="n">
        <v>44104</v>
      </c>
      <c r="C644" s="51" t="s">
        <v>782</v>
      </c>
      <c r="D644" s="51" t="n">
        <v>0</v>
      </c>
    </row>
    <row r="645" customFormat="false" ht="15" hidden="true" customHeight="false" outlineLevel="0" collapsed="false">
      <c r="A645" s="51" t="s">
        <v>629</v>
      </c>
      <c r="B645" s="55" t="n">
        <v>44104</v>
      </c>
      <c r="C645" s="51" t="s">
        <v>782</v>
      </c>
      <c r="D645" s="51" t="n">
        <v>0</v>
      </c>
    </row>
    <row r="646" customFormat="false" ht="15" hidden="true" customHeight="false" outlineLevel="0" collapsed="false">
      <c r="A646" s="51" t="s">
        <v>633</v>
      </c>
      <c r="B646" s="55" t="n">
        <v>44104</v>
      </c>
      <c r="C646" s="51" t="s">
        <v>782</v>
      </c>
      <c r="D646" s="51" t="n">
        <v>0</v>
      </c>
    </row>
    <row r="647" customFormat="false" ht="15" hidden="true" customHeight="false" outlineLevel="0" collapsed="false">
      <c r="A647" s="51" t="s">
        <v>638</v>
      </c>
      <c r="B647" s="55" t="n">
        <v>44104</v>
      </c>
      <c r="C647" s="51" t="s">
        <v>782</v>
      </c>
      <c r="D647" s="51" t="n">
        <v>0</v>
      </c>
    </row>
    <row r="648" customFormat="false" ht="15" hidden="true" customHeight="false" outlineLevel="0" collapsed="false">
      <c r="A648" s="51" t="s">
        <v>642</v>
      </c>
      <c r="B648" s="55" t="n">
        <v>44104</v>
      </c>
      <c r="C648" s="51" t="s">
        <v>782</v>
      </c>
      <c r="D648" s="51" t="n">
        <v>0</v>
      </c>
    </row>
    <row r="649" customFormat="false" ht="15" hidden="true" customHeight="false" outlineLevel="0" collapsed="false">
      <c r="A649" s="51" t="s">
        <v>646</v>
      </c>
      <c r="B649" s="55" t="n">
        <v>44104</v>
      </c>
      <c r="C649" s="51" t="s">
        <v>782</v>
      </c>
      <c r="D649" s="51" t="n">
        <v>0</v>
      </c>
    </row>
    <row r="650" customFormat="false" ht="15" hidden="true" customHeight="false" outlineLevel="0" collapsed="false">
      <c r="A650" s="51" t="s">
        <v>651</v>
      </c>
      <c r="B650" s="55" t="n">
        <v>44104</v>
      </c>
      <c r="C650" s="51" t="s">
        <v>782</v>
      </c>
      <c r="D650" s="51" t="n">
        <v>0</v>
      </c>
    </row>
    <row r="651" customFormat="false" ht="15" hidden="true" customHeight="false" outlineLevel="0" collapsed="false">
      <c r="A651" s="51" t="s">
        <v>656</v>
      </c>
      <c r="B651" s="55" t="n">
        <v>44104</v>
      </c>
      <c r="C651" s="51" t="s">
        <v>782</v>
      </c>
      <c r="D651" s="51" t="n">
        <v>0</v>
      </c>
    </row>
    <row r="652" customFormat="false" ht="15" hidden="true" customHeight="false" outlineLevel="0" collapsed="false">
      <c r="A652" s="51" t="s">
        <v>661</v>
      </c>
      <c r="B652" s="55" t="n">
        <v>44104</v>
      </c>
      <c r="C652" s="51" t="s">
        <v>782</v>
      </c>
      <c r="D652" s="51" t="n">
        <v>0</v>
      </c>
    </row>
    <row r="653" customFormat="false" ht="15" hidden="true" customHeight="false" outlineLevel="0" collapsed="false">
      <c r="A653" s="51" t="s">
        <v>666</v>
      </c>
      <c r="B653" s="55" t="n">
        <v>44104</v>
      </c>
      <c r="C653" s="51" t="s">
        <v>782</v>
      </c>
      <c r="D653" s="51" t="n">
        <v>0</v>
      </c>
    </row>
    <row r="654" customFormat="false" ht="15" hidden="true" customHeight="false" outlineLevel="0" collapsed="false">
      <c r="A654" s="51" t="s">
        <v>671</v>
      </c>
      <c r="B654" s="55" t="n">
        <v>44104</v>
      </c>
      <c r="C654" s="51" t="s">
        <v>782</v>
      </c>
      <c r="D654" s="51" t="n">
        <v>0</v>
      </c>
    </row>
    <row r="655" customFormat="false" ht="15" hidden="true" customHeight="false" outlineLevel="0" collapsed="false">
      <c r="A655" s="51" t="s">
        <v>676</v>
      </c>
      <c r="B655" s="55" t="n">
        <v>44104</v>
      </c>
      <c r="C655" s="51" t="s">
        <v>782</v>
      </c>
      <c r="D655" s="51" t="n">
        <v>0</v>
      </c>
    </row>
    <row r="656" customFormat="false" ht="15" hidden="true" customHeight="false" outlineLevel="0" collapsed="false">
      <c r="A656" s="51" t="s">
        <v>681</v>
      </c>
      <c r="B656" s="55" t="n">
        <v>44104</v>
      </c>
      <c r="C656" s="51" t="s">
        <v>782</v>
      </c>
      <c r="D656" s="51" t="n">
        <v>0</v>
      </c>
    </row>
    <row r="657" customFormat="false" ht="15" hidden="true" customHeight="false" outlineLevel="0" collapsed="false">
      <c r="A657" s="51" t="s">
        <v>686</v>
      </c>
      <c r="B657" s="55" t="n">
        <v>44104</v>
      </c>
      <c r="C657" s="51" t="s">
        <v>782</v>
      </c>
      <c r="D657" s="51" t="n">
        <v>0</v>
      </c>
    </row>
    <row r="658" customFormat="false" ht="15" hidden="true" customHeight="false" outlineLevel="0" collapsed="false">
      <c r="A658" s="51" t="s">
        <v>691</v>
      </c>
      <c r="B658" s="55" t="n">
        <v>44104</v>
      </c>
      <c r="C658" s="51" t="s">
        <v>782</v>
      </c>
      <c r="D658" s="51" t="n">
        <v>0</v>
      </c>
    </row>
    <row r="659" customFormat="false" ht="15" hidden="true" customHeight="false" outlineLevel="0" collapsed="false">
      <c r="A659" s="51" t="s">
        <v>696</v>
      </c>
      <c r="B659" s="55" t="n">
        <v>44104</v>
      </c>
      <c r="C659" s="51" t="s">
        <v>782</v>
      </c>
      <c r="D659" s="51" t="n">
        <v>0</v>
      </c>
    </row>
    <row r="660" customFormat="false" ht="15" hidden="true" customHeight="false" outlineLevel="0" collapsed="false">
      <c r="A660" s="51" t="s">
        <v>701</v>
      </c>
      <c r="B660" s="55" t="n">
        <v>44104</v>
      </c>
      <c r="C660" s="51" t="s">
        <v>782</v>
      </c>
      <c r="D660" s="51" t="n">
        <v>0</v>
      </c>
    </row>
    <row r="661" customFormat="false" ht="15" hidden="true" customHeight="false" outlineLevel="0" collapsed="false">
      <c r="A661" s="51" t="s">
        <v>707</v>
      </c>
      <c r="B661" s="55" t="n">
        <v>44104</v>
      </c>
      <c r="C661" s="51" t="s">
        <v>782</v>
      </c>
      <c r="D661" s="51" t="n">
        <v>0</v>
      </c>
    </row>
    <row r="662" customFormat="false" ht="15" hidden="true" customHeight="false" outlineLevel="0" collapsed="false">
      <c r="A662" s="51" t="s">
        <v>712</v>
      </c>
      <c r="B662" s="55" t="n">
        <v>44104</v>
      </c>
      <c r="C662" s="51" t="s">
        <v>782</v>
      </c>
      <c r="D662" s="51" t="n">
        <v>0</v>
      </c>
    </row>
    <row r="663" customFormat="false" ht="15" hidden="true" customHeight="false" outlineLevel="0" collapsed="false">
      <c r="A663" s="51" t="s">
        <v>717</v>
      </c>
      <c r="B663" s="55" t="n">
        <v>44104</v>
      </c>
      <c r="C663" s="51" t="s">
        <v>782</v>
      </c>
      <c r="D663" s="51" t="n">
        <v>0</v>
      </c>
    </row>
    <row r="664" customFormat="false" ht="15" hidden="true" customHeight="false" outlineLevel="0" collapsed="false">
      <c r="A664" s="51" t="s">
        <v>767</v>
      </c>
      <c r="B664" s="55" t="n">
        <v>44104</v>
      </c>
      <c r="C664" s="51" t="s">
        <v>782</v>
      </c>
      <c r="D664" s="51" t="n">
        <v>0</v>
      </c>
    </row>
    <row r="665" customFormat="false" ht="15" hidden="true" customHeight="false" outlineLevel="0" collapsed="false">
      <c r="A665" s="51" t="s">
        <v>722</v>
      </c>
      <c r="B665" s="55" t="n">
        <v>44104</v>
      </c>
      <c r="C665" s="51" t="s">
        <v>782</v>
      </c>
      <c r="D665" s="51" t="n">
        <v>0</v>
      </c>
    </row>
    <row r="666" customFormat="false" ht="15" hidden="true" customHeight="false" outlineLevel="0" collapsed="false">
      <c r="A666" s="51" t="s">
        <v>727</v>
      </c>
      <c r="B666" s="55" t="n">
        <v>44104</v>
      </c>
      <c r="C666" s="51" t="s">
        <v>782</v>
      </c>
      <c r="D666" s="51" t="n">
        <v>0</v>
      </c>
    </row>
    <row r="667" customFormat="false" ht="15" hidden="true" customHeight="false" outlineLevel="0" collapsed="false">
      <c r="A667" s="51" t="s">
        <v>732</v>
      </c>
      <c r="B667" s="55" t="n">
        <v>44104</v>
      </c>
      <c r="C667" s="51" t="s">
        <v>782</v>
      </c>
      <c r="D667" s="51" t="n">
        <v>0</v>
      </c>
    </row>
    <row r="668" customFormat="false" ht="15" hidden="true" customHeight="false" outlineLevel="0" collapsed="false">
      <c r="A668" s="51" t="s">
        <v>736</v>
      </c>
      <c r="B668" s="55" t="n">
        <v>44104</v>
      </c>
      <c r="C668" s="51" t="s">
        <v>782</v>
      </c>
      <c r="D668" s="51" t="n">
        <v>0</v>
      </c>
    </row>
    <row r="669" customFormat="false" ht="15" hidden="true" customHeight="false" outlineLevel="0" collapsed="false">
      <c r="A669" s="51" t="s">
        <v>741</v>
      </c>
      <c r="B669" s="55" t="n">
        <v>44104</v>
      </c>
      <c r="C669" s="51" t="s">
        <v>782</v>
      </c>
      <c r="D669" s="51" t="n">
        <v>0</v>
      </c>
    </row>
    <row r="670" customFormat="false" ht="15" hidden="true" customHeight="false" outlineLevel="0" collapsed="false">
      <c r="A670" s="51" t="s">
        <v>746</v>
      </c>
      <c r="B670" s="55" t="n">
        <v>44104</v>
      </c>
      <c r="C670" s="51" t="s">
        <v>782</v>
      </c>
      <c r="D670" s="51" t="n">
        <v>0</v>
      </c>
    </row>
    <row r="671" customFormat="false" ht="15" hidden="true" customHeight="false" outlineLevel="0" collapsed="false">
      <c r="A671" s="51" t="s">
        <v>751</v>
      </c>
      <c r="B671" s="55" t="n">
        <v>44104</v>
      </c>
      <c r="C671" s="51" t="s">
        <v>782</v>
      </c>
      <c r="D671" s="51" t="n">
        <v>0</v>
      </c>
    </row>
    <row r="672" customFormat="false" ht="15" hidden="false" customHeight="false" outlineLevel="0" collapsed="false">
      <c r="A672" s="51" t="s">
        <v>781</v>
      </c>
      <c r="B672" s="55" t="n">
        <v>44104</v>
      </c>
      <c r="C672" s="51" t="s">
        <v>82</v>
      </c>
      <c r="D672" s="51" t="n">
        <v>27100000</v>
      </c>
    </row>
    <row r="673" customFormat="false" ht="15" hidden="true" customHeight="false" outlineLevel="0" collapsed="false">
      <c r="A673" s="51" t="s">
        <v>783</v>
      </c>
      <c r="B673" s="55" t="n">
        <v>44104</v>
      </c>
      <c r="C673" s="51" t="s">
        <v>82</v>
      </c>
      <c r="D673" s="51" t="n">
        <v>900000</v>
      </c>
    </row>
    <row r="674" customFormat="false" ht="15" hidden="true" customHeight="false" outlineLevel="0" collapsed="false">
      <c r="A674" s="51" t="s">
        <v>96</v>
      </c>
      <c r="B674" s="55" t="n">
        <v>44104</v>
      </c>
      <c r="C674" s="51" t="s">
        <v>82</v>
      </c>
      <c r="D674" s="51" t="n">
        <v>5651000</v>
      </c>
    </row>
    <row r="675" customFormat="false" ht="15" hidden="true" customHeight="false" outlineLevel="0" collapsed="false">
      <c r="A675" s="51" t="s">
        <v>101</v>
      </c>
      <c r="B675" s="55" t="n">
        <v>44104</v>
      </c>
      <c r="C675" s="51" t="s">
        <v>82</v>
      </c>
      <c r="D675" s="51" t="n">
        <v>0</v>
      </c>
    </row>
    <row r="676" customFormat="false" ht="15" hidden="true" customHeight="false" outlineLevel="0" collapsed="false">
      <c r="A676" s="51" t="s">
        <v>106</v>
      </c>
      <c r="B676" s="55" t="n">
        <v>44104</v>
      </c>
      <c r="C676" s="51" t="s">
        <v>82</v>
      </c>
      <c r="D676" s="51" t="n">
        <v>1000000</v>
      </c>
    </row>
    <row r="677" customFormat="false" ht="15" hidden="true" customHeight="false" outlineLevel="0" collapsed="false">
      <c r="A677" s="51" t="s">
        <v>110</v>
      </c>
      <c r="B677" s="55" t="n">
        <v>44104</v>
      </c>
      <c r="C677" s="51" t="s">
        <v>82</v>
      </c>
      <c r="D677" s="51" t="n">
        <v>1849000</v>
      </c>
    </row>
    <row r="678" customFormat="false" ht="15" hidden="true" customHeight="false" outlineLevel="0" collapsed="false">
      <c r="A678" s="51" t="s">
        <v>115</v>
      </c>
      <c r="B678" s="55" t="n">
        <v>44104</v>
      </c>
      <c r="C678" s="51" t="s">
        <v>82</v>
      </c>
      <c r="D678" s="51" t="n">
        <v>180000</v>
      </c>
    </row>
    <row r="679" customFormat="false" ht="15" hidden="true" customHeight="false" outlineLevel="0" collapsed="false">
      <c r="A679" s="51" t="s">
        <v>120</v>
      </c>
      <c r="B679" s="55" t="n">
        <v>44104</v>
      </c>
      <c r="C679" s="51" t="s">
        <v>82</v>
      </c>
      <c r="D679" s="51" t="n">
        <v>800000</v>
      </c>
    </row>
    <row r="680" customFormat="false" ht="15" hidden="true" customHeight="false" outlineLevel="0" collapsed="false">
      <c r="A680" s="51" t="s">
        <v>124</v>
      </c>
      <c r="B680" s="55" t="n">
        <v>44104</v>
      </c>
      <c r="C680" s="51" t="s">
        <v>82</v>
      </c>
      <c r="D680" s="51" t="n">
        <v>9391000</v>
      </c>
    </row>
    <row r="681" customFormat="false" ht="15" hidden="true" customHeight="false" outlineLevel="0" collapsed="false">
      <c r="A681" s="51" t="s">
        <v>129</v>
      </c>
      <c r="B681" s="55" t="n">
        <v>44104</v>
      </c>
      <c r="C681" s="51" t="s">
        <v>82</v>
      </c>
      <c r="D681" s="51" t="n">
        <v>695780</v>
      </c>
    </row>
    <row r="682" customFormat="false" ht="15" hidden="true" customHeight="false" outlineLevel="0" collapsed="false">
      <c r="A682" s="51" t="s">
        <v>134</v>
      </c>
      <c r="B682" s="55" t="n">
        <v>44104</v>
      </c>
      <c r="C682" s="51" t="s">
        <v>82</v>
      </c>
      <c r="D682" s="51" t="n">
        <v>2337926</v>
      </c>
    </row>
    <row r="683" customFormat="false" ht="15" hidden="true" customHeight="false" outlineLevel="0" collapsed="false">
      <c r="A683" s="51" t="s">
        <v>141</v>
      </c>
      <c r="B683" s="55" t="n">
        <v>44104</v>
      </c>
      <c r="C683" s="51" t="s">
        <v>82</v>
      </c>
      <c r="D683" s="51" t="n">
        <v>0</v>
      </c>
    </row>
    <row r="684" customFormat="false" ht="15" hidden="true" customHeight="false" outlineLevel="0" collapsed="false">
      <c r="A684" s="51" t="s">
        <v>146</v>
      </c>
      <c r="B684" s="55" t="n">
        <v>44104</v>
      </c>
      <c r="C684" s="51" t="s">
        <v>82</v>
      </c>
      <c r="D684" s="51" t="n">
        <v>500000</v>
      </c>
    </row>
    <row r="685" customFormat="false" ht="15" hidden="true" customHeight="false" outlineLevel="0" collapsed="false">
      <c r="A685" s="51" t="s">
        <v>151</v>
      </c>
      <c r="B685" s="55" t="n">
        <v>44104</v>
      </c>
      <c r="C685" s="51" t="s">
        <v>82</v>
      </c>
      <c r="D685" s="51" t="n">
        <v>0</v>
      </c>
    </row>
    <row r="686" customFormat="false" ht="15" hidden="true" customHeight="false" outlineLevel="0" collapsed="false">
      <c r="A686" s="51" t="s">
        <v>156</v>
      </c>
      <c r="B686" s="55" t="n">
        <v>44104</v>
      </c>
      <c r="C686" s="51" t="s">
        <v>82</v>
      </c>
      <c r="D686" s="51" t="n">
        <v>0</v>
      </c>
    </row>
    <row r="687" customFormat="false" ht="15" hidden="true" customHeight="false" outlineLevel="0" collapsed="false">
      <c r="A687" s="51" t="s">
        <v>161</v>
      </c>
      <c r="B687" s="55" t="n">
        <v>44104</v>
      </c>
      <c r="C687" s="51" t="s">
        <v>82</v>
      </c>
      <c r="D687" s="51" t="n">
        <v>0</v>
      </c>
    </row>
    <row r="688" customFormat="false" ht="15" hidden="true" customHeight="false" outlineLevel="0" collapsed="false">
      <c r="A688" s="51" t="s">
        <v>166</v>
      </c>
      <c r="B688" s="55" t="n">
        <v>44104</v>
      </c>
      <c r="C688" s="51" t="s">
        <v>82</v>
      </c>
      <c r="D688" s="51" t="n">
        <v>0</v>
      </c>
    </row>
    <row r="689" customFormat="false" ht="15" hidden="true" customHeight="false" outlineLevel="0" collapsed="false">
      <c r="A689" s="51" t="s">
        <v>171</v>
      </c>
      <c r="B689" s="55" t="n">
        <v>44104</v>
      </c>
      <c r="C689" s="51" t="s">
        <v>82</v>
      </c>
      <c r="D689" s="51" t="n">
        <v>0</v>
      </c>
    </row>
    <row r="690" customFormat="false" ht="15" hidden="true" customHeight="false" outlineLevel="0" collapsed="false">
      <c r="A690" s="51" t="s">
        <v>176</v>
      </c>
      <c r="B690" s="55" t="n">
        <v>44104</v>
      </c>
      <c r="C690" s="51" t="s">
        <v>82</v>
      </c>
      <c r="D690" s="51" t="n">
        <v>0</v>
      </c>
    </row>
    <row r="691" customFormat="false" ht="15" hidden="true" customHeight="false" outlineLevel="0" collapsed="false">
      <c r="A691" s="51" t="s">
        <v>181</v>
      </c>
      <c r="B691" s="55" t="n">
        <v>44104</v>
      </c>
      <c r="C691" s="51" t="s">
        <v>82</v>
      </c>
      <c r="D691" s="51" t="n">
        <v>0</v>
      </c>
    </row>
    <row r="692" customFormat="false" ht="15" hidden="true" customHeight="false" outlineLevel="0" collapsed="false">
      <c r="A692" s="51" t="s">
        <v>186</v>
      </c>
      <c r="B692" s="55" t="n">
        <v>44104</v>
      </c>
      <c r="C692" s="51" t="s">
        <v>82</v>
      </c>
      <c r="D692" s="51" t="n">
        <v>0</v>
      </c>
    </row>
    <row r="693" customFormat="false" ht="15" hidden="true" customHeight="false" outlineLevel="0" collapsed="false">
      <c r="A693" s="51" t="s">
        <v>191</v>
      </c>
      <c r="B693" s="55" t="n">
        <v>44104</v>
      </c>
      <c r="C693" s="51" t="s">
        <v>82</v>
      </c>
      <c r="D693" s="51" t="n">
        <v>0</v>
      </c>
    </row>
    <row r="694" customFormat="false" ht="15" hidden="true" customHeight="false" outlineLevel="0" collapsed="false">
      <c r="A694" s="51" t="s">
        <v>196</v>
      </c>
      <c r="B694" s="55" t="n">
        <v>44104</v>
      </c>
      <c r="C694" s="51" t="s">
        <v>82</v>
      </c>
      <c r="D694" s="51" t="n">
        <v>0</v>
      </c>
    </row>
    <row r="695" customFormat="false" ht="15" hidden="true" customHeight="false" outlineLevel="0" collapsed="false">
      <c r="A695" s="51" t="s">
        <v>201</v>
      </c>
      <c r="B695" s="55" t="n">
        <v>44104</v>
      </c>
      <c r="C695" s="51" t="s">
        <v>82</v>
      </c>
      <c r="D695" s="51" t="n">
        <v>0</v>
      </c>
    </row>
    <row r="696" customFormat="false" ht="15" hidden="true" customHeight="false" outlineLevel="0" collapsed="false">
      <c r="A696" s="51" t="s">
        <v>206</v>
      </c>
      <c r="B696" s="55" t="n">
        <v>44104</v>
      </c>
      <c r="C696" s="51" t="s">
        <v>82</v>
      </c>
      <c r="D696" s="51" t="n">
        <v>0</v>
      </c>
    </row>
    <row r="697" customFormat="false" ht="15" hidden="true" customHeight="false" outlineLevel="0" collapsed="false">
      <c r="A697" s="51" t="s">
        <v>210</v>
      </c>
      <c r="B697" s="55" t="n">
        <v>44104</v>
      </c>
      <c r="C697" s="51" t="s">
        <v>82</v>
      </c>
      <c r="D697" s="51" t="n">
        <v>0</v>
      </c>
    </row>
    <row r="698" customFormat="false" ht="15" hidden="true" customHeight="false" outlineLevel="0" collapsed="false">
      <c r="A698" s="51" t="s">
        <v>215</v>
      </c>
      <c r="B698" s="55" t="n">
        <v>44104</v>
      </c>
      <c r="C698" s="51" t="s">
        <v>82</v>
      </c>
      <c r="D698" s="51" t="n">
        <v>0</v>
      </c>
    </row>
    <row r="699" customFormat="false" ht="15" hidden="true" customHeight="false" outlineLevel="0" collapsed="false">
      <c r="A699" s="51" t="s">
        <v>790</v>
      </c>
      <c r="B699" s="55" t="n">
        <v>44104</v>
      </c>
      <c r="C699" s="51" t="s">
        <v>82</v>
      </c>
      <c r="D699" s="51" t="n">
        <v>0</v>
      </c>
    </row>
    <row r="700" customFormat="false" ht="15" hidden="true" customHeight="false" outlineLevel="0" collapsed="false">
      <c r="A700" s="51" t="s">
        <v>225</v>
      </c>
      <c r="B700" s="55" t="n">
        <v>44104</v>
      </c>
      <c r="C700" s="51" t="s">
        <v>82</v>
      </c>
      <c r="D700" s="51" t="n">
        <v>0</v>
      </c>
    </row>
    <row r="701" customFormat="false" ht="15" hidden="true" customHeight="false" outlineLevel="0" collapsed="false">
      <c r="A701" s="51" t="s">
        <v>230</v>
      </c>
      <c r="B701" s="55" t="n">
        <v>44104</v>
      </c>
      <c r="C701" s="51" t="s">
        <v>82</v>
      </c>
      <c r="D701" s="51" t="n">
        <v>0</v>
      </c>
    </row>
    <row r="702" customFormat="false" ht="15" hidden="true" customHeight="false" outlineLevel="0" collapsed="false">
      <c r="A702" s="51" t="s">
        <v>235</v>
      </c>
      <c r="B702" s="55" t="n">
        <v>44104</v>
      </c>
      <c r="C702" s="51" t="s">
        <v>82</v>
      </c>
      <c r="D702" s="51" t="n">
        <v>0</v>
      </c>
    </row>
    <row r="703" customFormat="false" ht="15" hidden="true" customHeight="false" outlineLevel="0" collapsed="false">
      <c r="A703" s="51" t="s">
        <v>240</v>
      </c>
      <c r="B703" s="55" t="n">
        <v>44104</v>
      </c>
      <c r="C703" s="51" t="s">
        <v>82</v>
      </c>
      <c r="D703" s="51" t="n">
        <v>0</v>
      </c>
    </row>
    <row r="704" customFormat="false" ht="15" hidden="true" customHeight="false" outlineLevel="0" collapsed="false">
      <c r="A704" s="51" t="s">
        <v>246</v>
      </c>
      <c r="B704" s="55" t="n">
        <v>44104</v>
      </c>
      <c r="C704" s="51" t="s">
        <v>82</v>
      </c>
      <c r="D704" s="51" t="n">
        <v>0</v>
      </c>
    </row>
    <row r="705" customFormat="false" ht="15" hidden="true" customHeight="false" outlineLevel="0" collapsed="false">
      <c r="A705" s="51" t="s">
        <v>252</v>
      </c>
      <c r="B705" s="55" t="n">
        <v>44104</v>
      </c>
      <c r="C705" s="51" t="s">
        <v>82</v>
      </c>
      <c r="D705" s="51" t="n">
        <v>0</v>
      </c>
    </row>
    <row r="706" customFormat="false" ht="15" hidden="true" customHeight="false" outlineLevel="0" collapsed="false">
      <c r="A706" s="51" t="s">
        <v>257</v>
      </c>
      <c r="B706" s="55" t="n">
        <v>44104</v>
      </c>
      <c r="C706" s="51" t="s">
        <v>82</v>
      </c>
      <c r="D706" s="51" t="n">
        <v>0</v>
      </c>
    </row>
    <row r="707" customFormat="false" ht="15" hidden="true" customHeight="false" outlineLevel="0" collapsed="false">
      <c r="A707" s="51" t="s">
        <v>262</v>
      </c>
      <c r="B707" s="55" t="n">
        <v>44104</v>
      </c>
      <c r="C707" s="51" t="s">
        <v>82</v>
      </c>
      <c r="D707" s="51" t="n">
        <v>0</v>
      </c>
    </row>
    <row r="708" customFormat="false" ht="15" hidden="true" customHeight="false" outlineLevel="0" collapsed="false">
      <c r="A708" s="51" t="s">
        <v>267</v>
      </c>
      <c r="B708" s="55" t="n">
        <v>44104</v>
      </c>
      <c r="C708" s="51" t="s">
        <v>82</v>
      </c>
      <c r="D708" s="51" t="n">
        <v>0</v>
      </c>
    </row>
    <row r="709" customFormat="false" ht="15" hidden="true" customHeight="false" outlineLevel="0" collapsed="false">
      <c r="A709" s="51" t="s">
        <v>272</v>
      </c>
      <c r="B709" s="55" t="n">
        <v>44104</v>
      </c>
      <c r="C709" s="51" t="s">
        <v>82</v>
      </c>
      <c r="D709" s="51" t="n">
        <v>0</v>
      </c>
    </row>
    <row r="710" customFormat="false" ht="15" hidden="true" customHeight="false" outlineLevel="0" collapsed="false">
      <c r="A710" s="51" t="s">
        <v>277</v>
      </c>
      <c r="B710" s="55" t="n">
        <v>44104</v>
      </c>
      <c r="C710" s="51" t="s">
        <v>82</v>
      </c>
      <c r="D710" s="51" t="n">
        <v>0</v>
      </c>
    </row>
    <row r="711" customFormat="false" ht="15" hidden="true" customHeight="false" outlineLevel="0" collapsed="false">
      <c r="A711" s="51" t="s">
        <v>282</v>
      </c>
      <c r="B711" s="55" t="n">
        <v>44104</v>
      </c>
      <c r="C711" s="51" t="s">
        <v>82</v>
      </c>
      <c r="D711" s="51" t="n">
        <v>0</v>
      </c>
    </row>
    <row r="712" customFormat="false" ht="15" hidden="true" customHeight="false" outlineLevel="0" collapsed="false">
      <c r="A712" s="51" t="s">
        <v>287</v>
      </c>
      <c r="B712" s="55" t="n">
        <v>44104</v>
      </c>
      <c r="C712" s="51" t="s">
        <v>82</v>
      </c>
      <c r="D712" s="51" t="n">
        <v>0</v>
      </c>
    </row>
    <row r="713" customFormat="false" ht="15" hidden="true" customHeight="false" outlineLevel="0" collapsed="false">
      <c r="A713" s="51" t="s">
        <v>292</v>
      </c>
      <c r="B713" s="55" t="n">
        <v>44104</v>
      </c>
      <c r="C713" s="51" t="s">
        <v>82</v>
      </c>
      <c r="D713" s="51" t="n">
        <v>0</v>
      </c>
    </row>
    <row r="714" customFormat="false" ht="15" hidden="true" customHeight="false" outlineLevel="0" collapsed="false">
      <c r="A714" s="51" t="s">
        <v>297</v>
      </c>
      <c r="B714" s="55" t="n">
        <v>44104</v>
      </c>
      <c r="C714" s="51" t="s">
        <v>82</v>
      </c>
      <c r="D714" s="51" t="n">
        <v>0</v>
      </c>
    </row>
    <row r="715" customFormat="false" ht="15" hidden="true" customHeight="false" outlineLevel="0" collapsed="false">
      <c r="A715" s="51" t="s">
        <v>302</v>
      </c>
      <c r="B715" s="55" t="n">
        <v>44104</v>
      </c>
      <c r="C715" s="51" t="s">
        <v>82</v>
      </c>
      <c r="D715" s="51" t="n">
        <v>0</v>
      </c>
    </row>
    <row r="716" customFormat="false" ht="15" hidden="true" customHeight="false" outlineLevel="0" collapsed="false">
      <c r="A716" s="51" t="s">
        <v>307</v>
      </c>
      <c r="B716" s="55" t="n">
        <v>44104</v>
      </c>
      <c r="C716" s="51" t="s">
        <v>82</v>
      </c>
      <c r="D716" s="51" t="n">
        <v>0</v>
      </c>
    </row>
    <row r="717" customFormat="false" ht="15" hidden="true" customHeight="false" outlineLevel="0" collapsed="false">
      <c r="A717" s="51" t="s">
        <v>311</v>
      </c>
      <c r="B717" s="55" t="n">
        <v>44104</v>
      </c>
      <c r="C717" s="51" t="s">
        <v>82</v>
      </c>
      <c r="D717" s="51" t="n">
        <v>0</v>
      </c>
    </row>
    <row r="718" customFormat="false" ht="15" hidden="true" customHeight="false" outlineLevel="0" collapsed="false">
      <c r="A718" s="51" t="s">
        <v>317</v>
      </c>
      <c r="B718" s="55" t="n">
        <v>44104</v>
      </c>
      <c r="C718" s="51" t="s">
        <v>82</v>
      </c>
      <c r="D718" s="51" t="n">
        <v>0</v>
      </c>
    </row>
    <row r="719" customFormat="false" ht="15" hidden="true" customHeight="false" outlineLevel="0" collapsed="false">
      <c r="A719" s="51" t="s">
        <v>322</v>
      </c>
      <c r="B719" s="55" t="n">
        <v>44104</v>
      </c>
      <c r="C719" s="51" t="s">
        <v>82</v>
      </c>
      <c r="D719" s="51" t="n">
        <v>0</v>
      </c>
    </row>
    <row r="720" customFormat="false" ht="15" hidden="true" customHeight="false" outlineLevel="0" collapsed="false">
      <c r="A720" s="51" t="s">
        <v>327</v>
      </c>
      <c r="B720" s="55" t="n">
        <v>44104</v>
      </c>
      <c r="C720" s="51" t="s">
        <v>82</v>
      </c>
      <c r="D720" s="51" t="n">
        <v>0</v>
      </c>
    </row>
    <row r="721" customFormat="false" ht="15" hidden="true" customHeight="false" outlineLevel="0" collapsed="false">
      <c r="A721" s="51" t="s">
        <v>332</v>
      </c>
      <c r="B721" s="55" t="n">
        <v>44104</v>
      </c>
      <c r="C721" s="51" t="s">
        <v>82</v>
      </c>
      <c r="D721" s="51" t="n">
        <v>0</v>
      </c>
    </row>
    <row r="722" customFormat="false" ht="15" hidden="true" customHeight="false" outlineLevel="0" collapsed="false">
      <c r="A722" s="51" t="s">
        <v>339</v>
      </c>
      <c r="B722" s="55" t="n">
        <v>44104</v>
      </c>
      <c r="C722" s="51" t="s">
        <v>82</v>
      </c>
      <c r="D722" s="51" t="n">
        <v>0</v>
      </c>
    </row>
    <row r="723" customFormat="false" ht="15" hidden="true" customHeight="false" outlineLevel="0" collapsed="false">
      <c r="A723" s="51" t="s">
        <v>344</v>
      </c>
      <c r="B723" s="55" t="n">
        <v>44104</v>
      </c>
      <c r="C723" s="51" t="s">
        <v>82</v>
      </c>
      <c r="D723" s="51" t="n">
        <v>0</v>
      </c>
    </row>
    <row r="724" customFormat="false" ht="15" hidden="true" customHeight="false" outlineLevel="0" collapsed="false">
      <c r="A724" s="51" t="s">
        <v>349</v>
      </c>
      <c r="B724" s="55" t="n">
        <v>44104</v>
      </c>
      <c r="C724" s="51" t="s">
        <v>82</v>
      </c>
      <c r="D724" s="51" t="n">
        <v>0</v>
      </c>
    </row>
    <row r="725" customFormat="false" ht="15" hidden="true" customHeight="false" outlineLevel="0" collapsed="false">
      <c r="A725" s="51" t="s">
        <v>354</v>
      </c>
      <c r="B725" s="55" t="n">
        <v>44104</v>
      </c>
      <c r="C725" s="51" t="s">
        <v>82</v>
      </c>
      <c r="D725" s="51" t="n">
        <v>0</v>
      </c>
    </row>
    <row r="726" customFormat="false" ht="15" hidden="true" customHeight="false" outlineLevel="0" collapsed="false">
      <c r="A726" s="51" t="s">
        <v>359</v>
      </c>
      <c r="B726" s="55" t="n">
        <v>44104</v>
      </c>
      <c r="C726" s="51" t="s">
        <v>82</v>
      </c>
      <c r="D726" s="51" t="n">
        <v>0</v>
      </c>
    </row>
    <row r="727" customFormat="false" ht="15" hidden="true" customHeight="false" outlineLevel="0" collapsed="false">
      <c r="A727" s="51" t="s">
        <v>364</v>
      </c>
      <c r="B727" s="55" t="n">
        <v>44104</v>
      </c>
      <c r="C727" s="51" t="s">
        <v>82</v>
      </c>
      <c r="D727" s="51" t="n">
        <v>0</v>
      </c>
    </row>
    <row r="728" customFormat="false" ht="15" hidden="true" customHeight="false" outlineLevel="0" collapsed="false">
      <c r="A728" s="51" t="s">
        <v>369</v>
      </c>
      <c r="B728" s="55" t="n">
        <v>44104</v>
      </c>
      <c r="C728" s="51" t="s">
        <v>82</v>
      </c>
      <c r="D728" s="51" t="n">
        <v>0</v>
      </c>
    </row>
    <row r="729" customFormat="false" ht="15" hidden="true" customHeight="false" outlineLevel="0" collapsed="false">
      <c r="A729" s="51" t="s">
        <v>374</v>
      </c>
      <c r="B729" s="55" t="n">
        <v>44104</v>
      </c>
      <c r="C729" s="51" t="s">
        <v>82</v>
      </c>
      <c r="D729" s="51" t="n">
        <v>0</v>
      </c>
    </row>
    <row r="730" customFormat="false" ht="15" hidden="true" customHeight="false" outlineLevel="0" collapsed="false">
      <c r="A730" s="51" t="s">
        <v>379</v>
      </c>
      <c r="B730" s="55" t="n">
        <v>44104</v>
      </c>
      <c r="C730" s="51" t="s">
        <v>82</v>
      </c>
      <c r="D730" s="51" t="n">
        <v>0</v>
      </c>
    </row>
    <row r="731" customFormat="false" ht="15" hidden="true" customHeight="false" outlineLevel="0" collapsed="false">
      <c r="A731" s="51" t="s">
        <v>384</v>
      </c>
      <c r="B731" s="55" t="n">
        <v>44104</v>
      </c>
      <c r="C731" s="51" t="s">
        <v>82</v>
      </c>
      <c r="D731" s="51" t="n">
        <v>0</v>
      </c>
    </row>
    <row r="732" customFormat="false" ht="15" hidden="true" customHeight="false" outlineLevel="0" collapsed="false">
      <c r="A732" s="51" t="s">
        <v>389</v>
      </c>
      <c r="B732" s="55" t="n">
        <v>44104</v>
      </c>
      <c r="C732" s="51" t="s">
        <v>82</v>
      </c>
      <c r="D732" s="51" t="n">
        <v>0</v>
      </c>
    </row>
    <row r="733" customFormat="false" ht="15" hidden="true" customHeight="false" outlineLevel="0" collapsed="false">
      <c r="A733" s="51" t="s">
        <v>394</v>
      </c>
      <c r="B733" s="55" t="n">
        <v>44104</v>
      </c>
      <c r="C733" s="51" t="s">
        <v>82</v>
      </c>
      <c r="D733" s="51" t="n">
        <v>0</v>
      </c>
    </row>
    <row r="734" customFormat="false" ht="15" hidden="true" customHeight="false" outlineLevel="0" collapsed="false">
      <c r="A734" s="51" t="s">
        <v>399</v>
      </c>
      <c r="B734" s="55" t="n">
        <v>44104</v>
      </c>
      <c r="C734" s="51" t="s">
        <v>82</v>
      </c>
      <c r="D734" s="51" t="n">
        <v>0</v>
      </c>
    </row>
    <row r="735" customFormat="false" ht="15" hidden="true" customHeight="false" outlineLevel="0" collapsed="false">
      <c r="A735" s="51" t="s">
        <v>404</v>
      </c>
      <c r="B735" s="55" t="n">
        <v>44104</v>
      </c>
      <c r="C735" s="51" t="s">
        <v>82</v>
      </c>
      <c r="D735" s="51" t="n">
        <v>0</v>
      </c>
    </row>
    <row r="736" customFormat="false" ht="15" hidden="true" customHeight="false" outlineLevel="0" collapsed="false">
      <c r="A736" s="51" t="s">
        <v>409</v>
      </c>
      <c r="B736" s="55" t="n">
        <v>44104</v>
      </c>
      <c r="C736" s="51" t="s">
        <v>82</v>
      </c>
      <c r="D736" s="51" t="n">
        <v>0</v>
      </c>
    </row>
    <row r="737" customFormat="false" ht="15" hidden="true" customHeight="false" outlineLevel="0" collapsed="false">
      <c r="A737" s="51" t="s">
        <v>414</v>
      </c>
      <c r="B737" s="55" t="n">
        <v>44104</v>
      </c>
      <c r="C737" s="51" t="s">
        <v>82</v>
      </c>
      <c r="D737" s="51" t="n">
        <v>0</v>
      </c>
    </row>
    <row r="738" customFormat="false" ht="15" hidden="true" customHeight="false" outlineLevel="0" collapsed="false">
      <c r="A738" s="51" t="s">
        <v>419</v>
      </c>
      <c r="B738" s="55" t="n">
        <v>44104</v>
      </c>
      <c r="C738" s="51" t="s">
        <v>82</v>
      </c>
      <c r="D738" s="51" t="n">
        <v>0</v>
      </c>
    </row>
    <row r="739" customFormat="false" ht="15" hidden="true" customHeight="false" outlineLevel="0" collapsed="false">
      <c r="A739" s="51" t="s">
        <v>424</v>
      </c>
      <c r="B739" s="55" t="n">
        <v>44104</v>
      </c>
      <c r="C739" s="51" t="s">
        <v>82</v>
      </c>
      <c r="D739" s="51" t="n">
        <v>0</v>
      </c>
    </row>
    <row r="740" customFormat="false" ht="15" hidden="true" customHeight="false" outlineLevel="0" collapsed="false">
      <c r="A740" s="51" t="s">
        <v>429</v>
      </c>
      <c r="B740" s="55" t="n">
        <v>44104</v>
      </c>
      <c r="C740" s="51" t="s">
        <v>82</v>
      </c>
      <c r="D740" s="51" t="n">
        <v>0</v>
      </c>
    </row>
    <row r="741" customFormat="false" ht="15" hidden="true" customHeight="false" outlineLevel="0" collapsed="false">
      <c r="A741" s="51" t="s">
        <v>434</v>
      </c>
      <c r="B741" s="55" t="n">
        <v>44104</v>
      </c>
      <c r="C741" s="51" t="s">
        <v>82</v>
      </c>
      <c r="D741" s="51" t="n">
        <v>0</v>
      </c>
    </row>
    <row r="742" customFormat="false" ht="15" hidden="true" customHeight="false" outlineLevel="0" collapsed="false">
      <c r="A742" s="51" t="s">
        <v>438</v>
      </c>
      <c r="B742" s="55" t="n">
        <v>44104</v>
      </c>
      <c r="C742" s="51" t="s">
        <v>82</v>
      </c>
      <c r="D742" s="51" t="n">
        <v>0</v>
      </c>
    </row>
    <row r="743" customFormat="false" ht="15" hidden="true" customHeight="false" outlineLevel="0" collapsed="false">
      <c r="A743" s="51" t="s">
        <v>443</v>
      </c>
      <c r="B743" s="55" t="n">
        <v>44104</v>
      </c>
      <c r="C743" s="51" t="s">
        <v>82</v>
      </c>
      <c r="D743" s="51" t="n">
        <v>0</v>
      </c>
    </row>
    <row r="744" customFormat="false" ht="15" hidden="true" customHeight="false" outlineLevel="0" collapsed="false">
      <c r="A744" s="51" t="s">
        <v>448</v>
      </c>
      <c r="B744" s="55" t="n">
        <v>44104</v>
      </c>
      <c r="C744" s="51" t="s">
        <v>82</v>
      </c>
      <c r="D744" s="51" t="n">
        <v>0</v>
      </c>
    </row>
    <row r="745" customFormat="false" ht="15" hidden="true" customHeight="false" outlineLevel="0" collapsed="false">
      <c r="A745" s="51" t="s">
        <v>453</v>
      </c>
      <c r="B745" s="55" t="n">
        <v>44104</v>
      </c>
      <c r="C745" s="51" t="s">
        <v>82</v>
      </c>
      <c r="D745" s="51" t="n">
        <v>0</v>
      </c>
    </row>
    <row r="746" customFormat="false" ht="15" hidden="true" customHeight="false" outlineLevel="0" collapsed="false">
      <c r="A746" s="51" t="s">
        <v>458</v>
      </c>
      <c r="B746" s="55" t="n">
        <v>44104</v>
      </c>
      <c r="C746" s="51" t="s">
        <v>82</v>
      </c>
      <c r="D746" s="51" t="n">
        <v>0</v>
      </c>
    </row>
    <row r="747" customFormat="false" ht="15" hidden="true" customHeight="false" outlineLevel="0" collapsed="false">
      <c r="A747" s="51" t="s">
        <v>473</v>
      </c>
      <c r="B747" s="55" t="n">
        <v>44104</v>
      </c>
      <c r="C747" s="51" t="s">
        <v>82</v>
      </c>
      <c r="D747" s="51" t="n">
        <v>0</v>
      </c>
    </row>
    <row r="748" customFormat="false" ht="15" hidden="true" customHeight="false" outlineLevel="0" collapsed="false">
      <c r="A748" s="51" t="s">
        <v>479</v>
      </c>
      <c r="B748" s="55" t="n">
        <v>44104</v>
      </c>
      <c r="C748" s="51" t="s">
        <v>82</v>
      </c>
      <c r="D748" s="51" t="n">
        <v>0</v>
      </c>
    </row>
    <row r="749" customFormat="false" ht="15" hidden="true" customHeight="false" outlineLevel="0" collapsed="false">
      <c r="A749" s="51" t="s">
        <v>484</v>
      </c>
      <c r="B749" s="55" t="n">
        <v>44104</v>
      </c>
      <c r="C749" s="51" t="s">
        <v>82</v>
      </c>
      <c r="D749" s="51" t="n">
        <v>0</v>
      </c>
    </row>
    <row r="750" customFormat="false" ht="15" hidden="true" customHeight="false" outlineLevel="0" collapsed="false">
      <c r="A750" s="51" t="s">
        <v>489</v>
      </c>
      <c r="B750" s="55" t="n">
        <v>44104</v>
      </c>
      <c r="C750" s="51" t="s">
        <v>82</v>
      </c>
      <c r="D750" s="51" t="n">
        <v>0</v>
      </c>
    </row>
    <row r="751" customFormat="false" ht="15" hidden="true" customHeight="false" outlineLevel="0" collapsed="false">
      <c r="A751" s="51" t="s">
        <v>494</v>
      </c>
      <c r="B751" s="55" t="n">
        <v>44104</v>
      </c>
      <c r="C751" s="51" t="s">
        <v>82</v>
      </c>
      <c r="D751" s="51" t="n">
        <v>0</v>
      </c>
    </row>
    <row r="752" customFormat="false" ht="15" hidden="true" customHeight="false" outlineLevel="0" collapsed="false">
      <c r="A752" s="51" t="s">
        <v>499</v>
      </c>
      <c r="B752" s="55" t="n">
        <v>44104</v>
      </c>
      <c r="C752" s="51" t="s">
        <v>82</v>
      </c>
      <c r="D752" s="51" t="n">
        <v>0</v>
      </c>
    </row>
    <row r="753" customFormat="false" ht="15" hidden="true" customHeight="false" outlineLevel="0" collapsed="false">
      <c r="A753" s="51" t="s">
        <v>504</v>
      </c>
      <c r="B753" s="55" t="n">
        <v>44104</v>
      </c>
      <c r="C753" s="51" t="s">
        <v>82</v>
      </c>
      <c r="D753" s="51" t="n">
        <v>0</v>
      </c>
    </row>
    <row r="754" customFormat="false" ht="15" hidden="true" customHeight="false" outlineLevel="0" collapsed="false">
      <c r="A754" s="51" t="s">
        <v>509</v>
      </c>
      <c r="B754" s="55" t="n">
        <v>44104</v>
      </c>
      <c r="C754" s="51" t="s">
        <v>82</v>
      </c>
      <c r="D754" s="51" t="n">
        <v>0</v>
      </c>
    </row>
    <row r="755" customFormat="false" ht="15" hidden="true" customHeight="false" outlineLevel="0" collapsed="false">
      <c r="A755" s="51" t="s">
        <v>515</v>
      </c>
      <c r="B755" s="55" t="n">
        <v>44104</v>
      </c>
      <c r="C755" s="51" t="s">
        <v>82</v>
      </c>
      <c r="D755" s="51" t="n">
        <v>0</v>
      </c>
    </row>
    <row r="756" customFormat="false" ht="15" hidden="true" customHeight="false" outlineLevel="0" collapsed="false">
      <c r="A756" s="51" t="s">
        <v>520</v>
      </c>
      <c r="B756" s="55" t="n">
        <v>44104</v>
      </c>
      <c r="C756" s="51" t="s">
        <v>82</v>
      </c>
      <c r="D756" s="51" t="n">
        <v>0</v>
      </c>
    </row>
    <row r="757" customFormat="false" ht="15" hidden="true" customHeight="false" outlineLevel="0" collapsed="false">
      <c r="A757" s="51" t="s">
        <v>525</v>
      </c>
      <c r="B757" s="55" t="n">
        <v>44104</v>
      </c>
      <c r="C757" s="51" t="s">
        <v>82</v>
      </c>
      <c r="D757" s="51" t="n">
        <v>0</v>
      </c>
    </row>
    <row r="758" customFormat="false" ht="15" hidden="true" customHeight="false" outlineLevel="0" collapsed="false">
      <c r="A758" s="51" t="s">
        <v>531</v>
      </c>
      <c r="B758" s="55" t="n">
        <v>44104</v>
      </c>
      <c r="C758" s="51" t="s">
        <v>82</v>
      </c>
      <c r="D758" s="51" t="n">
        <v>0</v>
      </c>
    </row>
    <row r="759" customFormat="false" ht="15" hidden="true" customHeight="false" outlineLevel="0" collapsed="false">
      <c r="A759" s="51" t="s">
        <v>536</v>
      </c>
      <c r="B759" s="55" t="n">
        <v>44104</v>
      </c>
      <c r="C759" s="51" t="s">
        <v>82</v>
      </c>
      <c r="D759" s="51" t="n">
        <v>0</v>
      </c>
    </row>
    <row r="760" customFormat="false" ht="15" hidden="true" customHeight="false" outlineLevel="0" collapsed="false">
      <c r="A760" s="51" t="s">
        <v>541</v>
      </c>
      <c r="B760" s="55" t="n">
        <v>44104</v>
      </c>
      <c r="C760" s="51" t="s">
        <v>82</v>
      </c>
      <c r="D760" s="51" t="n">
        <v>0</v>
      </c>
    </row>
    <row r="761" customFormat="false" ht="15" hidden="true" customHeight="false" outlineLevel="0" collapsed="false">
      <c r="A761" s="51" t="s">
        <v>549</v>
      </c>
      <c r="B761" s="55" t="n">
        <v>44104</v>
      </c>
      <c r="C761" s="51" t="s">
        <v>82</v>
      </c>
      <c r="D761" s="51" t="n">
        <v>0</v>
      </c>
    </row>
    <row r="762" customFormat="false" ht="15" hidden="true" customHeight="false" outlineLevel="0" collapsed="false">
      <c r="A762" s="51" t="s">
        <v>554</v>
      </c>
      <c r="B762" s="55" t="n">
        <v>44104</v>
      </c>
      <c r="C762" s="51" t="s">
        <v>82</v>
      </c>
      <c r="D762" s="51" t="n">
        <v>0</v>
      </c>
    </row>
    <row r="763" customFormat="false" ht="15" hidden="true" customHeight="false" outlineLevel="0" collapsed="false">
      <c r="A763" s="51" t="s">
        <v>559</v>
      </c>
      <c r="B763" s="55" t="n">
        <v>44104</v>
      </c>
      <c r="C763" s="51" t="s">
        <v>82</v>
      </c>
      <c r="D763" s="51" t="n">
        <v>0</v>
      </c>
    </row>
    <row r="764" customFormat="false" ht="15" hidden="true" customHeight="false" outlineLevel="0" collapsed="false">
      <c r="A764" s="51" t="s">
        <v>564</v>
      </c>
      <c r="B764" s="55" t="n">
        <v>44104</v>
      </c>
      <c r="C764" s="51" t="s">
        <v>82</v>
      </c>
      <c r="D764" s="51" t="n">
        <v>0</v>
      </c>
    </row>
    <row r="765" customFormat="false" ht="15" hidden="true" customHeight="false" outlineLevel="0" collapsed="false">
      <c r="A765" s="51" t="s">
        <v>569</v>
      </c>
      <c r="B765" s="55" t="n">
        <v>44104</v>
      </c>
      <c r="C765" s="51" t="s">
        <v>82</v>
      </c>
      <c r="D765" s="51" t="n">
        <v>0</v>
      </c>
    </row>
    <row r="766" customFormat="false" ht="15" hidden="true" customHeight="false" outlineLevel="0" collapsed="false">
      <c r="A766" s="51" t="s">
        <v>574</v>
      </c>
      <c r="B766" s="55" t="n">
        <v>44104</v>
      </c>
      <c r="C766" s="51" t="s">
        <v>82</v>
      </c>
      <c r="D766" s="51" t="n">
        <v>0</v>
      </c>
    </row>
    <row r="767" customFormat="false" ht="15" hidden="true" customHeight="false" outlineLevel="0" collapsed="false">
      <c r="A767" s="51" t="s">
        <v>579</v>
      </c>
      <c r="B767" s="55" t="n">
        <v>44104</v>
      </c>
      <c r="C767" s="51" t="s">
        <v>82</v>
      </c>
      <c r="D767" s="51" t="n">
        <v>0</v>
      </c>
    </row>
    <row r="768" customFormat="false" ht="15" hidden="true" customHeight="false" outlineLevel="0" collapsed="false">
      <c r="A768" s="51" t="s">
        <v>584</v>
      </c>
      <c r="B768" s="55" t="n">
        <v>44104</v>
      </c>
      <c r="C768" s="51" t="s">
        <v>82</v>
      </c>
      <c r="D768" s="51" t="n">
        <v>0</v>
      </c>
    </row>
    <row r="769" customFormat="false" ht="15" hidden="true" customHeight="false" outlineLevel="0" collapsed="false">
      <c r="A769" s="51" t="s">
        <v>589</v>
      </c>
      <c r="B769" s="55" t="n">
        <v>44104</v>
      </c>
      <c r="C769" s="51" t="s">
        <v>82</v>
      </c>
      <c r="D769" s="51" t="n">
        <v>0</v>
      </c>
    </row>
    <row r="770" customFormat="false" ht="15" hidden="true" customHeight="false" outlineLevel="0" collapsed="false">
      <c r="A770" s="51" t="s">
        <v>756</v>
      </c>
      <c r="B770" s="55" t="n">
        <v>44104</v>
      </c>
      <c r="C770" s="51" t="s">
        <v>82</v>
      </c>
      <c r="D770" s="51" t="n">
        <v>0</v>
      </c>
    </row>
    <row r="771" customFormat="false" ht="15" hidden="true" customHeight="false" outlineLevel="0" collapsed="false">
      <c r="A771" s="51" t="s">
        <v>594</v>
      </c>
      <c r="B771" s="55" t="n">
        <v>44104</v>
      </c>
      <c r="C771" s="51" t="s">
        <v>82</v>
      </c>
      <c r="D771" s="51" t="n">
        <v>0</v>
      </c>
    </row>
    <row r="772" customFormat="false" ht="15" hidden="true" customHeight="false" outlineLevel="0" collapsed="false">
      <c r="A772" s="51" t="s">
        <v>761</v>
      </c>
      <c r="B772" s="55" t="n">
        <v>44104</v>
      </c>
      <c r="C772" s="51" t="s">
        <v>82</v>
      </c>
      <c r="D772" s="51" t="n">
        <v>0</v>
      </c>
    </row>
    <row r="773" customFormat="false" ht="15" hidden="true" customHeight="false" outlineLevel="0" collapsed="false">
      <c r="A773" s="51" t="s">
        <v>599</v>
      </c>
      <c r="B773" s="55" t="n">
        <v>44104</v>
      </c>
      <c r="C773" s="51" t="s">
        <v>82</v>
      </c>
      <c r="D773" s="51" t="n">
        <v>0</v>
      </c>
    </row>
    <row r="774" customFormat="false" ht="15" hidden="true" customHeight="false" outlineLevel="0" collapsed="false">
      <c r="A774" s="51" t="s">
        <v>604</v>
      </c>
      <c r="B774" s="55" t="n">
        <v>44104</v>
      </c>
      <c r="C774" s="51" t="s">
        <v>82</v>
      </c>
      <c r="D774" s="51" t="n">
        <v>0</v>
      </c>
    </row>
    <row r="775" customFormat="false" ht="15" hidden="true" customHeight="false" outlineLevel="0" collapsed="false">
      <c r="A775" s="51" t="s">
        <v>609</v>
      </c>
      <c r="B775" s="55" t="n">
        <v>44104</v>
      </c>
      <c r="C775" s="51" t="s">
        <v>82</v>
      </c>
      <c r="D775" s="51" t="n">
        <v>0</v>
      </c>
    </row>
    <row r="776" customFormat="false" ht="15" hidden="true" customHeight="false" outlineLevel="0" collapsed="false">
      <c r="A776" s="51" t="s">
        <v>614</v>
      </c>
      <c r="B776" s="55" t="n">
        <v>44104</v>
      </c>
      <c r="C776" s="51" t="s">
        <v>82</v>
      </c>
      <c r="D776" s="51" t="n">
        <v>0</v>
      </c>
    </row>
    <row r="777" customFormat="false" ht="15" hidden="true" customHeight="false" outlineLevel="0" collapsed="false">
      <c r="A777" s="51" t="s">
        <v>619</v>
      </c>
      <c r="B777" s="55" t="n">
        <v>44104</v>
      </c>
      <c r="C777" s="51" t="s">
        <v>82</v>
      </c>
      <c r="D777" s="51" t="n">
        <v>0</v>
      </c>
    </row>
    <row r="778" customFormat="false" ht="15" hidden="true" customHeight="false" outlineLevel="0" collapsed="false">
      <c r="A778" s="51" t="s">
        <v>624</v>
      </c>
      <c r="B778" s="55" t="n">
        <v>44104</v>
      </c>
      <c r="C778" s="51" t="s">
        <v>82</v>
      </c>
      <c r="D778" s="51" t="n">
        <v>0</v>
      </c>
    </row>
    <row r="779" customFormat="false" ht="15" hidden="true" customHeight="false" outlineLevel="0" collapsed="false">
      <c r="A779" s="51" t="s">
        <v>629</v>
      </c>
      <c r="B779" s="55" t="n">
        <v>44104</v>
      </c>
      <c r="C779" s="51" t="s">
        <v>82</v>
      </c>
      <c r="D779" s="51" t="n">
        <v>0</v>
      </c>
    </row>
    <row r="780" customFormat="false" ht="15" hidden="true" customHeight="false" outlineLevel="0" collapsed="false">
      <c r="A780" s="51" t="s">
        <v>633</v>
      </c>
      <c r="B780" s="55" t="n">
        <v>44104</v>
      </c>
      <c r="C780" s="51" t="s">
        <v>82</v>
      </c>
      <c r="D780" s="51" t="n">
        <v>0</v>
      </c>
    </row>
    <row r="781" customFormat="false" ht="15" hidden="true" customHeight="false" outlineLevel="0" collapsed="false">
      <c r="A781" s="51" t="s">
        <v>638</v>
      </c>
      <c r="B781" s="55" t="n">
        <v>44104</v>
      </c>
      <c r="C781" s="51" t="s">
        <v>82</v>
      </c>
      <c r="D781" s="51" t="n">
        <v>0</v>
      </c>
    </row>
    <row r="782" customFormat="false" ht="15" hidden="true" customHeight="false" outlineLevel="0" collapsed="false">
      <c r="A782" s="51" t="s">
        <v>642</v>
      </c>
      <c r="B782" s="55" t="n">
        <v>44104</v>
      </c>
      <c r="C782" s="51" t="s">
        <v>82</v>
      </c>
      <c r="D782" s="51" t="n">
        <v>0</v>
      </c>
    </row>
    <row r="783" customFormat="false" ht="15" hidden="true" customHeight="false" outlineLevel="0" collapsed="false">
      <c r="A783" s="51" t="s">
        <v>646</v>
      </c>
      <c r="B783" s="55" t="n">
        <v>44104</v>
      </c>
      <c r="C783" s="51" t="s">
        <v>82</v>
      </c>
      <c r="D783" s="51" t="n">
        <v>0</v>
      </c>
    </row>
    <row r="784" customFormat="false" ht="15" hidden="true" customHeight="false" outlineLevel="0" collapsed="false">
      <c r="A784" s="51" t="s">
        <v>651</v>
      </c>
      <c r="B784" s="55" t="n">
        <v>44104</v>
      </c>
      <c r="C784" s="51" t="s">
        <v>82</v>
      </c>
      <c r="D784" s="51" t="n">
        <v>0</v>
      </c>
    </row>
    <row r="785" customFormat="false" ht="15" hidden="true" customHeight="false" outlineLevel="0" collapsed="false">
      <c r="A785" s="51" t="s">
        <v>656</v>
      </c>
      <c r="B785" s="55" t="n">
        <v>44104</v>
      </c>
      <c r="C785" s="51" t="s">
        <v>82</v>
      </c>
      <c r="D785" s="51" t="n">
        <v>0</v>
      </c>
    </row>
    <row r="786" customFormat="false" ht="15" hidden="true" customHeight="false" outlineLevel="0" collapsed="false">
      <c r="A786" s="51" t="s">
        <v>661</v>
      </c>
      <c r="B786" s="55" t="n">
        <v>44104</v>
      </c>
      <c r="C786" s="51" t="s">
        <v>82</v>
      </c>
      <c r="D786" s="51" t="n">
        <v>0</v>
      </c>
    </row>
    <row r="787" customFormat="false" ht="15" hidden="true" customHeight="false" outlineLevel="0" collapsed="false">
      <c r="A787" s="51" t="s">
        <v>666</v>
      </c>
      <c r="B787" s="55" t="n">
        <v>44104</v>
      </c>
      <c r="C787" s="51" t="s">
        <v>82</v>
      </c>
      <c r="D787" s="51" t="n">
        <v>0</v>
      </c>
    </row>
    <row r="788" customFormat="false" ht="15" hidden="true" customHeight="false" outlineLevel="0" collapsed="false">
      <c r="A788" s="51" t="s">
        <v>671</v>
      </c>
      <c r="B788" s="55" t="n">
        <v>44104</v>
      </c>
      <c r="C788" s="51" t="s">
        <v>82</v>
      </c>
      <c r="D788" s="51" t="n">
        <v>0</v>
      </c>
    </row>
    <row r="789" customFormat="false" ht="15" hidden="true" customHeight="false" outlineLevel="0" collapsed="false">
      <c r="A789" s="51" t="s">
        <v>676</v>
      </c>
      <c r="B789" s="55" t="n">
        <v>44104</v>
      </c>
      <c r="C789" s="51" t="s">
        <v>82</v>
      </c>
      <c r="D789" s="51" t="n">
        <v>0</v>
      </c>
    </row>
    <row r="790" customFormat="false" ht="15" hidden="true" customHeight="false" outlineLevel="0" collapsed="false">
      <c r="A790" s="51" t="s">
        <v>681</v>
      </c>
      <c r="B790" s="55" t="n">
        <v>44104</v>
      </c>
      <c r="C790" s="51" t="s">
        <v>82</v>
      </c>
      <c r="D790" s="51" t="n">
        <v>0</v>
      </c>
    </row>
    <row r="791" customFormat="false" ht="15" hidden="true" customHeight="false" outlineLevel="0" collapsed="false">
      <c r="A791" s="51" t="s">
        <v>686</v>
      </c>
      <c r="B791" s="55" t="n">
        <v>44104</v>
      </c>
      <c r="C791" s="51" t="s">
        <v>82</v>
      </c>
      <c r="D791" s="51" t="n">
        <v>0</v>
      </c>
    </row>
    <row r="792" customFormat="false" ht="15" hidden="true" customHeight="false" outlineLevel="0" collapsed="false">
      <c r="A792" s="51" t="s">
        <v>691</v>
      </c>
      <c r="B792" s="55" t="n">
        <v>44104</v>
      </c>
      <c r="C792" s="51" t="s">
        <v>82</v>
      </c>
      <c r="D792" s="51" t="n">
        <v>0</v>
      </c>
    </row>
    <row r="793" customFormat="false" ht="15" hidden="true" customHeight="false" outlineLevel="0" collapsed="false">
      <c r="A793" s="51" t="s">
        <v>696</v>
      </c>
      <c r="B793" s="55" t="n">
        <v>44104</v>
      </c>
      <c r="C793" s="51" t="s">
        <v>82</v>
      </c>
      <c r="D793" s="51" t="n">
        <v>0</v>
      </c>
    </row>
    <row r="794" customFormat="false" ht="15" hidden="true" customHeight="false" outlineLevel="0" collapsed="false">
      <c r="A794" s="51" t="s">
        <v>701</v>
      </c>
      <c r="B794" s="55" t="n">
        <v>44104</v>
      </c>
      <c r="C794" s="51" t="s">
        <v>82</v>
      </c>
      <c r="D794" s="51" t="n">
        <v>0</v>
      </c>
    </row>
    <row r="795" customFormat="false" ht="15" hidden="true" customHeight="false" outlineLevel="0" collapsed="false">
      <c r="A795" s="51" t="s">
        <v>707</v>
      </c>
      <c r="B795" s="55" t="n">
        <v>44104</v>
      </c>
      <c r="C795" s="51" t="s">
        <v>82</v>
      </c>
      <c r="D795" s="51" t="n">
        <v>0</v>
      </c>
    </row>
    <row r="796" customFormat="false" ht="15" hidden="true" customHeight="false" outlineLevel="0" collapsed="false">
      <c r="A796" s="51" t="s">
        <v>712</v>
      </c>
      <c r="B796" s="55" t="n">
        <v>44104</v>
      </c>
      <c r="C796" s="51" t="s">
        <v>82</v>
      </c>
      <c r="D796" s="51" t="n">
        <v>0</v>
      </c>
    </row>
    <row r="797" customFormat="false" ht="15" hidden="true" customHeight="false" outlineLevel="0" collapsed="false">
      <c r="A797" s="51" t="s">
        <v>717</v>
      </c>
      <c r="B797" s="55" t="n">
        <v>44104</v>
      </c>
      <c r="C797" s="51" t="s">
        <v>82</v>
      </c>
      <c r="D797" s="51" t="n">
        <v>0</v>
      </c>
    </row>
    <row r="798" customFormat="false" ht="15" hidden="true" customHeight="false" outlineLevel="0" collapsed="false">
      <c r="A798" s="51" t="s">
        <v>767</v>
      </c>
      <c r="B798" s="55" t="n">
        <v>44104</v>
      </c>
      <c r="C798" s="51" t="s">
        <v>82</v>
      </c>
      <c r="D798" s="51" t="n">
        <v>0</v>
      </c>
    </row>
    <row r="799" customFormat="false" ht="15" hidden="true" customHeight="false" outlineLevel="0" collapsed="false">
      <c r="A799" s="51" t="s">
        <v>722</v>
      </c>
      <c r="B799" s="55" t="n">
        <v>44104</v>
      </c>
      <c r="C799" s="51" t="s">
        <v>82</v>
      </c>
      <c r="D799" s="51" t="n">
        <v>0</v>
      </c>
    </row>
    <row r="800" customFormat="false" ht="15" hidden="true" customHeight="false" outlineLevel="0" collapsed="false">
      <c r="A800" s="51" t="s">
        <v>727</v>
      </c>
      <c r="B800" s="55" t="n">
        <v>44104</v>
      </c>
      <c r="C800" s="51" t="s">
        <v>82</v>
      </c>
      <c r="D800" s="51" t="n">
        <v>0</v>
      </c>
    </row>
    <row r="801" customFormat="false" ht="15" hidden="true" customHeight="false" outlineLevel="0" collapsed="false">
      <c r="A801" s="51" t="s">
        <v>732</v>
      </c>
      <c r="B801" s="55" t="n">
        <v>44104</v>
      </c>
      <c r="C801" s="51" t="s">
        <v>82</v>
      </c>
      <c r="D801" s="51" t="n">
        <v>0</v>
      </c>
    </row>
    <row r="802" customFormat="false" ht="15" hidden="true" customHeight="false" outlineLevel="0" collapsed="false">
      <c r="A802" s="51" t="s">
        <v>736</v>
      </c>
      <c r="B802" s="55" t="n">
        <v>44104</v>
      </c>
      <c r="C802" s="51" t="s">
        <v>82</v>
      </c>
      <c r="D802" s="51" t="n">
        <v>0</v>
      </c>
    </row>
    <row r="803" customFormat="false" ht="15" hidden="true" customHeight="false" outlineLevel="0" collapsed="false">
      <c r="A803" s="51" t="s">
        <v>741</v>
      </c>
      <c r="B803" s="55" t="n">
        <v>44104</v>
      </c>
      <c r="C803" s="51" t="s">
        <v>82</v>
      </c>
      <c r="D803" s="51" t="n">
        <v>0</v>
      </c>
    </row>
    <row r="804" customFormat="false" ht="15" hidden="true" customHeight="false" outlineLevel="0" collapsed="false">
      <c r="A804" s="51" t="s">
        <v>746</v>
      </c>
      <c r="B804" s="55" t="n">
        <v>44104</v>
      </c>
      <c r="C804" s="51" t="s">
        <v>82</v>
      </c>
      <c r="D804" s="51" t="n">
        <v>0</v>
      </c>
    </row>
    <row r="805" customFormat="false" ht="15" hidden="true" customHeight="false" outlineLevel="0" collapsed="false">
      <c r="A805" s="51" t="s">
        <v>751</v>
      </c>
      <c r="B805" s="55" t="n">
        <v>44104</v>
      </c>
      <c r="C805" s="51" t="s">
        <v>82</v>
      </c>
      <c r="D805" s="51" t="n">
        <v>0</v>
      </c>
    </row>
    <row r="806" customFormat="false" ht="15" hidden="false" customHeight="false" outlineLevel="0" collapsed="false">
      <c r="A806" s="51" t="s">
        <v>781</v>
      </c>
      <c r="B806" s="55" t="n">
        <v>44104</v>
      </c>
      <c r="C806" s="51" t="s">
        <v>73</v>
      </c>
      <c r="D806" s="51" t="n">
        <v>0</v>
      </c>
    </row>
    <row r="807" customFormat="false" ht="15" hidden="true" customHeight="false" outlineLevel="0" collapsed="false">
      <c r="A807" s="51" t="s">
        <v>783</v>
      </c>
      <c r="B807" s="55" t="n">
        <v>44104</v>
      </c>
      <c r="C807" s="51" t="s">
        <v>73</v>
      </c>
      <c r="D807" s="51" t="n">
        <v>0</v>
      </c>
    </row>
    <row r="808" customFormat="false" ht="15" hidden="true" customHeight="false" outlineLevel="0" collapsed="false">
      <c r="A808" s="51" t="s">
        <v>96</v>
      </c>
      <c r="B808" s="55" t="n">
        <v>44104</v>
      </c>
      <c r="C808" s="51" t="s">
        <v>73</v>
      </c>
      <c r="D808" s="51" t="n">
        <v>0</v>
      </c>
    </row>
    <row r="809" customFormat="false" ht="15" hidden="true" customHeight="false" outlineLevel="0" collapsed="false">
      <c r="A809" s="51" t="s">
        <v>101</v>
      </c>
      <c r="B809" s="55" t="n">
        <v>44104</v>
      </c>
      <c r="C809" s="51" t="s">
        <v>73</v>
      </c>
      <c r="D809" s="51" t="n">
        <v>0</v>
      </c>
    </row>
    <row r="810" customFormat="false" ht="15" hidden="true" customHeight="false" outlineLevel="0" collapsed="false">
      <c r="A810" s="51" t="s">
        <v>106</v>
      </c>
      <c r="B810" s="55" t="n">
        <v>44104</v>
      </c>
      <c r="C810" s="51" t="s">
        <v>73</v>
      </c>
      <c r="D810" s="51" t="n">
        <v>0</v>
      </c>
    </row>
    <row r="811" customFormat="false" ht="15" hidden="true" customHeight="false" outlineLevel="0" collapsed="false">
      <c r="A811" s="51" t="s">
        <v>110</v>
      </c>
      <c r="B811" s="55" t="n">
        <v>44104</v>
      </c>
      <c r="C811" s="51" t="s">
        <v>73</v>
      </c>
      <c r="D811" s="51" t="n">
        <v>0</v>
      </c>
    </row>
    <row r="812" customFormat="false" ht="15" hidden="true" customHeight="false" outlineLevel="0" collapsed="false">
      <c r="A812" s="51" t="s">
        <v>115</v>
      </c>
      <c r="B812" s="55" t="n">
        <v>44104</v>
      </c>
      <c r="C812" s="51" t="s">
        <v>73</v>
      </c>
      <c r="D812" s="51" t="n">
        <v>0</v>
      </c>
    </row>
    <row r="813" customFormat="false" ht="15" hidden="true" customHeight="false" outlineLevel="0" collapsed="false">
      <c r="A813" s="51" t="s">
        <v>120</v>
      </c>
      <c r="B813" s="55" t="n">
        <v>44104</v>
      </c>
      <c r="C813" s="51" t="s">
        <v>73</v>
      </c>
      <c r="D813" s="51" t="n">
        <v>0</v>
      </c>
    </row>
    <row r="814" customFormat="false" ht="15" hidden="true" customHeight="false" outlineLevel="0" collapsed="false">
      <c r="A814" s="51" t="s">
        <v>124</v>
      </c>
      <c r="B814" s="55" t="n">
        <v>44104</v>
      </c>
      <c r="C814" s="51" t="s">
        <v>73</v>
      </c>
      <c r="D814" s="51" t="n">
        <v>0</v>
      </c>
    </row>
    <row r="815" customFormat="false" ht="15" hidden="true" customHeight="false" outlineLevel="0" collapsed="false">
      <c r="A815" s="51" t="s">
        <v>129</v>
      </c>
      <c r="B815" s="55" t="n">
        <v>44104</v>
      </c>
      <c r="C815" s="51" t="s">
        <v>73</v>
      </c>
      <c r="D815" s="51" t="n">
        <v>0</v>
      </c>
    </row>
    <row r="816" customFormat="false" ht="15" hidden="true" customHeight="false" outlineLevel="0" collapsed="false">
      <c r="A816" s="51" t="s">
        <v>134</v>
      </c>
      <c r="B816" s="55" t="n">
        <v>44104</v>
      </c>
      <c r="C816" s="51" t="s">
        <v>73</v>
      </c>
      <c r="D816" s="51" t="n">
        <v>0</v>
      </c>
    </row>
    <row r="817" customFormat="false" ht="15" hidden="true" customHeight="false" outlineLevel="0" collapsed="false">
      <c r="A817" s="51" t="s">
        <v>141</v>
      </c>
      <c r="B817" s="55" t="n">
        <v>44104</v>
      </c>
      <c r="C817" s="51" t="s">
        <v>73</v>
      </c>
      <c r="D817" s="51" t="n">
        <v>0</v>
      </c>
    </row>
    <row r="818" customFormat="false" ht="15" hidden="true" customHeight="false" outlineLevel="0" collapsed="false">
      <c r="A818" s="51" t="s">
        <v>146</v>
      </c>
      <c r="B818" s="55" t="n">
        <v>44104</v>
      </c>
      <c r="C818" s="51" t="s">
        <v>73</v>
      </c>
      <c r="D818" s="51" t="n">
        <v>0</v>
      </c>
    </row>
    <row r="819" customFormat="false" ht="15" hidden="true" customHeight="false" outlineLevel="0" collapsed="false">
      <c r="A819" s="51" t="s">
        <v>151</v>
      </c>
      <c r="B819" s="55" t="n">
        <v>44104</v>
      </c>
      <c r="C819" s="51" t="s">
        <v>73</v>
      </c>
      <c r="D819" s="51" t="n">
        <v>0</v>
      </c>
    </row>
    <row r="820" customFormat="false" ht="15" hidden="true" customHeight="false" outlineLevel="0" collapsed="false">
      <c r="A820" s="51" t="s">
        <v>156</v>
      </c>
      <c r="B820" s="55" t="n">
        <v>44104</v>
      </c>
      <c r="C820" s="51" t="s">
        <v>73</v>
      </c>
      <c r="D820" s="51" t="n">
        <v>0</v>
      </c>
    </row>
    <row r="821" customFormat="false" ht="15" hidden="true" customHeight="false" outlineLevel="0" collapsed="false">
      <c r="A821" s="51" t="s">
        <v>161</v>
      </c>
      <c r="B821" s="55" t="n">
        <v>44104</v>
      </c>
      <c r="C821" s="51" t="s">
        <v>73</v>
      </c>
      <c r="D821" s="51" t="n">
        <v>0</v>
      </c>
    </row>
    <row r="822" customFormat="false" ht="15" hidden="true" customHeight="false" outlineLevel="0" collapsed="false">
      <c r="A822" s="51" t="s">
        <v>166</v>
      </c>
      <c r="B822" s="55" t="n">
        <v>44104</v>
      </c>
      <c r="C822" s="51" t="s">
        <v>73</v>
      </c>
      <c r="D822" s="51" t="n">
        <v>0</v>
      </c>
    </row>
    <row r="823" customFormat="false" ht="15" hidden="true" customHeight="false" outlineLevel="0" collapsed="false">
      <c r="A823" s="51" t="s">
        <v>171</v>
      </c>
      <c r="B823" s="55" t="n">
        <v>44104</v>
      </c>
      <c r="C823" s="51" t="s">
        <v>73</v>
      </c>
      <c r="D823" s="51" t="n">
        <v>0</v>
      </c>
    </row>
    <row r="824" customFormat="false" ht="15" hidden="true" customHeight="false" outlineLevel="0" collapsed="false">
      <c r="A824" s="51" t="s">
        <v>176</v>
      </c>
      <c r="B824" s="55" t="n">
        <v>44104</v>
      </c>
      <c r="C824" s="51" t="s">
        <v>73</v>
      </c>
      <c r="D824" s="51" t="n">
        <v>0</v>
      </c>
    </row>
    <row r="825" customFormat="false" ht="15" hidden="true" customHeight="false" outlineLevel="0" collapsed="false">
      <c r="A825" s="51" t="s">
        <v>181</v>
      </c>
      <c r="B825" s="55" t="n">
        <v>44104</v>
      </c>
      <c r="C825" s="51" t="s">
        <v>73</v>
      </c>
      <c r="D825" s="51" t="n">
        <v>0</v>
      </c>
    </row>
    <row r="826" customFormat="false" ht="15" hidden="true" customHeight="false" outlineLevel="0" collapsed="false">
      <c r="A826" s="51" t="s">
        <v>186</v>
      </c>
      <c r="B826" s="55" t="n">
        <v>44104</v>
      </c>
      <c r="C826" s="51" t="s">
        <v>73</v>
      </c>
      <c r="D826" s="51" t="n">
        <v>0</v>
      </c>
    </row>
    <row r="827" customFormat="false" ht="15" hidden="true" customHeight="false" outlineLevel="0" collapsed="false">
      <c r="A827" s="51" t="s">
        <v>191</v>
      </c>
      <c r="B827" s="55" t="n">
        <v>44104</v>
      </c>
      <c r="C827" s="51" t="s">
        <v>73</v>
      </c>
      <c r="D827" s="51" t="n">
        <v>0</v>
      </c>
    </row>
    <row r="828" customFormat="false" ht="15" hidden="true" customHeight="false" outlineLevel="0" collapsed="false">
      <c r="A828" s="51" t="s">
        <v>196</v>
      </c>
      <c r="B828" s="55" t="n">
        <v>44104</v>
      </c>
      <c r="C828" s="51" t="s">
        <v>73</v>
      </c>
      <c r="D828" s="51" t="n">
        <v>0</v>
      </c>
    </row>
    <row r="829" customFormat="false" ht="15" hidden="true" customHeight="false" outlineLevel="0" collapsed="false">
      <c r="A829" s="51" t="s">
        <v>201</v>
      </c>
      <c r="B829" s="55" t="n">
        <v>44104</v>
      </c>
      <c r="C829" s="51" t="s">
        <v>73</v>
      </c>
      <c r="D829" s="51" t="n">
        <v>0</v>
      </c>
    </row>
    <row r="830" customFormat="false" ht="15" hidden="true" customHeight="false" outlineLevel="0" collapsed="false">
      <c r="A830" s="51" t="s">
        <v>206</v>
      </c>
      <c r="B830" s="55" t="n">
        <v>44104</v>
      </c>
      <c r="C830" s="51" t="s">
        <v>73</v>
      </c>
      <c r="D830" s="51" t="n">
        <v>0</v>
      </c>
    </row>
    <row r="831" customFormat="false" ht="15" hidden="true" customHeight="false" outlineLevel="0" collapsed="false">
      <c r="A831" s="51" t="s">
        <v>210</v>
      </c>
      <c r="B831" s="55" t="n">
        <v>44104</v>
      </c>
      <c r="C831" s="51" t="s">
        <v>73</v>
      </c>
      <c r="D831" s="51" t="n">
        <v>0</v>
      </c>
    </row>
    <row r="832" customFormat="false" ht="15" hidden="true" customHeight="false" outlineLevel="0" collapsed="false">
      <c r="A832" s="51" t="s">
        <v>215</v>
      </c>
      <c r="B832" s="55" t="n">
        <v>44104</v>
      </c>
      <c r="C832" s="51" t="s">
        <v>73</v>
      </c>
      <c r="D832" s="51" t="n">
        <v>0</v>
      </c>
    </row>
    <row r="833" customFormat="false" ht="15" hidden="true" customHeight="false" outlineLevel="0" collapsed="false">
      <c r="A833" s="51" t="s">
        <v>790</v>
      </c>
      <c r="B833" s="55" t="n">
        <v>44104</v>
      </c>
      <c r="C833" s="51" t="s">
        <v>73</v>
      </c>
      <c r="D833" s="51" t="n">
        <v>0</v>
      </c>
    </row>
    <row r="834" customFormat="false" ht="15" hidden="true" customHeight="false" outlineLevel="0" collapsed="false">
      <c r="A834" s="51" t="s">
        <v>225</v>
      </c>
      <c r="B834" s="55" t="n">
        <v>44104</v>
      </c>
      <c r="C834" s="51" t="s">
        <v>73</v>
      </c>
      <c r="D834" s="51" t="n">
        <v>0</v>
      </c>
    </row>
    <row r="835" customFormat="false" ht="15" hidden="true" customHeight="false" outlineLevel="0" collapsed="false">
      <c r="A835" s="51" t="s">
        <v>230</v>
      </c>
      <c r="B835" s="55" t="n">
        <v>44104</v>
      </c>
      <c r="C835" s="51" t="s">
        <v>73</v>
      </c>
      <c r="D835" s="51" t="n">
        <v>0</v>
      </c>
    </row>
    <row r="836" customFormat="false" ht="15" hidden="true" customHeight="false" outlineLevel="0" collapsed="false">
      <c r="A836" s="51" t="s">
        <v>235</v>
      </c>
      <c r="B836" s="55" t="n">
        <v>44104</v>
      </c>
      <c r="C836" s="51" t="s">
        <v>73</v>
      </c>
      <c r="D836" s="51" t="n">
        <v>0</v>
      </c>
    </row>
    <row r="837" customFormat="false" ht="15" hidden="true" customHeight="false" outlineLevel="0" collapsed="false">
      <c r="A837" s="51" t="s">
        <v>240</v>
      </c>
      <c r="B837" s="55" t="n">
        <v>44104</v>
      </c>
      <c r="C837" s="51" t="s">
        <v>73</v>
      </c>
      <c r="D837" s="51" t="n">
        <v>0</v>
      </c>
    </row>
    <row r="838" customFormat="false" ht="15" hidden="true" customHeight="false" outlineLevel="0" collapsed="false">
      <c r="A838" s="51" t="s">
        <v>246</v>
      </c>
      <c r="B838" s="55" t="n">
        <v>44104</v>
      </c>
      <c r="C838" s="51" t="s">
        <v>73</v>
      </c>
      <c r="D838" s="51" t="n">
        <v>0</v>
      </c>
    </row>
    <row r="839" customFormat="false" ht="15" hidden="true" customHeight="false" outlineLevel="0" collapsed="false">
      <c r="A839" s="51" t="s">
        <v>252</v>
      </c>
      <c r="B839" s="55" t="n">
        <v>44104</v>
      </c>
      <c r="C839" s="51" t="s">
        <v>73</v>
      </c>
      <c r="D839" s="51" t="n">
        <v>0</v>
      </c>
    </row>
    <row r="840" customFormat="false" ht="15" hidden="true" customHeight="false" outlineLevel="0" collapsed="false">
      <c r="A840" s="51" t="s">
        <v>257</v>
      </c>
      <c r="B840" s="55" t="n">
        <v>44104</v>
      </c>
      <c r="C840" s="51" t="s">
        <v>73</v>
      </c>
      <c r="D840" s="51" t="n">
        <v>0</v>
      </c>
    </row>
    <row r="841" customFormat="false" ht="15" hidden="true" customHeight="false" outlineLevel="0" collapsed="false">
      <c r="A841" s="51" t="s">
        <v>262</v>
      </c>
      <c r="B841" s="55" t="n">
        <v>44104</v>
      </c>
      <c r="C841" s="51" t="s">
        <v>73</v>
      </c>
      <c r="D841" s="51" t="n">
        <v>0</v>
      </c>
    </row>
    <row r="842" customFormat="false" ht="15" hidden="true" customHeight="false" outlineLevel="0" collapsed="false">
      <c r="A842" s="51" t="s">
        <v>267</v>
      </c>
      <c r="B842" s="55" t="n">
        <v>44104</v>
      </c>
      <c r="C842" s="51" t="s">
        <v>73</v>
      </c>
      <c r="D842" s="51" t="n">
        <v>0</v>
      </c>
    </row>
    <row r="843" customFormat="false" ht="15" hidden="true" customHeight="false" outlineLevel="0" collapsed="false">
      <c r="A843" s="51" t="s">
        <v>272</v>
      </c>
      <c r="B843" s="55" t="n">
        <v>44104</v>
      </c>
      <c r="C843" s="51" t="s">
        <v>73</v>
      </c>
      <c r="D843" s="51" t="n">
        <v>0</v>
      </c>
    </row>
    <row r="844" customFormat="false" ht="15" hidden="true" customHeight="false" outlineLevel="0" collapsed="false">
      <c r="A844" s="51" t="s">
        <v>277</v>
      </c>
      <c r="B844" s="55" t="n">
        <v>44104</v>
      </c>
      <c r="C844" s="51" t="s">
        <v>73</v>
      </c>
      <c r="D844" s="51" t="n">
        <v>0</v>
      </c>
    </row>
    <row r="845" customFormat="false" ht="15" hidden="true" customHeight="false" outlineLevel="0" collapsed="false">
      <c r="A845" s="51" t="s">
        <v>282</v>
      </c>
      <c r="B845" s="55" t="n">
        <v>44104</v>
      </c>
      <c r="C845" s="51" t="s">
        <v>73</v>
      </c>
      <c r="D845" s="51" t="n">
        <v>0</v>
      </c>
    </row>
    <row r="846" customFormat="false" ht="15" hidden="true" customHeight="false" outlineLevel="0" collapsed="false">
      <c r="A846" s="51" t="s">
        <v>287</v>
      </c>
      <c r="B846" s="55" t="n">
        <v>44104</v>
      </c>
      <c r="C846" s="51" t="s">
        <v>73</v>
      </c>
      <c r="D846" s="51" t="n">
        <v>0</v>
      </c>
    </row>
    <row r="847" customFormat="false" ht="15" hidden="true" customHeight="false" outlineLevel="0" collapsed="false">
      <c r="A847" s="51" t="s">
        <v>292</v>
      </c>
      <c r="B847" s="55" t="n">
        <v>44104</v>
      </c>
      <c r="C847" s="51" t="s">
        <v>73</v>
      </c>
      <c r="D847" s="51" t="n">
        <v>0</v>
      </c>
    </row>
    <row r="848" customFormat="false" ht="15" hidden="true" customHeight="false" outlineLevel="0" collapsed="false">
      <c r="A848" s="51" t="s">
        <v>297</v>
      </c>
      <c r="B848" s="55" t="n">
        <v>44104</v>
      </c>
      <c r="C848" s="51" t="s">
        <v>73</v>
      </c>
      <c r="D848" s="51" t="n">
        <v>0</v>
      </c>
    </row>
    <row r="849" customFormat="false" ht="15" hidden="true" customHeight="false" outlineLevel="0" collapsed="false">
      <c r="A849" s="51" t="s">
        <v>302</v>
      </c>
      <c r="B849" s="55" t="n">
        <v>44104</v>
      </c>
      <c r="C849" s="51" t="s">
        <v>73</v>
      </c>
      <c r="D849" s="51" t="n">
        <v>0</v>
      </c>
    </row>
    <row r="850" customFormat="false" ht="15" hidden="true" customHeight="false" outlineLevel="0" collapsed="false">
      <c r="A850" s="51" t="s">
        <v>307</v>
      </c>
      <c r="B850" s="55" t="n">
        <v>44104</v>
      </c>
      <c r="C850" s="51" t="s">
        <v>73</v>
      </c>
      <c r="D850" s="51" t="n">
        <v>0</v>
      </c>
    </row>
    <row r="851" customFormat="false" ht="15" hidden="true" customHeight="false" outlineLevel="0" collapsed="false">
      <c r="A851" s="51" t="s">
        <v>311</v>
      </c>
      <c r="B851" s="55" t="n">
        <v>44104</v>
      </c>
      <c r="C851" s="51" t="s">
        <v>73</v>
      </c>
      <c r="D851" s="51" t="n">
        <v>0</v>
      </c>
    </row>
    <row r="852" customFormat="false" ht="15" hidden="true" customHeight="false" outlineLevel="0" collapsed="false">
      <c r="A852" s="51" t="s">
        <v>317</v>
      </c>
      <c r="B852" s="55" t="n">
        <v>44104</v>
      </c>
      <c r="C852" s="51" t="s">
        <v>73</v>
      </c>
      <c r="D852" s="51" t="n">
        <v>0</v>
      </c>
    </row>
    <row r="853" customFormat="false" ht="15" hidden="true" customHeight="false" outlineLevel="0" collapsed="false">
      <c r="A853" s="51" t="s">
        <v>322</v>
      </c>
      <c r="B853" s="55" t="n">
        <v>44104</v>
      </c>
      <c r="C853" s="51" t="s">
        <v>73</v>
      </c>
      <c r="D853" s="51" t="n">
        <v>0</v>
      </c>
    </row>
    <row r="854" customFormat="false" ht="15" hidden="true" customHeight="false" outlineLevel="0" collapsed="false">
      <c r="A854" s="51" t="s">
        <v>327</v>
      </c>
      <c r="B854" s="55" t="n">
        <v>44104</v>
      </c>
      <c r="C854" s="51" t="s">
        <v>73</v>
      </c>
      <c r="D854" s="51" t="n">
        <v>0</v>
      </c>
    </row>
    <row r="855" customFormat="false" ht="15" hidden="true" customHeight="false" outlineLevel="0" collapsed="false">
      <c r="A855" s="51" t="s">
        <v>332</v>
      </c>
      <c r="B855" s="55" t="n">
        <v>44104</v>
      </c>
      <c r="C855" s="51" t="s">
        <v>73</v>
      </c>
      <c r="D855" s="51" t="n">
        <v>0</v>
      </c>
    </row>
    <row r="856" customFormat="false" ht="15" hidden="true" customHeight="false" outlineLevel="0" collapsed="false">
      <c r="A856" s="51" t="s">
        <v>339</v>
      </c>
      <c r="B856" s="55" t="n">
        <v>44104</v>
      </c>
      <c r="C856" s="51" t="s">
        <v>73</v>
      </c>
      <c r="D856" s="51" t="n">
        <v>0</v>
      </c>
    </row>
    <row r="857" customFormat="false" ht="15" hidden="true" customHeight="false" outlineLevel="0" collapsed="false">
      <c r="A857" s="51" t="s">
        <v>344</v>
      </c>
      <c r="B857" s="55" t="n">
        <v>44104</v>
      </c>
      <c r="C857" s="51" t="s">
        <v>73</v>
      </c>
      <c r="D857" s="51" t="n">
        <v>0</v>
      </c>
    </row>
    <row r="858" customFormat="false" ht="15" hidden="true" customHeight="false" outlineLevel="0" collapsed="false">
      <c r="A858" s="51" t="s">
        <v>349</v>
      </c>
      <c r="B858" s="55" t="n">
        <v>44104</v>
      </c>
      <c r="C858" s="51" t="s">
        <v>73</v>
      </c>
      <c r="D858" s="51" t="n">
        <v>0</v>
      </c>
    </row>
    <row r="859" customFormat="false" ht="15" hidden="true" customHeight="false" outlineLevel="0" collapsed="false">
      <c r="A859" s="51" t="s">
        <v>354</v>
      </c>
      <c r="B859" s="55" t="n">
        <v>44104</v>
      </c>
      <c r="C859" s="51" t="s">
        <v>73</v>
      </c>
      <c r="D859" s="51" t="n">
        <v>0</v>
      </c>
    </row>
    <row r="860" customFormat="false" ht="15" hidden="true" customHeight="false" outlineLevel="0" collapsed="false">
      <c r="A860" s="51" t="s">
        <v>359</v>
      </c>
      <c r="B860" s="55" t="n">
        <v>44104</v>
      </c>
      <c r="C860" s="51" t="s">
        <v>73</v>
      </c>
      <c r="D860" s="51" t="n">
        <v>0</v>
      </c>
    </row>
    <row r="861" customFormat="false" ht="15" hidden="true" customHeight="false" outlineLevel="0" collapsed="false">
      <c r="A861" s="51" t="s">
        <v>364</v>
      </c>
      <c r="B861" s="55" t="n">
        <v>44104</v>
      </c>
      <c r="C861" s="51" t="s">
        <v>73</v>
      </c>
      <c r="D861" s="51" t="n">
        <v>0</v>
      </c>
    </row>
    <row r="862" customFormat="false" ht="15" hidden="true" customHeight="false" outlineLevel="0" collapsed="false">
      <c r="A862" s="51" t="s">
        <v>369</v>
      </c>
      <c r="B862" s="55" t="n">
        <v>44104</v>
      </c>
      <c r="C862" s="51" t="s">
        <v>73</v>
      </c>
      <c r="D862" s="51" t="n">
        <v>0</v>
      </c>
    </row>
    <row r="863" customFormat="false" ht="15" hidden="true" customHeight="false" outlineLevel="0" collapsed="false">
      <c r="A863" s="51" t="s">
        <v>374</v>
      </c>
      <c r="B863" s="55" t="n">
        <v>44104</v>
      </c>
      <c r="C863" s="51" t="s">
        <v>73</v>
      </c>
      <c r="D863" s="51" t="n">
        <v>0</v>
      </c>
    </row>
    <row r="864" customFormat="false" ht="15" hidden="true" customHeight="false" outlineLevel="0" collapsed="false">
      <c r="A864" s="51" t="s">
        <v>379</v>
      </c>
      <c r="B864" s="55" t="n">
        <v>44104</v>
      </c>
      <c r="C864" s="51" t="s">
        <v>73</v>
      </c>
      <c r="D864" s="51" t="n">
        <v>0</v>
      </c>
    </row>
    <row r="865" customFormat="false" ht="15" hidden="true" customHeight="false" outlineLevel="0" collapsed="false">
      <c r="A865" s="51" t="s">
        <v>384</v>
      </c>
      <c r="B865" s="55" t="n">
        <v>44104</v>
      </c>
      <c r="C865" s="51" t="s">
        <v>73</v>
      </c>
      <c r="D865" s="51" t="n">
        <v>0</v>
      </c>
    </row>
    <row r="866" customFormat="false" ht="15" hidden="true" customHeight="false" outlineLevel="0" collapsed="false">
      <c r="A866" s="51" t="s">
        <v>389</v>
      </c>
      <c r="B866" s="55" t="n">
        <v>44104</v>
      </c>
      <c r="C866" s="51" t="s">
        <v>73</v>
      </c>
      <c r="D866" s="51" t="n">
        <v>0</v>
      </c>
    </row>
    <row r="867" customFormat="false" ht="15" hidden="true" customHeight="false" outlineLevel="0" collapsed="false">
      <c r="A867" s="51" t="s">
        <v>394</v>
      </c>
      <c r="B867" s="55" t="n">
        <v>44104</v>
      </c>
      <c r="C867" s="51" t="s">
        <v>73</v>
      </c>
      <c r="D867" s="51" t="n">
        <v>0</v>
      </c>
    </row>
    <row r="868" customFormat="false" ht="15" hidden="true" customHeight="false" outlineLevel="0" collapsed="false">
      <c r="A868" s="51" t="s">
        <v>399</v>
      </c>
      <c r="B868" s="55" t="n">
        <v>44104</v>
      </c>
      <c r="C868" s="51" t="s">
        <v>73</v>
      </c>
      <c r="D868" s="51" t="n">
        <v>0</v>
      </c>
    </row>
    <row r="869" customFormat="false" ht="15" hidden="true" customHeight="false" outlineLevel="0" collapsed="false">
      <c r="A869" s="51" t="s">
        <v>404</v>
      </c>
      <c r="B869" s="55" t="n">
        <v>44104</v>
      </c>
      <c r="C869" s="51" t="s">
        <v>73</v>
      </c>
      <c r="D869" s="51" t="n">
        <v>0</v>
      </c>
    </row>
    <row r="870" customFormat="false" ht="15" hidden="true" customHeight="false" outlineLevel="0" collapsed="false">
      <c r="A870" s="51" t="s">
        <v>409</v>
      </c>
      <c r="B870" s="55" t="n">
        <v>44104</v>
      </c>
      <c r="C870" s="51" t="s">
        <v>73</v>
      </c>
      <c r="D870" s="51" t="n">
        <v>0</v>
      </c>
    </row>
    <row r="871" customFormat="false" ht="15" hidden="true" customHeight="false" outlineLevel="0" collapsed="false">
      <c r="A871" s="51" t="s">
        <v>414</v>
      </c>
      <c r="B871" s="55" t="n">
        <v>44104</v>
      </c>
      <c r="C871" s="51" t="s">
        <v>73</v>
      </c>
      <c r="D871" s="51" t="n">
        <v>0</v>
      </c>
    </row>
    <row r="872" customFormat="false" ht="15" hidden="true" customHeight="false" outlineLevel="0" collapsed="false">
      <c r="A872" s="51" t="s">
        <v>419</v>
      </c>
      <c r="B872" s="55" t="n">
        <v>44104</v>
      </c>
      <c r="C872" s="51" t="s">
        <v>73</v>
      </c>
      <c r="D872" s="51" t="n">
        <v>0</v>
      </c>
    </row>
    <row r="873" customFormat="false" ht="15" hidden="true" customHeight="false" outlineLevel="0" collapsed="false">
      <c r="A873" s="51" t="s">
        <v>424</v>
      </c>
      <c r="B873" s="55" t="n">
        <v>44104</v>
      </c>
      <c r="C873" s="51" t="s">
        <v>73</v>
      </c>
      <c r="D873" s="51" t="n">
        <v>0</v>
      </c>
    </row>
    <row r="874" customFormat="false" ht="15" hidden="true" customHeight="false" outlineLevel="0" collapsed="false">
      <c r="A874" s="51" t="s">
        <v>429</v>
      </c>
      <c r="B874" s="55" t="n">
        <v>44104</v>
      </c>
      <c r="C874" s="51" t="s">
        <v>73</v>
      </c>
      <c r="D874" s="51" t="n">
        <v>0</v>
      </c>
    </row>
    <row r="875" customFormat="false" ht="15" hidden="true" customHeight="false" outlineLevel="0" collapsed="false">
      <c r="A875" s="51" t="s">
        <v>434</v>
      </c>
      <c r="B875" s="55" t="n">
        <v>44104</v>
      </c>
      <c r="C875" s="51" t="s">
        <v>73</v>
      </c>
      <c r="D875" s="51" t="n">
        <v>0</v>
      </c>
    </row>
    <row r="876" customFormat="false" ht="15" hidden="true" customHeight="false" outlineLevel="0" collapsed="false">
      <c r="A876" s="51" t="s">
        <v>438</v>
      </c>
      <c r="B876" s="55" t="n">
        <v>44104</v>
      </c>
      <c r="C876" s="51" t="s">
        <v>73</v>
      </c>
      <c r="D876" s="51" t="n">
        <v>0</v>
      </c>
    </row>
    <row r="877" customFormat="false" ht="15" hidden="true" customHeight="false" outlineLevel="0" collapsed="false">
      <c r="A877" s="51" t="s">
        <v>443</v>
      </c>
      <c r="B877" s="55" t="n">
        <v>44104</v>
      </c>
      <c r="C877" s="51" t="s">
        <v>73</v>
      </c>
      <c r="D877" s="51" t="n">
        <v>0</v>
      </c>
    </row>
    <row r="878" customFormat="false" ht="15" hidden="true" customHeight="false" outlineLevel="0" collapsed="false">
      <c r="A878" s="51" t="s">
        <v>448</v>
      </c>
      <c r="B878" s="55" t="n">
        <v>44104</v>
      </c>
      <c r="C878" s="51" t="s">
        <v>73</v>
      </c>
      <c r="D878" s="51" t="n">
        <v>0</v>
      </c>
    </row>
    <row r="879" customFormat="false" ht="15" hidden="true" customHeight="false" outlineLevel="0" collapsed="false">
      <c r="A879" s="51" t="s">
        <v>453</v>
      </c>
      <c r="B879" s="55" t="n">
        <v>44104</v>
      </c>
      <c r="C879" s="51" t="s">
        <v>73</v>
      </c>
      <c r="D879" s="51" t="n">
        <v>0</v>
      </c>
    </row>
    <row r="880" customFormat="false" ht="15" hidden="true" customHeight="false" outlineLevel="0" collapsed="false">
      <c r="A880" s="51" t="s">
        <v>458</v>
      </c>
      <c r="B880" s="55" t="n">
        <v>44104</v>
      </c>
      <c r="C880" s="51" t="s">
        <v>73</v>
      </c>
      <c r="D880" s="51" t="n">
        <v>0</v>
      </c>
    </row>
    <row r="881" customFormat="false" ht="15" hidden="true" customHeight="false" outlineLevel="0" collapsed="false">
      <c r="A881" s="51" t="s">
        <v>473</v>
      </c>
      <c r="B881" s="55" t="n">
        <v>44104</v>
      </c>
      <c r="C881" s="51" t="s">
        <v>73</v>
      </c>
      <c r="D881" s="51" t="n">
        <v>0</v>
      </c>
    </row>
    <row r="882" customFormat="false" ht="15" hidden="true" customHeight="false" outlineLevel="0" collapsed="false">
      <c r="A882" s="51" t="s">
        <v>479</v>
      </c>
      <c r="B882" s="55" t="n">
        <v>44104</v>
      </c>
      <c r="C882" s="51" t="s">
        <v>73</v>
      </c>
      <c r="D882" s="51" t="n">
        <v>0</v>
      </c>
    </row>
    <row r="883" customFormat="false" ht="15" hidden="true" customHeight="false" outlineLevel="0" collapsed="false">
      <c r="A883" s="51" t="s">
        <v>484</v>
      </c>
      <c r="B883" s="55" t="n">
        <v>44104</v>
      </c>
      <c r="C883" s="51" t="s">
        <v>73</v>
      </c>
      <c r="D883" s="51" t="n">
        <v>0</v>
      </c>
    </row>
    <row r="884" customFormat="false" ht="15" hidden="true" customHeight="false" outlineLevel="0" collapsed="false">
      <c r="A884" s="51" t="s">
        <v>489</v>
      </c>
      <c r="B884" s="55" t="n">
        <v>44104</v>
      </c>
      <c r="C884" s="51" t="s">
        <v>73</v>
      </c>
      <c r="D884" s="51" t="n">
        <v>0</v>
      </c>
    </row>
    <row r="885" customFormat="false" ht="15" hidden="true" customHeight="false" outlineLevel="0" collapsed="false">
      <c r="A885" s="51" t="s">
        <v>494</v>
      </c>
      <c r="B885" s="55" t="n">
        <v>44104</v>
      </c>
      <c r="C885" s="51" t="s">
        <v>73</v>
      </c>
      <c r="D885" s="51" t="n">
        <v>0</v>
      </c>
    </row>
    <row r="886" customFormat="false" ht="15" hidden="true" customHeight="false" outlineLevel="0" collapsed="false">
      <c r="A886" s="51" t="s">
        <v>499</v>
      </c>
      <c r="B886" s="55" t="n">
        <v>44104</v>
      </c>
      <c r="C886" s="51" t="s">
        <v>73</v>
      </c>
      <c r="D886" s="51" t="n">
        <v>0</v>
      </c>
    </row>
    <row r="887" customFormat="false" ht="15" hidden="true" customHeight="false" outlineLevel="0" collapsed="false">
      <c r="A887" s="51" t="s">
        <v>504</v>
      </c>
      <c r="B887" s="55" t="n">
        <v>44104</v>
      </c>
      <c r="C887" s="51" t="s">
        <v>73</v>
      </c>
      <c r="D887" s="51" t="n">
        <v>0</v>
      </c>
    </row>
    <row r="888" customFormat="false" ht="15" hidden="true" customHeight="false" outlineLevel="0" collapsed="false">
      <c r="A888" s="51" t="s">
        <v>509</v>
      </c>
      <c r="B888" s="55" t="n">
        <v>44104</v>
      </c>
      <c r="C888" s="51" t="s">
        <v>73</v>
      </c>
      <c r="D888" s="51" t="n">
        <v>0</v>
      </c>
    </row>
    <row r="889" customFormat="false" ht="15" hidden="true" customHeight="false" outlineLevel="0" collapsed="false">
      <c r="A889" s="51" t="s">
        <v>515</v>
      </c>
      <c r="B889" s="55" t="n">
        <v>44104</v>
      </c>
      <c r="C889" s="51" t="s">
        <v>73</v>
      </c>
      <c r="D889" s="51" t="n">
        <v>0</v>
      </c>
    </row>
    <row r="890" customFormat="false" ht="15" hidden="true" customHeight="false" outlineLevel="0" collapsed="false">
      <c r="A890" s="51" t="s">
        <v>520</v>
      </c>
      <c r="B890" s="55" t="n">
        <v>44104</v>
      </c>
      <c r="C890" s="51" t="s">
        <v>73</v>
      </c>
      <c r="D890" s="51" t="n">
        <v>0</v>
      </c>
    </row>
    <row r="891" customFormat="false" ht="15" hidden="true" customHeight="false" outlineLevel="0" collapsed="false">
      <c r="A891" s="51" t="s">
        <v>525</v>
      </c>
      <c r="B891" s="55" t="n">
        <v>44104</v>
      </c>
      <c r="C891" s="51" t="s">
        <v>73</v>
      </c>
      <c r="D891" s="51" t="n">
        <v>0</v>
      </c>
    </row>
    <row r="892" customFormat="false" ht="15" hidden="true" customHeight="false" outlineLevel="0" collapsed="false">
      <c r="A892" s="51" t="s">
        <v>531</v>
      </c>
      <c r="B892" s="55" t="n">
        <v>44104</v>
      </c>
      <c r="C892" s="51" t="s">
        <v>73</v>
      </c>
      <c r="D892" s="51" t="n">
        <v>0</v>
      </c>
    </row>
    <row r="893" customFormat="false" ht="15" hidden="true" customHeight="false" outlineLevel="0" collapsed="false">
      <c r="A893" s="51" t="s">
        <v>536</v>
      </c>
      <c r="B893" s="55" t="n">
        <v>44104</v>
      </c>
      <c r="C893" s="51" t="s">
        <v>73</v>
      </c>
      <c r="D893" s="51" t="n">
        <v>0</v>
      </c>
    </row>
    <row r="894" customFormat="false" ht="15" hidden="true" customHeight="false" outlineLevel="0" collapsed="false">
      <c r="A894" s="51" t="s">
        <v>541</v>
      </c>
      <c r="B894" s="55" t="n">
        <v>44104</v>
      </c>
      <c r="C894" s="51" t="s">
        <v>73</v>
      </c>
      <c r="D894" s="51" t="n">
        <v>0</v>
      </c>
    </row>
    <row r="895" customFormat="false" ht="15" hidden="true" customHeight="false" outlineLevel="0" collapsed="false">
      <c r="A895" s="51" t="s">
        <v>549</v>
      </c>
      <c r="B895" s="55" t="n">
        <v>44104</v>
      </c>
      <c r="C895" s="51" t="s">
        <v>73</v>
      </c>
      <c r="D895" s="51" t="n">
        <v>0</v>
      </c>
    </row>
    <row r="896" customFormat="false" ht="15" hidden="true" customHeight="false" outlineLevel="0" collapsed="false">
      <c r="A896" s="51" t="s">
        <v>554</v>
      </c>
      <c r="B896" s="55" t="n">
        <v>44104</v>
      </c>
      <c r="C896" s="51" t="s">
        <v>73</v>
      </c>
      <c r="D896" s="51" t="n">
        <v>0</v>
      </c>
    </row>
    <row r="897" customFormat="false" ht="15" hidden="true" customHeight="false" outlineLevel="0" collapsed="false">
      <c r="A897" s="51" t="s">
        <v>559</v>
      </c>
      <c r="B897" s="55" t="n">
        <v>44104</v>
      </c>
      <c r="C897" s="51" t="s">
        <v>73</v>
      </c>
      <c r="D897" s="51" t="n">
        <v>0</v>
      </c>
    </row>
    <row r="898" customFormat="false" ht="15" hidden="true" customHeight="false" outlineLevel="0" collapsed="false">
      <c r="A898" s="51" t="s">
        <v>564</v>
      </c>
      <c r="B898" s="55" t="n">
        <v>44104</v>
      </c>
      <c r="C898" s="51" t="s">
        <v>73</v>
      </c>
      <c r="D898" s="51" t="n">
        <v>0</v>
      </c>
    </row>
    <row r="899" customFormat="false" ht="15" hidden="true" customHeight="false" outlineLevel="0" collapsed="false">
      <c r="A899" s="51" t="s">
        <v>569</v>
      </c>
      <c r="B899" s="55" t="n">
        <v>44104</v>
      </c>
      <c r="C899" s="51" t="s">
        <v>73</v>
      </c>
      <c r="D899" s="51" t="n">
        <v>0</v>
      </c>
    </row>
    <row r="900" customFormat="false" ht="15" hidden="true" customHeight="false" outlineLevel="0" collapsed="false">
      <c r="A900" s="51" t="s">
        <v>574</v>
      </c>
      <c r="B900" s="55" t="n">
        <v>44104</v>
      </c>
      <c r="C900" s="51" t="s">
        <v>73</v>
      </c>
      <c r="D900" s="51" t="n">
        <v>0</v>
      </c>
    </row>
    <row r="901" customFormat="false" ht="15" hidden="true" customHeight="false" outlineLevel="0" collapsed="false">
      <c r="A901" s="51" t="s">
        <v>579</v>
      </c>
      <c r="B901" s="55" t="n">
        <v>44104</v>
      </c>
      <c r="C901" s="51" t="s">
        <v>73</v>
      </c>
      <c r="D901" s="51" t="n">
        <v>0</v>
      </c>
    </row>
    <row r="902" customFormat="false" ht="15" hidden="true" customHeight="false" outlineLevel="0" collapsed="false">
      <c r="A902" s="51" t="s">
        <v>584</v>
      </c>
      <c r="B902" s="55" t="n">
        <v>44104</v>
      </c>
      <c r="C902" s="51" t="s">
        <v>73</v>
      </c>
      <c r="D902" s="51" t="n">
        <v>0</v>
      </c>
    </row>
    <row r="903" customFormat="false" ht="15" hidden="true" customHeight="false" outlineLevel="0" collapsed="false">
      <c r="A903" s="51" t="s">
        <v>589</v>
      </c>
      <c r="B903" s="55" t="n">
        <v>44104</v>
      </c>
      <c r="C903" s="51" t="s">
        <v>73</v>
      </c>
      <c r="D903" s="51" t="n">
        <v>0</v>
      </c>
    </row>
    <row r="904" customFormat="false" ht="15" hidden="true" customHeight="false" outlineLevel="0" collapsed="false">
      <c r="A904" s="51" t="s">
        <v>756</v>
      </c>
      <c r="B904" s="55" t="n">
        <v>44104</v>
      </c>
      <c r="C904" s="51" t="s">
        <v>73</v>
      </c>
      <c r="D904" s="51" t="n">
        <v>0</v>
      </c>
    </row>
    <row r="905" customFormat="false" ht="15" hidden="true" customHeight="false" outlineLevel="0" collapsed="false">
      <c r="A905" s="51" t="s">
        <v>594</v>
      </c>
      <c r="B905" s="55" t="n">
        <v>44104</v>
      </c>
      <c r="C905" s="51" t="s">
        <v>73</v>
      </c>
      <c r="D905" s="51" t="n">
        <v>0</v>
      </c>
    </row>
    <row r="906" customFormat="false" ht="15" hidden="true" customHeight="false" outlineLevel="0" collapsed="false">
      <c r="A906" s="51" t="s">
        <v>761</v>
      </c>
      <c r="B906" s="55" t="n">
        <v>44104</v>
      </c>
      <c r="C906" s="51" t="s">
        <v>73</v>
      </c>
      <c r="D906" s="51" t="n">
        <v>0</v>
      </c>
    </row>
    <row r="907" customFormat="false" ht="15" hidden="true" customHeight="false" outlineLevel="0" collapsed="false">
      <c r="A907" s="51" t="s">
        <v>599</v>
      </c>
      <c r="B907" s="55" t="n">
        <v>44104</v>
      </c>
      <c r="C907" s="51" t="s">
        <v>73</v>
      </c>
      <c r="D907" s="51" t="n">
        <v>0</v>
      </c>
    </row>
    <row r="908" customFormat="false" ht="15" hidden="true" customHeight="false" outlineLevel="0" collapsed="false">
      <c r="A908" s="51" t="s">
        <v>604</v>
      </c>
      <c r="B908" s="55" t="n">
        <v>44104</v>
      </c>
      <c r="C908" s="51" t="s">
        <v>73</v>
      </c>
      <c r="D908" s="51" t="n">
        <v>0</v>
      </c>
    </row>
    <row r="909" customFormat="false" ht="15" hidden="true" customHeight="false" outlineLevel="0" collapsed="false">
      <c r="A909" s="51" t="s">
        <v>609</v>
      </c>
      <c r="B909" s="55" t="n">
        <v>44104</v>
      </c>
      <c r="C909" s="51" t="s">
        <v>73</v>
      </c>
      <c r="D909" s="51" t="n">
        <v>0</v>
      </c>
    </row>
    <row r="910" customFormat="false" ht="15" hidden="true" customHeight="false" outlineLevel="0" collapsed="false">
      <c r="A910" s="51" t="s">
        <v>614</v>
      </c>
      <c r="B910" s="55" t="n">
        <v>44104</v>
      </c>
      <c r="C910" s="51" t="s">
        <v>73</v>
      </c>
      <c r="D910" s="51" t="n">
        <v>0</v>
      </c>
    </row>
    <row r="911" customFormat="false" ht="15" hidden="true" customHeight="false" outlineLevel="0" collapsed="false">
      <c r="A911" s="51" t="s">
        <v>619</v>
      </c>
      <c r="B911" s="55" t="n">
        <v>44104</v>
      </c>
      <c r="C911" s="51" t="s">
        <v>73</v>
      </c>
      <c r="D911" s="51" t="n">
        <v>0</v>
      </c>
    </row>
    <row r="912" customFormat="false" ht="15" hidden="true" customHeight="false" outlineLevel="0" collapsed="false">
      <c r="A912" s="51" t="s">
        <v>624</v>
      </c>
      <c r="B912" s="55" t="n">
        <v>44104</v>
      </c>
      <c r="C912" s="51" t="s">
        <v>73</v>
      </c>
      <c r="D912" s="51" t="n">
        <v>0</v>
      </c>
    </row>
    <row r="913" customFormat="false" ht="15" hidden="true" customHeight="false" outlineLevel="0" collapsed="false">
      <c r="A913" s="51" t="s">
        <v>629</v>
      </c>
      <c r="B913" s="55" t="n">
        <v>44104</v>
      </c>
      <c r="C913" s="51" t="s">
        <v>73</v>
      </c>
      <c r="D913" s="51" t="n">
        <v>0</v>
      </c>
    </row>
    <row r="914" customFormat="false" ht="15" hidden="true" customHeight="false" outlineLevel="0" collapsed="false">
      <c r="A914" s="51" t="s">
        <v>633</v>
      </c>
      <c r="B914" s="55" t="n">
        <v>44104</v>
      </c>
      <c r="C914" s="51" t="s">
        <v>73</v>
      </c>
      <c r="D914" s="51" t="n">
        <v>0</v>
      </c>
    </row>
    <row r="915" customFormat="false" ht="15" hidden="true" customHeight="false" outlineLevel="0" collapsed="false">
      <c r="A915" s="51" t="s">
        <v>638</v>
      </c>
      <c r="B915" s="55" t="n">
        <v>44104</v>
      </c>
      <c r="C915" s="51" t="s">
        <v>73</v>
      </c>
      <c r="D915" s="51" t="n">
        <v>0</v>
      </c>
    </row>
    <row r="916" customFormat="false" ht="15" hidden="true" customHeight="false" outlineLevel="0" collapsed="false">
      <c r="A916" s="51" t="s">
        <v>642</v>
      </c>
      <c r="B916" s="55" t="n">
        <v>44104</v>
      </c>
      <c r="C916" s="51" t="s">
        <v>73</v>
      </c>
      <c r="D916" s="51" t="n">
        <v>0</v>
      </c>
    </row>
    <row r="917" customFormat="false" ht="15" hidden="true" customHeight="false" outlineLevel="0" collapsed="false">
      <c r="A917" s="51" t="s">
        <v>646</v>
      </c>
      <c r="B917" s="55" t="n">
        <v>44104</v>
      </c>
      <c r="C917" s="51" t="s">
        <v>73</v>
      </c>
      <c r="D917" s="51" t="n">
        <v>0</v>
      </c>
    </row>
    <row r="918" customFormat="false" ht="15" hidden="true" customHeight="false" outlineLevel="0" collapsed="false">
      <c r="A918" s="51" t="s">
        <v>651</v>
      </c>
      <c r="B918" s="55" t="n">
        <v>44104</v>
      </c>
      <c r="C918" s="51" t="s">
        <v>73</v>
      </c>
      <c r="D918" s="51" t="n">
        <v>0</v>
      </c>
    </row>
    <row r="919" customFormat="false" ht="15" hidden="true" customHeight="false" outlineLevel="0" collapsed="false">
      <c r="A919" s="51" t="s">
        <v>656</v>
      </c>
      <c r="B919" s="55" t="n">
        <v>44104</v>
      </c>
      <c r="C919" s="51" t="s">
        <v>73</v>
      </c>
      <c r="D919" s="51" t="n">
        <v>0</v>
      </c>
    </row>
    <row r="920" customFormat="false" ht="15" hidden="true" customHeight="false" outlineLevel="0" collapsed="false">
      <c r="A920" s="51" t="s">
        <v>661</v>
      </c>
      <c r="B920" s="55" t="n">
        <v>44104</v>
      </c>
      <c r="C920" s="51" t="s">
        <v>73</v>
      </c>
      <c r="D920" s="51" t="n">
        <v>0</v>
      </c>
    </row>
    <row r="921" customFormat="false" ht="15" hidden="true" customHeight="false" outlineLevel="0" collapsed="false">
      <c r="A921" s="51" t="s">
        <v>666</v>
      </c>
      <c r="B921" s="55" t="n">
        <v>44104</v>
      </c>
      <c r="C921" s="51" t="s">
        <v>73</v>
      </c>
      <c r="D921" s="51" t="n">
        <v>0</v>
      </c>
    </row>
    <row r="922" customFormat="false" ht="15" hidden="true" customHeight="false" outlineLevel="0" collapsed="false">
      <c r="A922" s="51" t="s">
        <v>671</v>
      </c>
      <c r="B922" s="55" t="n">
        <v>44104</v>
      </c>
      <c r="C922" s="51" t="s">
        <v>73</v>
      </c>
      <c r="D922" s="51" t="n">
        <v>0</v>
      </c>
    </row>
    <row r="923" customFormat="false" ht="15" hidden="true" customHeight="false" outlineLevel="0" collapsed="false">
      <c r="A923" s="51" t="s">
        <v>676</v>
      </c>
      <c r="B923" s="55" t="n">
        <v>44104</v>
      </c>
      <c r="C923" s="51" t="s">
        <v>73</v>
      </c>
      <c r="D923" s="51" t="n">
        <v>0</v>
      </c>
    </row>
    <row r="924" customFormat="false" ht="15" hidden="true" customHeight="false" outlineLevel="0" collapsed="false">
      <c r="A924" s="51" t="s">
        <v>681</v>
      </c>
      <c r="B924" s="55" t="n">
        <v>44104</v>
      </c>
      <c r="C924" s="51" t="s">
        <v>73</v>
      </c>
      <c r="D924" s="51" t="n">
        <v>0</v>
      </c>
    </row>
    <row r="925" customFormat="false" ht="15" hidden="true" customHeight="false" outlineLevel="0" collapsed="false">
      <c r="A925" s="51" t="s">
        <v>686</v>
      </c>
      <c r="B925" s="55" t="n">
        <v>44104</v>
      </c>
      <c r="C925" s="51" t="s">
        <v>73</v>
      </c>
      <c r="D925" s="51" t="n">
        <v>0</v>
      </c>
    </row>
    <row r="926" customFormat="false" ht="15" hidden="true" customHeight="false" outlineLevel="0" collapsed="false">
      <c r="A926" s="51" t="s">
        <v>691</v>
      </c>
      <c r="B926" s="55" t="n">
        <v>44104</v>
      </c>
      <c r="C926" s="51" t="s">
        <v>73</v>
      </c>
      <c r="D926" s="51" t="n">
        <v>0</v>
      </c>
    </row>
    <row r="927" customFormat="false" ht="15" hidden="true" customHeight="false" outlineLevel="0" collapsed="false">
      <c r="A927" s="51" t="s">
        <v>696</v>
      </c>
      <c r="B927" s="55" t="n">
        <v>44104</v>
      </c>
      <c r="C927" s="51" t="s">
        <v>73</v>
      </c>
      <c r="D927" s="51" t="n">
        <v>0</v>
      </c>
    </row>
    <row r="928" customFormat="false" ht="15" hidden="true" customHeight="false" outlineLevel="0" collapsed="false">
      <c r="A928" s="51" t="s">
        <v>701</v>
      </c>
      <c r="B928" s="55" t="n">
        <v>44104</v>
      </c>
      <c r="C928" s="51" t="s">
        <v>73</v>
      </c>
      <c r="D928" s="51" t="n">
        <v>0</v>
      </c>
    </row>
    <row r="929" customFormat="false" ht="15" hidden="true" customHeight="false" outlineLevel="0" collapsed="false">
      <c r="A929" s="51" t="s">
        <v>707</v>
      </c>
      <c r="B929" s="55" t="n">
        <v>44104</v>
      </c>
      <c r="C929" s="51" t="s">
        <v>73</v>
      </c>
      <c r="D929" s="51" t="n">
        <v>0</v>
      </c>
    </row>
    <row r="930" customFormat="false" ht="15" hidden="true" customHeight="false" outlineLevel="0" collapsed="false">
      <c r="A930" s="51" t="s">
        <v>712</v>
      </c>
      <c r="B930" s="55" t="n">
        <v>44104</v>
      </c>
      <c r="C930" s="51" t="s">
        <v>73</v>
      </c>
      <c r="D930" s="51" t="n">
        <v>0</v>
      </c>
    </row>
    <row r="931" customFormat="false" ht="15" hidden="true" customHeight="false" outlineLevel="0" collapsed="false">
      <c r="A931" s="51" t="s">
        <v>717</v>
      </c>
      <c r="B931" s="55" t="n">
        <v>44104</v>
      </c>
      <c r="C931" s="51" t="s">
        <v>73</v>
      </c>
      <c r="D931" s="51" t="n">
        <v>0</v>
      </c>
    </row>
    <row r="932" customFormat="false" ht="15" hidden="true" customHeight="false" outlineLevel="0" collapsed="false">
      <c r="A932" s="51" t="s">
        <v>767</v>
      </c>
      <c r="B932" s="55" t="n">
        <v>44104</v>
      </c>
      <c r="C932" s="51" t="s">
        <v>73</v>
      </c>
      <c r="D932" s="51" t="n">
        <v>0</v>
      </c>
    </row>
    <row r="933" customFormat="false" ht="15" hidden="true" customHeight="false" outlineLevel="0" collapsed="false">
      <c r="A933" s="51" t="s">
        <v>722</v>
      </c>
      <c r="B933" s="55" t="n">
        <v>44104</v>
      </c>
      <c r="C933" s="51" t="s">
        <v>73</v>
      </c>
      <c r="D933" s="51" t="n">
        <v>0</v>
      </c>
    </row>
    <row r="934" customFormat="false" ht="15" hidden="true" customHeight="false" outlineLevel="0" collapsed="false">
      <c r="A934" s="51" t="s">
        <v>727</v>
      </c>
      <c r="B934" s="55" t="n">
        <v>44104</v>
      </c>
      <c r="C934" s="51" t="s">
        <v>73</v>
      </c>
      <c r="D934" s="51" t="n">
        <v>0</v>
      </c>
    </row>
    <row r="935" customFormat="false" ht="15" hidden="true" customHeight="false" outlineLevel="0" collapsed="false">
      <c r="A935" s="51" t="s">
        <v>732</v>
      </c>
      <c r="B935" s="55" t="n">
        <v>44104</v>
      </c>
      <c r="C935" s="51" t="s">
        <v>73</v>
      </c>
      <c r="D935" s="51" t="n">
        <v>0</v>
      </c>
    </row>
    <row r="936" customFormat="false" ht="15" hidden="true" customHeight="false" outlineLevel="0" collapsed="false">
      <c r="A936" s="51" t="s">
        <v>736</v>
      </c>
      <c r="B936" s="55" t="n">
        <v>44104</v>
      </c>
      <c r="C936" s="51" t="s">
        <v>73</v>
      </c>
      <c r="D936" s="51" t="n">
        <v>0</v>
      </c>
    </row>
    <row r="937" customFormat="false" ht="15" hidden="true" customHeight="false" outlineLevel="0" collapsed="false">
      <c r="A937" s="51" t="s">
        <v>741</v>
      </c>
      <c r="B937" s="55" t="n">
        <v>44104</v>
      </c>
      <c r="C937" s="51" t="s">
        <v>73</v>
      </c>
      <c r="D937" s="51" t="n">
        <v>0</v>
      </c>
    </row>
    <row r="938" customFormat="false" ht="15" hidden="true" customHeight="false" outlineLevel="0" collapsed="false">
      <c r="A938" s="51" t="s">
        <v>746</v>
      </c>
      <c r="B938" s="55" t="n">
        <v>44104</v>
      </c>
      <c r="C938" s="51" t="s">
        <v>73</v>
      </c>
      <c r="D938" s="51" t="n">
        <v>0</v>
      </c>
    </row>
    <row r="939" customFormat="false" ht="15" hidden="true" customHeight="false" outlineLevel="0" collapsed="false">
      <c r="A939" s="51" t="s">
        <v>751</v>
      </c>
      <c r="B939" s="55" t="n">
        <v>44104</v>
      </c>
      <c r="C939" s="51" t="s">
        <v>73</v>
      </c>
      <c r="D939" s="51" t="n">
        <v>0</v>
      </c>
    </row>
    <row r="940" customFormat="false" ht="15" hidden="false" customHeight="false" outlineLevel="0" collapsed="false">
      <c r="A940" s="51" t="s">
        <v>781</v>
      </c>
      <c r="B940" s="55" t="n">
        <v>44104</v>
      </c>
      <c r="C940" s="51" t="s">
        <v>791</v>
      </c>
      <c r="D940" s="51" t="n">
        <v>27100000</v>
      </c>
    </row>
    <row r="941" customFormat="false" ht="15" hidden="true" customHeight="false" outlineLevel="0" collapsed="false">
      <c r="A941" s="51" t="s">
        <v>783</v>
      </c>
      <c r="B941" s="55" t="n">
        <v>44104</v>
      </c>
      <c r="C941" s="51" t="s">
        <v>791</v>
      </c>
      <c r="D941" s="51" t="n">
        <v>900000</v>
      </c>
    </row>
    <row r="942" customFormat="false" ht="15" hidden="true" customHeight="false" outlineLevel="0" collapsed="false">
      <c r="A942" s="51" t="s">
        <v>96</v>
      </c>
      <c r="B942" s="55" t="n">
        <v>44104</v>
      </c>
      <c r="C942" s="51" t="s">
        <v>791</v>
      </c>
      <c r="D942" s="51" t="n">
        <v>5651000</v>
      </c>
    </row>
    <row r="943" customFormat="false" ht="15" hidden="true" customHeight="false" outlineLevel="0" collapsed="false">
      <c r="A943" s="51" t="s">
        <v>101</v>
      </c>
      <c r="B943" s="55" t="n">
        <v>44104</v>
      </c>
      <c r="C943" s="51" t="s">
        <v>791</v>
      </c>
      <c r="D943" s="51" t="n">
        <v>0</v>
      </c>
    </row>
    <row r="944" customFormat="false" ht="15" hidden="true" customHeight="false" outlineLevel="0" collapsed="false">
      <c r="A944" s="51" t="s">
        <v>106</v>
      </c>
      <c r="B944" s="55" t="n">
        <v>44104</v>
      </c>
      <c r="C944" s="51" t="s">
        <v>791</v>
      </c>
      <c r="D944" s="51" t="n">
        <v>1000000</v>
      </c>
    </row>
    <row r="945" customFormat="false" ht="15" hidden="true" customHeight="false" outlineLevel="0" collapsed="false">
      <c r="A945" s="51" t="s">
        <v>110</v>
      </c>
      <c r="B945" s="55" t="n">
        <v>44104</v>
      </c>
      <c r="C945" s="51" t="s">
        <v>791</v>
      </c>
      <c r="D945" s="51" t="n">
        <v>1849000</v>
      </c>
    </row>
    <row r="946" customFormat="false" ht="15" hidden="true" customHeight="false" outlineLevel="0" collapsed="false">
      <c r="A946" s="51" t="s">
        <v>115</v>
      </c>
      <c r="B946" s="55" t="n">
        <v>44104</v>
      </c>
      <c r="C946" s="51" t="s">
        <v>791</v>
      </c>
      <c r="D946" s="51" t="n">
        <v>180000</v>
      </c>
    </row>
    <row r="947" customFormat="false" ht="15" hidden="true" customHeight="false" outlineLevel="0" collapsed="false">
      <c r="A947" s="51" t="s">
        <v>120</v>
      </c>
      <c r="B947" s="55" t="n">
        <v>44104</v>
      </c>
      <c r="C947" s="51" t="s">
        <v>791</v>
      </c>
      <c r="D947" s="51" t="n">
        <v>800000</v>
      </c>
    </row>
    <row r="948" customFormat="false" ht="15" hidden="true" customHeight="false" outlineLevel="0" collapsed="false">
      <c r="A948" s="51" t="s">
        <v>124</v>
      </c>
      <c r="B948" s="55" t="n">
        <v>44104</v>
      </c>
      <c r="C948" s="51" t="s">
        <v>791</v>
      </c>
      <c r="D948" s="51" t="n">
        <v>9391000</v>
      </c>
    </row>
    <row r="949" customFormat="false" ht="15" hidden="true" customHeight="false" outlineLevel="0" collapsed="false">
      <c r="A949" s="51" t="s">
        <v>129</v>
      </c>
      <c r="B949" s="55" t="n">
        <v>44104</v>
      </c>
      <c r="C949" s="51" t="s">
        <v>791</v>
      </c>
      <c r="D949" s="51" t="n">
        <v>695780</v>
      </c>
    </row>
    <row r="950" customFormat="false" ht="15" hidden="true" customHeight="false" outlineLevel="0" collapsed="false">
      <c r="A950" s="51" t="s">
        <v>134</v>
      </c>
      <c r="B950" s="55" t="n">
        <v>44104</v>
      </c>
      <c r="C950" s="51" t="s">
        <v>791</v>
      </c>
      <c r="D950" s="51" t="n">
        <v>2337926</v>
      </c>
    </row>
    <row r="951" customFormat="false" ht="15" hidden="true" customHeight="false" outlineLevel="0" collapsed="false">
      <c r="A951" s="51" t="s">
        <v>141</v>
      </c>
      <c r="B951" s="55" t="n">
        <v>44104</v>
      </c>
      <c r="C951" s="51" t="s">
        <v>791</v>
      </c>
      <c r="D951" s="51" t="n">
        <v>0</v>
      </c>
    </row>
    <row r="952" customFormat="false" ht="15" hidden="true" customHeight="false" outlineLevel="0" collapsed="false">
      <c r="A952" s="51" t="s">
        <v>146</v>
      </c>
      <c r="B952" s="55" t="n">
        <v>44104</v>
      </c>
      <c r="C952" s="51" t="s">
        <v>791</v>
      </c>
      <c r="D952" s="51" t="n">
        <v>500000</v>
      </c>
    </row>
    <row r="953" customFormat="false" ht="15" hidden="true" customHeight="false" outlineLevel="0" collapsed="false">
      <c r="A953" s="51" t="s">
        <v>151</v>
      </c>
      <c r="B953" s="55" t="n">
        <v>44104</v>
      </c>
      <c r="C953" s="51" t="s">
        <v>791</v>
      </c>
      <c r="D953" s="51" t="n">
        <v>0</v>
      </c>
    </row>
    <row r="954" customFormat="false" ht="15" hidden="true" customHeight="false" outlineLevel="0" collapsed="false">
      <c r="A954" s="51" t="s">
        <v>156</v>
      </c>
      <c r="B954" s="55" t="n">
        <v>44104</v>
      </c>
      <c r="C954" s="51" t="s">
        <v>791</v>
      </c>
      <c r="D954" s="51" t="n">
        <v>0</v>
      </c>
    </row>
    <row r="955" customFormat="false" ht="15" hidden="true" customHeight="false" outlineLevel="0" collapsed="false">
      <c r="A955" s="51" t="s">
        <v>161</v>
      </c>
      <c r="B955" s="55" t="n">
        <v>44104</v>
      </c>
      <c r="C955" s="51" t="s">
        <v>791</v>
      </c>
      <c r="D955" s="51" t="n">
        <v>0</v>
      </c>
    </row>
    <row r="956" customFormat="false" ht="15" hidden="true" customHeight="false" outlineLevel="0" collapsed="false">
      <c r="A956" s="51" t="s">
        <v>166</v>
      </c>
      <c r="B956" s="55" t="n">
        <v>44104</v>
      </c>
      <c r="C956" s="51" t="s">
        <v>791</v>
      </c>
      <c r="D956" s="51" t="n">
        <v>0</v>
      </c>
    </row>
    <row r="957" customFormat="false" ht="15" hidden="true" customHeight="false" outlineLevel="0" collapsed="false">
      <c r="A957" s="51" t="s">
        <v>171</v>
      </c>
      <c r="B957" s="55" t="n">
        <v>44104</v>
      </c>
      <c r="C957" s="51" t="s">
        <v>791</v>
      </c>
      <c r="D957" s="51" t="n">
        <v>0</v>
      </c>
    </row>
    <row r="958" customFormat="false" ht="15" hidden="true" customHeight="false" outlineLevel="0" collapsed="false">
      <c r="A958" s="51" t="s">
        <v>176</v>
      </c>
      <c r="B958" s="55" t="n">
        <v>44104</v>
      </c>
      <c r="C958" s="51" t="s">
        <v>791</v>
      </c>
      <c r="D958" s="51" t="n">
        <v>0</v>
      </c>
    </row>
    <row r="959" customFormat="false" ht="15" hidden="true" customHeight="false" outlineLevel="0" collapsed="false">
      <c r="A959" s="51" t="s">
        <v>181</v>
      </c>
      <c r="B959" s="55" t="n">
        <v>44104</v>
      </c>
      <c r="C959" s="51" t="s">
        <v>791</v>
      </c>
      <c r="D959" s="51" t="n">
        <v>0</v>
      </c>
    </row>
    <row r="960" customFormat="false" ht="15" hidden="true" customHeight="false" outlineLevel="0" collapsed="false">
      <c r="A960" s="51" t="s">
        <v>186</v>
      </c>
      <c r="B960" s="55" t="n">
        <v>44104</v>
      </c>
      <c r="C960" s="51" t="s">
        <v>791</v>
      </c>
      <c r="D960" s="51" t="n">
        <v>0</v>
      </c>
    </row>
    <row r="961" customFormat="false" ht="15" hidden="true" customHeight="false" outlineLevel="0" collapsed="false">
      <c r="A961" s="51" t="s">
        <v>191</v>
      </c>
      <c r="B961" s="55" t="n">
        <v>44104</v>
      </c>
      <c r="C961" s="51" t="s">
        <v>791</v>
      </c>
      <c r="D961" s="51" t="n">
        <v>0</v>
      </c>
    </row>
    <row r="962" customFormat="false" ht="15" hidden="true" customHeight="false" outlineLevel="0" collapsed="false">
      <c r="A962" s="51" t="s">
        <v>196</v>
      </c>
      <c r="B962" s="55" t="n">
        <v>44104</v>
      </c>
      <c r="C962" s="51" t="s">
        <v>791</v>
      </c>
      <c r="D962" s="51" t="n">
        <v>0</v>
      </c>
    </row>
    <row r="963" customFormat="false" ht="15" hidden="true" customHeight="false" outlineLevel="0" collapsed="false">
      <c r="A963" s="51" t="s">
        <v>201</v>
      </c>
      <c r="B963" s="55" t="n">
        <v>44104</v>
      </c>
      <c r="C963" s="51" t="s">
        <v>791</v>
      </c>
      <c r="D963" s="51" t="n">
        <v>0</v>
      </c>
    </row>
    <row r="964" customFormat="false" ht="15" hidden="true" customHeight="false" outlineLevel="0" collapsed="false">
      <c r="A964" s="51" t="s">
        <v>206</v>
      </c>
      <c r="B964" s="55" t="n">
        <v>44104</v>
      </c>
      <c r="C964" s="51" t="s">
        <v>791</v>
      </c>
      <c r="D964" s="51" t="n">
        <v>0</v>
      </c>
    </row>
    <row r="965" customFormat="false" ht="15" hidden="true" customHeight="false" outlineLevel="0" collapsed="false">
      <c r="A965" s="51" t="s">
        <v>210</v>
      </c>
      <c r="B965" s="55" t="n">
        <v>44104</v>
      </c>
      <c r="C965" s="51" t="s">
        <v>791</v>
      </c>
      <c r="D965" s="51" t="n">
        <v>0</v>
      </c>
    </row>
    <row r="966" customFormat="false" ht="15" hidden="true" customHeight="false" outlineLevel="0" collapsed="false">
      <c r="A966" s="51" t="s">
        <v>215</v>
      </c>
      <c r="B966" s="55" t="n">
        <v>44104</v>
      </c>
      <c r="C966" s="51" t="s">
        <v>791</v>
      </c>
      <c r="D966" s="51" t="n">
        <v>0</v>
      </c>
    </row>
    <row r="967" customFormat="false" ht="15" hidden="true" customHeight="false" outlineLevel="0" collapsed="false">
      <c r="A967" s="51" t="s">
        <v>790</v>
      </c>
      <c r="B967" s="55" t="n">
        <v>44104</v>
      </c>
      <c r="C967" s="51" t="s">
        <v>791</v>
      </c>
      <c r="D967" s="51" t="n">
        <v>0</v>
      </c>
    </row>
    <row r="968" customFormat="false" ht="15" hidden="true" customHeight="false" outlineLevel="0" collapsed="false">
      <c r="A968" s="51" t="s">
        <v>225</v>
      </c>
      <c r="B968" s="55" t="n">
        <v>44104</v>
      </c>
      <c r="C968" s="51" t="s">
        <v>791</v>
      </c>
      <c r="D968" s="51" t="n">
        <v>0</v>
      </c>
    </row>
    <row r="969" customFormat="false" ht="15" hidden="true" customHeight="false" outlineLevel="0" collapsed="false">
      <c r="A969" s="51" t="s">
        <v>230</v>
      </c>
      <c r="B969" s="55" t="n">
        <v>44104</v>
      </c>
      <c r="C969" s="51" t="s">
        <v>791</v>
      </c>
      <c r="D969" s="51" t="n">
        <v>0</v>
      </c>
    </row>
    <row r="970" customFormat="false" ht="15" hidden="true" customHeight="false" outlineLevel="0" collapsed="false">
      <c r="A970" s="51" t="s">
        <v>235</v>
      </c>
      <c r="B970" s="55" t="n">
        <v>44104</v>
      </c>
      <c r="C970" s="51" t="s">
        <v>791</v>
      </c>
      <c r="D970" s="51" t="n">
        <v>0</v>
      </c>
    </row>
    <row r="971" customFormat="false" ht="15" hidden="true" customHeight="false" outlineLevel="0" collapsed="false">
      <c r="A971" s="51" t="s">
        <v>240</v>
      </c>
      <c r="B971" s="55" t="n">
        <v>44104</v>
      </c>
      <c r="C971" s="51" t="s">
        <v>791</v>
      </c>
      <c r="D971" s="51" t="n">
        <v>0</v>
      </c>
    </row>
    <row r="972" customFormat="false" ht="15" hidden="true" customHeight="false" outlineLevel="0" collapsed="false">
      <c r="A972" s="51" t="s">
        <v>246</v>
      </c>
      <c r="B972" s="55" t="n">
        <v>44104</v>
      </c>
      <c r="C972" s="51" t="s">
        <v>791</v>
      </c>
      <c r="D972" s="51" t="n">
        <v>0</v>
      </c>
    </row>
    <row r="973" customFormat="false" ht="15" hidden="true" customHeight="false" outlineLevel="0" collapsed="false">
      <c r="A973" s="51" t="s">
        <v>252</v>
      </c>
      <c r="B973" s="55" t="n">
        <v>44104</v>
      </c>
      <c r="C973" s="51" t="s">
        <v>791</v>
      </c>
      <c r="D973" s="51" t="n">
        <v>0</v>
      </c>
    </row>
    <row r="974" customFormat="false" ht="15" hidden="true" customHeight="false" outlineLevel="0" collapsed="false">
      <c r="A974" s="51" t="s">
        <v>257</v>
      </c>
      <c r="B974" s="55" t="n">
        <v>44104</v>
      </c>
      <c r="C974" s="51" t="s">
        <v>791</v>
      </c>
      <c r="D974" s="51" t="n">
        <v>0</v>
      </c>
    </row>
    <row r="975" customFormat="false" ht="15" hidden="true" customHeight="false" outlineLevel="0" collapsed="false">
      <c r="A975" s="51" t="s">
        <v>262</v>
      </c>
      <c r="B975" s="55" t="n">
        <v>44104</v>
      </c>
      <c r="C975" s="51" t="s">
        <v>791</v>
      </c>
      <c r="D975" s="51" t="n">
        <v>0</v>
      </c>
    </row>
    <row r="976" customFormat="false" ht="15" hidden="true" customHeight="false" outlineLevel="0" collapsed="false">
      <c r="A976" s="51" t="s">
        <v>267</v>
      </c>
      <c r="B976" s="55" t="n">
        <v>44104</v>
      </c>
      <c r="C976" s="51" t="s">
        <v>791</v>
      </c>
      <c r="D976" s="51" t="n">
        <v>0</v>
      </c>
    </row>
    <row r="977" customFormat="false" ht="15" hidden="true" customHeight="false" outlineLevel="0" collapsed="false">
      <c r="A977" s="51" t="s">
        <v>272</v>
      </c>
      <c r="B977" s="55" t="n">
        <v>44104</v>
      </c>
      <c r="C977" s="51" t="s">
        <v>791</v>
      </c>
      <c r="D977" s="51" t="n">
        <v>0</v>
      </c>
    </row>
    <row r="978" customFormat="false" ht="15" hidden="true" customHeight="false" outlineLevel="0" collapsed="false">
      <c r="A978" s="51" t="s">
        <v>277</v>
      </c>
      <c r="B978" s="55" t="n">
        <v>44104</v>
      </c>
      <c r="C978" s="51" t="s">
        <v>791</v>
      </c>
      <c r="D978" s="51" t="n">
        <v>0</v>
      </c>
    </row>
    <row r="979" customFormat="false" ht="15" hidden="true" customHeight="false" outlineLevel="0" collapsed="false">
      <c r="A979" s="51" t="s">
        <v>282</v>
      </c>
      <c r="B979" s="55" t="n">
        <v>44104</v>
      </c>
      <c r="C979" s="51" t="s">
        <v>791</v>
      </c>
      <c r="D979" s="51" t="n">
        <v>0</v>
      </c>
    </row>
    <row r="980" customFormat="false" ht="15" hidden="true" customHeight="false" outlineLevel="0" collapsed="false">
      <c r="A980" s="51" t="s">
        <v>287</v>
      </c>
      <c r="B980" s="55" t="n">
        <v>44104</v>
      </c>
      <c r="C980" s="51" t="s">
        <v>791</v>
      </c>
      <c r="D980" s="51" t="n">
        <v>0</v>
      </c>
    </row>
    <row r="981" customFormat="false" ht="15" hidden="true" customHeight="false" outlineLevel="0" collapsed="false">
      <c r="A981" s="51" t="s">
        <v>292</v>
      </c>
      <c r="B981" s="55" t="n">
        <v>44104</v>
      </c>
      <c r="C981" s="51" t="s">
        <v>791</v>
      </c>
      <c r="D981" s="51" t="n">
        <v>0</v>
      </c>
    </row>
    <row r="982" customFormat="false" ht="15" hidden="true" customHeight="false" outlineLevel="0" collapsed="false">
      <c r="A982" s="51" t="s">
        <v>297</v>
      </c>
      <c r="B982" s="55" t="n">
        <v>44104</v>
      </c>
      <c r="C982" s="51" t="s">
        <v>791</v>
      </c>
      <c r="D982" s="51" t="n">
        <v>0</v>
      </c>
    </row>
    <row r="983" customFormat="false" ht="15" hidden="true" customHeight="false" outlineLevel="0" collapsed="false">
      <c r="A983" s="51" t="s">
        <v>302</v>
      </c>
      <c r="B983" s="55" t="n">
        <v>44104</v>
      </c>
      <c r="C983" s="51" t="s">
        <v>791</v>
      </c>
      <c r="D983" s="51" t="n">
        <v>0</v>
      </c>
    </row>
    <row r="984" customFormat="false" ht="15" hidden="true" customHeight="false" outlineLevel="0" collapsed="false">
      <c r="A984" s="51" t="s">
        <v>307</v>
      </c>
      <c r="B984" s="55" t="n">
        <v>44104</v>
      </c>
      <c r="C984" s="51" t="s">
        <v>791</v>
      </c>
      <c r="D984" s="51" t="n">
        <v>0</v>
      </c>
    </row>
    <row r="985" customFormat="false" ht="15" hidden="true" customHeight="false" outlineLevel="0" collapsed="false">
      <c r="A985" s="51" t="s">
        <v>311</v>
      </c>
      <c r="B985" s="55" t="n">
        <v>44104</v>
      </c>
      <c r="C985" s="51" t="s">
        <v>791</v>
      </c>
      <c r="D985" s="51" t="n">
        <v>0</v>
      </c>
    </row>
    <row r="986" customFormat="false" ht="15" hidden="true" customHeight="false" outlineLevel="0" collapsed="false">
      <c r="A986" s="51" t="s">
        <v>317</v>
      </c>
      <c r="B986" s="55" t="n">
        <v>44104</v>
      </c>
      <c r="C986" s="51" t="s">
        <v>791</v>
      </c>
      <c r="D986" s="51" t="n">
        <v>0</v>
      </c>
    </row>
    <row r="987" customFormat="false" ht="15" hidden="true" customHeight="false" outlineLevel="0" collapsed="false">
      <c r="A987" s="51" t="s">
        <v>322</v>
      </c>
      <c r="B987" s="55" t="n">
        <v>44104</v>
      </c>
      <c r="C987" s="51" t="s">
        <v>791</v>
      </c>
      <c r="D987" s="51" t="n">
        <v>0</v>
      </c>
    </row>
    <row r="988" customFormat="false" ht="15" hidden="true" customHeight="false" outlineLevel="0" collapsed="false">
      <c r="A988" s="51" t="s">
        <v>327</v>
      </c>
      <c r="B988" s="55" t="n">
        <v>44104</v>
      </c>
      <c r="C988" s="51" t="s">
        <v>791</v>
      </c>
      <c r="D988" s="51" t="n">
        <v>0</v>
      </c>
    </row>
    <row r="989" customFormat="false" ht="15" hidden="true" customHeight="false" outlineLevel="0" collapsed="false">
      <c r="A989" s="51" t="s">
        <v>332</v>
      </c>
      <c r="B989" s="55" t="n">
        <v>44104</v>
      </c>
      <c r="C989" s="51" t="s">
        <v>791</v>
      </c>
      <c r="D989" s="51" t="n">
        <v>0</v>
      </c>
    </row>
    <row r="990" customFormat="false" ht="15" hidden="true" customHeight="false" outlineLevel="0" collapsed="false">
      <c r="A990" s="51" t="s">
        <v>339</v>
      </c>
      <c r="B990" s="55" t="n">
        <v>44104</v>
      </c>
      <c r="C990" s="51" t="s">
        <v>791</v>
      </c>
      <c r="D990" s="51" t="n">
        <v>0</v>
      </c>
    </row>
    <row r="991" customFormat="false" ht="15" hidden="true" customHeight="false" outlineLevel="0" collapsed="false">
      <c r="A991" s="51" t="s">
        <v>344</v>
      </c>
      <c r="B991" s="55" t="n">
        <v>44104</v>
      </c>
      <c r="C991" s="51" t="s">
        <v>791</v>
      </c>
      <c r="D991" s="51" t="n">
        <v>0</v>
      </c>
    </row>
    <row r="992" customFormat="false" ht="15" hidden="true" customHeight="false" outlineLevel="0" collapsed="false">
      <c r="A992" s="51" t="s">
        <v>349</v>
      </c>
      <c r="B992" s="55" t="n">
        <v>44104</v>
      </c>
      <c r="C992" s="51" t="s">
        <v>791</v>
      </c>
      <c r="D992" s="51" t="n">
        <v>0</v>
      </c>
    </row>
    <row r="993" customFormat="false" ht="15" hidden="true" customHeight="false" outlineLevel="0" collapsed="false">
      <c r="A993" s="51" t="s">
        <v>354</v>
      </c>
      <c r="B993" s="55" t="n">
        <v>44104</v>
      </c>
      <c r="C993" s="51" t="s">
        <v>791</v>
      </c>
      <c r="D993" s="51" t="n">
        <v>0</v>
      </c>
    </row>
    <row r="994" customFormat="false" ht="15" hidden="true" customHeight="false" outlineLevel="0" collapsed="false">
      <c r="A994" s="51" t="s">
        <v>359</v>
      </c>
      <c r="B994" s="55" t="n">
        <v>44104</v>
      </c>
      <c r="C994" s="51" t="s">
        <v>791</v>
      </c>
      <c r="D994" s="51" t="n">
        <v>0</v>
      </c>
    </row>
    <row r="995" customFormat="false" ht="15" hidden="true" customHeight="false" outlineLevel="0" collapsed="false">
      <c r="A995" s="51" t="s">
        <v>364</v>
      </c>
      <c r="B995" s="55" t="n">
        <v>44104</v>
      </c>
      <c r="C995" s="51" t="s">
        <v>791</v>
      </c>
      <c r="D995" s="51" t="n">
        <v>0</v>
      </c>
    </row>
    <row r="996" customFormat="false" ht="15" hidden="true" customHeight="false" outlineLevel="0" collapsed="false">
      <c r="A996" s="51" t="s">
        <v>369</v>
      </c>
      <c r="B996" s="55" t="n">
        <v>44104</v>
      </c>
      <c r="C996" s="51" t="s">
        <v>791</v>
      </c>
      <c r="D996" s="51" t="n">
        <v>0</v>
      </c>
    </row>
    <row r="997" customFormat="false" ht="15" hidden="true" customHeight="false" outlineLevel="0" collapsed="false">
      <c r="A997" s="51" t="s">
        <v>374</v>
      </c>
      <c r="B997" s="55" t="n">
        <v>44104</v>
      </c>
      <c r="C997" s="51" t="s">
        <v>791</v>
      </c>
      <c r="D997" s="51" t="n">
        <v>0</v>
      </c>
    </row>
    <row r="998" customFormat="false" ht="15" hidden="true" customHeight="false" outlineLevel="0" collapsed="false">
      <c r="A998" s="51" t="s">
        <v>379</v>
      </c>
      <c r="B998" s="55" t="n">
        <v>44104</v>
      </c>
      <c r="C998" s="51" t="s">
        <v>791</v>
      </c>
      <c r="D998" s="51" t="n">
        <v>0</v>
      </c>
    </row>
    <row r="999" customFormat="false" ht="15" hidden="true" customHeight="false" outlineLevel="0" collapsed="false">
      <c r="A999" s="51" t="s">
        <v>384</v>
      </c>
      <c r="B999" s="55" t="n">
        <v>44104</v>
      </c>
      <c r="C999" s="51" t="s">
        <v>791</v>
      </c>
      <c r="D999" s="51" t="n">
        <v>0</v>
      </c>
    </row>
    <row r="1000" customFormat="false" ht="15" hidden="true" customHeight="false" outlineLevel="0" collapsed="false">
      <c r="A1000" s="51" t="s">
        <v>389</v>
      </c>
      <c r="B1000" s="55" t="n">
        <v>44104</v>
      </c>
      <c r="C1000" s="51" t="s">
        <v>791</v>
      </c>
      <c r="D1000" s="51" t="n">
        <v>0</v>
      </c>
    </row>
    <row r="1001" customFormat="false" ht="15" hidden="true" customHeight="false" outlineLevel="0" collapsed="false">
      <c r="A1001" s="51" t="s">
        <v>394</v>
      </c>
      <c r="B1001" s="55" t="n">
        <v>44104</v>
      </c>
      <c r="C1001" s="51" t="s">
        <v>791</v>
      </c>
      <c r="D1001" s="51" t="n">
        <v>0</v>
      </c>
    </row>
    <row r="1002" customFormat="false" ht="15" hidden="true" customHeight="false" outlineLevel="0" collapsed="false">
      <c r="A1002" s="51" t="s">
        <v>399</v>
      </c>
      <c r="B1002" s="55" t="n">
        <v>44104</v>
      </c>
      <c r="C1002" s="51" t="s">
        <v>791</v>
      </c>
      <c r="D1002" s="51" t="n">
        <v>0</v>
      </c>
    </row>
    <row r="1003" customFormat="false" ht="15" hidden="true" customHeight="false" outlineLevel="0" collapsed="false">
      <c r="A1003" s="51" t="s">
        <v>404</v>
      </c>
      <c r="B1003" s="55" t="n">
        <v>44104</v>
      </c>
      <c r="C1003" s="51" t="s">
        <v>791</v>
      </c>
      <c r="D1003" s="51" t="n">
        <v>0</v>
      </c>
    </row>
    <row r="1004" customFormat="false" ht="15" hidden="true" customHeight="false" outlineLevel="0" collapsed="false">
      <c r="A1004" s="51" t="s">
        <v>409</v>
      </c>
      <c r="B1004" s="55" t="n">
        <v>44104</v>
      </c>
      <c r="C1004" s="51" t="s">
        <v>791</v>
      </c>
      <c r="D1004" s="51" t="n">
        <v>0</v>
      </c>
    </row>
    <row r="1005" customFormat="false" ht="15" hidden="true" customHeight="false" outlineLevel="0" collapsed="false">
      <c r="A1005" s="51" t="s">
        <v>414</v>
      </c>
      <c r="B1005" s="55" t="n">
        <v>44104</v>
      </c>
      <c r="C1005" s="51" t="s">
        <v>791</v>
      </c>
      <c r="D1005" s="51" t="n">
        <v>0</v>
      </c>
    </row>
    <row r="1006" customFormat="false" ht="15" hidden="true" customHeight="false" outlineLevel="0" collapsed="false">
      <c r="A1006" s="51" t="s">
        <v>419</v>
      </c>
      <c r="B1006" s="55" t="n">
        <v>44104</v>
      </c>
      <c r="C1006" s="51" t="s">
        <v>791</v>
      </c>
      <c r="D1006" s="51" t="n">
        <v>0</v>
      </c>
    </row>
    <row r="1007" customFormat="false" ht="15" hidden="true" customHeight="false" outlineLevel="0" collapsed="false">
      <c r="A1007" s="51" t="s">
        <v>424</v>
      </c>
      <c r="B1007" s="55" t="n">
        <v>44104</v>
      </c>
      <c r="C1007" s="51" t="s">
        <v>791</v>
      </c>
      <c r="D1007" s="51" t="n">
        <v>0</v>
      </c>
    </row>
    <row r="1008" customFormat="false" ht="15" hidden="true" customHeight="false" outlineLevel="0" collapsed="false">
      <c r="A1008" s="51" t="s">
        <v>429</v>
      </c>
      <c r="B1008" s="55" t="n">
        <v>44104</v>
      </c>
      <c r="C1008" s="51" t="s">
        <v>791</v>
      </c>
      <c r="D1008" s="51" t="n">
        <v>0</v>
      </c>
    </row>
    <row r="1009" customFormat="false" ht="15" hidden="true" customHeight="false" outlineLevel="0" collapsed="false">
      <c r="A1009" s="51" t="s">
        <v>434</v>
      </c>
      <c r="B1009" s="55" t="n">
        <v>44104</v>
      </c>
      <c r="C1009" s="51" t="s">
        <v>791</v>
      </c>
      <c r="D1009" s="51" t="n">
        <v>0</v>
      </c>
    </row>
    <row r="1010" customFormat="false" ht="15" hidden="true" customHeight="false" outlineLevel="0" collapsed="false">
      <c r="A1010" s="51" t="s">
        <v>438</v>
      </c>
      <c r="B1010" s="55" t="n">
        <v>44104</v>
      </c>
      <c r="C1010" s="51" t="s">
        <v>791</v>
      </c>
      <c r="D1010" s="51" t="n">
        <v>0</v>
      </c>
    </row>
    <row r="1011" customFormat="false" ht="15" hidden="true" customHeight="false" outlineLevel="0" collapsed="false">
      <c r="A1011" s="51" t="s">
        <v>443</v>
      </c>
      <c r="B1011" s="55" t="n">
        <v>44104</v>
      </c>
      <c r="C1011" s="51" t="s">
        <v>791</v>
      </c>
      <c r="D1011" s="51" t="n">
        <v>0</v>
      </c>
    </row>
    <row r="1012" customFormat="false" ht="15" hidden="true" customHeight="false" outlineLevel="0" collapsed="false">
      <c r="A1012" s="51" t="s">
        <v>448</v>
      </c>
      <c r="B1012" s="55" t="n">
        <v>44104</v>
      </c>
      <c r="C1012" s="51" t="s">
        <v>791</v>
      </c>
      <c r="D1012" s="51" t="n">
        <v>0</v>
      </c>
    </row>
    <row r="1013" customFormat="false" ht="15" hidden="true" customHeight="false" outlineLevel="0" collapsed="false">
      <c r="A1013" s="51" t="s">
        <v>453</v>
      </c>
      <c r="B1013" s="55" t="n">
        <v>44104</v>
      </c>
      <c r="C1013" s="51" t="s">
        <v>791</v>
      </c>
      <c r="D1013" s="51" t="n">
        <v>0</v>
      </c>
    </row>
    <row r="1014" customFormat="false" ht="15" hidden="true" customHeight="false" outlineLevel="0" collapsed="false">
      <c r="A1014" s="51" t="s">
        <v>458</v>
      </c>
      <c r="B1014" s="55" t="n">
        <v>44104</v>
      </c>
      <c r="C1014" s="51" t="s">
        <v>791</v>
      </c>
      <c r="D1014" s="51" t="n">
        <v>0</v>
      </c>
    </row>
    <row r="1015" customFormat="false" ht="15" hidden="true" customHeight="false" outlineLevel="0" collapsed="false">
      <c r="A1015" s="51" t="s">
        <v>473</v>
      </c>
      <c r="B1015" s="55" t="n">
        <v>44104</v>
      </c>
      <c r="C1015" s="51" t="s">
        <v>791</v>
      </c>
      <c r="D1015" s="51" t="n">
        <v>0</v>
      </c>
    </row>
    <row r="1016" customFormat="false" ht="15" hidden="true" customHeight="false" outlineLevel="0" collapsed="false">
      <c r="A1016" s="51" t="s">
        <v>479</v>
      </c>
      <c r="B1016" s="55" t="n">
        <v>44104</v>
      </c>
      <c r="C1016" s="51" t="s">
        <v>791</v>
      </c>
      <c r="D1016" s="51" t="n">
        <v>0</v>
      </c>
    </row>
    <row r="1017" customFormat="false" ht="15" hidden="true" customHeight="false" outlineLevel="0" collapsed="false">
      <c r="A1017" s="51" t="s">
        <v>484</v>
      </c>
      <c r="B1017" s="55" t="n">
        <v>44104</v>
      </c>
      <c r="C1017" s="51" t="s">
        <v>791</v>
      </c>
      <c r="D1017" s="51" t="n">
        <v>0</v>
      </c>
    </row>
    <row r="1018" customFormat="false" ht="15" hidden="true" customHeight="false" outlineLevel="0" collapsed="false">
      <c r="A1018" s="51" t="s">
        <v>489</v>
      </c>
      <c r="B1018" s="55" t="n">
        <v>44104</v>
      </c>
      <c r="C1018" s="51" t="s">
        <v>791</v>
      </c>
      <c r="D1018" s="51" t="n">
        <v>0</v>
      </c>
    </row>
    <row r="1019" customFormat="false" ht="15" hidden="true" customHeight="false" outlineLevel="0" collapsed="false">
      <c r="A1019" s="51" t="s">
        <v>494</v>
      </c>
      <c r="B1019" s="55" t="n">
        <v>44104</v>
      </c>
      <c r="C1019" s="51" t="s">
        <v>791</v>
      </c>
      <c r="D1019" s="51" t="n">
        <v>0</v>
      </c>
    </row>
    <row r="1020" customFormat="false" ht="15" hidden="true" customHeight="false" outlineLevel="0" collapsed="false">
      <c r="A1020" s="51" t="s">
        <v>499</v>
      </c>
      <c r="B1020" s="55" t="n">
        <v>44104</v>
      </c>
      <c r="C1020" s="51" t="s">
        <v>791</v>
      </c>
      <c r="D1020" s="51" t="n">
        <v>0</v>
      </c>
    </row>
    <row r="1021" customFormat="false" ht="15" hidden="true" customHeight="false" outlineLevel="0" collapsed="false">
      <c r="A1021" s="51" t="s">
        <v>504</v>
      </c>
      <c r="B1021" s="55" t="n">
        <v>44104</v>
      </c>
      <c r="C1021" s="51" t="s">
        <v>791</v>
      </c>
      <c r="D1021" s="51" t="n">
        <v>0</v>
      </c>
    </row>
    <row r="1022" customFormat="false" ht="15" hidden="true" customHeight="false" outlineLevel="0" collapsed="false">
      <c r="A1022" s="51" t="s">
        <v>509</v>
      </c>
      <c r="B1022" s="55" t="n">
        <v>44104</v>
      </c>
      <c r="C1022" s="51" t="s">
        <v>791</v>
      </c>
      <c r="D1022" s="51" t="n">
        <v>0</v>
      </c>
    </row>
    <row r="1023" customFormat="false" ht="15" hidden="true" customHeight="false" outlineLevel="0" collapsed="false">
      <c r="A1023" s="51" t="s">
        <v>515</v>
      </c>
      <c r="B1023" s="55" t="n">
        <v>44104</v>
      </c>
      <c r="C1023" s="51" t="s">
        <v>791</v>
      </c>
      <c r="D1023" s="51" t="n">
        <v>0</v>
      </c>
    </row>
    <row r="1024" customFormat="false" ht="15" hidden="true" customHeight="false" outlineLevel="0" collapsed="false">
      <c r="A1024" s="51" t="s">
        <v>520</v>
      </c>
      <c r="B1024" s="55" t="n">
        <v>44104</v>
      </c>
      <c r="C1024" s="51" t="s">
        <v>791</v>
      </c>
      <c r="D1024" s="51" t="n">
        <v>0</v>
      </c>
    </row>
    <row r="1025" customFormat="false" ht="15" hidden="true" customHeight="false" outlineLevel="0" collapsed="false">
      <c r="A1025" s="51" t="s">
        <v>525</v>
      </c>
      <c r="B1025" s="55" t="n">
        <v>44104</v>
      </c>
      <c r="C1025" s="51" t="s">
        <v>791</v>
      </c>
      <c r="D1025" s="51" t="n">
        <v>0</v>
      </c>
    </row>
    <row r="1026" customFormat="false" ht="15" hidden="true" customHeight="false" outlineLevel="0" collapsed="false">
      <c r="A1026" s="51" t="s">
        <v>531</v>
      </c>
      <c r="B1026" s="55" t="n">
        <v>44104</v>
      </c>
      <c r="C1026" s="51" t="s">
        <v>791</v>
      </c>
      <c r="D1026" s="51" t="n">
        <v>0</v>
      </c>
    </row>
    <row r="1027" customFormat="false" ht="15" hidden="true" customHeight="false" outlineLevel="0" collapsed="false">
      <c r="A1027" s="51" t="s">
        <v>536</v>
      </c>
      <c r="B1027" s="55" t="n">
        <v>44104</v>
      </c>
      <c r="C1027" s="51" t="s">
        <v>791</v>
      </c>
      <c r="D1027" s="51" t="n">
        <v>0</v>
      </c>
    </row>
    <row r="1028" customFormat="false" ht="15" hidden="true" customHeight="false" outlineLevel="0" collapsed="false">
      <c r="A1028" s="51" t="s">
        <v>541</v>
      </c>
      <c r="B1028" s="55" t="n">
        <v>44104</v>
      </c>
      <c r="C1028" s="51" t="s">
        <v>791</v>
      </c>
      <c r="D1028" s="51" t="n">
        <v>0</v>
      </c>
    </row>
    <row r="1029" customFormat="false" ht="15" hidden="true" customHeight="false" outlineLevel="0" collapsed="false">
      <c r="A1029" s="51" t="s">
        <v>549</v>
      </c>
      <c r="B1029" s="55" t="n">
        <v>44104</v>
      </c>
      <c r="C1029" s="51" t="s">
        <v>791</v>
      </c>
      <c r="D1029" s="51" t="n">
        <v>0</v>
      </c>
    </row>
    <row r="1030" customFormat="false" ht="15" hidden="true" customHeight="false" outlineLevel="0" collapsed="false">
      <c r="A1030" s="51" t="s">
        <v>554</v>
      </c>
      <c r="B1030" s="55" t="n">
        <v>44104</v>
      </c>
      <c r="C1030" s="51" t="s">
        <v>791</v>
      </c>
      <c r="D1030" s="51" t="n">
        <v>0</v>
      </c>
    </row>
    <row r="1031" customFormat="false" ht="15" hidden="true" customHeight="false" outlineLevel="0" collapsed="false">
      <c r="A1031" s="51" t="s">
        <v>559</v>
      </c>
      <c r="B1031" s="55" t="n">
        <v>44104</v>
      </c>
      <c r="C1031" s="51" t="s">
        <v>791</v>
      </c>
      <c r="D1031" s="51" t="n">
        <v>0</v>
      </c>
    </row>
    <row r="1032" customFormat="false" ht="15" hidden="true" customHeight="false" outlineLevel="0" collapsed="false">
      <c r="A1032" s="51" t="s">
        <v>564</v>
      </c>
      <c r="B1032" s="55" t="n">
        <v>44104</v>
      </c>
      <c r="C1032" s="51" t="s">
        <v>791</v>
      </c>
      <c r="D1032" s="51" t="n">
        <v>0</v>
      </c>
    </row>
    <row r="1033" customFormat="false" ht="15" hidden="true" customHeight="false" outlineLevel="0" collapsed="false">
      <c r="A1033" s="51" t="s">
        <v>569</v>
      </c>
      <c r="B1033" s="55" t="n">
        <v>44104</v>
      </c>
      <c r="C1033" s="51" t="s">
        <v>791</v>
      </c>
      <c r="D1033" s="51" t="n">
        <v>0</v>
      </c>
    </row>
    <row r="1034" customFormat="false" ht="15" hidden="true" customHeight="false" outlineLevel="0" collapsed="false">
      <c r="A1034" s="51" t="s">
        <v>574</v>
      </c>
      <c r="B1034" s="55" t="n">
        <v>44104</v>
      </c>
      <c r="C1034" s="51" t="s">
        <v>791</v>
      </c>
      <c r="D1034" s="51" t="n">
        <v>0</v>
      </c>
    </row>
    <row r="1035" customFormat="false" ht="15" hidden="true" customHeight="false" outlineLevel="0" collapsed="false">
      <c r="A1035" s="51" t="s">
        <v>579</v>
      </c>
      <c r="B1035" s="55" t="n">
        <v>44104</v>
      </c>
      <c r="C1035" s="51" t="s">
        <v>791</v>
      </c>
      <c r="D1035" s="51" t="n">
        <v>0</v>
      </c>
    </row>
    <row r="1036" customFormat="false" ht="15" hidden="true" customHeight="false" outlineLevel="0" collapsed="false">
      <c r="A1036" s="51" t="s">
        <v>584</v>
      </c>
      <c r="B1036" s="55" t="n">
        <v>44104</v>
      </c>
      <c r="C1036" s="51" t="s">
        <v>791</v>
      </c>
      <c r="D1036" s="51" t="n">
        <v>0</v>
      </c>
    </row>
    <row r="1037" customFormat="false" ht="15" hidden="true" customHeight="false" outlineLevel="0" collapsed="false">
      <c r="A1037" s="51" t="s">
        <v>589</v>
      </c>
      <c r="B1037" s="55" t="n">
        <v>44104</v>
      </c>
      <c r="C1037" s="51" t="s">
        <v>791</v>
      </c>
      <c r="D1037" s="51" t="n">
        <v>0</v>
      </c>
    </row>
    <row r="1038" customFormat="false" ht="15" hidden="true" customHeight="false" outlineLevel="0" collapsed="false">
      <c r="A1038" s="51" t="s">
        <v>756</v>
      </c>
      <c r="B1038" s="55" t="n">
        <v>44104</v>
      </c>
      <c r="C1038" s="51" t="s">
        <v>791</v>
      </c>
      <c r="D1038" s="51" t="n">
        <v>0</v>
      </c>
    </row>
    <row r="1039" customFormat="false" ht="15" hidden="true" customHeight="false" outlineLevel="0" collapsed="false">
      <c r="A1039" s="51" t="s">
        <v>594</v>
      </c>
      <c r="B1039" s="55" t="n">
        <v>44104</v>
      </c>
      <c r="C1039" s="51" t="s">
        <v>791</v>
      </c>
      <c r="D1039" s="51" t="n">
        <v>0</v>
      </c>
    </row>
    <row r="1040" customFormat="false" ht="15" hidden="true" customHeight="false" outlineLevel="0" collapsed="false">
      <c r="A1040" s="51" t="s">
        <v>761</v>
      </c>
      <c r="B1040" s="55" t="n">
        <v>44104</v>
      </c>
      <c r="C1040" s="51" t="s">
        <v>791</v>
      </c>
      <c r="D1040" s="51" t="n">
        <v>0</v>
      </c>
    </row>
    <row r="1041" customFormat="false" ht="15" hidden="true" customHeight="false" outlineLevel="0" collapsed="false">
      <c r="A1041" s="51" t="s">
        <v>599</v>
      </c>
      <c r="B1041" s="55" t="n">
        <v>44104</v>
      </c>
      <c r="C1041" s="51" t="s">
        <v>791</v>
      </c>
      <c r="D1041" s="51" t="n">
        <v>0</v>
      </c>
    </row>
    <row r="1042" customFormat="false" ht="15" hidden="true" customHeight="false" outlineLevel="0" collapsed="false">
      <c r="A1042" s="51" t="s">
        <v>604</v>
      </c>
      <c r="B1042" s="55" t="n">
        <v>44104</v>
      </c>
      <c r="C1042" s="51" t="s">
        <v>791</v>
      </c>
      <c r="D1042" s="51" t="n">
        <v>0</v>
      </c>
    </row>
    <row r="1043" customFormat="false" ht="15" hidden="true" customHeight="false" outlineLevel="0" collapsed="false">
      <c r="A1043" s="51" t="s">
        <v>609</v>
      </c>
      <c r="B1043" s="55" t="n">
        <v>44104</v>
      </c>
      <c r="C1043" s="51" t="s">
        <v>791</v>
      </c>
      <c r="D1043" s="51" t="n">
        <v>0</v>
      </c>
    </row>
    <row r="1044" customFormat="false" ht="15" hidden="true" customHeight="false" outlineLevel="0" collapsed="false">
      <c r="A1044" s="51" t="s">
        <v>614</v>
      </c>
      <c r="B1044" s="55" t="n">
        <v>44104</v>
      </c>
      <c r="C1044" s="51" t="s">
        <v>791</v>
      </c>
      <c r="D1044" s="51" t="n">
        <v>0</v>
      </c>
    </row>
    <row r="1045" customFormat="false" ht="15" hidden="true" customHeight="false" outlineLevel="0" collapsed="false">
      <c r="A1045" s="51" t="s">
        <v>619</v>
      </c>
      <c r="B1045" s="55" t="n">
        <v>44104</v>
      </c>
      <c r="C1045" s="51" t="s">
        <v>791</v>
      </c>
      <c r="D1045" s="51" t="n">
        <v>0</v>
      </c>
    </row>
    <row r="1046" customFormat="false" ht="15" hidden="true" customHeight="false" outlineLevel="0" collapsed="false">
      <c r="A1046" s="51" t="s">
        <v>624</v>
      </c>
      <c r="B1046" s="55" t="n">
        <v>44104</v>
      </c>
      <c r="C1046" s="51" t="s">
        <v>791</v>
      </c>
      <c r="D1046" s="51" t="n">
        <v>0</v>
      </c>
    </row>
    <row r="1047" customFormat="false" ht="15" hidden="true" customHeight="false" outlineLevel="0" collapsed="false">
      <c r="A1047" s="51" t="s">
        <v>629</v>
      </c>
      <c r="B1047" s="55" t="n">
        <v>44104</v>
      </c>
      <c r="C1047" s="51" t="s">
        <v>791</v>
      </c>
      <c r="D1047" s="51" t="n">
        <v>0</v>
      </c>
    </row>
    <row r="1048" customFormat="false" ht="15" hidden="true" customHeight="false" outlineLevel="0" collapsed="false">
      <c r="A1048" s="51" t="s">
        <v>633</v>
      </c>
      <c r="B1048" s="55" t="n">
        <v>44104</v>
      </c>
      <c r="C1048" s="51" t="s">
        <v>791</v>
      </c>
      <c r="D1048" s="51" t="n">
        <v>0</v>
      </c>
    </row>
    <row r="1049" customFormat="false" ht="15" hidden="true" customHeight="false" outlineLevel="0" collapsed="false">
      <c r="A1049" s="51" t="s">
        <v>638</v>
      </c>
      <c r="B1049" s="55" t="n">
        <v>44104</v>
      </c>
      <c r="C1049" s="51" t="s">
        <v>791</v>
      </c>
      <c r="D1049" s="51" t="n">
        <v>0</v>
      </c>
    </row>
    <row r="1050" customFormat="false" ht="15" hidden="true" customHeight="false" outlineLevel="0" collapsed="false">
      <c r="A1050" s="51" t="s">
        <v>642</v>
      </c>
      <c r="B1050" s="55" t="n">
        <v>44104</v>
      </c>
      <c r="C1050" s="51" t="s">
        <v>791</v>
      </c>
      <c r="D1050" s="51" t="n">
        <v>0</v>
      </c>
    </row>
    <row r="1051" customFormat="false" ht="15" hidden="true" customHeight="false" outlineLevel="0" collapsed="false">
      <c r="A1051" s="51" t="s">
        <v>646</v>
      </c>
      <c r="B1051" s="55" t="n">
        <v>44104</v>
      </c>
      <c r="C1051" s="51" t="s">
        <v>791</v>
      </c>
      <c r="D1051" s="51" t="n">
        <v>0</v>
      </c>
    </row>
    <row r="1052" customFormat="false" ht="15" hidden="true" customHeight="false" outlineLevel="0" collapsed="false">
      <c r="A1052" s="51" t="s">
        <v>651</v>
      </c>
      <c r="B1052" s="55" t="n">
        <v>44104</v>
      </c>
      <c r="C1052" s="51" t="s">
        <v>791</v>
      </c>
      <c r="D1052" s="51" t="n">
        <v>0</v>
      </c>
    </row>
    <row r="1053" customFormat="false" ht="15" hidden="true" customHeight="false" outlineLevel="0" collapsed="false">
      <c r="A1053" s="51" t="s">
        <v>656</v>
      </c>
      <c r="B1053" s="55" t="n">
        <v>44104</v>
      </c>
      <c r="C1053" s="51" t="s">
        <v>791</v>
      </c>
      <c r="D1053" s="51" t="n">
        <v>0</v>
      </c>
    </row>
    <row r="1054" customFormat="false" ht="15" hidden="true" customHeight="false" outlineLevel="0" collapsed="false">
      <c r="A1054" s="51" t="s">
        <v>661</v>
      </c>
      <c r="B1054" s="55" t="n">
        <v>44104</v>
      </c>
      <c r="C1054" s="51" t="s">
        <v>791</v>
      </c>
      <c r="D1054" s="51" t="n">
        <v>0</v>
      </c>
    </row>
    <row r="1055" customFormat="false" ht="15" hidden="true" customHeight="false" outlineLevel="0" collapsed="false">
      <c r="A1055" s="51" t="s">
        <v>666</v>
      </c>
      <c r="B1055" s="55" t="n">
        <v>44104</v>
      </c>
      <c r="C1055" s="51" t="s">
        <v>791</v>
      </c>
      <c r="D1055" s="51" t="n">
        <v>0</v>
      </c>
    </row>
    <row r="1056" customFormat="false" ht="15" hidden="true" customHeight="false" outlineLevel="0" collapsed="false">
      <c r="A1056" s="51" t="s">
        <v>671</v>
      </c>
      <c r="B1056" s="55" t="n">
        <v>44104</v>
      </c>
      <c r="C1056" s="51" t="s">
        <v>791</v>
      </c>
      <c r="D1056" s="51" t="n">
        <v>0</v>
      </c>
    </row>
    <row r="1057" customFormat="false" ht="15" hidden="true" customHeight="false" outlineLevel="0" collapsed="false">
      <c r="A1057" s="51" t="s">
        <v>676</v>
      </c>
      <c r="B1057" s="55" t="n">
        <v>44104</v>
      </c>
      <c r="C1057" s="51" t="s">
        <v>791</v>
      </c>
      <c r="D1057" s="51" t="n">
        <v>0</v>
      </c>
    </row>
    <row r="1058" customFormat="false" ht="15" hidden="true" customHeight="false" outlineLevel="0" collapsed="false">
      <c r="A1058" s="51" t="s">
        <v>681</v>
      </c>
      <c r="B1058" s="55" t="n">
        <v>44104</v>
      </c>
      <c r="C1058" s="51" t="s">
        <v>791</v>
      </c>
      <c r="D1058" s="51" t="n">
        <v>0</v>
      </c>
    </row>
    <row r="1059" customFormat="false" ht="15" hidden="true" customHeight="false" outlineLevel="0" collapsed="false">
      <c r="A1059" s="51" t="s">
        <v>686</v>
      </c>
      <c r="B1059" s="55" t="n">
        <v>44104</v>
      </c>
      <c r="C1059" s="51" t="s">
        <v>791</v>
      </c>
      <c r="D1059" s="51" t="n">
        <v>0</v>
      </c>
    </row>
    <row r="1060" customFormat="false" ht="15" hidden="true" customHeight="false" outlineLevel="0" collapsed="false">
      <c r="A1060" s="51" t="s">
        <v>691</v>
      </c>
      <c r="B1060" s="55" t="n">
        <v>44104</v>
      </c>
      <c r="C1060" s="51" t="s">
        <v>791</v>
      </c>
      <c r="D1060" s="51" t="n">
        <v>0</v>
      </c>
    </row>
    <row r="1061" customFormat="false" ht="15" hidden="true" customHeight="false" outlineLevel="0" collapsed="false">
      <c r="A1061" s="51" t="s">
        <v>696</v>
      </c>
      <c r="B1061" s="55" t="n">
        <v>44104</v>
      </c>
      <c r="C1061" s="51" t="s">
        <v>791</v>
      </c>
      <c r="D1061" s="51" t="n">
        <v>0</v>
      </c>
    </row>
    <row r="1062" customFormat="false" ht="15" hidden="true" customHeight="false" outlineLevel="0" collapsed="false">
      <c r="A1062" s="51" t="s">
        <v>701</v>
      </c>
      <c r="B1062" s="55" t="n">
        <v>44104</v>
      </c>
      <c r="C1062" s="51" t="s">
        <v>791</v>
      </c>
      <c r="D1062" s="51" t="n">
        <v>0</v>
      </c>
    </row>
    <row r="1063" customFormat="false" ht="15" hidden="true" customHeight="false" outlineLevel="0" collapsed="false">
      <c r="A1063" s="51" t="s">
        <v>707</v>
      </c>
      <c r="B1063" s="55" t="n">
        <v>44104</v>
      </c>
      <c r="C1063" s="51" t="s">
        <v>791</v>
      </c>
      <c r="D1063" s="51" t="n">
        <v>0</v>
      </c>
    </row>
    <row r="1064" customFormat="false" ht="15" hidden="true" customHeight="false" outlineLevel="0" collapsed="false">
      <c r="A1064" s="51" t="s">
        <v>712</v>
      </c>
      <c r="B1064" s="55" t="n">
        <v>44104</v>
      </c>
      <c r="C1064" s="51" t="s">
        <v>791</v>
      </c>
      <c r="D1064" s="51" t="n">
        <v>0</v>
      </c>
    </row>
    <row r="1065" customFormat="false" ht="15" hidden="true" customHeight="false" outlineLevel="0" collapsed="false">
      <c r="A1065" s="51" t="s">
        <v>717</v>
      </c>
      <c r="B1065" s="55" t="n">
        <v>44104</v>
      </c>
      <c r="C1065" s="51" t="s">
        <v>791</v>
      </c>
      <c r="D1065" s="51" t="n">
        <v>0</v>
      </c>
    </row>
    <row r="1066" customFormat="false" ht="15" hidden="true" customHeight="false" outlineLevel="0" collapsed="false">
      <c r="A1066" s="51" t="s">
        <v>767</v>
      </c>
      <c r="B1066" s="55" t="n">
        <v>44104</v>
      </c>
      <c r="C1066" s="51" t="s">
        <v>791</v>
      </c>
      <c r="D1066" s="51" t="n">
        <v>0</v>
      </c>
    </row>
    <row r="1067" customFormat="false" ht="15" hidden="true" customHeight="false" outlineLevel="0" collapsed="false">
      <c r="A1067" s="51" t="s">
        <v>722</v>
      </c>
      <c r="B1067" s="55" t="n">
        <v>44104</v>
      </c>
      <c r="C1067" s="51" t="s">
        <v>791</v>
      </c>
      <c r="D1067" s="51" t="n">
        <v>0</v>
      </c>
    </row>
    <row r="1068" customFormat="false" ht="15" hidden="true" customHeight="false" outlineLevel="0" collapsed="false">
      <c r="A1068" s="51" t="s">
        <v>727</v>
      </c>
      <c r="B1068" s="55" t="n">
        <v>44104</v>
      </c>
      <c r="C1068" s="51" t="s">
        <v>791</v>
      </c>
      <c r="D1068" s="51" t="n">
        <v>0</v>
      </c>
    </row>
    <row r="1069" customFormat="false" ht="15" hidden="true" customHeight="false" outlineLevel="0" collapsed="false">
      <c r="A1069" s="51" t="s">
        <v>732</v>
      </c>
      <c r="B1069" s="55" t="n">
        <v>44104</v>
      </c>
      <c r="C1069" s="51" t="s">
        <v>791</v>
      </c>
      <c r="D1069" s="51" t="n">
        <v>0</v>
      </c>
    </row>
    <row r="1070" customFormat="false" ht="15" hidden="true" customHeight="false" outlineLevel="0" collapsed="false">
      <c r="A1070" s="51" t="s">
        <v>736</v>
      </c>
      <c r="B1070" s="55" t="n">
        <v>44104</v>
      </c>
      <c r="C1070" s="51" t="s">
        <v>791</v>
      </c>
      <c r="D1070" s="51" t="n">
        <v>0</v>
      </c>
    </row>
    <row r="1071" customFormat="false" ht="15" hidden="true" customHeight="false" outlineLevel="0" collapsed="false">
      <c r="A1071" s="51" t="s">
        <v>741</v>
      </c>
      <c r="B1071" s="55" t="n">
        <v>44104</v>
      </c>
      <c r="C1071" s="51" t="s">
        <v>791</v>
      </c>
      <c r="D1071" s="51" t="n">
        <v>0</v>
      </c>
    </row>
    <row r="1072" customFormat="false" ht="15" hidden="true" customHeight="false" outlineLevel="0" collapsed="false">
      <c r="A1072" s="51" t="s">
        <v>746</v>
      </c>
      <c r="B1072" s="55" t="n">
        <v>44104</v>
      </c>
      <c r="C1072" s="51" t="s">
        <v>791</v>
      </c>
      <c r="D1072" s="51" t="n">
        <v>0</v>
      </c>
    </row>
    <row r="1073" customFormat="false" ht="15" hidden="true" customHeight="false" outlineLevel="0" collapsed="false">
      <c r="A1073" s="51" t="s">
        <v>751</v>
      </c>
      <c r="B1073" s="55" t="n">
        <v>44104</v>
      </c>
      <c r="C1073" s="51" t="s">
        <v>791</v>
      </c>
      <c r="D1073" s="51" t="n">
        <v>0</v>
      </c>
    </row>
    <row r="1074" customFormat="false" ht="15" hidden="false" customHeight="false" outlineLevel="0" collapsed="false">
      <c r="A1074" s="51" t="s">
        <v>781</v>
      </c>
      <c r="B1074" s="55" t="n">
        <v>44196</v>
      </c>
      <c r="C1074" s="51" t="s">
        <v>782</v>
      </c>
      <c r="D1074" s="51" t="n">
        <v>0</v>
      </c>
    </row>
    <row r="1075" customFormat="false" ht="15" hidden="true" customHeight="false" outlineLevel="0" collapsed="false">
      <c r="A1075" s="51" t="s">
        <v>783</v>
      </c>
      <c r="B1075" s="55" t="n">
        <v>44196</v>
      </c>
      <c r="C1075" s="51" t="s">
        <v>782</v>
      </c>
      <c r="D1075" s="51" t="n">
        <v>0</v>
      </c>
    </row>
    <row r="1076" customFormat="false" ht="15" hidden="true" customHeight="false" outlineLevel="0" collapsed="false">
      <c r="A1076" s="51" t="s">
        <v>96</v>
      </c>
      <c r="B1076" s="55" t="n">
        <v>44196</v>
      </c>
      <c r="C1076" s="51" t="s">
        <v>782</v>
      </c>
      <c r="D1076" s="51" t="n">
        <v>0</v>
      </c>
    </row>
    <row r="1077" customFormat="false" ht="15" hidden="true" customHeight="false" outlineLevel="0" collapsed="false">
      <c r="A1077" s="51" t="s">
        <v>101</v>
      </c>
      <c r="B1077" s="55" t="n">
        <v>44196</v>
      </c>
      <c r="C1077" s="51" t="s">
        <v>782</v>
      </c>
      <c r="D1077" s="51" t="n">
        <v>1100000</v>
      </c>
    </row>
    <row r="1078" customFormat="false" ht="15" hidden="true" customHeight="false" outlineLevel="0" collapsed="false">
      <c r="A1078" s="51" t="s">
        <v>106</v>
      </c>
      <c r="B1078" s="55" t="n">
        <v>44196</v>
      </c>
      <c r="C1078" s="51" t="s">
        <v>782</v>
      </c>
      <c r="D1078" s="51" t="n">
        <v>0</v>
      </c>
    </row>
    <row r="1079" customFormat="false" ht="15" hidden="true" customHeight="false" outlineLevel="0" collapsed="false">
      <c r="A1079" s="51" t="s">
        <v>110</v>
      </c>
      <c r="B1079" s="55" t="n">
        <v>44196</v>
      </c>
      <c r="C1079" s="51" t="s">
        <v>782</v>
      </c>
      <c r="D1079" s="51" t="n">
        <v>0</v>
      </c>
    </row>
    <row r="1080" customFormat="false" ht="15" hidden="true" customHeight="false" outlineLevel="0" collapsed="false">
      <c r="A1080" s="51" t="s">
        <v>115</v>
      </c>
      <c r="B1080" s="55" t="n">
        <v>44196</v>
      </c>
      <c r="C1080" s="51" t="s">
        <v>782</v>
      </c>
      <c r="D1080" s="51" t="n">
        <v>0</v>
      </c>
    </row>
    <row r="1081" customFormat="false" ht="15" hidden="true" customHeight="false" outlineLevel="0" collapsed="false">
      <c r="A1081" s="51" t="s">
        <v>120</v>
      </c>
      <c r="B1081" s="55" t="n">
        <v>44196</v>
      </c>
      <c r="C1081" s="51" t="s">
        <v>782</v>
      </c>
      <c r="D1081" s="51" t="n">
        <v>0</v>
      </c>
    </row>
    <row r="1082" customFormat="false" ht="15" hidden="true" customHeight="false" outlineLevel="0" collapsed="false">
      <c r="A1082" s="51" t="s">
        <v>124</v>
      </c>
      <c r="B1082" s="55" t="n">
        <v>44196</v>
      </c>
      <c r="C1082" s="51" t="s">
        <v>782</v>
      </c>
      <c r="D1082" s="51" t="n">
        <v>0</v>
      </c>
    </row>
    <row r="1083" customFormat="false" ht="15" hidden="true" customHeight="false" outlineLevel="0" collapsed="false">
      <c r="A1083" s="51" t="s">
        <v>129</v>
      </c>
      <c r="B1083" s="55" t="n">
        <v>44196</v>
      </c>
      <c r="C1083" s="51" t="s">
        <v>782</v>
      </c>
      <c r="D1083" s="51" t="n">
        <v>0</v>
      </c>
    </row>
    <row r="1084" customFormat="false" ht="15" hidden="true" customHeight="false" outlineLevel="0" collapsed="false">
      <c r="A1084" s="51" t="s">
        <v>134</v>
      </c>
      <c r="B1084" s="55" t="n">
        <v>44196</v>
      </c>
      <c r="C1084" s="51" t="s">
        <v>782</v>
      </c>
      <c r="D1084" s="51" t="n">
        <v>0</v>
      </c>
    </row>
    <row r="1085" customFormat="false" ht="15" hidden="true" customHeight="false" outlineLevel="0" collapsed="false">
      <c r="A1085" s="51" t="s">
        <v>141</v>
      </c>
      <c r="B1085" s="55" t="n">
        <v>44196</v>
      </c>
      <c r="C1085" s="51" t="s">
        <v>782</v>
      </c>
      <c r="D1085" s="51" t="n">
        <v>368522</v>
      </c>
    </row>
    <row r="1086" customFormat="false" ht="15" hidden="true" customHeight="false" outlineLevel="0" collapsed="false">
      <c r="A1086" s="51" t="s">
        <v>146</v>
      </c>
      <c r="B1086" s="55" t="n">
        <v>44196</v>
      </c>
      <c r="C1086" s="51" t="s">
        <v>782</v>
      </c>
      <c r="D1086" s="51" t="n">
        <v>0</v>
      </c>
    </row>
    <row r="1087" customFormat="false" ht="15" hidden="true" customHeight="false" outlineLevel="0" collapsed="false">
      <c r="A1087" s="51" t="s">
        <v>151</v>
      </c>
      <c r="B1087" s="55" t="n">
        <v>44196</v>
      </c>
      <c r="C1087" s="51" t="s">
        <v>782</v>
      </c>
      <c r="D1087" s="51" t="n">
        <v>506000</v>
      </c>
    </row>
    <row r="1088" customFormat="false" ht="15" hidden="true" customHeight="false" outlineLevel="0" collapsed="false">
      <c r="A1088" s="51" t="s">
        <v>156</v>
      </c>
      <c r="B1088" s="55" t="n">
        <v>44196</v>
      </c>
      <c r="C1088" s="51" t="s">
        <v>782</v>
      </c>
      <c r="D1088" s="51" t="n">
        <v>217425</v>
      </c>
    </row>
    <row r="1089" customFormat="false" ht="15" hidden="true" customHeight="false" outlineLevel="0" collapsed="false">
      <c r="A1089" s="51" t="s">
        <v>161</v>
      </c>
      <c r="B1089" s="55" t="n">
        <v>44196</v>
      </c>
      <c r="C1089" s="51" t="s">
        <v>782</v>
      </c>
      <c r="D1089" s="51" t="n">
        <v>0</v>
      </c>
    </row>
    <row r="1090" customFormat="false" ht="15" hidden="true" customHeight="false" outlineLevel="0" collapsed="false">
      <c r="A1090" s="51" t="s">
        <v>166</v>
      </c>
      <c r="B1090" s="55" t="n">
        <v>44196</v>
      </c>
      <c r="C1090" s="51" t="s">
        <v>782</v>
      </c>
      <c r="D1090" s="51" t="n">
        <v>5314000</v>
      </c>
    </row>
    <row r="1091" customFormat="false" ht="15" hidden="true" customHeight="false" outlineLevel="0" collapsed="false">
      <c r="A1091" s="51" t="s">
        <v>171</v>
      </c>
      <c r="B1091" s="55" t="n">
        <v>44196</v>
      </c>
      <c r="C1091" s="51" t="s">
        <v>782</v>
      </c>
      <c r="D1091" s="51" t="n">
        <v>1750000</v>
      </c>
    </row>
    <row r="1092" customFormat="false" ht="15" hidden="true" customHeight="false" outlineLevel="0" collapsed="false">
      <c r="A1092" s="51" t="s">
        <v>176</v>
      </c>
      <c r="B1092" s="55" t="n">
        <v>44196</v>
      </c>
      <c r="C1092" s="51" t="s">
        <v>782</v>
      </c>
      <c r="D1092" s="51" t="n">
        <v>596160</v>
      </c>
    </row>
    <row r="1093" customFormat="false" ht="15" hidden="true" customHeight="false" outlineLevel="0" collapsed="false">
      <c r="A1093" s="51" t="s">
        <v>181</v>
      </c>
      <c r="B1093" s="55" t="n">
        <v>44196</v>
      </c>
      <c r="C1093" s="51" t="s">
        <v>782</v>
      </c>
      <c r="D1093" s="51" t="n">
        <v>0</v>
      </c>
    </row>
    <row r="1094" customFormat="false" ht="15" hidden="true" customHeight="false" outlineLevel="0" collapsed="false">
      <c r="A1094" s="51" t="s">
        <v>186</v>
      </c>
      <c r="B1094" s="55" t="n">
        <v>44196</v>
      </c>
      <c r="C1094" s="51" t="s">
        <v>782</v>
      </c>
      <c r="D1094" s="51" t="n">
        <v>0</v>
      </c>
    </row>
    <row r="1095" customFormat="false" ht="15" hidden="true" customHeight="false" outlineLevel="0" collapsed="false">
      <c r="A1095" s="51" t="s">
        <v>191</v>
      </c>
      <c r="B1095" s="55" t="n">
        <v>44196</v>
      </c>
      <c r="C1095" s="51" t="s">
        <v>782</v>
      </c>
      <c r="D1095" s="51" t="n">
        <v>0</v>
      </c>
    </row>
    <row r="1096" customFormat="false" ht="15" hidden="true" customHeight="false" outlineLevel="0" collapsed="false">
      <c r="A1096" s="51" t="s">
        <v>196</v>
      </c>
      <c r="B1096" s="55" t="n">
        <v>44196</v>
      </c>
      <c r="C1096" s="51" t="s">
        <v>782</v>
      </c>
      <c r="D1096" s="51" t="n">
        <v>0</v>
      </c>
    </row>
    <row r="1097" customFormat="false" ht="15" hidden="true" customHeight="false" outlineLevel="0" collapsed="false">
      <c r="A1097" s="51" t="s">
        <v>201</v>
      </c>
      <c r="B1097" s="55" t="n">
        <v>44196</v>
      </c>
      <c r="C1097" s="51" t="s">
        <v>782</v>
      </c>
      <c r="D1097" s="51" t="n">
        <v>0</v>
      </c>
    </row>
    <row r="1098" customFormat="false" ht="15" hidden="true" customHeight="false" outlineLevel="0" collapsed="false">
      <c r="A1098" s="51" t="s">
        <v>206</v>
      </c>
      <c r="B1098" s="55" t="n">
        <v>44196</v>
      </c>
      <c r="C1098" s="51" t="s">
        <v>782</v>
      </c>
      <c r="D1098" s="51" t="n">
        <v>0</v>
      </c>
    </row>
    <row r="1099" customFormat="false" ht="15" hidden="true" customHeight="false" outlineLevel="0" collapsed="false">
      <c r="A1099" s="51" t="s">
        <v>210</v>
      </c>
      <c r="B1099" s="55" t="n">
        <v>44196</v>
      </c>
      <c r="C1099" s="51" t="s">
        <v>782</v>
      </c>
      <c r="D1099" s="51" t="n">
        <v>0</v>
      </c>
    </row>
    <row r="1100" customFormat="false" ht="15" hidden="true" customHeight="false" outlineLevel="0" collapsed="false">
      <c r="A1100" s="51" t="s">
        <v>215</v>
      </c>
      <c r="B1100" s="55" t="n">
        <v>44196</v>
      </c>
      <c r="C1100" s="51" t="s">
        <v>782</v>
      </c>
      <c r="D1100" s="51" t="n">
        <v>0</v>
      </c>
    </row>
    <row r="1101" customFormat="false" ht="15" hidden="true" customHeight="false" outlineLevel="0" collapsed="false">
      <c r="A1101" s="51" t="s">
        <v>790</v>
      </c>
      <c r="B1101" s="55" t="n">
        <v>44196</v>
      </c>
      <c r="C1101" s="51" t="s">
        <v>782</v>
      </c>
      <c r="D1101" s="51" t="n">
        <v>100000</v>
      </c>
    </row>
    <row r="1102" customFormat="false" ht="15" hidden="true" customHeight="false" outlineLevel="0" collapsed="false">
      <c r="A1102" s="51" t="s">
        <v>225</v>
      </c>
      <c r="B1102" s="55" t="n">
        <v>44196</v>
      </c>
      <c r="C1102" s="51" t="s">
        <v>782</v>
      </c>
      <c r="D1102" s="51" t="n">
        <v>0</v>
      </c>
    </row>
    <row r="1103" customFormat="false" ht="15" hidden="true" customHeight="false" outlineLevel="0" collapsed="false">
      <c r="A1103" s="51" t="s">
        <v>230</v>
      </c>
      <c r="B1103" s="55" t="n">
        <v>44196</v>
      </c>
      <c r="C1103" s="51" t="s">
        <v>782</v>
      </c>
      <c r="D1103" s="51" t="n">
        <v>0</v>
      </c>
    </row>
    <row r="1104" customFormat="false" ht="15" hidden="true" customHeight="false" outlineLevel="0" collapsed="false">
      <c r="A1104" s="51" t="s">
        <v>235</v>
      </c>
      <c r="B1104" s="55" t="n">
        <v>44196</v>
      </c>
      <c r="C1104" s="51" t="s">
        <v>782</v>
      </c>
      <c r="D1104" s="51" t="n">
        <v>0</v>
      </c>
    </row>
    <row r="1105" customFormat="false" ht="15" hidden="true" customHeight="false" outlineLevel="0" collapsed="false">
      <c r="A1105" s="51" t="s">
        <v>240</v>
      </c>
      <c r="B1105" s="55" t="n">
        <v>44196</v>
      </c>
      <c r="C1105" s="51" t="s">
        <v>782</v>
      </c>
      <c r="D1105" s="51" t="n">
        <v>0</v>
      </c>
    </row>
    <row r="1106" customFormat="false" ht="15" hidden="true" customHeight="false" outlineLevel="0" collapsed="false">
      <c r="A1106" s="51" t="s">
        <v>246</v>
      </c>
      <c r="B1106" s="55" t="n">
        <v>44196</v>
      </c>
      <c r="C1106" s="51" t="s">
        <v>782</v>
      </c>
      <c r="D1106" s="51" t="n">
        <v>0</v>
      </c>
    </row>
    <row r="1107" customFormat="false" ht="15" hidden="true" customHeight="false" outlineLevel="0" collapsed="false">
      <c r="A1107" s="51" t="s">
        <v>252</v>
      </c>
      <c r="B1107" s="55" t="n">
        <v>44196</v>
      </c>
      <c r="C1107" s="51" t="s">
        <v>782</v>
      </c>
      <c r="D1107" s="51" t="n">
        <v>0</v>
      </c>
    </row>
    <row r="1108" customFormat="false" ht="15" hidden="true" customHeight="false" outlineLevel="0" collapsed="false">
      <c r="A1108" s="51" t="s">
        <v>257</v>
      </c>
      <c r="B1108" s="55" t="n">
        <v>44196</v>
      </c>
      <c r="C1108" s="51" t="s">
        <v>782</v>
      </c>
      <c r="D1108" s="51" t="n">
        <v>0</v>
      </c>
    </row>
    <row r="1109" customFormat="false" ht="15" hidden="true" customHeight="false" outlineLevel="0" collapsed="false">
      <c r="A1109" s="51" t="s">
        <v>262</v>
      </c>
      <c r="B1109" s="55" t="n">
        <v>44196</v>
      </c>
      <c r="C1109" s="51" t="s">
        <v>782</v>
      </c>
      <c r="D1109" s="51" t="n">
        <v>0</v>
      </c>
    </row>
    <row r="1110" customFormat="false" ht="15" hidden="true" customHeight="false" outlineLevel="0" collapsed="false">
      <c r="A1110" s="51" t="s">
        <v>267</v>
      </c>
      <c r="B1110" s="55" t="n">
        <v>44196</v>
      </c>
      <c r="C1110" s="51" t="s">
        <v>782</v>
      </c>
      <c r="D1110" s="51" t="n">
        <v>0</v>
      </c>
    </row>
    <row r="1111" customFormat="false" ht="15" hidden="true" customHeight="false" outlineLevel="0" collapsed="false">
      <c r="A1111" s="51" t="s">
        <v>272</v>
      </c>
      <c r="B1111" s="55" t="n">
        <v>44196</v>
      </c>
      <c r="C1111" s="51" t="s">
        <v>782</v>
      </c>
      <c r="D1111" s="51" t="n">
        <v>0</v>
      </c>
    </row>
    <row r="1112" customFormat="false" ht="15" hidden="true" customHeight="false" outlineLevel="0" collapsed="false">
      <c r="A1112" s="51" t="s">
        <v>277</v>
      </c>
      <c r="B1112" s="55" t="n">
        <v>44196</v>
      </c>
      <c r="C1112" s="51" t="s">
        <v>782</v>
      </c>
      <c r="D1112" s="51" t="n">
        <v>0</v>
      </c>
    </row>
    <row r="1113" customFormat="false" ht="15" hidden="true" customHeight="false" outlineLevel="0" collapsed="false">
      <c r="A1113" s="51" t="s">
        <v>282</v>
      </c>
      <c r="B1113" s="55" t="n">
        <v>44196</v>
      </c>
      <c r="C1113" s="51" t="s">
        <v>782</v>
      </c>
      <c r="D1113" s="51" t="n">
        <v>0</v>
      </c>
    </row>
    <row r="1114" customFormat="false" ht="15" hidden="true" customHeight="false" outlineLevel="0" collapsed="false">
      <c r="A1114" s="51" t="s">
        <v>287</v>
      </c>
      <c r="B1114" s="55" t="n">
        <v>44196</v>
      </c>
      <c r="C1114" s="51" t="s">
        <v>782</v>
      </c>
      <c r="D1114" s="51" t="n">
        <v>0</v>
      </c>
    </row>
    <row r="1115" customFormat="false" ht="15" hidden="true" customHeight="false" outlineLevel="0" collapsed="false">
      <c r="A1115" s="51" t="s">
        <v>292</v>
      </c>
      <c r="B1115" s="55" t="n">
        <v>44196</v>
      </c>
      <c r="C1115" s="51" t="s">
        <v>782</v>
      </c>
      <c r="D1115" s="51" t="n">
        <v>0</v>
      </c>
    </row>
    <row r="1116" customFormat="false" ht="15" hidden="true" customHeight="false" outlineLevel="0" collapsed="false">
      <c r="A1116" s="51" t="s">
        <v>297</v>
      </c>
      <c r="B1116" s="55" t="n">
        <v>44196</v>
      </c>
      <c r="C1116" s="51" t="s">
        <v>782</v>
      </c>
      <c r="D1116" s="51" t="n">
        <v>0</v>
      </c>
    </row>
    <row r="1117" customFormat="false" ht="15" hidden="true" customHeight="false" outlineLevel="0" collapsed="false">
      <c r="A1117" s="51" t="s">
        <v>302</v>
      </c>
      <c r="B1117" s="55" t="n">
        <v>44196</v>
      </c>
      <c r="C1117" s="51" t="s">
        <v>782</v>
      </c>
      <c r="D1117" s="51" t="n">
        <v>0</v>
      </c>
    </row>
    <row r="1118" customFormat="false" ht="15" hidden="true" customHeight="false" outlineLevel="0" collapsed="false">
      <c r="A1118" s="51" t="s">
        <v>307</v>
      </c>
      <c r="B1118" s="55" t="n">
        <v>44196</v>
      </c>
      <c r="C1118" s="51" t="s">
        <v>782</v>
      </c>
      <c r="D1118" s="51" t="n">
        <v>0</v>
      </c>
    </row>
    <row r="1119" customFormat="false" ht="15" hidden="true" customHeight="false" outlineLevel="0" collapsed="false">
      <c r="A1119" s="51" t="s">
        <v>311</v>
      </c>
      <c r="B1119" s="55" t="n">
        <v>44196</v>
      </c>
      <c r="C1119" s="51" t="s">
        <v>782</v>
      </c>
      <c r="D1119" s="51" t="n">
        <v>0</v>
      </c>
    </row>
    <row r="1120" customFormat="false" ht="15" hidden="true" customHeight="false" outlineLevel="0" collapsed="false">
      <c r="A1120" s="51" t="s">
        <v>317</v>
      </c>
      <c r="B1120" s="55" t="n">
        <v>44196</v>
      </c>
      <c r="C1120" s="51" t="s">
        <v>782</v>
      </c>
      <c r="D1120" s="51" t="n">
        <v>0</v>
      </c>
    </row>
    <row r="1121" customFormat="false" ht="15" hidden="true" customHeight="false" outlineLevel="0" collapsed="false">
      <c r="A1121" s="51" t="s">
        <v>322</v>
      </c>
      <c r="B1121" s="55" t="n">
        <v>44196</v>
      </c>
      <c r="C1121" s="51" t="s">
        <v>782</v>
      </c>
      <c r="D1121" s="51" t="n">
        <v>0</v>
      </c>
    </row>
    <row r="1122" customFormat="false" ht="15" hidden="true" customHeight="false" outlineLevel="0" collapsed="false">
      <c r="A1122" s="51" t="s">
        <v>327</v>
      </c>
      <c r="B1122" s="55" t="n">
        <v>44196</v>
      </c>
      <c r="C1122" s="51" t="s">
        <v>782</v>
      </c>
      <c r="D1122" s="51" t="n">
        <v>0</v>
      </c>
    </row>
    <row r="1123" customFormat="false" ht="15" hidden="true" customHeight="false" outlineLevel="0" collapsed="false">
      <c r="A1123" s="51" t="s">
        <v>332</v>
      </c>
      <c r="B1123" s="55" t="n">
        <v>44196</v>
      </c>
      <c r="C1123" s="51" t="s">
        <v>782</v>
      </c>
      <c r="D1123" s="51" t="n">
        <v>0</v>
      </c>
    </row>
    <row r="1124" customFormat="false" ht="15" hidden="true" customHeight="false" outlineLevel="0" collapsed="false">
      <c r="A1124" s="51" t="s">
        <v>339</v>
      </c>
      <c r="B1124" s="55" t="n">
        <v>44196</v>
      </c>
      <c r="C1124" s="51" t="s">
        <v>782</v>
      </c>
      <c r="D1124" s="51" t="n">
        <v>0</v>
      </c>
    </row>
    <row r="1125" customFormat="false" ht="15" hidden="true" customHeight="false" outlineLevel="0" collapsed="false">
      <c r="A1125" s="51" t="s">
        <v>344</v>
      </c>
      <c r="B1125" s="55" t="n">
        <v>44196</v>
      </c>
      <c r="C1125" s="51" t="s">
        <v>782</v>
      </c>
      <c r="D1125" s="51" t="n">
        <v>0</v>
      </c>
    </row>
    <row r="1126" customFormat="false" ht="15" hidden="true" customHeight="false" outlineLevel="0" collapsed="false">
      <c r="A1126" s="51" t="s">
        <v>349</v>
      </c>
      <c r="B1126" s="55" t="n">
        <v>44196</v>
      </c>
      <c r="C1126" s="51" t="s">
        <v>782</v>
      </c>
      <c r="D1126" s="51" t="n">
        <v>0</v>
      </c>
    </row>
    <row r="1127" customFormat="false" ht="15" hidden="true" customHeight="false" outlineLevel="0" collapsed="false">
      <c r="A1127" s="51" t="s">
        <v>354</v>
      </c>
      <c r="B1127" s="55" t="n">
        <v>44196</v>
      </c>
      <c r="C1127" s="51" t="s">
        <v>782</v>
      </c>
      <c r="D1127" s="51" t="n">
        <v>0</v>
      </c>
    </row>
    <row r="1128" customFormat="false" ht="15" hidden="true" customHeight="false" outlineLevel="0" collapsed="false">
      <c r="A1128" s="51" t="s">
        <v>359</v>
      </c>
      <c r="B1128" s="55" t="n">
        <v>44196</v>
      </c>
      <c r="C1128" s="51" t="s">
        <v>782</v>
      </c>
      <c r="D1128" s="51" t="n">
        <v>0</v>
      </c>
    </row>
    <row r="1129" customFormat="false" ht="15" hidden="true" customHeight="false" outlineLevel="0" collapsed="false">
      <c r="A1129" s="51" t="s">
        <v>364</v>
      </c>
      <c r="B1129" s="55" t="n">
        <v>44196</v>
      </c>
      <c r="C1129" s="51" t="s">
        <v>782</v>
      </c>
      <c r="D1129" s="51" t="n">
        <v>0</v>
      </c>
    </row>
    <row r="1130" customFormat="false" ht="15" hidden="true" customHeight="false" outlineLevel="0" collapsed="false">
      <c r="A1130" s="51" t="s">
        <v>369</v>
      </c>
      <c r="B1130" s="55" t="n">
        <v>44196</v>
      </c>
      <c r="C1130" s="51" t="s">
        <v>782</v>
      </c>
      <c r="D1130" s="51" t="n">
        <v>0</v>
      </c>
    </row>
    <row r="1131" customFormat="false" ht="15" hidden="true" customHeight="false" outlineLevel="0" collapsed="false">
      <c r="A1131" s="51" t="s">
        <v>374</v>
      </c>
      <c r="B1131" s="55" t="n">
        <v>44196</v>
      </c>
      <c r="C1131" s="51" t="s">
        <v>782</v>
      </c>
      <c r="D1131" s="51" t="n">
        <v>0</v>
      </c>
    </row>
    <row r="1132" customFormat="false" ht="15" hidden="true" customHeight="false" outlineLevel="0" collapsed="false">
      <c r="A1132" s="51" t="s">
        <v>379</v>
      </c>
      <c r="B1132" s="55" t="n">
        <v>44196</v>
      </c>
      <c r="C1132" s="51" t="s">
        <v>782</v>
      </c>
      <c r="D1132" s="51" t="n">
        <v>0</v>
      </c>
    </row>
    <row r="1133" customFormat="false" ht="15" hidden="true" customHeight="false" outlineLevel="0" collapsed="false">
      <c r="A1133" s="51" t="s">
        <v>384</v>
      </c>
      <c r="B1133" s="55" t="n">
        <v>44196</v>
      </c>
      <c r="C1133" s="51" t="s">
        <v>782</v>
      </c>
      <c r="D1133" s="51" t="n">
        <v>0</v>
      </c>
    </row>
    <row r="1134" customFormat="false" ht="15" hidden="true" customHeight="false" outlineLevel="0" collapsed="false">
      <c r="A1134" s="51" t="s">
        <v>389</v>
      </c>
      <c r="B1134" s="55" t="n">
        <v>44196</v>
      </c>
      <c r="C1134" s="51" t="s">
        <v>782</v>
      </c>
      <c r="D1134" s="51" t="n">
        <v>0</v>
      </c>
    </row>
    <row r="1135" customFormat="false" ht="15" hidden="true" customHeight="false" outlineLevel="0" collapsed="false">
      <c r="A1135" s="51" t="s">
        <v>394</v>
      </c>
      <c r="B1135" s="55" t="n">
        <v>44196</v>
      </c>
      <c r="C1135" s="51" t="s">
        <v>782</v>
      </c>
      <c r="D1135" s="51" t="n">
        <v>0</v>
      </c>
    </row>
    <row r="1136" customFormat="false" ht="15" hidden="true" customHeight="false" outlineLevel="0" collapsed="false">
      <c r="A1136" s="51" t="s">
        <v>399</v>
      </c>
      <c r="B1136" s="55" t="n">
        <v>44196</v>
      </c>
      <c r="C1136" s="51" t="s">
        <v>782</v>
      </c>
      <c r="D1136" s="51" t="n">
        <v>0</v>
      </c>
    </row>
    <row r="1137" customFormat="false" ht="15" hidden="true" customHeight="false" outlineLevel="0" collapsed="false">
      <c r="A1137" s="51" t="s">
        <v>404</v>
      </c>
      <c r="B1137" s="55" t="n">
        <v>44196</v>
      </c>
      <c r="C1137" s="51" t="s">
        <v>782</v>
      </c>
      <c r="D1137" s="51" t="n">
        <v>0</v>
      </c>
    </row>
    <row r="1138" customFormat="false" ht="15" hidden="true" customHeight="false" outlineLevel="0" collapsed="false">
      <c r="A1138" s="51" t="s">
        <v>409</v>
      </c>
      <c r="B1138" s="55" t="n">
        <v>44196</v>
      </c>
      <c r="C1138" s="51" t="s">
        <v>782</v>
      </c>
      <c r="D1138" s="51" t="n">
        <v>0</v>
      </c>
    </row>
    <row r="1139" customFormat="false" ht="15" hidden="true" customHeight="false" outlineLevel="0" collapsed="false">
      <c r="A1139" s="51" t="s">
        <v>414</v>
      </c>
      <c r="B1139" s="55" t="n">
        <v>44196</v>
      </c>
      <c r="C1139" s="51" t="s">
        <v>782</v>
      </c>
      <c r="D1139" s="51" t="n">
        <v>0</v>
      </c>
    </row>
    <row r="1140" customFormat="false" ht="15" hidden="true" customHeight="false" outlineLevel="0" collapsed="false">
      <c r="A1140" s="51" t="s">
        <v>419</v>
      </c>
      <c r="B1140" s="55" t="n">
        <v>44196</v>
      </c>
      <c r="C1140" s="51" t="s">
        <v>782</v>
      </c>
      <c r="D1140" s="51" t="n">
        <v>0</v>
      </c>
    </row>
    <row r="1141" customFormat="false" ht="15" hidden="true" customHeight="false" outlineLevel="0" collapsed="false">
      <c r="A1141" s="51" t="s">
        <v>424</v>
      </c>
      <c r="B1141" s="55" t="n">
        <v>44196</v>
      </c>
      <c r="C1141" s="51" t="s">
        <v>782</v>
      </c>
      <c r="D1141" s="51" t="n">
        <v>0</v>
      </c>
    </row>
    <row r="1142" customFormat="false" ht="15" hidden="true" customHeight="false" outlineLevel="0" collapsed="false">
      <c r="A1142" s="51" t="s">
        <v>429</v>
      </c>
      <c r="B1142" s="55" t="n">
        <v>44196</v>
      </c>
      <c r="C1142" s="51" t="s">
        <v>782</v>
      </c>
      <c r="D1142" s="51" t="n">
        <v>0</v>
      </c>
    </row>
    <row r="1143" customFormat="false" ht="15" hidden="true" customHeight="false" outlineLevel="0" collapsed="false">
      <c r="A1143" s="51" t="s">
        <v>434</v>
      </c>
      <c r="B1143" s="55" t="n">
        <v>44196</v>
      </c>
      <c r="C1143" s="51" t="s">
        <v>782</v>
      </c>
      <c r="D1143" s="51" t="n">
        <v>0</v>
      </c>
    </row>
    <row r="1144" customFormat="false" ht="15" hidden="true" customHeight="false" outlineLevel="0" collapsed="false">
      <c r="A1144" s="51" t="s">
        <v>438</v>
      </c>
      <c r="B1144" s="55" t="n">
        <v>44196</v>
      </c>
      <c r="C1144" s="51" t="s">
        <v>782</v>
      </c>
      <c r="D1144" s="51" t="n">
        <v>0</v>
      </c>
    </row>
    <row r="1145" customFormat="false" ht="15" hidden="true" customHeight="false" outlineLevel="0" collapsed="false">
      <c r="A1145" s="51" t="s">
        <v>443</v>
      </c>
      <c r="B1145" s="55" t="n">
        <v>44196</v>
      </c>
      <c r="C1145" s="51" t="s">
        <v>782</v>
      </c>
      <c r="D1145" s="51" t="n">
        <v>0</v>
      </c>
    </row>
    <row r="1146" customFormat="false" ht="15" hidden="true" customHeight="false" outlineLevel="0" collapsed="false">
      <c r="A1146" s="51" t="s">
        <v>448</v>
      </c>
      <c r="B1146" s="55" t="n">
        <v>44196</v>
      </c>
      <c r="C1146" s="51" t="s">
        <v>782</v>
      </c>
      <c r="D1146" s="51" t="n">
        <v>0</v>
      </c>
    </row>
    <row r="1147" customFormat="false" ht="15" hidden="true" customHeight="false" outlineLevel="0" collapsed="false">
      <c r="A1147" s="51" t="s">
        <v>453</v>
      </c>
      <c r="B1147" s="55" t="n">
        <v>44196</v>
      </c>
      <c r="C1147" s="51" t="s">
        <v>782</v>
      </c>
      <c r="D1147" s="51" t="n">
        <v>0</v>
      </c>
    </row>
    <row r="1148" customFormat="false" ht="15" hidden="true" customHeight="false" outlineLevel="0" collapsed="false">
      <c r="A1148" s="51" t="s">
        <v>458</v>
      </c>
      <c r="B1148" s="55" t="n">
        <v>44196</v>
      </c>
      <c r="C1148" s="51" t="s">
        <v>782</v>
      </c>
      <c r="D1148" s="51" t="n">
        <v>0</v>
      </c>
    </row>
    <row r="1149" customFormat="false" ht="15" hidden="true" customHeight="false" outlineLevel="0" collapsed="false">
      <c r="A1149" s="51" t="s">
        <v>473</v>
      </c>
      <c r="B1149" s="55" t="n">
        <v>44196</v>
      </c>
      <c r="C1149" s="51" t="s">
        <v>782</v>
      </c>
      <c r="D1149" s="51" t="n">
        <v>0</v>
      </c>
    </row>
    <row r="1150" customFormat="false" ht="15" hidden="true" customHeight="false" outlineLevel="0" collapsed="false">
      <c r="A1150" s="51" t="s">
        <v>479</v>
      </c>
      <c r="B1150" s="55" t="n">
        <v>44196</v>
      </c>
      <c r="C1150" s="51" t="s">
        <v>782</v>
      </c>
      <c r="D1150" s="51" t="n">
        <v>0</v>
      </c>
    </row>
    <row r="1151" customFormat="false" ht="15" hidden="true" customHeight="false" outlineLevel="0" collapsed="false">
      <c r="A1151" s="51" t="s">
        <v>484</v>
      </c>
      <c r="B1151" s="55" t="n">
        <v>44196</v>
      </c>
      <c r="C1151" s="51" t="s">
        <v>782</v>
      </c>
      <c r="D1151" s="51" t="n">
        <v>0</v>
      </c>
    </row>
    <row r="1152" customFormat="false" ht="15" hidden="true" customHeight="false" outlineLevel="0" collapsed="false">
      <c r="A1152" s="51" t="s">
        <v>489</v>
      </c>
      <c r="B1152" s="55" t="n">
        <v>44196</v>
      </c>
      <c r="C1152" s="51" t="s">
        <v>782</v>
      </c>
      <c r="D1152" s="51" t="n">
        <v>0</v>
      </c>
    </row>
    <row r="1153" customFormat="false" ht="15" hidden="true" customHeight="false" outlineLevel="0" collapsed="false">
      <c r="A1153" s="51" t="s">
        <v>494</v>
      </c>
      <c r="B1153" s="55" t="n">
        <v>44196</v>
      </c>
      <c r="C1153" s="51" t="s">
        <v>782</v>
      </c>
      <c r="D1153" s="51" t="n">
        <v>0</v>
      </c>
    </row>
    <row r="1154" customFormat="false" ht="15" hidden="true" customHeight="false" outlineLevel="0" collapsed="false">
      <c r="A1154" s="51" t="s">
        <v>499</v>
      </c>
      <c r="B1154" s="55" t="n">
        <v>44196</v>
      </c>
      <c r="C1154" s="51" t="s">
        <v>782</v>
      </c>
      <c r="D1154" s="51" t="n">
        <v>0</v>
      </c>
    </row>
    <row r="1155" customFormat="false" ht="15" hidden="true" customHeight="false" outlineLevel="0" collapsed="false">
      <c r="A1155" s="51" t="s">
        <v>504</v>
      </c>
      <c r="B1155" s="55" t="n">
        <v>44196</v>
      </c>
      <c r="C1155" s="51" t="s">
        <v>782</v>
      </c>
      <c r="D1155" s="51" t="n">
        <v>0</v>
      </c>
    </row>
    <row r="1156" customFormat="false" ht="15" hidden="true" customHeight="false" outlineLevel="0" collapsed="false">
      <c r="A1156" s="51" t="s">
        <v>509</v>
      </c>
      <c r="B1156" s="55" t="n">
        <v>44196</v>
      </c>
      <c r="C1156" s="51" t="s">
        <v>782</v>
      </c>
      <c r="D1156" s="51" t="n">
        <v>0</v>
      </c>
    </row>
    <row r="1157" customFormat="false" ht="15" hidden="true" customHeight="false" outlineLevel="0" collapsed="false">
      <c r="A1157" s="51" t="s">
        <v>515</v>
      </c>
      <c r="B1157" s="55" t="n">
        <v>44196</v>
      </c>
      <c r="C1157" s="51" t="s">
        <v>782</v>
      </c>
      <c r="D1157" s="51" t="n">
        <v>0</v>
      </c>
    </row>
    <row r="1158" customFormat="false" ht="15" hidden="true" customHeight="false" outlineLevel="0" collapsed="false">
      <c r="A1158" s="51" t="s">
        <v>520</v>
      </c>
      <c r="B1158" s="55" t="n">
        <v>44196</v>
      </c>
      <c r="C1158" s="51" t="s">
        <v>782</v>
      </c>
      <c r="D1158" s="51" t="n">
        <v>0</v>
      </c>
    </row>
    <row r="1159" customFormat="false" ht="15" hidden="true" customHeight="false" outlineLevel="0" collapsed="false">
      <c r="A1159" s="51" t="s">
        <v>525</v>
      </c>
      <c r="B1159" s="55" t="n">
        <v>44196</v>
      </c>
      <c r="C1159" s="51" t="s">
        <v>782</v>
      </c>
      <c r="D1159" s="51" t="n">
        <v>0</v>
      </c>
    </row>
    <row r="1160" customFormat="false" ht="15" hidden="true" customHeight="false" outlineLevel="0" collapsed="false">
      <c r="A1160" s="51" t="s">
        <v>531</v>
      </c>
      <c r="B1160" s="55" t="n">
        <v>44196</v>
      </c>
      <c r="C1160" s="51" t="s">
        <v>782</v>
      </c>
      <c r="D1160" s="51" t="n">
        <v>0</v>
      </c>
    </row>
    <row r="1161" customFormat="false" ht="15" hidden="true" customHeight="false" outlineLevel="0" collapsed="false">
      <c r="A1161" s="51" t="s">
        <v>536</v>
      </c>
      <c r="B1161" s="55" t="n">
        <v>44196</v>
      </c>
      <c r="C1161" s="51" t="s">
        <v>782</v>
      </c>
      <c r="D1161" s="51" t="n">
        <v>0</v>
      </c>
    </row>
    <row r="1162" customFormat="false" ht="15" hidden="true" customHeight="false" outlineLevel="0" collapsed="false">
      <c r="A1162" s="51" t="s">
        <v>541</v>
      </c>
      <c r="B1162" s="55" t="n">
        <v>44196</v>
      </c>
      <c r="C1162" s="51" t="s">
        <v>782</v>
      </c>
      <c r="D1162" s="51" t="n">
        <v>0</v>
      </c>
    </row>
    <row r="1163" customFormat="false" ht="15" hidden="true" customHeight="false" outlineLevel="0" collapsed="false">
      <c r="A1163" s="51" t="s">
        <v>549</v>
      </c>
      <c r="B1163" s="55" t="n">
        <v>44196</v>
      </c>
      <c r="C1163" s="51" t="s">
        <v>782</v>
      </c>
      <c r="D1163" s="51" t="n">
        <v>0</v>
      </c>
    </row>
    <row r="1164" customFormat="false" ht="15" hidden="true" customHeight="false" outlineLevel="0" collapsed="false">
      <c r="A1164" s="51" t="s">
        <v>554</v>
      </c>
      <c r="B1164" s="55" t="n">
        <v>44196</v>
      </c>
      <c r="C1164" s="51" t="s">
        <v>782</v>
      </c>
      <c r="D1164" s="51" t="n">
        <v>0</v>
      </c>
    </row>
    <row r="1165" customFormat="false" ht="15" hidden="true" customHeight="false" outlineLevel="0" collapsed="false">
      <c r="A1165" s="51" t="s">
        <v>559</v>
      </c>
      <c r="B1165" s="55" t="n">
        <v>44196</v>
      </c>
      <c r="C1165" s="51" t="s">
        <v>782</v>
      </c>
      <c r="D1165" s="51" t="n">
        <v>0</v>
      </c>
    </row>
    <row r="1166" customFormat="false" ht="15" hidden="true" customHeight="false" outlineLevel="0" collapsed="false">
      <c r="A1166" s="51" t="s">
        <v>564</v>
      </c>
      <c r="B1166" s="55" t="n">
        <v>44196</v>
      </c>
      <c r="C1166" s="51" t="s">
        <v>782</v>
      </c>
      <c r="D1166" s="51" t="n">
        <v>0</v>
      </c>
    </row>
    <row r="1167" customFormat="false" ht="15" hidden="true" customHeight="false" outlineLevel="0" collapsed="false">
      <c r="A1167" s="51" t="s">
        <v>569</v>
      </c>
      <c r="B1167" s="55" t="n">
        <v>44196</v>
      </c>
      <c r="C1167" s="51" t="s">
        <v>782</v>
      </c>
      <c r="D1167" s="51" t="n">
        <v>0</v>
      </c>
    </row>
    <row r="1168" customFormat="false" ht="15" hidden="true" customHeight="false" outlineLevel="0" collapsed="false">
      <c r="A1168" s="51" t="s">
        <v>574</v>
      </c>
      <c r="B1168" s="55" t="n">
        <v>44196</v>
      </c>
      <c r="C1168" s="51" t="s">
        <v>782</v>
      </c>
      <c r="D1168" s="51" t="n">
        <v>0</v>
      </c>
    </row>
    <row r="1169" customFormat="false" ht="15" hidden="true" customHeight="false" outlineLevel="0" collapsed="false">
      <c r="A1169" s="51" t="s">
        <v>579</v>
      </c>
      <c r="B1169" s="55" t="n">
        <v>44196</v>
      </c>
      <c r="C1169" s="51" t="s">
        <v>782</v>
      </c>
      <c r="D1169" s="51" t="n">
        <v>0</v>
      </c>
    </row>
    <row r="1170" customFormat="false" ht="15" hidden="true" customHeight="false" outlineLevel="0" collapsed="false">
      <c r="A1170" s="51" t="s">
        <v>584</v>
      </c>
      <c r="B1170" s="55" t="n">
        <v>44196</v>
      </c>
      <c r="C1170" s="51" t="s">
        <v>782</v>
      </c>
      <c r="D1170" s="51" t="n">
        <v>0</v>
      </c>
    </row>
    <row r="1171" customFormat="false" ht="15" hidden="true" customHeight="false" outlineLevel="0" collapsed="false">
      <c r="A1171" s="51" t="s">
        <v>589</v>
      </c>
      <c r="B1171" s="55" t="n">
        <v>44196</v>
      </c>
      <c r="C1171" s="51" t="s">
        <v>782</v>
      </c>
      <c r="D1171" s="51" t="n">
        <v>0</v>
      </c>
    </row>
    <row r="1172" customFormat="false" ht="15" hidden="true" customHeight="false" outlineLevel="0" collapsed="false">
      <c r="A1172" s="51" t="s">
        <v>756</v>
      </c>
      <c r="B1172" s="55" t="n">
        <v>44196</v>
      </c>
      <c r="C1172" s="51" t="s">
        <v>782</v>
      </c>
      <c r="D1172" s="51" t="n">
        <v>0</v>
      </c>
    </row>
    <row r="1173" customFormat="false" ht="15" hidden="true" customHeight="false" outlineLevel="0" collapsed="false">
      <c r="A1173" s="51" t="s">
        <v>594</v>
      </c>
      <c r="B1173" s="55" t="n">
        <v>44196</v>
      </c>
      <c r="C1173" s="51" t="s">
        <v>782</v>
      </c>
      <c r="D1173" s="51" t="n">
        <v>0</v>
      </c>
    </row>
    <row r="1174" customFormat="false" ht="15" hidden="true" customHeight="false" outlineLevel="0" collapsed="false">
      <c r="A1174" s="51" t="s">
        <v>761</v>
      </c>
      <c r="B1174" s="55" t="n">
        <v>44196</v>
      </c>
      <c r="C1174" s="51" t="s">
        <v>782</v>
      </c>
      <c r="D1174" s="51" t="n">
        <v>0</v>
      </c>
    </row>
    <row r="1175" customFormat="false" ht="15" hidden="true" customHeight="false" outlineLevel="0" collapsed="false">
      <c r="A1175" s="51" t="s">
        <v>599</v>
      </c>
      <c r="B1175" s="55" t="n">
        <v>44196</v>
      </c>
      <c r="C1175" s="51" t="s">
        <v>782</v>
      </c>
      <c r="D1175" s="51" t="n">
        <v>0</v>
      </c>
    </row>
    <row r="1176" customFormat="false" ht="15" hidden="true" customHeight="false" outlineLevel="0" collapsed="false">
      <c r="A1176" s="51" t="s">
        <v>604</v>
      </c>
      <c r="B1176" s="55" t="n">
        <v>44196</v>
      </c>
      <c r="C1176" s="51" t="s">
        <v>782</v>
      </c>
      <c r="D1176" s="51" t="n">
        <v>0</v>
      </c>
    </row>
    <row r="1177" customFormat="false" ht="15" hidden="true" customHeight="false" outlineLevel="0" collapsed="false">
      <c r="A1177" s="51" t="s">
        <v>609</v>
      </c>
      <c r="B1177" s="55" t="n">
        <v>44196</v>
      </c>
      <c r="C1177" s="51" t="s">
        <v>782</v>
      </c>
      <c r="D1177" s="51" t="n">
        <v>0</v>
      </c>
    </row>
    <row r="1178" customFormat="false" ht="15" hidden="true" customHeight="false" outlineLevel="0" collapsed="false">
      <c r="A1178" s="51" t="s">
        <v>614</v>
      </c>
      <c r="B1178" s="55" t="n">
        <v>44196</v>
      </c>
      <c r="C1178" s="51" t="s">
        <v>782</v>
      </c>
      <c r="D1178" s="51" t="n">
        <v>0</v>
      </c>
    </row>
    <row r="1179" customFormat="false" ht="15" hidden="true" customHeight="false" outlineLevel="0" collapsed="false">
      <c r="A1179" s="51" t="s">
        <v>619</v>
      </c>
      <c r="B1179" s="55" t="n">
        <v>44196</v>
      </c>
      <c r="C1179" s="51" t="s">
        <v>782</v>
      </c>
      <c r="D1179" s="51" t="n">
        <v>0</v>
      </c>
    </row>
    <row r="1180" customFormat="false" ht="15" hidden="true" customHeight="false" outlineLevel="0" collapsed="false">
      <c r="A1180" s="51" t="s">
        <v>624</v>
      </c>
      <c r="B1180" s="55" t="n">
        <v>44196</v>
      </c>
      <c r="C1180" s="51" t="s">
        <v>782</v>
      </c>
      <c r="D1180" s="51" t="n">
        <v>0</v>
      </c>
    </row>
    <row r="1181" customFormat="false" ht="15" hidden="true" customHeight="false" outlineLevel="0" collapsed="false">
      <c r="A1181" s="51" t="s">
        <v>629</v>
      </c>
      <c r="B1181" s="55" t="n">
        <v>44196</v>
      </c>
      <c r="C1181" s="51" t="s">
        <v>782</v>
      </c>
      <c r="D1181" s="51" t="n">
        <v>0</v>
      </c>
    </row>
    <row r="1182" customFormat="false" ht="15" hidden="true" customHeight="false" outlineLevel="0" collapsed="false">
      <c r="A1182" s="51" t="s">
        <v>633</v>
      </c>
      <c r="B1182" s="55" t="n">
        <v>44196</v>
      </c>
      <c r="C1182" s="51" t="s">
        <v>782</v>
      </c>
      <c r="D1182" s="51" t="n">
        <v>0</v>
      </c>
    </row>
    <row r="1183" customFormat="false" ht="15" hidden="true" customHeight="false" outlineLevel="0" collapsed="false">
      <c r="A1183" s="51" t="s">
        <v>638</v>
      </c>
      <c r="B1183" s="55" t="n">
        <v>44196</v>
      </c>
      <c r="C1183" s="51" t="s">
        <v>782</v>
      </c>
      <c r="D1183" s="51" t="n">
        <v>0</v>
      </c>
    </row>
    <row r="1184" customFormat="false" ht="15" hidden="true" customHeight="false" outlineLevel="0" collapsed="false">
      <c r="A1184" s="51" t="s">
        <v>642</v>
      </c>
      <c r="B1184" s="55" t="n">
        <v>44196</v>
      </c>
      <c r="C1184" s="51" t="s">
        <v>782</v>
      </c>
      <c r="D1184" s="51" t="n">
        <v>0</v>
      </c>
    </row>
    <row r="1185" customFormat="false" ht="15" hidden="true" customHeight="false" outlineLevel="0" collapsed="false">
      <c r="A1185" s="51" t="s">
        <v>646</v>
      </c>
      <c r="B1185" s="55" t="n">
        <v>44196</v>
      </c>
      <c r="C1185" s="51" t="s">
        <v>782</v>
      </c>
      <c r="D1185" s="51" t="n">
        <v>0</v>
      </c>
    </row>
    <row r="1186" customFormat="false" ht="15" hidden="true" customHeight="false" outlineLevel="0" collapsed="false">
      <c r="A1186" s="51" t="s">
        <v>651</v>
      </c>
      <c r="B1186" s="55" t="n">
        <v>44196</v>
      </c>
      <c r="C1186" s="51" t="s">
        <v>782</v>
      </c>
      <c r="D1186" s="51" t="n">
        <v>0</v>
      </c>
    </row>
    <row r="1187" customFormat="false" ht="15" hidden="true" customHeight="false" outlineLevel="0" collapsed="false">
      <c r="A1187" s="51" t="s">
        <v>656</v>
      </c>
      <c r="B1187" s="55" t="n">
        <v>44196</v>
      </c>
      <c r="C1187" s="51" t="s">
        <v>782</v>
      </c>
      <c r="D1187" s="51" t="n">
        <v>0</v>
      </c>
    </row>
    <row r="1188" customFormat="false" ht="15" hidden="true" customHeight="false" outlineLevel="0" collapsed="false">
      <c r="A1188" s="51" t="s">
        <v>661</v>
      </c>
      <c r="B1188" s="55" t="n">
        <v>44196</v>
      </c>
      <c r="C1188" s="51" t="s">
        <v>782</v>
      </c>
      <c r="D1188" s="51" t="n">
        <v>0</v>
      </c>
    </row>
    <row r="1189" customFormat="false" ht="15" hidden="true" customHeight="false" outlineLevel="0" collapsed="false">
      <c r="A1189" s="51" t="s">
        <v>666</v>
      </c>
      <c r="B1189" s="55" t="n">
        <v>44196</v>
      </c>
      <c r="C1189" s="51" t="s">
        <v>782</v>
      </c>
      <c r="D1189" s="51" t="n">
        <v>0</v>
      </c>
    </row>
    <row r="1190" customFormat="false" ht="15" hidden="true" customHeight="false" outlineLevel="0" collapsed="false">
      <c r="A1190" s="51" t="s">
        <v>671</v>
      </c>
      <c r="B1190" s="55" t="n">
        <v>44196</v>
      </c>
      <c r="C1190" s="51" t="s">
        <v>782</v>
      </c>
      <c r="D1190" s="51" t="n">
        <v>0</v>
      </c>
    </row>
    <row r="1191" customFormat="false" ht="15" hidden="true" customHeight="false" outlineLevel="0" collapsed="false">
      <c r="A1191" s="51" t="s">
        <v>676</v>
      </c>
      <c r="B1191" s="55" t="n">
        <v>44196</v>
      </c>
      <c r="C1191" s="51" t="s">
        <v>782</v>
      </c>
      <c r="D1191" s="51" t="n">
        <v>0</v>
      </c>
    </row>
    <row r="1192" customFormat="false" ht="15" hidden="true" customHeight="false" outlineLevel="0" collapsed="false">
      <c r="A1192" s="51" t="s">
        <v>681</v>
      </c>
      <c r="B1192" s="55" t="n">
        <v>44196</v>
      </c>
      <c r="C1192" s="51" t="s">
        <v>782</v>
      </c>
      <c r="D1192" s="51" t="n">
        <v>0</v>
      </c>
    </row>
    <row r="1193" customFormat="false" ht="15" hidden="true" customHeight="false" outlineLevel="0" collapsed="false">
      <c r="A1193" s="51" t="s">
        <v>686</v>
      </c>
      <c r="B1193" s="55" t="n">
        <v>44196</v>
      </c>
      <c r="C1193" s="51" t="s">
        <v>782</v>
      </c>
      <c r="D1193" s="51" t="n">
        <v>0</v>
      </c>
    </row>
    <row r="1194" customFormat="false" ht="15" hidden="true" customHeight="false" outlineLevel="0" collapsed="false">
      <c r="A1194" s="51" t="s">
        <v>691</v>
      </c>
      <c r="B1194" s="55" t="n">
        <v>44196</v>
      </c>
      <c r="C1194" s="51" t="s">
        <v>782</v>
      </c>
      <c r="D1194" s="51" t="n">
        <v>0</v>
      </c>
    </row>
    <row r="1195" customFormat="false" ht="15" hidden="true" customHeight="false" outlineLevel="0" collapsed="false">
      <c r="A1195" s="51" t="s">
        <v>696</v>
      </c>
      <c r="B1195" s="55" t="n">
        <v>44196</v>
      </c>
      <c r="C1195" s="51" t="s">
        <v>782</v>
      </c>
      <c r="D1195" s="51" t="n">
        <v>0</v>
      </c>
    </row>
    <row r="1196" customFormat="false" ht="15" hidden="true" customHeight="false" outlineLevel="0" collapsed="false">
      <c r="A1196" s="51" t="s">
        <v>701</v>
      </c>
      <c r="B1196" s="55" t="n">
        <v>44196</v>
      </c>
      <c r="C1196" s="51" t="s">
        <v>782</v>
      </c>
      <c r="D1196" s="51" t="n">
        <v>0</v>
      </c>
    </row>
    <row r="1197" customFormat="false" ht="15" hidden="true" customHeight="false" outlineLevel="0" collapsed="false">
      <c r="A1197" s="51" t="s">
        <v>707</v>
      </c>
      <c r="B1197" s="55" t="n">
        <v>44196</v>
      </c>
      <c r="C1197" s="51" t="s">
        <v>782</v>
      </c>
      <c r="D1197" s="51" t="n">
        <v>0</v>
      </c>
    </row>
    <row r="1198" customFormat="false" ht="15" hidden="true" customHeight="false" outlineLevel="0" collapsed="false">
      <c r="A1198" s="51" t="s">
        <v>712</v>
      </c>
      <c r="B1198" s="55" t="n">
        <v>44196</v>
      </c>
      <c r="C1198" s="51" t="s">
        <v>782</v>
      </c>
      <c r="D1198" s="51" t="n">
        <v>0</v>
      </c>
    </row>
    <row r="1199" customFormat="false" ht="15" hidden="true" customHeight="false" outlineLevel="0" collapsed="false">
      <c r="A1199" s="51" t="s">
        <v>717</v>
      </c>
      <c r="B1199" s="55" t="n">
        <v>44196</v>
      </c>
      <c r="C1199" s="51" t="s">
        <v>782</v>
      </c>
      <c r="D1199" s="51" t="n">
        <v>0</v>
      </c>
    </row>
    <row r="1200" customFormat="false" ht="15" hidden="true" customHeight="false" outlineLevel="0" collapsed="false">
      <c r="A1200" s="51" t="s">
        <v>767</v>
      </c>
      <c r="B1200" s="55" t="n">
        <v>44196</v>
      </c>
      <c r="C1200" s="51" t="s">
        <v>782</v>
      </c>
      <c r="D1200" s="51" t="n">
        <v>0</v>
      </c>
    </row>
    <row r="1201" customFormat="false" ht="15" hidden="true" customHeight="false" outlineLevel="0" collapsed="false">
      <c r="A1201" s="51" t="s">
        <v>722</v>
      </c>
      <c r="B1201" s="55" t="n">
        <v>44196</v>
      </c>
      <c r="C1201" s="51" t="s">
        <v>782</v>
      </c>
      <c r="D1201" s="51" t="n">
        <v>0</v>
      </c>
    </row>
    <row r="1202" customFormat="false" ht="15" hidden="true" customHeight="false" outlineLevel="0" collapsed="false">
      <c r="A1202" s="51" t="s">
        <v>727</v>
      </c>
      <c r="B1202" s="55" t="n">
        <v>44196</v>
      </c>
      <c r="C1202" s="51" t="s">
        <v>782</v>
      </c>
      <c r="D1202" s="51" t="n">
        <v>0</v>
      </c>
    </row>
    <row r="1203" customFormat="false" ht="15" hidden="true" customHeight="false" outlineLevel="0" collapsed="false">
      <c r="A1203" s="51" t="s">
        <v>732</v>
      </c>
      <c r="B1203" s="55" t="n">
        <v>44196</v>
      </c>
      <c r="C1203" s="51" t="s">
        <v>782</v>
      </c>
      <c r="D1203" s="51" t="n">
        <v>0</v>
      </c>
    </row>
    <row r="1204" customFormat="false" ht="15" hidden="true" customHeight="false" outlineLevel="0" collapsed="false">
      <c r="A1204" s="51" t="s">
        <v>736</v>
      </c>
      <c r="B1204" s="55" t="n">
        <v>44196</v>
      </c>
      <c r="C1204" s="51" t="s">
        <v>782</v>
      </c>
      <c r="D1204" s="51" t="n">
        <v>0</v>
      </c>
    </row>
    <row r="1205" customFormat="false" ht="15" hidden="true" customHeight="false" outlineLevel="0" collapsed="false">
      <c r="A1205" s="51" t="s">
        <v>741</v>
      </c>
      <c r="B1205" s="55" t="n">
        <v>44196</v>
      </c>
      <c r="C1205" s="51" t="s">
        <v>782</v>
      </c>
      <c r="D1205" s="51" t="n">
        <v>0</v>
      </c>
    </row>
    <row r="1206" customFormat="false" ht="15" hidden="true" customHeight="false" outlineLevel="0" collapsed="false">
      <c r="A1206" s="51" t="s">
        <v>746</v>
      </c>
      <c r="B1206" s="55" t="n">
        <v>44196</v>
      </c>
      <c r="C1206" s="51" t="s">
        <v>782</v>
      </c>
      <c r="D1206" s="51" t="n">
        <v>0</v>
      </c>
    </row>
    <row r="1207" customFormat="false" ht="15" hidden="true" customHeight="false" outlineLevel="0" collapsed="false">
      <c r="A1207" s="51" t="s">
        <v>751</v>
      </c>
      <c r="B1207" s="55" t="n">
        <v>44196</v>
      </c>
      <c r="C1207" s="51" t="s">
        <v>782</v>
      </c>
      <c r="D1207" s="51" t="n">
        <v>0</v>
      </c>
    </row>
    <row r="1208" customFormat="false" ht="15" hidden="false" customHeight="false" outlineLevel="0" collapsed="false">
      <c r="A1208" s="51" t="s">
        <v>781</v>
      </c>
      <c r="B1208" s="55" t="n">
        <v>44196</v>
      </c>
      <c r="C1208" s="51" t="s">
        <v>82</v>
      </c>
      <c r="D1208" s="51" t="n">
        <v>0</v>
      </c>
    </row>
    <row r="1209" customFormat="false" ht="15" hidden="true" customHeight="false" outlineLevel="0" collapsed="false">
      <c r="A1209" s="51" t="s">
        <v>783</v>
      </c>
      <c r="B1209" s="55" t="n">
        <v>44196</v>
      </c>
      <c r="C1209" s="51" t="s">
        <v>82</v>
      </c>
      <c r="D1209" s="51" t="n">
        <v>0</v>
      </c>
    </row>
    <row r="1210" customFormat="false" ht="15" hidden="true" customHeight="false" outlineLevel="0" collapsed="false">
      <c r="A1210" s="51" t="s">
        <v>96</v>
      </c>
      <c r="B1210" s="55" t="n">
        <v>44196</v>
      </c>
      <c r="C1210" s="51" t="s">
        <v>82</v>
      </c>
      <c r="D1210" s="51" t="n">
        <v>0</v>
      </c>
    </row>
    <row r="1211" customFormat="false" ht="15" hidden="true" customHeight="false" outlineLevel="0" collapsed="false">
      <c r="A1211" s="51" t="s">
        <v>101</v>
      </c>
      <c r="B1211" s="55" t="n">
        <v>44196</v>
      </c>
      <c r="C1211" s="51" t="s">
        <v>82</v>
      </c>
      <c r="D1211" s="51" t="n">
        <v>1100000</v>
      </c>
    </row>
    <row r="1212" customFormat="false" ht="15" hidden="true" customHeight="false" outlineLevel="0" collapsed="false">
      <c r="A1212" s="51" t="s">
        <v>106</v>
      </c>
      <c r="B1212" s="55" t="n">
        <v>44196</v>
      </c>
      <c r="C1212" s="51" t="s">
        <v>82</v>
      </c>
      <c r="D1212" s="51" t="n">
        <v>0</v>
      </c>
    </row>
    <row r="1213" customFormat="false" ht="15" hidden="true" customHeight="false" outlineLevel="0" collapsed="false">
      <c r="A1213" s="51" t="s">
        <v>110</v>
      </c>
      <c r="B1213" s="55" t="n">
        <v>44196</v>
      </c>
      <c r="C1213" s="51" t="s">
        <v>82</v>
      </c>
      <c r="D1213" s="51" t="n">
        <v>0</v>
      </c>
    </row>
    <row r="1214" customFormat="false" ht="15" hidden="true" customHeight="false" outlineLevel="0" collapsed="false">
      <c r="A1214" s="51" t="s">
        <v>115</v>
      </c>
      <c r="B1214" s="55" t="n">
        <v>44196</v>
      </c>
      <c r="C1214" s="51" t="s">
        <v>82</v>
      </c>
      <c r="D1214" s="51" t="n">
        <v>0</v>
      </c>
    </row>
    <row r="1215" customFormat="false" ht="15" hidden="true" customHeight="false" outlineLevel="0" collapsed="false">
      <c r="A1215" s="51" t="s">
        <v>120</v>
      </c>
      <c r="B1215" s="55" t="n">
        <v>44196</v>
      </c>
      <c r="C1215" s="51" t="s">
        <v>82</v>
      </c>
      <c r="D1215" s="51" t="n">
        <v>0</v>
      </c>
    </row>
    <row r="1216" customFormat="false" ht="15" hidden="true" customHeight="false" outlineLevel="0" collapsed="false">
      <c r="A1216" s="51" t="s">
        <v>124</v>
      </c>
      <c r="B1216" s="55" t="n">
        <v>44196</v>
      </c>
      <c r="C1216" s="51" t="s">
        <v>82</v>
      </c>
      <c r="D1216" s="51" t="n">
        <v>0</v>
      </c>
    </row>
    <row r="1217" customFormat="false" ht="15" hidden="true" customHeight="false" outlineLevel="0" collapsed="false">
      <c r="A1217" s="51" t="s">
        <v>129</v>
      </c>
      <c r="B1217" s="55" t="n">
        <v>44196</v>
      </c>
      <c r="C1217" s="51" t="s">
        <v>82</v>
      </c>
      <c r="D1217" s="51" t="n">
        <v>0</v>
      </c>
    </row>
    <row r="1218" customFormat="false" ht="15" hidden="true" customHeight="false" outlineLevel="0" collapsed="false">
      <c r="A1218" s="51" t="s">
        <v>134</v>
      </c>
      <c r="B1218" s="55" t="n">
        <v>44196</v>
      </c>
      <c r="C1218" s="51" t="s">
        <v>82</v>
      </c>
      <c r="D1218" s="51" t="n">
        <v>0</v>
      </c>
    </row>
    <row r="1219" customFormat="false" ht="15" hidden="true" customHeight="false" outlineLevel="0" collapsed="false">
      <c r="A1219" s="51" t="s">
        <v>141</v>
      </c>
      <c r="B1219" s="55" t="n">
        <v>44196</v>
      </c>
      <c r="C1219" s="51" t="s">
        <v>82</v>
      </c>
      <c r="D1219" s="51" t="n">
        <v>368522</v>
      </c>
    </row>
    <row r="1220" customFormat="false" ht="15" hidden="true" customHeight="false" outlineLevel="0" collapsed="false">
      <c r="A1220" s="51" t="s">
        <v>146</v>
      </c>
      <c r="B1220" s="55" t="n">
        <v>44196</v>
      </c>
      <c r="C1220" s="51" t="s">
        <v>82</v>
      </c>
      <c r="D1220" s="51" t="n">
        <v>0</v>
      </c>
    </row>
    <row r="1221" customFormat="false" ht="15" hidden="true" customHeight="false" outlineLevel="0" collapsed="false">
      <c r="A1221" s="51" t="s">
        <v>151</v>
      </c>
      <c r="B1221" s="55" t="n">
        <v>44196</v>
      </c>
      <c r="C1221" s="51" t="s">
        <v>82</v>
      </c>
      <c r="D1221" s="51" t="n">
        <v>506000</v>
      </c>
    </row>
    <row r="1222" customFormat="false" ht="15" hidden="true" customHeight="false" outlineLevel="0" collapsed="false">
      <c r="A1222" s="51" t="s">
        <v>156</v>
      </c>
      <c r="B1222" s="55" t="n">
        <v>44196</v>
      </c>
      <c r="C1222" s="51" t="s">
        <v>82</v>
      </c>
      <c r="D1222" s="51" t="n">
        <v>217425</v>
      </c>
    </row>
    <row r="1223" customFormat="false" ht="15" hidden="true" customHeight="false" outlineLevel="0" collapsed="false">
      <c r="A1223" s="51" t="s">
        <v>161</v>
      </c>
      <c r="B1223" s="55" t="n">
        <v>44196</v>
      </c>
      <c r="C1223" s="51" t="s">
        <v>82</v>
      </c>
      <c r="D1223" s="51" t="n">
        <v>0</v>
      </c>
    </row>
    <row r="1224" customFormat="false" ht="15" hidden="true" customHeight="false" outlineLevel="0" collapsed="false">
      <c r="A1224" s="51" t="s">
        <v>166</v>
      </c>
      <c r="B1224" s="55" t="n">
        <v>44196</v>
      </c>
      <c r="C1224" s="51" t="s">
        <v>82</v>
      </c>
      <c r="D1224" s="51" t="n">
        <v>5314000</v>
      </c>
    </row>
    <row r="1225" customFormat="false" ht="15" hidden="true" customHeight="false" outlineLevel="0" collapsed="false">
      <c r="A1225" s="51" t="s">
        <v>171</v>
      </c>
      <c r="B1225" s="55" t="n">
        <v>44196</v>
      </c>
      <c r="C1225" s="51" t="s">
        <v>82</v>
      </c>
      <c r="D1225" s="51" t="n">
        <v>1750000</v>
      </c>
    </row>
    <row r="1226" customFormat="false" ht="15" hidden="true" customHeight="false" outlineLevel="0" collapsed="false">
      <c r="A1226" s="51" t="s">
        <v>176</v>
      </c>
      <c r="B1226" s="55" t="n">
        <v>44196</v>
      </c>
      <c r="C1226" s="51" t="s">
        <v>82</v>
      </c>
      <c r="D1226" s="51" t="n">
        <v>596160</v>
      </c>
    </row>
    <row r="1227" customFormat="false" ht="15" hidden="true" customHeight="false" outlineLevel="0" collapsed="false">
      <c r="A1227" s="51" t="s">
        <v>181</v>
      </c>
      <c r="B1227" s="55" t="n">
        <v>44196</v>
      </c>
      <c r="C1227" s="51" t="s">
        <v>82</v>
      </c>
      <c r="D1227" s="51" t="n">
        <v>0</v>
      </c>
    </row>
    <row r="1228" customFormat="false" ht="15" hidden="true" customHeight="false" outlineLevel="0" collapsed="false">
      <c r="A1228" s="51" t="s">
        <v>186</v>
      </c>
      <c r="B1228" s="55" t="n">
        <v>44196</v>
      </c>
      <c r="C1228" s="51" t="s">
        <v>82</v>
      </c>
      <c r="D1228" s="51" t="n">
        <v>0</v>
      </c>
    </row>
    <row r="1229" customFormat="false" ht="15" hidden="true" customHeight="false" outlineLevel="0" collapsed="false">
      <c r="A1229" s="51" t="s">
        <v>191</v>
      </c>
      <c r="B1229" s="55" t="n">
        <v>44196</v>
      </c>
      <c r="C1229" s="51" t="s">
        <v>82</v>
      </c>
      <c r="D1229" s="51" t="n">
        <v>0</v>
      </c>
    </row>
    <row r="1230" customFormat="false" ht="15" hidden="true" customHeight="false" outlineLevel="0" collapsed="false">
      <c r="A1230" s="51" t="s">
        <v>196</v>
      </c>
      <c r="B1230" s="55" t="n">
        <v>44196</v>
      </c>
      <c r="C1230" s="51" t="s">
        <v>82</v>
      </c>
      <c r="D1230" s="51" t="n">
        <v>0</v>
      </c>
    </row>
    <row r="1231" customFormat="false" ht="15" hidden="true" customHeight="false" outlineLevel="0" collapsed="false">
      <c r="A1231" s="51" t="s">
        <v>201</v>
      </c>
      <c r="B1231" s="55" t="n">
        <v>44196</v>
      </c>
      <c r="C1231" s="51" t="s">
        <v>82</v>
      </c>
      <c r="D1231" s="51" t="n">
        <v>0</v>
      </c>
    </row>
    <row r="1232" customFormat="false" ht="15" hidden="true" customHeight="false" outlineLevel="0" collapsed="false">
      <c r="A1232" s="51" t="s">
        <v>206</v>
      </c>
      <c r="B1232" s="55" t="n">
        <v>44196</v>
      </c>
      <c r="C1232" s="51" t="s">
        <v>82</v>
      </c>
      <c r="D1232" s="51" t="n">
        <v>0</v>
      </c>
    </row>
    <row r="1233" customFormat="false" ht="15" hidden="true" customHeight="false" outlineLevel="0" collapsed="false">
      <c r="A1233" s="51" t="s">
        <v>210</v>
      </c>
      <c r="B1233" s="55" t="n">
        <v>44196</v>
      </c>
      <c r="C1233" s="51" t="s">
        <v>82</v>
      </c>
      <c r="D1233" s="51" t="n">
        <v>0</v>
      </c>
    </row>
    <row r="1234" customFormat="false" ht="15" hidden="true" customHeight="false" outlineLevel="0" collapsed="false">
      <c r="A1234" s="51" t="s">
        <v>215</v>
      </c>
      <c r="B1234" s="55" t="n">
        <v>44196</v>
      </c>
      <c r="C1234" s="51" t="s">
        <v>82</v>
      </c>
      <c r="D1234" s="51" t="n">
        <v>0</v>
      </c>
    </row>
    <row r="1235" customFormat="false" ht="15" hidden="true" customHeight="false" outlineLevel="0" collapsed="false">
      <c r="A1235" s="51" t="s">
        <v>790</v>
      </c>
      <c r="B1235" s="55" t="n">
        <v>44196</v>
      </c>
      <c r="C1235" s="51" t="s">
        <v>82</v>
      </c>
      <c r="D1235" s="51" t="n">
        <v>100000</v>
      </c>
    </row>
    <row r="1236" customFormat="false" ht="15" hidden="true" customHeight="false" outlineLevel="0" collapsed="false">
      <c r="A1236" s="51" t="s">
        <v>225</v>
      </c>
      <c r="B1236" s="55" t="n">
        <v>44196</v>
      </c>
      <c r="C1236" s="51" t="s">
        <v>82</v>
      </c>
      <c r="D1236" s="51" t="n">
        <v>0</v>
      </c>
    </row>
    <row r="1237" customFormat="false" ht="15" hidden="true" customHeight="false" outlineLevel="0" collapsed="false">
      <c r="A1237" s="51" t="s">
        <v>230</v>
      </c>
      <c r="B1237" s="55" t="n">
        <v>44196</v>
      </c>
      <c r="C1237" s="51" t="s">
        <v>82</v>
      </c>
      <c r="D1237" s="51" t="n">
        <v>0</v>
      </c>
    </row>
    <row r="1238" customFormat="false" ht="15" hidden="true" customHeight="false" outlineLevel="0" collapsed="false">
      <c r="A1238" s="51" t="s">
        <v>235</v>
      </c>
      <c r="B1238" s="55" t="n">
        <v>44196</v>
      </c>
      <c r="C1238" s="51" t="s">
        <v>82</v>
      </c>
      <c r="D1238" s="51" t="n">
        <v>0</v>
      </c>
    </row>
    <row r="1239" customFormat="false" ht="15" hidden="true" customHeight="false" outlineLevel="0" collapsed="false">
      <c r="A1239" s="51" t="s">
        <v>240</v>
      </c>
      <c r="B1239" s="55" t="n">
        <v>44196</v>
      </c>
      <c r="C1239" s="51" t="s">
        <v>82</v>
      </c>
      <c r="D1239" s="51" t="n">
        <v>0</v>
      </c>
    </row>
    <row r="1240" customFormat="false" ht="15" hidden="true" customHeight="false" outlineLevel="0" collapsed="false">
      <c r="A1240" s="51" t="s">
        <v>246</v>
      </c>
      <c r="B1240" s="55" t="n">
        <v>44196</v>
      </c>
      <c r="C1240" s="51" t="s">
        <v>82</v>
      </c>
      <c r="D1240" s="51" t="n">
        <v>0</v>
      </c>
    </row>
    <row r="1241" customFormat="false" ht="15" hidden="true" customHeight="false" outlineLevel="0" collapsed="false">
      <c r="A1241" s="51" t="s">
        <v>252</v>
      </c>
      <c r="B1241" s="55" t="n">
        <v>44196</v>
      </c>
      <c r="C1241" s="51" t="s">
        <v>82</v>
      </c>
      <c r="D1241" s="51" t="n">
        <v>0</v>
      </c>
    </row>
    <row r="1242" customFormat="false" ht="15" hidden="true" customHeight="false" outlineLevel="0" collapsed="false">
      <c r="A1242" s="51" t="s">
        <v>257</v>
      </c>
      <c r="B1242" s="55" t="n">
        <v>44196</v>
      </c>
      <c r="C1242" s="51" t="s">
        <v>82</v>
      </c>
      <c r="D1242" s="51" t="n">
        <v>0</v>
      </c>
    </row>
    <row r="1243" customFormat="false" ht="15" hidden="true" customHeight="false" outlineLevel="0" collapsed="false">
      <c r="A1243" s="51" t="s">
        <v>262</v>
      </c>
      <c r="B1243" s="55" t="n">
        <v>44196</v>
      </c>
      <c r="C1243" s="51" t="s">
        <v>82</v>
      </c>
      <c r="D1243" s="51" t="n">
        <v>0</v>
      </c>
    </row>
    <row r="1244" customFormat="false" ht="15" hidden="true" customHeight="false" outlineLevel="0" collapsed="false">
      <c r="A1244" s="51" t="s">
        <v>267</v>
      </c>
      <c r="B1244" s="55" t="n">
        <v>44196</v>
      </c>
      <c r="C1244" s="51" t="s">
        <v>82</v>
      </c>
      <c r="D1244" s="51" t="n">
        <v>0</v>
      </c>
    </row>
    <row r="1245" customFormat="false" ht="15" hidden="true" customHeight="false" outlineLevel="0" collapsed="false">
      <c r="A1245" s="51" t="s">
        <v>272</v>
      </c>
      <c r="B1245" s="55" t="n">
        <v>44196</v>
      </c>
      <c r="C1245" s="51" t="s">
        <v>82</v>
      </c>
      <c r="D1245" s="51" t="n">
        <v>0</v>
      </c>
    </row>
    <row r="1246" customFormat="false" ht="15" hidden="true" customHeight="false" outlineLevel="0" collapsed="false">
      <c r="A1246" s="51" t="s">
        <v>277</v>
      </c>
      <c r="B1246" s="55" t="n">
        <v>44196</v>
      </c>
      <c r="C1246" s="51" t="s">
        <v>82</v>
      </c>
      <c r="D1246" s="51" t="n">
        <v>0</v>
      </c>
    </row>
    <row r="1247" customFormat="false" ht="15" hidden="true" customHeight="false" outlineLevel="0" collapsed="false">
      <c r="A1247" s="51" t="s">
        <v>282</v>
      </c>
      <c r="B1247" s="55" t="n">
        <v>44196</v>
      </c>
      <c r="C1247" s="51" t="s">
        <v>82</v>
      </c>
      <c r="D1247" s="51" t="n">
        <v>0</v>
      </c>
    </row>
    <row r="1248" customFormat="false" ht="15" hidden="true" customHeight="false" outlineLevel="0" collapsed="false">
      <c r="A1248" s="51" t="s">
        <v>287</v>
      </c>
      <c r="B1248" s="55" t="n">
        <v>44196</v>
      </c>
      <c r="C1248" s="51" t="s">
        <v>82</v>
      </c>
      <c r="D1248" s="51" t="n">
        <v>0</v>
      </c>
    </row>
    <row r="1249" customFormat="false" ht="15" hidden="true" customHeight="false" outlineLevel="0" collapsed="false">
      <c r="A1249" s="51" t="s">
        <v>292</v>
      </c>
      <c r="B1249" s="55" t="n">
        <v>44196</v>
      </c>
      <c r="C1249" s="51" t="s">
        <v>82</v>
      </c>
      <c r="D1249" s="51" t="n">
        <v>0</v>
      </c>
    </row>
    <row r="1250" customFormat="false" ht="15" hidden="true" customHeight="false" outlineLevel="0" collapsed="false">
      <c r="A1250" s="51" t="s">
        <v>297</v>
      </c>
      <c r="B1250" s="55" t="n">
        <v>44196</v>
      </c>
      <c r="C1250" s="51" t="s">
        <v>82</v>
      </c>
      <c r="D1250" s="51" t="n">
        <v>0</v>
      </c>
    </row>
    <row r="1251" customFormat="false" ht="15" hidden="true" customHeight="false" outlineLevel="0" collapsed="false">
      <c r="A1251" s="51" t="s">
        <v>302</v>
      </c>
      <c r="B1251" s="55" t="n">
        <v>44196</v>
      </c>
      <c r="C1251" s="51" t="s">
        <v>82</v>
      </c>
      <c r="D1251" s="51" t="n">
        <v>0</v>
      </c>
    </row>
    <row r="1252" customFormat="false" ht="15" hidden="true" customHeight="false" outlineLevel="0" collapsed="false">
      <c r="A1252" s="51" t="s">
        <v>307</v>
      </c>
      <c r="B1252" s="55" t="n">
        <v>44196</v>
      </c>
      <c r="C1252" s="51" t="s">
        <v>82</v>
      </c>
      <c r="D1252" s="51" t="n">
        <v>0</v>
      </c>
    </row>
    <row r="1253" customFormat="false" ht="15" hidden="true" customHeight="false" outlineLevel="0" collapsed="false">
      <c r="A1253" s="51" t="s">
        <v>311</v>
      </c>
      <c r="B1253" s="55" t="n">
        <v>44196</v>
      </c>
      <c r="C1253" s="51" t="s">
        <v>82</v>
      </c>
      <c r="D1253" s="51" t="n">
        <v>0</v>
      </c>
    </row>
    <row r="1254" customFormat="false" ht="15" hidden="true" customHeight="false" outlineLevel="0" collapsed="false">
      <c r="A1254" s="51" t="s">
        <v>317</v>
      </c>
      <c r="B1254" s="55" t="n">
        <v>44196</v>
      </c>
      <c r="C1254" s="51" t="s">
        <v>82</v>
      </c>
      <c r="D1254" s="51" t="n">
        <v>0</v>
      </c>
    </row>
    <row r="1255" customFormat="false" ht="15" hidden="true" customHeight="false" outlineLevel="0" collapsed="false">
      <c r="A1255" s="51" t="s">
        <v>322</v>
      </c>
      <c r="B1255" s="55" t="n">
        <v>44196</v>
      </c>
      <c r="C1255" s="51" t="s">
        <v>82</v>
      </c>
      <c r="D1255" s="51" t="n">
        <v>0</v>
      </c>
    </row>
    <row r="1256" customFormat="false" ht="15" hidden="true" customHeight="false" outlineLevel="0" collapsed="false">
      <c r="A1256" s="51" t="s">
        <v>327</v>
      </c>
      <c r="B1256" s="55" t="n">
        <v>44196</v>
      </c>
      <c r="C1256" s="51" t="s">
        <v>82</v>
      </c>
      <c r="D1256" s="51" t="n">
        <v>0</v>
      </c>
    </row>
    <row r="1257" customFormat="false" ht="15" hidden="true" customHeight="false" outlineLevel="0" collapsed="false">
      <c r="A1257" s="51" t="s">
        <v>332</v>
      </c>
      <c r="B1257" s="55" t="n">
        <v>44196</v>
      </c>
      <c r="C1257" s="51" t="s">
        <v>82</v>
      </c>
      <c r="D1257" s="51" t="n">
        <v>0</v>
      </c>
    </row>
    <row r="1258" customFormat="false" ht="15" hidden="true" customHeight="false" outlineLevel="0" collapsed="false">
      <c r="A1258" s="51" t="s">
        <v>339</v>
      </c>
      <c r="B1258" s="55" t="n">
        <v>44196</v>
      </c>
      <c r="C1258" s="51" t="s">
        <v>82</v>
      </c>
      <c r="D1258" s="51" t="n">
        <v>0</v>
      </c>
    </row>
    <row r="1259" customFormat="false" ht="15" hidden="true" customHeight="false" outlineLevel="0" collapsed="false">
      <c r="A1259" s="51" t="s">
        <v>344</v>
      </c>
      <c r="B1259" s="55" t="n">
        <v>44196</v>
      </c>
      <c r="C1259" s="51" t="s">
        <v>82</v>
      </c>
      <c r="D1259" s="51" t="n">
        <v>0</v>
      </c>
    </row>
    <row r="1260" customFormat="false" ht="15" hidden="true" customHeight="false" outlineLevel="0" collapsed="false">
      <c r="A1260" s="51" t="s">
        <v>349</v>
      </c>
      <c r="B1260" s="55" t="n">
        <v>44196</v>
      </c>
      <c r="C1260" s="51" t="s">
        <v>82</v>
      </c>
      <c r="D1260" s="51" t="n">
        <v>0</v>
      </c>
    </row>
    <row r="1261" customFormat="false" ht="15" hidden="true" customHeight="false" outlineLevel="0" collapsed="false">
      <c r="A1261" s="51" t="s">
        <v>354</v>
      </c>
      <c r="B1261" s="55" t="n">
        <v>44196</v>
      </c>
      <c r="C1261" s="51" t="s">
        <v>82</v>
      </c>
      <c r="D1261" s="51" t="n">
        <v>0</v>
      </c>
    </row>
    <row r="1262" customFormat="false" ht="15" hidden="true" customHeight="false" outlineLevel="0" collapsed="false">
      <c r="A1262" s="51" t="s">
        <v>359</v>
      </c>
      <c r="B1262" s="55" t="n">
        <v>44196</v>
      </c>
      <c r="C1262" s="51" t="s">
        <v>82</v>
      </c>
      <c r="D1262" s="51" t="n">
        <v>0</v>
      </c>
    </row>
    <row r="1263" customFormat="false" ht="15" hidden="true" customHeight="false" outlineLevel="0" collapsed="false">
      <c r="A1263" s="51" t="s">
        <v>364</v>
      </c>
      <c r="B1263" s="55" t="n">
        <v>44196</v>
      </c>
      <c r="C1263" s="51" t="s">
        <v>82</v>
      </c>
      <c r="D1263" s="51" t="n">
        <v>0</v>
      </c>
    </row>
    <row r="1264" customFormat="false" ht="15" hidden="true" customHeight="false" outlineLevel="0" collapsed="false">
      <c r="A1264" s="51" t="s">
        <v>369</v>
      </c>
      <c r="B1264" s="55" t="n">
        <v>44196</v>
      </c>
      <c r="C1264" s="51" t="s">
        <v>82</v>
      </c>
      <c r="D1264" s="51" t="n">
        <v>0</v>
      </c>
    </row>
    <row r="1265" customFormat="false" ht="15" hidden="true" customHeight="false" outlineLevel="0" collapsed="false">
      <c r="A1265" s="51" t="s">
        <v>374</v>
      </c>
      <c r="B1265" s="55" t="n">
        <v>44196</v>
      </c>
      <c r="C1265" s="51" t="s">
        <v>82</v>
      </c>
      <c r="D1265" s="51" t="n">
        <v>0</v>
      </c>
    </row>
    <row r="1266" customFormat="false" ht="15" hidden="true" customHeight="false" outlineLevel="0" collapsed="false">
      <c r="A1266" s="51" t="s">
        <v>379</v>
      </c>
      <c r="B1266" s="55" t="n">
        <v>44196</v>
      </c>
      <c r="C1266" s="51" t="s">
        <v>82</v>
      </c>
      <c r="D1266" s="51" t="n">
        <v>0</v>
      </c>
    </row>
    <row r="1267" customFormat="false" ht="15" hidden="true" customHeight="false" outlineLevel="0" collapsed="false">
      <c r="A1267" s="51" t="s">
        <v>384</v>
      </c>
      <c r="B1267" s="55" t="n">
        <v>44196</v>
      </c>
      <c r="C1267" s="51" t="s">
        <v>82</v>
      </c>
      <c r="D1267" s="51" t="n">
        <v>0</v>
      </c>
    </row>
    <row r="1268" customFormat="false" ht="15" hidden="true" customHeight="false" outlineLevel="0" collapsed="false">
      <c r="A1268" s="51" t="s">
        <v>389</v>
      </c>
      <c r="B1268" s="55" t="n">
        <v>44196</v>
      </c>
      <c r="C1268" s="51" t="s">
        <v>82</v>
      </c>
      <c r="D1268" s="51" t="n">
        <v>0</v>
      </c>
    </row>
    <row r="1269" customFormat="false" ht="15" hidden="true" customHeight="false" outlineLevel="0" collapsed="false">
      <c r="A1269" s="51" t="s">
        <v>394</v>
      </c>
      <c r="B1269" s="55" t="n">
        <v>44196</v>
      </c>
      <c r="C1269" s="51" t="s">
        <v>82</v>
      </c>
      <c r="D1269" s="51" t="n">
        <v>0</v>
      </c>
    </row>
    <row r="1270" customFormat="false" ht="15" hidden="true" customHeight="false" outlineLevel="0" collapsed="false">
      <c r="A1270" s="51" t="s">
        <v>399</v>
      </c>
      <c r="B1270" s="55" t="n">
        <v>44196</v>
      </c>
      <c r="C1270" s="51" t="s">
        <v>82</v>
      </c>
      <c r="D1270" s="51" t="n">
        <v>0</v>
      </c>
    </row>
    <row r="1271" customFormat="false" ht="15" hidden="true" customHeight="false" outlineLevel="0" collapsed="false">
      <c r="A1271" s="51" t="s">
        <v>404</v>
      </c>
      <c r="B1271" s="55" t="n">
        <v>44196</v>
      </c>
      <c r="C1271" s="51" t="s">
        <v>82</v>
      </c>
      <c r="D1271" s="51" t="n">
        <v>0</v>
      </c>
    </row>
    <row r="1272" customFormat="false" ht="15" hidden="true" customHeight="false" outlineLevel="0" collapsed="false">
      <c r="A1272" s="51" t="s">
        <v>409</v>
      </c>
      <c r="B1272" s="55" t="n">
        <v>44196</v>
      </c>
      <c r="C1272" s="51" t="s">
        <v>82</v>
      </c>
      <c r="D1272" s="51" t="n">
        <v>0</v>
      </c>
    </row>
    <row r="1273" customFormat="false" ht="15" hidden="true" customHeight="false" outlineLevel="0" collapsed="false">
      <c r="A1273" s="51" t="s">
        <v>414</v>
      </c>
      <c r="B1273" s="55" t="n">
        <v>44196</v>
      </c>
      <c r="C1273" s="51" t="s">
        <v>82</v>
      </c>
      <c r="D1273" s="51" t="n">
        <v>0</v>
      </c>
    </row>
    <row r="1274" customFormat="false" ht="15" hidden="true" customHeight="false" outlineLevel="0" collapsed="false">
      <c r="A1274" s="51" t="s">
        <v>419</v>
      </c>
      <c r="B1274" s="55" t="n">
        <v>44196</v>
      </c>
      <c r="C1274" s="51" t="s">
        <v>82</v>
      </c>
      <c r="D1274" s="51" t="n">
        <v>0</v>
      </c>
    </row>
    <row r="1275" customFormat="false" ht="15" hidden="true" customHeight="false" outlineLevel="0" collapsed="false">
      <c r="A1275" s="51" t="s">
        <v>424</v>
      </c>
      <c r="B1275" s="55" t="n">
        <v>44196</v>
      </c>
      <c r="C1275" s="51" t="s">
        <v>82</v>
      </c>
      <c r="D1275" s="51" t="n">
        <v>0</v>
      </c>
    </row>
    <row r="1276" customFormat="false" ht="15" hidden="true" customHeight="false" outlineLevel="0" collapsed="false">
      <c r="A1276" s="51" t="s">
        <v>429</v>
      </c>
      <c r="B1276" s="55" t="n">
        <v>44196</v>
      </c>
      <c r="C1276" s="51" t="s">
        <v>82</v>
      </c>
      <c r="D1276" s="51" t="n">
        <v>0</v>
      </c>
    </row>
    <row r="1277" customFormat="false" ht="15" hidden="true" customHeight="false" outlineLevel="0" collapsed="false">
      <c r="A1277" s="51" t="s">
        <v>434</v>
      </c>
      <c r="B1277" s="55" t="n">
        <v>44196</v>
      </c>
      <c r="C1277" s="51" t="s">
        <v>82</v>
      </c>
      <c r="D1277" s="51" t="n">
        <v>0</v>
      </c>
    </row>
    <row r="1278" customFormat="false" ht="15" hidden="true" customHeight="false" outlineLevel="0" collapsed="false">
      <c r="A1278" s="51" t="s">
        <v>438</v>
      </c>
      <c r="B1278" s="55" t="n">
        <v>44196</v>
      </c>
      <c r="C1278" s="51" t="s">
        <v>82</v>
      </c>
      <c r="D1278" s="51" t="n">
        <v>0</v>
      </c>
    </row>
    <row r="1279" customFormat="false" ht="15" hidden="true" customHeight="false" outlineLevel="0" collapsed="false">
      <c r="A1279" s="51" t="s">
        <v>443</v>
      </c>
      <c r="B1279" s="55" t="n">
        <v>44196</v>
      </c>
      <c r="C1279" s="51" t="s">
        <v>82</v>
      </c>
      <c r="D1279" s="51" t="n">
        <v>0</v>
      </c>
    </row>
    <row r="1280" customFormat="false" ht="15" hidden="true" customHeight="false" outlineLevel="0" collapsed="false">
      <c r="A1280" s="51" t="s">
        <v>448</v>
      </c>
      <c r="B1280" s="55" t="n">
        <v>44196</v>
      </c>
      <c r="C1280" s="51" t="s">
        <v>82</v>
      </c>
      <c r="D1280" s="51" t="n">
        <v>0</v>
      </c>
    </row>
    <row r="1281" customFormat="false" ht="15" hidden="true" customHeight="false" outlineLevel="0" collapsed="false">
      <c r="A1281" s="51" t="s">
        <v>453</v>
      </c>
      <c r="B1281" s="55" t="n">
        <v>44196</v>
      </c>
      <c r="C1281" s="51" t="s">
        <v>82</v>
      </c>
      <c r="D1281" s="51" t="n">
        <v>0</v>
      </c>
    </row>
    <row r="1282" customFormat="false" ht="15" hidden="true" customHeight="false" outlineLevel="0" collapsed="false">
      <c r="A1282" s="51" t="s">
        <v>458</v>
      </c>
      <c r="B1282" s="55" t="n">
        <v>44196</v>
      </c>
      <c r="C1282" s="51" t="s">
        <v>82</v>
      </c>
      <c r="D1282" s="51" t="n">
        <v>0</v>
      </c>
    </row>
    <row r="1283" customFormat="false" ht="15" hidden="true" customHeight="false" outlineLevel="0" collapsed="false">
      <c r="A1283" s="51" t="s">
        <v>473</v>
      </c>
      <c r="B1283" s="55" t="n">
        <v>44196</v>
      </c>
      <c r="C1283" s="51" t="s">
        <v>82</v>
      </c>
      <c r="D1283" s="51" t="n">
        <v>0</v>
      </c>
    </row>
    <row r="1284" customFormat="false" ht="15" hidden="true" customHeight="false" outlineLevel="0" collapsed="false">
      <c r="A1284" s="51" t="s">
        <v>479</v>
      </c>
      <c r="B1284" s="55" t="n">
        <v>44196</v>
      </c>
      <c r="C1284" s="51" t="s">
        <v>82</v>
      </c>
      <c r="D1284" s="51" t="n">
        <v>0</v>
      </c>
    </row>
    <row r="1285" customFormat="false" ht="15" hidden="true" customHeight="false" outlineLevel="0" collapsed="false">
      <c r="A1285" s="51" t="s">
        <v>484</v>
      </c>
      <c r="B1285" s="55" t="n">
        <v>44196</v>
      </c>
      <c r="C1285" s="51" t="s">
        <v>82</v>
      </c>
      <c r="D1285" s="51" t="n">
        <v>0</v>
      </c>
    </row>
    <row r="1286" customFormat="false" ht="15" hidden="true" customHeight="false" outlineLevel="0" collapsed="false">
      <c r="A1286" s="51" t="s">
        <v>489</v>
      </c>
      <c r="B1286" s="55" t="n">
        <v>44196</v>
      </c>
      <c r="C1286" s="51" t="s">
        <v>82</v>
      </c>
      <c r="D1286" s="51" t="n">
        <v>0</v>
      </c>
    </row>
    <row r="1287" customFormat="false" ht="15" hidden="true" customHeight="false" outlineLevel="0" collapsed="false">
      <c r="A1287" s="51" t="s">
        <v>494</v>
      </c>
      <c r="B1287" s="55" t="n">
        <v>44196</v>
      </c>
      <c r="C1287" s="51" t="s">
        <v>82</v>
      </c>
      <c r="D1287" s="51" t="n">
        <v>0</v>
      </c>
    </row>
    <row r="1288" customFormat="false" ht="15" hidden="true" customHeight="false" outlineLevel="0" collapsed="false">
      <c r="A1288" s="51" t="s">
        <v>499</v>
      </c>
      <c r="B1288" s="55" t="n">
        <v>44196</v>
      </c>
      <c r="C1288" s="51" t="s">
        <v>82</v>
      </c>
      <c r="D1288" s="51" t="n">
        <v>0</v>
      </c>
    </row>
    <row r="1289" customFormat="false" ht="15" hidden="true" customHeight="false" outlineLevel="0" collapsed="false">
      <c r="A1289" s="51" t="s">
        <v>504</v>
      </c>
      <c r="B1289" s="55" t="n">
        <v>44196</v>
      </c>
      <c r="C1289" s="51" t="s">
        <v>82</v>
      </c>
      <c r="D1289" s="51" t="n">
        <v>0</v>
      </c>
    </row>
    <row r="1290" customFormat="false" ht="15" hidden="true" customHeight="false" outlineLevel="0" collapsed="false">
      <c r="A1290" s="51" t="s">
        <v>509</v>
      </c>
      <c r="B1290" s="55" t="n">
        <v>44196</v>
      </c>
      <c r="C1290" s="51" t="s">
        <v>82</v>
      </c>
      <c r="D1290" s="51" t="n">
        <v>0</v>
      </c>
    </row>
    <row r="1291" customFormat="false" ht="15" hidden="true" customHeight="false" outlineLevel="0" collapsed="false">
      <c r="A1291" s="51" t="s">
        <v>515</v>
      </c>
      <c r="B1291" s="55" t="n">
        <v>44196</v>
      </c>
      <c r="C1291" s="51" t="s">
        <v>82</v>
      </c>
      <c r="D1291" s="51" t="n">
        <v>0</v>
      </c>
    </row>
    <row r="1292" customFormat="false" ht="15" hidden="true" customHeight="false" outlineLevel="0" collapsed="false">
      <c r="A1292" s="51" t="s">
        <v>520</v>
      </c>
      <c r="B1292" s="55" t="n">
        <v>44196</v>
      </c>
      <c r="C1292" s="51" t="s">
        <v>82</v>
      </c>
      <c r="D1292" s="51" t="n">
        <v>0</v>
      </c>
    </row>
    <row r="1293" customFormat="false" ht="15" hidden="true" customHeight="false" outlineLevel="0" collapsed="false">
      <c r="A1293" s="51" t="s">
        <v>525</v>
      </c>
      <c r="B1293" s="55" t="n">
        <v>44196</v>
      </c>
      <c r="C1293" s="51" t="s">
        <v>82</v>
      </c>
      <c r="D1293" s="51" t="n">
        <v>0</v>
      </c>
    </row>
    <row r="1294" customFormat="false" ht="15" hidden="true" customHeight="false" outlineLevel="0" collapsed="false">
      <c r="A1294" s="51" t="s">
        <v>531</v>
      </c>
      <c r="B1294" s="55" t="n">
        <v>44196</v>
      </c>
      <c r="C1294" s="51" t="s">
        <v>82</v>
      </c>
      <c r="D1294" s="51" t="n">
        <v>0</v>
      </c>
    </row>
    <row r="1295" customFormat="false" ht="15" hidden="true" customHeight="false" outlineLevel="0" collapsed="false">
      <c r="A1295" s="51" t="s">
        <v>536</v>
      </c>
      <c r="B1295" s="55" t="n">
        <v>44196</v>
      </c>
      <c r="C1295" s="51" t="s">
        <v>82</v>
      </c>
      <c r="D1295" s="51" t="n">
        <v>0</v>
      </c>
    </row>
    <row r="1296" customFormat="false" ht="15" hidden="true" customHeight="false" outlineLevel="0" collapsed="false">
      <c r="A1296" s="51" t="s">
        <v>541</v>
      </c>
      <c r="B1296" s="55" t="n">
        <v>44196</v>
      </c>
      <c r="C1296" s="51" t="s">
        <v>82</v>
      </c>
      <c r="D1296" s="51" t="n">
        <v>0</v>
      </c>
    </row>
    <row r="1297" customFormat="false" ht="15" hidden="true" customHeight="false" outlineLevel="0" collapsed="false">
      <c r="A1297" s="51" t="s">
        <v>549</v>
      </c>
      <c r="B1297" s="55" t="n">
        <v>44196</v>
      </c>
      <c r="C1297" s="51" t="s">
        <v>82</v>
      </c>
      <c r="D1297" s="51" t="n">
        <v>0</v>
      </c>
    </row>
    <row r="1298" customFormat="false" ht="15" hidden="true" customHeight="false" outlineLevel="0" collapsed="false">
      <c r="A1298" s="51" t="s">
        <v>554</v>
      </c>
      <c r="B1298" s="55" t="n">
        <v>44196</v>
      </c>
      <c r="C1298" s="51" t="s">
        <v>82</v>
      </c>
      <c r="D1298" s="51" t="n">
        <v>0</v>
      </c>
    </row>
    <row r="1299" customFormat="false" ht="15" hidden="true" customHeight="false" outlineLevel="0" collapsed="false">
      <c r="A1299" s="51" t="s">
        <v>559</v>
      </c>
      <c r="B1299" s="55" t="n">
        <v>44196</v>
      </c>
      <c r="C1299" s="51" t="s">
        <v>82</v>
      </c>
      <c r="D1299" s="51" t="n">
        <v>0</v>
      </c>
    </row>
    <row r="1300" customFormat="false" ht="15" hidden="true" customHeight="false" outlineLevel="0" collapsed="false">
      <c r="A1300" s="51" t="s">
        <v>564</v>
      </c>
      <c r="B1300" s="55" t="n">
        <v>44196</v>
      </c>
      <c r="C1300" s="51" t="s">
        <v>82</v>
      </c>
      <c r="D1300" s="51" t="n">
        <v>0</v>
      </c>
    </row>
    <row r="1301" customFormat="false" ht="15" hidden="true" customHeight="false" outlineLevel="0" collapsed="false">
      <c r="A1301" s="51" t="s">
        <v>569</v>
      </c>
      <c r="B1301" s="55" t="n">
        <v>44196</v>
      </c>
      <c r="C1301" s="51" t="s">
        <v>82</v>
      </c>
      <c r="D1301" s="51" t="n">
        <v>0</v>
      </c>
    </row>
    <row r="1302" customFormat="false" ht="15" hidden="true" customHeight="false" outlineLevel="0" collapsed="false">
      <c r="A1302" s="51" t="s">
        <v>574</v>
      </c>
      <c r="B1302" s="55" t="n">
        <v>44196</v>
      </c>
      <c r="C1302" s="51" t="s">
        <v>82</v>
      </c>
      <c r="D1302" s="51" t="n">
        <v>0</v>
      </c>
    </row>
    <row r="1303" customFormat="false" ht="15" hidden="true" customHeight="false" outlineLevel="0" collapsed="false">
      <c r="A1303" s="51" t="s">
        <v>579</v>
      </c>
      <c r="B1303" s="55" t="n">
        <v>44196</v>
      </c>
      <c r="C1303" s="51" t="s">
        <v>82</v>
      </c>
      <c r="D1303" s="51" t="n">
        <v>0</v>
      </c>
    </row>
    <row r="1304" customFormat="false" ht="15" hidden="true" customHeight="false" outlineLevel="0" collapsed="false">
      <c r="A1304" s="51" t="s">
        <v>584</v>
      </c>
      <c r="B1304" s="55" t="n">
        <v>44196</v>
      </c>
      <c r="C1304" s="51" t="s">
        <v>82</v>
      </c>
      <c r="D1304" s="51" t="n">
        <v>0</v>
      </c>
    </row>
    <row r="1305" customFormat="false" ht="15" hidden="true" customHeight="false" outlineLevel="0" collapsed="false">
      <c r="A1305" s="51" t="s">
        <v>589</v>
      </c>
      <c r="B1305" s="55" t="n">
        <v>44196</v>
      </c>
      <c r="C1305" s="51" t="s">
        <v>82</v>
      </c>
      <c r="D1305" s="51" t="n">
        <v>0</v>
      </c>
    </row>
    <row r="1306" customFormat="false" ht="15" hidden="true" customHeight="false" outlineLevel="0" collapsed="false">
      <c r="A1306" s="51" t="s">
        <v>756</v>
      </c>
      <c r="B1306" s="55" t="n">
        <v>44196</v>
      </c>
      <c r="C1306" s="51" t="s">
        <v>82</v>
      </c>
      <c r="D1306" s="51" t="n">
        <v>0</v>
      </c>
    </row>
    <row r="1307" customFormat="false" ht="15" hidden="true" customHeight="false" outlineLevel="0" collapsed="false">
      <c r="A1307" s="51" t="s">
        <v>594</v>
      </c>
      <c r="B1307" s="55" t="n">
        <v>44196</v>
      </c>
      <c r="C1307" s="51" t="s">
        <v>82</v>
      </c>
      <c r="D1307" s="51" t="n">
        <v>0</v>
      </c>
    </row>
    <row r="1308" customFormat="false" ht="15" hidden="true" customHeight="false" outlineLevel="0" collapsed="false">
      <c r="A1308" s="51" t="s">
        <v>761</v>
      </c>
      <c r="B1308" s="55" t="n">
        <v>44196</v>
      </c>
      <c r="C1308" s="51" t="s">
        <v>82</v>
      </c>
      <c r="D1308" s="51" t="n">
        <v>0</v>
      </c>
    </row>
    <row r="1309" customFormat="false" ht="15" hidden="true" customHeight="false" outlineLevel="0" collapsed="false">
      <c r="A1309" s="51" t="s">
        <v>599</v>
      </c>
      <c r="B1309" s="55" t="n">
        <v>44196</v>
      </c>
      <c r="C1309" s="51" t="s">
        <v>82</v>
      </c>
      <c r="D1309" s="51" t="n">
        <v>0</v>
      </c>
    </row>
    <row r="1310" customFormat="false" ht="15" hidden="true" customHeight="false" outlineLevel="0" collapsed="false">
      <c r="A1310" s="51" t="s">
        <v>604</v>
      </c>
      <c r="B1310" s="55" t="n">
        <v>44196</v>
      </c>
      <c r="C1310" s="51" t="s">
        <v>82</v>
      </c>
      <c r="D1310" s="51" t="n">
        <v>0</v>
      </c>
    </row>
    <row r="1311" customFormat="false" ht="15" hidden="true" customHeight="false" outlineLevel="0" collapsed="false">
      <c r="A1311" s="51" t="s">
        <v>609</v>
      </c>
      <c r="B1311" s="55" t="n">
        <v>44196</v>
      </c>
      <c r="C1311" s="51" t="s">
        <v>82</v>
      </c>
      <c r="D1311" s="51" t="n">
        <v>0</v>
      </c>
    </row>
    <row r="1312" customFormat="false" ht="15" hidden="true" customHeight="false" outlineLevel="0" collapsed="false">
      <c r="A1312" s="51" t="s">
        <v>614</v>
      </c>
      <c r="B1312" s="55" t="n">
        <v>44196</v>
      </c>
      <c r="C1312" s="51" t="s">
        <v>82</v>
      </c>
      <c r="D1312" s="51" t="n">
        <v>0</v>
      </c>
    </row>
    <row r="1313" customFormat="false" ht="15" hidden="true" customHeight="false" outlineLevel="0" collapsed="false">
      <c r="A1313" s="51" t="s">
        <v>619</v>
      </c>
      <c r="B1313" s="55" t="n">
        <v>44196</v>
      </c>
      <c r="C1313" s="51" t="s">
        <v>82</v>
      </c>
      <c r="D1313" s="51" t="n">
        <v>0</v>
      </c>
    </row>
    <row r="1314" customFormat="false" ht="15" hidden="true" customHeight="false" outlineLevel="0" collapsed="false">
      <c r="A1314" s="51" t="s">
        <v>624</v>
      </c>
      <c r="B1314" s="55" t="n">
        <v>44196</v>
      </c>
      <c r="C1314" s="51" t="s">
        <v>82</v>
      </c>
      <c r="D1314" s="51" t="n">
        <v>0</v>
      </c>
    </row>
    <row r="1315" customFormat="false" ht="15" hidden="true" customHeight="false" outlineLevel="0" collapsed="false">
      <c r="A1315" s="51" t="s">
        <v>629</v>
      </c>
      <c r="B1315" s="55" t="n">
        <v>44196</v>
      </c>
      <c r="C1315" s="51" t="s">
        <v>82</v>
      </c>
      <c r="D1315" s="51" t="n">
        <v>0</v>
      </c>
    </row>
    <row r="1316" customFormat="false" ht="15" hidden="true" customHeight="false" outlineLevel="0" collapsed="false">
      <c r="A1316" s="51" t="s">
        <v>633</v>
      </c>
      <c r="B1316" s="55" t="n">
        <v>44196</v>
      </c>
      <c r="C1316" s="51" t="s">
        <v>82</v>
      </c>
      <c r="D1316" s="51" t="n">
        <v>0</v>
      </c>
    </row>
    <row r="1317" customFormat="false" ht="15" hidden="true" customHeight="false" outlineLevel="0" collapsed="false">
      <c r="A1317" s="51" t="s">
        <v>638</v>
      </c>
      <c r="B1317" s="55" t="n">
        <v>44196</v>
      </c>
      <c r="C1317" s="51" t="s">
        <v>82</v>
      </c>
      <c r="D1317" s="51" t="n">
        <v>0</v>
      </c>
    </row>
    <row r="1318" customFormat="false" ht="15" hidden="true" customHeight="false" outlineLevel="0" collapsed="false">
      <c r="A1318" s="51" t="s">
        <v>642</v>
      </c>
      <c r="B1318" s="55" t="n">
        <v>44196</v>
      </c>
      <c r="C1318" s="51" t="s">
        <v>82</v>
      </c>
      <c r="D1318" s="51" t="n">
        <v>0</v>
      </c>
    </row>
    <row r="1319" customFormat="false" ht="15" hidden="true" customHeight="false" outlineLevel="0" collapsed="false">
      <c r="A1319" s="51" t="s">
        <v>646</v>
      </c>
      <c r="B1319" s="55" t="n">
        <v>44196</v>
      </c>
      <c r="C1319" s="51" t="s">
        <v>82</v>
      </c>
      <c r="D1319" s="51" t="n">
        <v>0</v>
      </c>
    </row>
    <row r="1320" customFormat="false" ht="15" hidden="true" customHeight="false" outlineLevel="0" collapsed="false">
      <c r="A1320" s="51" t="s">
        <v>651</v>
      </c>
      <c r="B1320" s="55" t="n">
        <v>44196</v>
      </c>
      <c r="C1320" s="51" t="s">
        <v>82</v>
      </c>
      <c r="D1320" s="51" t="n">
        <v>0</v>
      </c>
    </row>
    <row r="1321" customFormat="false" ht="15" hidden="true" customHeight="false" outlineLevel="0" collapsed="false">
      <c r="A1321" s="51" t="s">
        <v>656</v>
      </c>
      <c r="B1321" s="55" t="n">
        <v>44196</v>
      </c>
      <c r="C1321" s="51" t="s">
        <v>82</v>
      </c>
      <c r="D1321" s="51" t="n">
        <v>0</v>
      </c>
    </row>
    <row r="1322" customFormat="false" ht="15" hidden="true" customHeight="false" outlineLevel="0" collapsed="false">
      <c r="A1322" s="51" t="s">
        <v>661</v>
      </c>
      <c r="B1322" s="55" t="n">
        <v>44196</v>
      </c>
      <c r="C1322" s="51" t="s">
        <v>82</v>
      </c>
      <c r="D1322" s="51" t="n">
        <v>0</v>
      </c>
    </row>
    <row r="1323" customFormat="false" ht="15" hidden="true" customHeight="false" outlineLevel="0" collapsed="false">
      <c r="A1323" s="51" t="s">
        <v>666</v>
      </c>
      <c r="B1323" s="55" t="n">
        <v>44196</v>
      </c>
      <c r="C1323" s="51" t="s">
        <v>82</v>
      </c>
      <c r="D1323" s="51" t="n">
        <v>0</v>
      </c>
    </row>
    <row r="1324" customFormat="false" ht="15" hidden="true" customHeight="false" outlineLevel="0" collapsed="false">
      <c r="A1324" s="51" t="s">
        <v>671</v>
      </c>
      <c r="B1324" s="55" t="n">
        <v>44196</v>
      </c>
      <c r="C1324" s="51" t="s">
        <v>82</v>
      </c>
      <c r="D1324" s="51" t="n">
        <v>0</v>
      </c>
    </row>
    <row r="1325" customFormat="false" ht="15" hidden="true" customHeight="false" outlineLevel="0" collapsed="false">
      <c r="A1325" s="51" t="s">
        <v>676</v>
      </c>
      <c r="B1325" s="55" t="n">
        <v>44196</v>
      </c>
      <c r="C1325" s="51" t="s">
        <v>82</v>
      </c>
      <c r="D1325" s="51" t="n">
        <v>0</v>
      </c>
    </row>
    <row r="1326" customFormat="false" ht="15" hidden="true" customHeight="false" outlineLevel="0" collapsed="false">
      <c r="A1326" s="51" t="s">
        <v>681</v>
      </c>
      <c r="B1326" s="55" t="n">
        <v>44196</v>
      </c>
      <c r="C1326" s="51" t="s">
        <v>82</v>
      </c>
      <c r="D1326" s="51" t="n">
        <v>0</v>
      </c>
    </row>
    <row r="1327" customFormat="false" ht="15" hidden="true" customHeight="false" outlineLevel="0" collapsed="false">
      <c r="A1327" s="51" t="s">
        <v>686</v>
      </c>
      <c r="B1327" s="55" t="n">
        <v>44196</v>
      </c>
      <c r="C1327" s="51" t="s">
        <v>82</v>
      </c>
      <c r="D1327" s="51" t="n">
        <v>0</v>
      </c>
    </row>
    <row r="1328" customFormat="false" ht="15" hidden="true" customHeight="false" outlineLevel="0" collapsed="false">
      <c r="A1328" s="51" t="s">
        <v>691</v>
      </c>
      <c r="B1328" s="55" t="n">
        <v>44196</v>
      </c>
      <c r="C1328" s="51" t="s">
        <v>82</v>
      </c>
      <c r="D1328" s="51" t="n">
        <v>0</v>
      </c>
    </row>
    <row r="1329" customFormat="false" ht="15" hidden="true" customHeight="false" outlineLevel="0" collapsed="false">
      <c r="A1329" s="51" t="s">
        <v>696</v>
      </c>
      <c r="B1329" s="55" t="n">
        <v>44196</v>
      </c>
      <c r="C1329" s="51" t="s">
        <v>82</v>
      </c>
      <c r="D1329" s="51" t="n">
        <v>0</v>
      </c>
    </row>
    <row r="1330" customFormat="false" ht="15" hidden="true" customHeight="false" outlineLevel="0" collapsed="false">
      <c r="A1330" s="51" t="s">
        <v>701</v>
      </c>
      <c r="B1330" s="55" t="n">
        <v>44196</v>
      </c>
      <c r="C1330" s="51" t="s">
        <v>82</v>
      </c>
      <c r="D1330" s="51" t="n">
        <v>0</v>
      </c>
    </row>
    <row r="1331" customFormat="false" ht="15" hidden="true" customHeight="false" outlineLevel="0" collapsed="false">
      <c r="A1331" s="51" t="s">
        <v>707</v>
      </c>
      <c r="B1331" s="55" t="n">
        <v>44196</v>
      </c>
      <c r="C1331" s="51" t="s">
        <v>82</v>
      </c>
      <c r="D1331" s="51" t="n">
        <v>0</v>
      </c>
    </row>
    <row r="1332" customFormat="false" ht="15" hidden="true" customHeight="false" outlineLevel="0" collapsed="false">
      <c r="A1332" s="51" t="s">
        <v>712</v>
      </c>
      <c r="B1332" s="55" t="n">
        <v>44196</v>
      </c>
      <c r="C1332" s="51" t="s">
        <v>82</v>
      </c>
      <c r="D1332" s="51" t="n">
        <v>0</v>
      </c>
    </row>
    <row r="1333" customFormat="false" ht="15" hidden="true" customHeight="false" outlineLevel="0" collapsed="false">
      <c r="A1333" s="51" t="s">
        <v>717</v>
      </c>
      <c r="B1333" s="55" t="n">
        <v>44196</v>
      </c>
      <c r="C1333" s="51" t="s">
        <v>82</v>
      </c>
      <c r="D1333" s="51" t="n">
        <v>0</v>
      </c>
    </row>
    <row r="1334" customFormat="false" ht="15" hidden="true" customHeight="false" outlineLevel="0" collapsed="false">
      <c r="A1334" s="51" t="s">
        <v>767</v>
      </c>
      <c r="B1334" s="55" t="n">
        <v>44196</v>
      </c>
      <c r="C1334" s="51" t="s">
        <v>82</v>
      </c>
      <c r="D1334" s="51" t="n">
        <v>0</v>
      </c>
    </row>
    <row r="1335" customFormat="false" ht="15" hidden="true" customHeight="false" outlineLevel="0" collapsed="false">
      <c r="A1335" s="51" t="s">
        <v>722</v>
      </c>
      <c r="B1335" s="55" t="n">
        <v>44196</v>
      </c>
      <c r="C1335" s="51" t="s">
        <v>82</v>
      </c>
      <c r="D1335" s="51" t="n">
        <v>0</v>
      </c>
    </row>
    <row r="1336" customFormat="false" ht="15" hidden="true" customHeight="false" outlineLevel="0" collapsed="false">
      <c r="A1336" s="51" t="s">
        <v>727</v>
      </c>
      <c r="B1336" s="55" t="n">
        <v>44196</v>
      </c>
      <c r="C1336" s="51" t="s">
        <v>82</v>
      </c>
      <c r="D1336" s="51" t="n">
        <v>0</v>
      </c>
    </row>
    <row r="1337" customFormat="false" ht="15" hidden="true" customHeight="false" outlineLevel="0" collapsed="false">
      <c r="A1337" s="51" t="s">
        <v>732</v>
      </c>
      <c r="B1337" s="55" t="n">
        <v>44196</v>
      </c>
      <c r="C1337" s="51" t="s">
        <v>82</v>
      </c>
      <c r="D1337" s="51" t="n">
        <v>0</v>
      </c>
    </row>
    <row r="1338" customFormat="false" ht="15" hidden="true" customHeight="false" outlineLevel="0" collapsed="false">
      <c r="A1338" s="51" t="s">
        <v>736</v>
      </c>
      <c r="B1338" s="55" t="n">
        <v>44196</v>
      </c>
      <c r="C1338" s="51" t="s">
        <v>82</v>
      </c>
      <c r="D1338" s="51" t="n">
        <v>0</v>
      </c>
    </row>
    <row r="1339" customFormat="false" ht="15" hidden="true" customHeight="false" outlineLevel="0" collapsed="false">
      <c r="A1339" s="51" t="s">
        <v>741</v>
      </c>
      <c r="B1339" s="55" t="n">
        <v>44196</v>
      </c>
      <c r="C1339" s="51" t="s">
        <v>82</v>
      </c>
      <c r="D1339" s="51" t="n">
        <v>0</v>
      </c>
    </row>
    <row r="1340" customFormat="false" ht="15" hidden="true" customHeight="false" outlineLevel="0" collapsed="false">
      <c r="A1340" s="51" t="s">
        <v>746</v>
      </c>
      <c r="B1340" s="55" t="n">
        <v>44196</v>
      </c>
      <c r="C1340" s="51" t="s">
        <v>82</v>
      </c>
      <c r="D1340" s="51" t="n">
        <v>0</v>
      </c>
    </row>
    <row r="1341" customFormat="false" ht="15" hidden="true" customHeight="false" outlineLevel="0" collapsed="false">
      <c r="A1341" s="51" t="s">
        <v>751</v>
      </c>
      <c r="B1341" s="55" t="n">
        <v>44196</v>
      </c>
      <c r="C1341" s="51" t="s">
        <v>82</v>
      </c>
      <c r="D1341" s="51" t="n">
        <v>0</v>
      </c>
    </row>
    <row r="1342" customFormat="false" ht="15" hidden="false" customHeight="false" outlineLevel="0" collapsed="false">
      <c r="A1342" s="51" t="s">
        <v>781</v>
      </c>
      <c r="B1342" s="55" t="n">
        <v>44196</v>
      </c>
      <c r="C1342" s="51" t="s">
        <v>73</v>
      </c>
      <c r="D1342" s="51" t="n">
        <v>5500000</v>
      </c>
    </row>
    <row r="1343" customFormat="false" ht="15" hidden="true" customHeight="false" outlineLevel="0" collapsed="false">
      <c r="A1343" s="51" t="s">
        <v>783</v>
      </c>
      <c r="B1343" s="55" t="n">
        <v>44196</v>
      </c>
      <c r="C1343" s="51" t="s">
        <v>73</v>
      </c>
      <c r="D1343" s="51" t="n">
        <v>200000</v>
      </c>
    </row>
    <row r="1344" customFormat="false" ht="15" hidden="true" customHeight="false" outlineLevel="0" collapsed="false">
      <c r="A1344" s="51" t="s">
        <v>96</v>
      </c>
      <c r="B1344" s="55" t="n">
        <v>44196</v>
      </c>
      <c r="C1344" s="51" t="s">
        <v>73</v>
      </c>
      <c r="D1344" s="51" t="n">
        <v>900000</v>
      </c>
    </row>
    <row r="1345" customFormat="false" ht="15" hidden="true" customHeight="false" outlineLevel="0" collapsed="false">
      <c r="A1345" s="51" t="s">
        <v>101</v>
      </c>
      <c r="B1345" s="55" t="n">
        <v>44196</v>
      </c>
      <c r="C1345" s="51" t="s">
        <v>73</v>
      </c>
      <c r="D1345" s="51" t="n">
        <v>0</v>
      </c>
    </row>
    <row r="1346" customFormat="false" ht="15" hidden="true" customHeight="false" outlineLevel="0" collapsed="false">
      <c r="A1346" s="51" t="s">
        <v>106</v>
      </c>
      <c r="B1346" s="55" t="n">
        <v>44196</v>
      </c>
      <c r="C1346" s="51" t="s">
        <v>73</v>
      </c>
      <c r="D1346" s="51" t="n">
        <v>750000</v>
      </c>
    </row>
    <row r="1347" customFormat="false" ht="15" hidden="true" customHeight="false" outlineLevel="0" collapsed="false">
      <c r="A1347" s="51" t="s">
        <v>110</v>
      </c>
      <c r="B1347" s="55" t="n">
        <v>44196</v>
      </c>
      <c r="C1347" s="51" t="s">
        <v>73</v>
      </c>
      <c r="D1347" s="51" t="n">
        <v>0</v>
      </c>
    </row>
    <row r="1348" customFormat="false" ht="15" hidden="true" customHeight="false" outlineLevel="0" collapsed="false">
      <c r="A1348" s="51" t="s">
        <v>115</v>
      </c>
      <c r="B1348" s="55" t="n">
        <v>44196</v>
      </c>
      <c r="C1348" s="51" t="s">
        <v>73</v>
      </c>
      <c r="D1348" s="51" t="n">
        <v>0</v>
      </c>
    </row>
    <row r="1349" customFormat="false" ht="15" hidden="true" customHeight="false" outlineLevel="0" collapsed="false">
      <c r="A1349" s="51" t="s">
        <v>120</v>
      </c>
      <c r="B1349" s="55" t="n">
        <v>44196</v>
      </c>
      <c r="C1349" s="51" t="s">
        <v>73</v>
      </c>
      <c r="D1349" s="51" t="n">
        <v>0</v>
      </c>
    </row>
    <row r="1350" customFormat="false" ht="15" hidden="true" customHeight="false" outlineLevel="0" collapsed="false">
      <c r="A1350" s="51" t="s">
        <v>124</v>
      </c>
      <c r="B1350" s="55" t="n">
        <v>44196</v>
      </c>
      <c r="C1350" s="51" t="s">
        <v>73</v>
      </c>
      <c r="D1350" s="51" t="n">
        <v>350000</v>
      </c>
    </row>
    <row r="1351" customFormat="false" ht="15" hidden="true" customHeight="false" outlineLevel="0" collapsed="false">
      <c r="A1351" s="51" t="s">
        <v>129</v>
      </c>
      <c r="B1351" s="55" t="n">
        <v>44196</v>
      </c>
      <c r="C1351" s="51" t="s">
        <v>73</v>
      </c>
      <c r="D1351" s="51" t="n">
        <v>120000</v>
      </c>
    </row>
    <row r="1352" customFormat="false" ht="15" hidden="true" customHeight="false" outlineLevel="0" collapsed="false">
      <c r="A1352" s="51" t="s">
        <v>134</v>
      </c>
      <c r="B1352" s="55" t="n">
        <v>44196</v>
      </c>
      <c r="C1352" s="51" t="s">
        <v>73</v>
      </c>
      <c r="D1352" s="51" t="n">
        <v>0</v>
      </c>
    </row>
    <row r="1353" customFormat="false" ht="15" hidden="true" customHeight="false" outlineLevel="0" collapsed="false">
      <c r="A1353" s="51" t="s">
        <v>141</v>
      </c>
      <c r="B1353" s="55" t="n">
        <v>44196</v>
      </c>
      <c r="C1353" s="51" t="s">
        <v>73</v>
      </c>
      <c r="D1353" s="51" t="n">
        <v>0</v>
      </c>
    </row>
    <row r="1354" customFormat="false" ht="15" hidden="true" customHeight="false" outlineLevel="0" collapsed="false">
      <c r="A1354" s="51" t="s">
        <v>146</v>
      </c>
      <c r="B1354" s="55" t="n">
        <v>44196</v>
      </c>
      <c r="C1354" s="51" t="s">
        <v>73</v>
      </c>
      <c r="D1354" s="51" t="n">
        <v>0</v>
      </c>
    </row>
    <row r="1355" customFormat="false" ht="15" hidden="true" customHeight="false" outlineLevel="0" collapsed="false">
      <c r="A1355" s="51" t="s">
        <v>151</v>
      </c>
      <c r="B1355" s="55" t="n">
        <v>44196</v>
      </c>
      <c r="C1355" s="51" t="s">
        <v>73</v>
      </c>
      <c r="D1355" s="51" t="n">
        <v>0</v>
      </c>
    </row>
    <row r="1356" customFormat="false" ht="15" hidden="true" customHeight="false" outlineLevel="0" collapsed="false">
      <c r="A1356" s="51" t="s">
        <v>156</v>
      </c>
      <c r="B1356" s="55" t="n">
        <v>44196</v>
      </c>
      <c r="C1356" s="51" t="s">
        <v>73</v>
      </c>
      <c r="D1356" s="51" t="n">
        <v>0</v>
      </c>
    </row>
    <row r="1357" customFormat="false" ht="15" hidden="true" customHeight="false" outlineLevel="0" collapsed="false">
      <c r="A1357" s="51" t="s">
        <v>161</v>
      </c>
      <c r="B1357" s="55" t="n">
        <v>44196</v>
      </c>
      <c r="C1357" s="51" t="s">
        <v>73</v>
      </c>
      <c r="D1357" s="51" t="n">
        <v>0</v>
      </c>
    </row>
    <row r="1358" customFormat="false" ht="15" hidden="true" customHeight="false" outlineLevel="0" collapsed="false">
      <c r="A1358" s="51" t="s">
        <v>166</v>
      </c>
      <c r="B1358" s="55" t="n">
        <v>44196</v>
      </c>
      <c r="C1358" s="51" t="s">
        <v>73</v>
      </c>
      <c r="D1358" s="51" t="n">
        <v>0</v>
      </c>
    </row>
    <row r="1359" customFormat="false" ht="15" hidden="true" customHeight="false" outlineLevel="0" collapsed="false">
      <c r="A1359" s="51" t="s">
        <v>171</v>
      </c>
      <c r="B1359" s="55" t="n">
        <v>44196</v>
      </c>
      <c r="C1359" s="51" t="s">
        <v>73</v>
      </c>
      <c r="D1359" s="51" t="n">
        <v>0</v>
      </c>
    </row>
    <row r="1360" customFormat="false" ht="15" hidden="true" customHeight="false" outlineLevel="0" collapsed="false">
      <c r="A1360" s="51" t="s">
        <v>176</v>
      </c>
      <c r="B1360" s="55" t="n">
        <v>44196</v>
      </c>
      <c r="C1360" s="51" t="s">
        <v>73</v>
      </c>
      <c r="D1360" s="51" t="n">
        <v>0</v>
      </c>
    </row>
    <row r="1361" customFormat="false" ht="15" hidden="true" customHeight="false" outlineLevel="0" collapsed="false">
      <c r="A1361" s="51" t="s">
        <v>181</v>
      </c>
      <c r="B1361" s="55" t="n">
        <v>44196</v>
      </c>
      <c r="C1361" s="51" t="s">
        <v>73</v>
      </c>
      <c r="D1361" s="51" t="n">
        <v>0</v>
      </c>
    </row>
    <row r="1362" customFormat="false" ht="15" hidden="true" customHeight="false" outlineLevel="0" collapsed="false">
      <c r="A1362" s="51" t="s">
        <v>186</v>
      </c>
      <c r="B1362" s="55" t="n">
        <v>44196</v>
      </c>
      <c r="C1362" s="51" t="s">
        <v>73</v>
      </c>
      <c r="D1362" s="51" t="n">
        <v>0</v>
      </c>
    </row>
    <row r="1363" customFormat="false" ht="15" hidden="true" customHeight="false" outlineLevel="0" collapsed="false">
      <c r="A1363" s="51" t="s">
        <v>191</v>
      </c>
      <c r="B1363" s="55" t="n">
        <v>44196</v>
      </c>
      <c r="C1363" s="51" t="s">
        <v>73</v>
      </c>
      <c r="D1363" s="51" t="n">
        <v>0</v>
      </c>
    </row>
    <row r="1364" customFormat="false" ht="15" hidden="true" customHeight="false" outlineLevel="0" collapsed="false">
      <c r="A1364" s="51" t="s">
        <v>196</v>
      </c>
      <c r="B1364" s="55" t="n">
        <v>44196</v>
      </c>
      <c r="C1364" s="51" t="s">
        <v>73</v>
      </c>
      <c r="D1364" s="51" t="n">
        <v>0</v>
      </c>
    </row>
    <row r="1365" customFormat="false" ht="15" hidden="true" customHeight="false" outlineLevel="0" collapsed="false">
      <c r="A1365" s="51" t="s">
        <v>201</v>
      </c>
      <c r="B1365" s="55" t="n">
        <v>44196</v>
      </c>
      <c r="C1365" s="51" t="s">
        <v>73</v>
      </c>
      <c r="D1365" s="51" t="n">
        <v>0</v>
      </c>
    </row>
    <row r="1366" customFormat="false" ht="15" hidden="true" customHeight="false" outlineLevel="0" collapsed="false">
      <c r="A1366" s="51" t="s">
        <v>206</v>
      </c>
      <c r="B1366" s="55" t="n">
        <v>44196</v>
      </c>
      <c r="C1366" s="51" t="s">
        <v>73</v>
      </c>
      <c r="D1366" s="51" t="n">
        <v>0</v>
      </c>
    </row>
    <row r="1367" customFormat="false" ht="15" hidden="true" customHeight="false" outlineLevel="0" collapsed="false">
      <c r="A1367" s="51" t="s">
        <v>210</v>
      </c>
      <c r="B1367" s="55" t="n">
        <v>44196</v>
      </c>
      <c r="C1367" s="51" t="s">
        <v>73</v>
      </c>
      <c r="D1367" s="51" t="n">
        <v>0</v>
      </c>
    </row>
    <row r="1368" customFormat="false" ht="15" hidden="true" customHeight="false" outlineLevel="0" collapsed="false">
      <c r="A1368" s="51" t="s">
        <v>215</v>
      </c>
      <c r="B1368" s="55" t="n">
        <v>44196</v>
      </c>
      <c r="C1368" s="51" t="s">
        <v>73</v>
      </c>
      <c r="D1368" s="51" t="n">
        <v>0</v>
      </c>
    </row>
    <row r="1369" customFormat="false" ht="15" hidden="true" customHeight="false" outlineLevel="0" collapsed="false">
      <c r="A1369" s="51" t="s">
        <v>790</v>
      </c>
      <c r="B1369" s="55" t="n">
        <v>44196</v>
      </c>
      <c r="C1369" s="51" t="s">
        <v>73</v>
      </c>
      <c r="D1369" s="51" t="n">
        <v>0</v>
      </c>
    </row>
    <row r="1370" customFormat="false" ht="15" hidden="true" customHeight="false" outlineLevel="0" collapsed="false">
      <c r="A1370" s="51" t="s">
        <v>225</v>
      </c>
      <c r="B1370" s="55" t="n">
        <v>44196</v>
      </c>
      <c r="C1370" s="51" t="s">
        <v>73</v>
      </c>
      <c r="D1370" s="51" t="n">
        <v>0</v>
      </c>
    </row>
    <row r="1371" customFormat="false" ht="15" hidden="true" customHeight="false" outlineLevel="0" collapsed="false">
      <c r="A1371" s="51" t="s">
        <v>230</v>
      </c>
      <c r="B1371" s="55" t="n">
        <v>44196</v>
      </c>
      <c r="C1371" s="51" t="s">
        <v>73</v>
      </c>
      <c r="D1371" s="51" t="n">
        <v>0</v>
      </c>
    </row>
    <row r="1372" customFormat="false" ht="15" hidden="true" customHeight="false" outlineLevel="0" collapsed="false">
      <c r="A1372" s="51" t="s">
        <v>235</v>
      </c>
      <c r="B1372" s="55" t="n">
        <v>44196</v>
      </c>
      <c r="C1372" s="51" t="s">
        <v>73</v>
      </c>
      <c r="D1372" s="51" t="n">
        <v>0</v>
      </c>
    </row>
    <row r="1373" customFormat="false" ht="15" hidden="true" customHeight="false" outlineLevel="0" collapsed="false">
      <c r="A1373" s="51" t="s">
        <v>240</v>
      </c>
      <c r="B1373" s="55" t="n">
        <v>44196</v>
      </c>
      <c r="C1373" s="51" t="s">
        <v>73</v>
      </c>
      <c r="D1373" s="51" t="n">
        <v>0</v>
      </c>
    </row>
    <row r="1374" customFormat="false" ht="15" hidden="true" customHeight="false" outlineLevel="0" collapsed="false">
      <c r="A1374" s="51" t="s">
        <v>246</v>
      </c>
      <c r="B1374" s="55" t="n">
        <v>44196</v>
      </c>
      <c r="C1374" s="51" t="s">
        <v>73</v>
      </c>
      <c r="D1374" s="51" t="n">
        <v>0</v>
      </c>
    </row>
    <row r="1375" customFormat="false" ht="15" hidden="true" customHeight="false" outlineLevel="0" collapsed="false">
      <c r="A1375" s="51" t="s">
        <v>252</v>
      </c>
      <c r="B1375" s="55" t="n">
        <v>44196</v>
      </c>
      <c r="C1375" s="51" t="s">
        <v>73</v>
      </c>
      <c r="D1375" s="51" t="n">
        <v>0</v>
      </c>
    </row>
    <row r="1376" customFormat="false" ht="15" hidden="true" customHeight="false" outlineLevel="0" collapsed="false">
      <c r="A1376" s="51" t="s">
        <v>257</v>
      </c>
      <c r="B1376" s="55" t="n">
        <v>44196</v>
      </c>
      <c r="C1376" s="51" t="s">
        <v>73</v>
      </c>
      <c r="D1376" s="51" t="n">
        <v>0</v>
      </c>
    </row>
    <row r="1377" customFormat="false" ht="15" hidden="true" customHeight="false" outlineLevel="0" collapsed="false">
      <c r="A1377" s="51" t="s">
        <v>262</v>
      </c>
      <c r="B1377" s="55" t="n">
        <v>44196</v>
      </c>
      <c r="C1377" s="51" t="s">
        <v>73</v>
      </c>
      <c r="D1377" s="51" t="n">
        <v>0</v>
      </c>
    </row>
    <row r="1378" customFormat="false" ht="15" hidden="true" customHeight="false" outlineLevel="0" collapsed="false">
      <c r="A1378" s="51" t="s">
        <v>267</v>
      </c>
      <c r="B1378" s="55" t="n">
        <v>44196</v>
      </c>
      <c r="C1378" s="51" t="s">
        <v>73</v>
      </c>
      <c r="D1378" s="51" t="n">
        <v>0</v>
      </c>
    </row>
    <row r="1379" customFormat="false" ht="15" hidden="true" customHeight="false" outlineLevel="0" collapsed="false">
      <c r="A1379" s="51" t="s">
        <v>272</v>
      </c>
      <c r="B1379" s="55" t="n">
        <v>44196</v>
      </c>
      <c r="C1379" s="51" t="s">
        <v>73</v>
      </c>
      <c r="D1379" s="51" t="n">
        <v>0</v>
      </c>
    </row>
    <row r="1380" customFormat="false" ht="15" hidden="true" customHeight="false" outlineLevel="0" collapsed="false">
      <c r="A1380" s="51" t="s">
        <v>277</v>
      </c>
      <c r="B1380" s="55" t="n">
        <v>44196</v>
      </c>
      <c r="C1380" s="51" t="s">
        <v>73</v>
      </c>
      <c r="D1380" s="51" t="n">
        <v>0</v>
      </c>
    </row>
    <row r="1381" customFormat="false" ht="15" hidden="true" customHeight="false" outlineLevel="0" collapsed="false">
      <c r="A1381" s="51" t="s">
        <v>282</v>
      </c>
      <c r="B1381" s="55" t="n">
        <v>44196</v>
      </c>
      <c r="C1381" s="51" t="s">
        <v>73</v>
      </c>
      <c r="D1381" s="51" t="n">
        <v>0</v>
      </c>
    </row>
    <row r="1382" customFormat="false" ht="15" hidden="true" customHeight="false" outlineLevel="0" collapsed="false">
      <c r="A1382" s="51" t="s">
        <v>287</v>
      </c>
      <c r="B1382" s="55" t="n">
        <v>44196</v>
      </c>
      <c r="C1382" s="51" t="s">
        <v>73</v>
      </c>
      <c r="D1382" s="51" t="n">
        <v>0</v>
      </c>
    </row>
    <row r="1383" customFormat="false" ht="15" hidden="true" customHeight="false" outlineLevel="0" collapsed="false">
      <c r="A1383" s="51" t="s">
        <v>292</v>
      </c>
      <c r="B1383" s="55" t="n">
        <v>44196</v>
      </c>
      <c r="C1383" s="51" t="s">
        <v>73</v>
      </c>
      <c r="D1383" s="51" t="n">
        <v>0</v>
      </c>
    </row>
    <row r="1384" customFormat="false" ht="15" hidden="true" customHeight="false" outlineLevel="0" collapsed="false">
      <c r="A1384" s="51" t="s">
        <v>297</v>
      </c>
      <c r="B1384" s="55" t="n">
        <v>44196</v>
      </c>
      <c r="C1384" s="51" t="s">
        <v>73</v>
      </c>
      <c r="D1384" s="51" t="n">
        <v>0</v>
      </c>
    </row>
    <row r="1385" customFormat="false" ht="15" hidden="true" customHeight="false" outlineLevel="0" collapsed="false">
      <c r="A1385" s="51" t="s">
        <v>302</v>
      </c>
      <c r="B1385" s="55" t="n">
        <v>44196</v>
      </c>
      <c r="C1385" s="51" t="s">
        <v>73</v>
      </c>
      <c r="D1385" s="51" t="n">
        <v>0</v>
      </c>
    </row>
    <row r="1386" customFormat="false" ht="15" hidden="true" customHeight="false" outlineLevel="0" collapsed="false">
      <c r="A1386" s="51" t="s">
        <v>307</v>
      </c>
      <c r="B1386" s="55" t="n">
        <v>44196</v>
      </c>
      <c r="C1386" s="51" t="s">
        <v>73</v>
      </c>
      <c r="D1386" s="51" t="n">
        <v>0</v>
      </c>
    </row>
    <row r="1387" customFormat="false" ht="15" hidden="true" customHeight="false" outlineLevel="0" collapsed="false">
      <c r="A1387" s="51" t="s">
        <v>311</v>
      </c>
      <c r="B1387" s="55" t="n">
        <v>44196</v>
      </c>
      <c r="C1387" s="51" t="s">
        <v>73</v>
      </c>
      <c r="D1387" s="51" t="n">
        <v>0</v>
      </c>
    </row>
    <row r="1388" customFormat="false" ht="15" hidden="true" customHeight="false" outlineLevel="0" collapsed="false">
      <c r="A1388" s="51" t="s">
        <v>317</v>
      </c>
      <c r="B1388" s="55" t="n">
        <v>44196</v>
      </c>
      <c r="C1388" s="51" t="s">
        <v>73</v>
      </c>
      <c r="D1388" s="51" t="n">
        <v>0</v>
      </c>
    </row>
    <row r="1389" customFormat="false" ht="15" hidden="true" customHeight="false" outlineLevel="0" collapsed="false">
      <c r="A1389" s="51" t="s">
        <v>322</v>
      </c>
      <c r="B1389" s="55" t="n">
        <v>44196</v>
      </c>
      <c r="C1389" s="51" t="s">
        <v>73</v>
      </c>
      <c r="D1389" s="51" t="n">
        <v>0</v>
      </c>
    </row>
    <row r="1390" customFormat="false" ht="15" hidden="true" customHeight="false" outlineLevel="0" collapsed="false">
      <c r="A1390" s="51" t="s">
        <v>327</v>
      </c>
      <c r="B1390" s="55" t="n">
        <v>44196</v>
      </c>
      <c r="C1390" s="51" t="s">
        <v>73</v>
      </c>
      <c r="D1390" s="51" t="n">
        <v>0</v>
      </c>
    </row>
    <row r="1391" customFormat="false" ht="15" hidden="true" customHeight="false" outlineLevel="0" collapsed="false">
      <c r="A1391" s="51" t="s">
        <v>332</v>
      </c>
      <c r="B1391" s="55" t="n">
        <v>44196</v>
      </c>
      <c r="C1391" s="51" t="s">
        <v>73</v>
      </c>
      <c r="D1391" s="51" t="n">
        <v>0</v>
      </c>
    </row>
    <row r="1392" customFormat="false" ht="15" hidden="true" customHeight="false" outlineLevel="0" collapsed="false">
      <c r="A1392" s="51" t="s">
        <v>339</v>
      </c>
      <c r="B1392" s="55" t="n">
        <v>44196</v>
      </c>
      <c r="C1392" s="51" t="s">
        <v>73</v>
      </c>
      <c r="D1392" s="51" t="n">
        <v>0</v>
      </c>
    </row>
    <row r="1393" customFormat="false" ht="15" hidden="true" customHeight="false" outlineLevel="0" collapsed="false">
      <c r="A1393" s="51" t="s">
        <v>344</v>
      </c>
      <c r="B1393" s="55" t="n">
        <v>44196</v>
      </c>
      <c r="C1393" s="51" t="s">
        <v>73</v>
      </c>
      <c r="D1393" s="51" t="n">
        <v>0</v>
      </c>
    </row>
    <row r="1394" customFormat="false" ht="15" hidden="true" customHeight="false" outlineLevel="0" collapsed="false">
      <c r="A1394" s="51" t="s">
        <v>349</v>
      </c>
      <c r="B1394" s="55" t="n">
        <v>44196</v>
      </c>
      <c r="C1394" s="51" t="s">
        <v>73</v>
      </c>
      <c r="D1394" s="51" t="n">
        <v>0</v>
      </c>
    </row>
    <row r="1395" customFormat="false" ht="15" hidden="true" customHeight="false" outlineLevel="0" collapsed="false">
      <c r="A1395" s="51" t="s">
        <v>354</v>
      </c>
      <c r="B1395" s="55" t="n">
        <v>44196</v>
      </c>
      <c r="C1395" s="51" t="s">
        <v>73</v>
      </c>
      <c r="D1395" s="51" t="n">
        <v>0</v>
      </c>
    </row>
    <row r="1396" customFormat="false" ht="15" hidden="true" customHeight="false" outlineLevel="0" collapsed="false">
      <c r="A1396" s="51" t="s">
        <v>359</v>
      </c>
      <c r="B1396" s="55" t="n">
        <v>44196</v>
      </c>
      <c r="C1396" s="51" t="s">
        <v>73</v>
      </c>
      <c r="D1396" s="51" t="n">
        <v>0</v>
      </c>
    </row>
    <row r="1397" customFormat="false" ht="15" hidden="true" customHeight="false" outlineLevel="0" collapsed="false">
      <c r="A1397" s="51" t="s">
        <v>364</v>
      </c>
      <c r="B1397" s="55" t="n">
        <v>44196</v>
      </c>
      <c r="C1397" s="51" t="s">
        <v>73</v>
      </c>
      <c r="D1397" s="51" t="n">
        <v>0</v>
      </c>
    </row>
    <row r="1398" customFormat="false" ht="15" hidden="true" customHeight="false" outlineLevel="0" collapsed="false">
      <c r="A1398" s="51" t="s">
        <v>369</v>
      </c>
      <c r="B1398" s="55" t="n">
        <v>44196</v>
      </c>
      <c r="C1398" s="51" t="s">
        <v>73</v>
      </c>
      <c r="D1398" s="51" t="n">
        <v>0</v>
      </c>
    </row>
    <row r="1399" customFormat="false" ht="15" hidden="true" customHeight="false" outlineLevel="0" collapsed="false">
      <c r="A1399" s="51" t="s">
        <v>374</v>
      </c>
      <c r="B1399" s="55" t="n">
        <v>44196</v>
      </c>
      <c r="C1399" s="51" t="s">
        <v>73</v>
      </c>
      <c r="D1399" s="51" t="n">
        <v>0</v>
      </c>
    </row>
    <row r="1400" customFormat="false" ht="15" hidden="true" customHeight="false" outlineLevel="0" collapsed="false">
      <c r="A1400" s="51" t="s">
        <v>379</v>
      </c>
      <c r="B1400" s="55" t="n">
        <v>44196</v>
      </c>
      <c r="C1400" s="51" t="s">
        <v>73</v>
      </c>
      <c r="D1400" s="51" t="n">
        <v>0</v>
      </c>
    </row>
    <row r="1401" customFormat="false" ht="15" hidden="true" customHeight="false" outlineLevel="0" collapsed="false">
      <c r="A1401" s="51" t="s">
        <v>384</v>
      </c>
      <c r="B1401" s="55" t="n">
        <v>44196</v>
      </c>
      <c r="C1401" s="51" t="s">
        <v>73</v>
      </c>
      <c r="D1401" s="51" t="n">
        <v>0</v>
      </c>
    </row>
    <row r="1402" customFormat="false" ht="15" hidden="true" customHeight="false" outlineLevel="0" collapsed="false">
      <c r="A1402" s="51" t="s">
        <v>389</v>
      </c>
      <c r="B1402" s="55" t="n">
        <v>44196</v>
      </c>
      <c r="C1402" s="51" t="s">
        <v>73</v>
      </c>
      <c r="D1402" s="51" t="n">
        <v>0</v>
      </c>
    </row>
    <row r="1403" customFormat="false" ht="15" hidden="true" customHeight="false" outlineLevel="0" collapsed="false">
      <c r="A1403" s="51" t="s">
        <v>394</v>
      </c>
      <c r="B1403" s="55" t="n">
        <v>44196</v>
      </c>
      <c r="C1403" s="51" t="s">
        <v>73</v>
      </c>
      <c r="D1403" s="51" t="n">
        <v>0</v>
      </c>
    </row>
    <row r="1404" customFormat="false" ht="15" hidden="true" customHeight="false" outlineLevel="0" collapsed="false">
      <c r="A1404" s="51" t="s">
        <v>399</v>
      </c>
      <c r="B1404" s="55" t="n">
        <v>44196</v>
      </c>
      <c r="C1404" s="51" t="s">
        <v>73</v>
      </c>
      <c r="D1404" s="51" t="n">
        <v>0</v>
      </c>
    </row>
    <row r="1405" customFormat="false" ht="15" hidden="true" customHeight="false" outlineLevel="0" collapsed="false">
      <c r="A1405" s="51" t="s">
        <v>404</v>
      </c>
      <c r="B1405" s="55" t="n">
        <v>44196</v>
      </c>
      <c r="C1405" s="51" t="s">
        <v>73</v>
      </c>
      <c r="D1405" s="51" t="n">
        <v>0</v>
      </c>
    </row>
    <row r="1406" customFormat="false" ht="15" hidden="true" customHeight="false" outlineLevel="0" collapsed="false">
      <c r="A1406" s="51" t="s">
        <v>409</v>
      </c>
      <c r="B1406" s="55" t="n">
        <v>44196</v>
      </c>
      <c r="C1406" s="51" t="s">
        <v>73</v>
      </c>
      <c r="D1406" s="51" t="n">
        <v>0</v>
      </c>
    </row>
    <row r="1407" customFormat="false" ht="15" hidden="true" customHeight="false" outlineLevel="0" collapsed="false">
      <c r="A1407" s="51" t="s">
        <v>414</v>
      </c>
      <c r="B1407" s="55" t="n">
        <v>44196</v>
      </c>
      <c r="C1407" s="51" t="s">
        <v>73</v>
      </c>
      <c r="D1407" s="51" t="n">
        <v>0</v>
      </c>
    </row>
    <row r="1408" customFormat="false" ht="15" hidden="true" customHeight="false" outlineLevel="0" collapsed="false">
      <c r="A1408" s="51" t="s">
        <v>419</v>
      </c>
      <c r="B1408" s="55" t="n">
        <v>44196</v>
      </c>
      <c r="C1408" s="51" t="s">
        <v>73</v>
      </c>
      <c r="D1408" s="51" t="n">
        <v>0</v>
      </c>
    </row>
    <row r="1409" customFormat="false" ht="15" hidden="true" customHeight="false" outlineLevel="0" collapsed="false">
      <c r="A1409" s="51" t="s">
        <v>424</v>
      </c>
      <c r="B1409" s="55" t="n">
        <v>44196</v>
      </c>
      <c r="C1409" s="51" t="s">
        <v>73</v>
      </c>
      <c r="D1409" s="51" t="n">
        <v>0</v>
      </c>
    </row>
    <row r="1410" customFormat="false" ht="15" hidden="true" customHeight="false" outlineLevel="0" collapsed="false">
      <c r="A1410" s="51" t="s">
        <v>429</v>
      </c>
      <c r="B1410" s="55" t="n">
        <v>44196</v>
      </c>
      <c r="C1410" s="51" t="s">
        <v>73</v>
      </c>
      <c r="D1410" s="51" t="n">
        <v>0</v>
      </c>
    </row>
    <row r="1411" customFormat="false" ht="15" hidden="true" customHeight="false" outlineLevel="0" collapsed="false">
      <c r="A1411" s="51" t="s">
        <v>434</v>
      </c>
      <c r="B1411" s="55" t="n">
        <v>44196</v>
      </c>
      <c r="C1411" s="51" t="s">
        <v>73</v>
      </c>
      <c r="D1411" s="51" t="n">
        <v>0</v>
      </c>
    </row>
    <row r="1412" customFormat="false" ht="15" hidden="true" customHeight="false" outlineLevel="0" collapsed="false">
      <c r="A1412" s="51" t="s">
        <v>438</v>
      </c>
      <c r="B1412" s="55" t="n">
        <v>44196</v>
      </c>
      <c r="C1412" s="51" t="s">
        <v>73</v>
      </c>
      <c r="D1412" s="51" t="n">
        <v>0</v>
      </c>
    </row>
    <row r="1413" customFormat="false" ht="15" hidden="true" customHeight="false" outlineLevel="0" collapsed="false">
      <c r="A1413" s="51" t="s">
        <v>443</v>
      </c>
      <c r="B1413" s="55" t="n">
        <v>44196</v>
      </c>
      <c r="C1413" s="51" t="s">
        <v>73</v>
      </c>
      <c r="D1413" s="51" t="n">
        <v>0</v>
      </c>
    </row>
    <row r="1414" customFormat="false" ht="15" hidden="true" customHeight="false" outlineLevel="0" collapsed="false">
      <c r="A1414" s="51" t="s">
        <v>448</v>
      </c>
      <c r="B1414" s="55" t="n">
        <v>44196</v>
      </c>
      <c r="C1414" s="51" t="s">
        <v>73</v>
      </c>
      <c r="D1414" s="51" t="n">
        <v>0</v>
      </c>
    </row>
    <row r="1415" customFormat="false" ht="15" hidden="true" customHeight="false" outlineLevel="0" collapsed="false">
      <c r="A1415" s="51" t="s">
        <v>453</v>
      </c>
      <c r="B1415" s="55" t="n">
        <v>44196</v>
      </c>
      <c r="C1415" s="51" t="s">
        <v>73</v>
      </c>
      <c r="D1415" s="51" t="n">
        <v>0</v>
      </c>
    </row>
    <row r="1416" customFormat="false" ht="15" hidden="true" customHeight="false" outlineLevel="0" collapsed="false">
      <c r="A1416" s="51" t="s">
        <v>458</v>
      </c>
      <c r="B1416" s="55" t="n">
        <v>44196</v>
      </c>
      <c r="C1416" s="51" t="s">
        <v>73</v>
      </c>
      <c r="D1416" s="51" t="n">
        <v>0</v>
      </c>
    </row>
    <row r="1417" customFormat="false" ht="15" hidden="true" customHeight="false" outlineLevel="0" collapsed="false">
      <c r="A1417" s="51" t="s">
        <v>473</v>
      </c>
      <c r="B1417" s="55" t="n">
        <v>44196</v>
      </c>
      <c r="C1417" s="51" t="s">
        <v>73</v>
      </c>
      <c r="D1417" s="51" t="n">
        <v>0</v>
      </c>
    </row>
    <row r="1418" customFormat="false" ht="15" hidden="true" customHeight="false" outlineLevel="0" collapsed="false">
      <c r="A1418" s="51" t="s">
        <v>479</v>
      </c>
      <c r="B1418" s="55" t="n">
        <v>44196</v>
      </c>
      <c r="C1418" s="51" t="s">
        <v>73</v>
      </c>
      <c r="D1418" s="51" t="n">
        <v>0</v>
      </c>
    </row>
    <row r="1419" customFormat="false" ht="15" hidden="true" customHeight="false" outlineLevel="0" collapsed="false">
      <c r="A1419" s="51" t="s">
        <v>484</v>
      </c>
      <c r="B1419" s="55" t="n">
        <v>44196</v>
      </c>
      <c r="C1419" s="51" t="s">
        <v>73</v>
      </c>
      <c r="D1419" s="51" t="n">
        <v>0</v>
      </c>
    </row>
    <row r="1420" customFormat="false" ht="15" hidden="true" customHeight="false" outlineLevel="0" collapsed="false">
      <c r="A1420" s="51" t="s">
        <v>489</v>
      </c>
      <c r="B1420" s="55" t="n">
        <v>44196</v>
      </c>
      <c r="C1420" s="51" t="s">
        <v>73</v>
      </c>
      <c r="D1420" s="51" t="n">
        <v>0</v>
      </c>
    </row>
    <row r="1421" customFormat="false" ht="15" hidden="true" customHeight="false" outlineLevel="0" collapsed="false">
      <c r="A1421" s="51" t="s">
        <v>494</v>
      </c>
      <c r="B1421" s="55" t="n">
        <v>44196</v>
      </c>
      <c r="C1421" s="51" t="s">
        <v>73</v>
      </c>
      <c r="D1421" s="51" t="n">
        <v>0</v>
      </c>
    </row>
    <row r="1422" customFormat="false" ht="15" hidden="true" customHeight="false" outlineLevel="0" collapsed="false">
      <c r="A1422" s="51" t="s">
        <v>499</v>
      </c>
      <c r="B1422" s="55" t="n">
        <v>44196</v>
      </c>
      <c r="C1422" s="51" t="s">
        <v>73</v>
      </c>
      <c r="D1422" s="51" t="n">
        <v>0</v>
      </c>
    </row>
    <row r="1423" customFormat="false" ht="15" hidden="true" customHeight="false" outlineLevel="0" collapsed="false">
      <c r="A1423" s="51" t="s">
        <v>504</v>
      </c>
      <c r="B1423" s="55" t="n">
        <v>44196</v>
      </c>
      <c r="C1423" s="51" t="s">
        <v>73</v>
      </c>
      <c r="D1423" s="51" t="n">
        <v>0</v>
      </c>
    </row>
    <row r="1424" customFormat="false" ht="15" hidden="true" customHeight="false" outlineLevel="0" collapsed="false">
      <c r="A1424" s="51" t="s">
        <v>509</v>
      </c>
      <c r="B1424" s="55" t="n">
        <v>44196</v>
      </c>
      <c r="C1424" s="51" t="s">
        <v>73</v>
      </c>
      <c r="D1424" s="51" t="n">
        <v>0</v>
      </c>
    </row>
    <row r="1425" customFormat="false" ht="15" hidden="true" customHeight="false" outlineLevel="0" collapsed="false">
      <c r="A1425" s="51" t="s">
        <v>515</v>
      </c>
      <c r="B1425" s="55" t="n">
        <v>44196</v>
      </c>
      <c r="C1425" s="51" t="s">
        <v>73</v>
      </c>
      <c r="D1425" s="51" t="n">
        <v>0</v>
      </c>
    </row>
    <row r="1426" customFormat="false" ht="15" hidden="true" customHeight="false" outlineLevel="0" collapsed="false">
      <c r="A1426" s="51" t="s">
        <v>520</v>
      </c>
      <c r="B1426" s="55" t="n">
        <v>44196</v>
      </c>
      <c r="C1426" s="51" t="s">
        <v>73</v>
      </c>
      <c r="D1426" s="51" t="n">
        <v>0</v>
      </c>
    </row>
    <row r="1427" customFormat="false" ht="15" hidden="true" customHeight="false" outlineLevel="0" collapsed="false">
      <c r="A1427" s="51" t="s">
        <v>525</v>
      </c>
      <c r="B1427" s="55" t="n">
        <v>44196</v>
      </c>
      <c r="C1427" s="51" t="s">
        <v>73</v>
      </c>
      <c r="D1427" s="51" t="n">
        <v>0</v>
      </c>
    </row>
    <row r="1428" customFormat="false" ht="15" hidden="true" customHeight="false" outlineLevel="0" collapsed="false">
      <c r="A1428" s="51" t="s">
        <v>531</v>
      </c>
      <c r="B1428" s="55" t="n">
        <v>44196</v>
      </c>
      <c r="C1428" s="51" t="s">
        <v>73</v>
      </c>
      <c r="D1428" s="51" t="n">
        <v>0</v>
      </c>
    </row>
    <row r="1429" customFormat="false" ht="15" hidden="true" customHeight="false" outlineLevel="0" collapsed="false">
      <c r="A1429" s="51" t="s">
        <v>536</v>
      </c>
      <c r="B1429" s="55" t="n">
        <v>44196</v>
      </c>
      <c r="C1429" s="51" t="s">
        <v>73</v>
      </c>
      <c r="D1429" s="51" t="n">
        <v>0</v>
      </c>
    </row>
    <row r="1430" customFormat="false" ht="15" hidden="true" customHeight="false" outlineLevel="0" collapsed="false">
      <c r="A1430" s="51" t="s">
        <v>541</v>
      </c>
      <c r="B1430" s="55" t="n">
        <v>44196</v>
      </c>
      <c r="C1430" s="51" t="s">
        <v>73</v>
      </c>
      <c r="D1430" s="51" t="n">
        <v>0</v>
      </c>
    </row>
    <row r="1431" customFormat="false" ht="15" hidden="true" customHeight="false" outlineLevel="0" collapsed="false">
      <c r="A1431" s="51" t="s">
        <v>549</v>
      </c>
      <c r="B1431" s="55" t="n">
        <v>44196</v>
      </c>
      <c r="C1431" s="51" t="s">
        <v>73</v>
      </c>
      <c r="D1431" s="51" t="n">
        <v>0</v>
      </c>
    </row>
    <row r="1432" customFormat="false" ht="15" hidden="true" customHeight="false" outlineLevel="0" collapsed="false">
      <c r="A1432" s="51" t="s">
        <v>554</v>
      </c>
      <c r="B1432" s="55" t="n">
        <v>44196</v>
      </c>
      <c r="C1432" s="51" t="s">
        <v>73</v>
      </c>
      <c r="D1432" s="51" t="n">
        <v>0</v>
      </c>
    </row>
    <row r="1433" customFormat="false" ht="15" hidden="true" customHeight="false" outlineLevel="0" collapsed="false">
      <c r="A1433" s="51" t="s">
        <v>559</v>
      </c>
      <c r="B1433" s="55" t="n">
        <v>44196</v>
      </c>
      <c r="C1433" s="51" t="s">
        <v>73</v>
      </c>
      <c r="D1433" s="51" t="n">
        <v>0</v>
      </c>
    </row>
    <row r="1434" customFormat="false" ht="15" hidden="true" customHeight="false" outlineLevel="0" collapsed="false">
      <c r="A1434" s="51" t="s">
        <v>564</v>
      </c>
      <c r="B1434" s="55" t="n">
        <v>44196</v>
      </c>
      <c r="C1434" s="51" t="s">
        <v>73</v>
      </c>
      <c r="D1434" s="51" t="n">
        <v>0</v>
      </c>
    </row>
    <row r="1435" customFormat="false" ht="15" hidden="true" customHeight="false" outlineLevel="0" collapsed="false">
      <c r="A1435" s="51" t="s">
        <v>569</v>
      </c>
      <c r="B1435" s="55" t="n">
        <v>44196</v>
      </c>
      <c r="C1435" s="51" t="s">
        <v>73</v>
      </c>
      <c r="D1435" s="51" t="n">
        <v>0</v>
      </c>
    </row>
    <row r="1436" customFormat="false" ht="15" hidden="true" customHeight="false" outlineLevel="0" collapsed="false">
      <c r="A1436" s="51" t="s">
        <v>574</v>
      </c>
      <c r="B1436" s="55" t="n">
        <v>44196</v>
      </c>
      <c r="C1436" s="51" t="s">
        <v>73</v>
      </c>
      <c r="D1436" s="51" t="n">
        <v>0</v>
      </c>
    </row>
    <row r="1437" customFormat="false" ht="15" hidden="true" customHeight="false" outlineLevel="0" collapsed="false">
      <c r="A1437" s="51" t="s">
        <v>579</v>
      </c>
      <c r="B1437" s="55" t="n">
        <v>44196</v>
      </c>
      <c r="C1437" s="51" t="s">
        <v>73</v>
      </c>
      <c r="D1437" s="51" t="n">
        <v>0</v>
      </c>
    </row>
    <row r="1438" customFormat="false" ht="15" hidden="true" customHeight="false" outlineLevel="0" collapsed="false">
      <c r="A1438" s="51" t="s">
        <v>584</v>
      </c>
      <c r="B1438" s="55" t="n">
        <v>44196</v>
      </c>
      <c r="C1438" s="51" t="s">
        <v>73</v>
      </c>
      <c r="D1438" s="51" t="n">
        <v>0</v>
      </c>
    </row>
    <row r="1439" customFormat="false" ht="15" hidden="true" customHeight="false" outlineLevel="0" collapsed="false">
      <c r="A1439" s="51" t="s">
        <v>589</v>
      </c>
      <c r="B1439" s="55" t="n">
        <v>44196</v>
      </c>
      <c r="C1439" s="51" t="s">
        <v>73</v>
      </c>
      <c r="D1439" s="51" t="n">
        <v>0</v>
      </c>
    </row>
    <row r="1440" customFormat="false" ht="15" hidden="true" customHeight="false" outlineLevel="0" collapsed="false">
      <c r="A1440" s="51" t="s">
        <v>756</v>
      </c>
      <c r="B1440" s="55" t="n">
        <v>44196</v>
      </c>
      <c r="C1440" s="51" t="s">
        <v>73</v>
      </c>
      <c r="D1440" s="51" t="n">
        <v>0</v>
      </c>
    </row>
    <row r="1441" customFormat="false" ht="15" hidden="true" customHeight="false" outlineLevel="0" collapsed="false">
      <c r="A1441" s="51" t="s">
        <v>594</v>
      </c>
      <c r="B1441" s="55" t="n">
        <v>44196</v>
      </c>
      <c r="C1441" s="51" t="s">
        <v>73</v>
      </c>
      <c r="D1441" s="51" t="n">
        <v>0</v>
      </c>
    </row>
    <row r="1442" customFormat="false" ht="15" hidden="true" customHeight="false" outlineLevel="0" collapsed="false">
      <c r="A1442" s="51" t="s">
        <v>761</v>
      </c>
      <c r="B1442" s="55" t="n">
        <v>44196</v>
      </c>
      <c r="C1442" s="51" t="s">
        <v>73</v>
      </c>
      <c r="D1442" s="51" t="n">
        <v>0</v>
      </c>
    </row>
    <row r="1443" customFormat="false" ht="15" hidden="true" customHeight="false" outlineLevel="0" collapsed="false">
      <c r="A1443" s="51" t="s">
        <v>599</v>
      </c>
      <c r="B1443" s="55" t="n">
        <v>44196</v>
      </c>
      <c r="C1443" s="51" t="s">
        <v>73</v>
      </c>
      <c r="D1443" s="51" t="n">
        <v>0</v>
      </c>
    </row>
    <row r="1444" customFormat="false" ht="15" hidden="true" customHeight="false" outlineLevel="0" collapsed="false">
      <c r="A1444" s="51" t="s">
        <v>604</v>
      </c>
      <c r="B1444" s="55" t="n">
        <v>44196</v>
      </c>
      <c r="C1444" s="51" t="s">
        <v>73</v>
      </c>
      <c r="D1444" s="51" t="n">
        <v>0</v>
      </c>
    </row>
    <row r="1445" customFormat="false" ht="15" hidden="true" customHeight="false" outlineLevel="0" collapsed="false">
      <c r="A1445" s="51" t="s">
        <v>609</v>
      </c>
      <c r="B1445" s="55" t="n">
        <v>44196</v>
      </c>
      <c r="C1445" s="51" t="s">
        <v>73</v>
      </c>
      <c r="D1445" s="51" t="n">
        <v>0</v>
      </c>
    </row>
    <row r="1446" customFormat="false" ht="15" hidden="true" customHeight="false" outlineLevel="0" collapsed="false">
      <c r="A1446" s="51" t="s">
        <v>614</v>
      </c>
      <c r="B1446" s="55" t="n">
        <v>44196</v>
      </c>
      <c r="C1446" s="51" t="s">
        <v>73</v>
      </c>
      <c r="D1446" s="51" t="n">
        <v>0</v>
      </c>
    </row>
    <row r="1447" customFormat="false" ht="15" hidden="true" customHeight="false" outlineLevel="0" collapsed="false">
      <c r="A1447" s="51" t="s">
        <v>619</v>
      </c>
      <c r="B1447" s="55" t="n">
        <v>44196</v>
      </c>
      <c r="C1447" s="51" t="s">
        <v>73</v>
      </c>
      <c r="D1447" s="51" t="n">
        <v>0</v>
      </c>
    </row>
    <row r="1448" customFormat="false" ht="15" hidden="true" customHeight="false" outlineLevel="0" collapsed="false">
      <c r="A1448" s="51" t="s">
        <v>624</v>
      </c>
      <c r="B1448" s="55" t="n">
        <v>44196</v>
      </c>
      <c r="C1448" s="51" t="s">
        <v>73</v>
      </c>
      <c r="D1448" s="51" t="n">
        <v>0</v>
      </c>
    </row>
    <row r="1449" customFormat="false" ht="15" hidden="true" customHeight="false" outlineLevel="0" collapsed="false">
      <c r="A1449" s="51" t="s">
        <v>629</v>
      </c>
      <c r="B1449" s="55" t="n">
        <v>44196</v>
      </c>
      <c r="C1449" s="51" t="s">
        <v>73</v>
      </c>
      <c r="D1449" s="51" t="n">
        <v>0</v>
      </c>
    </row>
    <row r="1450" customFormat="false" ht="15" hidden="true" customHeight="false" outlineLevel="0" collapsed="false">
      <c r="A1450" s="51" t="s">
        <v>633</v>
      </c>
      <c r="B1450" s="55" t="n">
        <v>44196</v>
      </c>
      <c r="C1450" s="51" t="s">
        <v>73</v>
      </c>
      <c r="D1450" s="51" t="n">
        <v>0</v>
      </c>
    </row>
    <row r="1451" customFormat="false" ht="15" hidden="true" customHeight="false" outlineLevel="0" collapsed="false">
      <c r="A1451" s="51" t="s">
        <v>638</v>
      </c>
      <c r="B1451" s="55" t="n">
        <v>44196</v>
      </c>
      <c r="C1451" s="51" t="s">
        <v>73</v>
      </c>
      <c r="D1451" s="51" t="n">
        <v>0</v>
      </c>
    </row>
    <row r="1452" customFormat="false" ht="15" hidden="true" customHeight="false" outlineLevel="0" collapsed="false">
      <c r="A1452" s="51" t="s">
        <v>642</v>
      </c>
      <c r="B1452" s="55" t="n">
        <v>44196</v>
      </c>
      <c r="C1452" s="51" t="s">
        <v>73</v>
      </c>
      <c r="D1452" s="51" t="n">
        <v>0</v>
      </c>
    </row>
    <row r="1453" customFormat="false" ht="15" hidden="true" customHeight="false" outlineLevel="0" collapsed="false">
      <c r="A1453" s="51" t="s">
        <v>646</v>
      </c>
      <c r="B1453" s="55" t="n">
        <v>44196</v>
      </c>
      <c r="C1453" s="51" t="s">
        <v>73</v>
      </c>
      <c r="D1453" s="51" t="n">
        <v>0</v>
      </c>
    </row>
    <row r="1454" customFormat="false" ht="15" hidden="true" customHeight="false" outlineLevel="0" collapsed="false">
      <c r="A1454" s="51" t="s">
        <v>651</v>
      </c>
      <c r="B1454" s="55" t="n">
        <v>44196</v>
      </c>
      <c r="C1454" s="51" t="s">
        <v>73</v>
      </c>
      <c r="D1454" s="51" t="n">
        <v>0</v>
      </c>
    </row>
    <row r="1455" customFormat="false" ht="15" hidden="true" customHeight="false" outlineLevel="0" collapsed="false">
      <c r="A1455" s="51" t="s">
        <v>656</v>
      </c>
      <c r="B1455" s="55" t="n">
        <v>44196</v>
      </c>
      <c r="C1455" s="51" t="s">
        <v>73</v>
      </c>
      <c r="D1455" s="51" t="n">
        <v>0</v>
      </c>
    </row>
    <row r="1456" customFormat="false" ht="15" hidden="true" customHeight="false" outlineLevel="0" collapsed="false">
      <c r="A1456" s="51" t="s">
        <v>661</v>
      </c>
      <c r="B1456" s="55" t="n">
        <v>44196</v>
      </c>
      <c r="C1456" s="51" t="s">
        <v>73</v>
      </c>
      <c r="D1456" s="51" t="n">
        <v>0</v>
      </c>
    </row>
    <row r="1457" customFormat="false" ht="15" hidden="true" customHeight="false" outlineLevel="0" collapsed="false">
      <c r="A1457" s="51" t="s">
        <v>666</v>
      </c>
      <c r="B1457" s="55" t="n">
        <v>44196</v>
      </c>
      <c r="C1457" s="51" t="s">
        <v>73</v>
      </c>
      <c r="D1457" s="51" t="n">
        <v>0</v>
      </c>
    </row>
    <row r="1458" customFormat="false" ht="15" hidden="true" customHeight="false" outlineLevel="0" collapsed="false">
      <c r="A1458" s="51" t="s">
        <v>671</v>
      </c>
      <c r="B1458" s="55" t="n">
        <v>44196</v>
      </c>
      <c r="C1458" s="51" t="s">
        <v>73</v>
      </c>
      <c r="D1458" s="51" t="n">
        <v>0</v>
      </c>
    </row>
    <row r="1459" customFormat="false" ht="15" hidden="true" customHeight="false" outlineLevel="0" collapsed="false">
      <c r="A1459" s="51" t="s">
        <v>676</v>
      </c>
      <c r="B1459" s="55" t="n">
        <v>44196</v>
      </c>
      <c r="C1459" s="51" t="s">
        <v>73</v>
      </c>
      <c r="D1459" s="51" t="n">
        <v>0</v>
      </c>
    </row>
    <row r="1460" customFormat="false" ht="15" hidden="true" customHeight="false" outlineLevel="0" collapsed="false">
      <c r="A1460" s="51" t="s">
        <v>681</v>
      </c>
      <c r="B1460" s="55" t="n">
        <v>44196</v>
      </c>
      <c r="C1460" s="51" t="s">
        <v>73</v>
      </c>
      <c r="D1460" s="51" t="n">
        <v>0</v>
      </c>
    </row>
    <row r="1461" customFormat="false" ht="15" hidden="true" customHeight="false" outlineLevel="0" collapsed="false">
      <c r="A1461" s="51" t="s">
        <v>686</v>
      </c>
      <c r="B1461" s="55" t="n">
        <v>44196</v>
      </c>
      <c r="C1461" s="51" t="s">
        <v>73</v>
      </c>
      <c r="D1461" s="51" t="n">
        <v>0</v>
      </c>
    </row>
    <row r="1462" customFormat="false" ht="15" hidden="true" customHeight="false" outlineLevel="0" collapsed="false">
      <c r="A1462" s="51" t="s">
        <v>691</v>
      </c>
      <c r="B1462" s="55" t="n">
        <v>44196</v>
      </c>
      <c r="C1462" s="51" t="s">
        <v>73</v>
      </c>
      <c r="D1462" s="51" t="n">
        <v>0</v>
      </c>
    </row>
    <row r="1463" customFormat="false" ht="15" hidden="true" customHeight="false" outlineLevel="0" collapsed="false">
      <c r="A1463" s="51" t="s">
        <v>696</v>
      </c>
      <c r="B1463" s="55" t="n">
        <v>44196</v>
      </c>
      <c r="C1463" s="51" t="s">
        <v>73</v>
      </c>
      <c r="D1463" s="51" t="n">
        <v>0</v>
      </c>
    </row>
    <row r="1464" customFormat="false" ht="15" hidden="true" customHeight="false" outlineLevel="0" collapsed="false">
      <c r="A1464" s="51" t="s">
        <v>701</v>
      </c>
      <c r="B1464" s="55" t="n">
        <v>44196</v>
      </c>
      <c r="C1464" s="51" t="s">
        <v>73</v>
      </c>
      <c r="D1464" s="51" t="n">
        <v>0</v>
      </c>
    </row>
    <row r="1465" customFormat="false" ht="15" hidden="true" customHeight="false" outlineLevel="0" collapsed="false">
      <c r="A1465" s="51" t="s">
        <v>707</v>
      </c>
      <c r="B1465" s="55" t="n">
        <v>44196</v>
      </c>
      <c r="C1465" s="51" t="s">
        <v>73</v>
      </c>
      <c r="D1465" s="51" t="n">
        <v>0</v>
      </c>
    </row>
    <row r="1466" customFormat="false" ht="15" hidden="true" customHeight="false" outlineLevel="0" collapsed="false">
      <c r="A1466" s="51" t="s">
        <v>712</v>
      </c>
      <c r="B1466" s="55" t="n">
        <v>44196</v>
      </c>
      <c r="C1466" s="51" t="s">
        <v>73</v>
      </c>
      <c r="D1466" s="51" t="n">
        <v>0</v>
      </c>
    </row>
    <row r="1467" customFormat="false" ht="15" hidden="true" customHeight="false" outlineLevel="0" collapsed="false">
      <c r="A1467" s="51" t="s">
        <v>717</v>
      </c>
      <c r="B1467" s="55" t="n">
        <v>44196</v>
      </c>
      <c r="C1467" s="51" t="s">
        <v>73</v>
      </c>
      <c r="D1467" s="51" t="n">
        <v>0</v>
      </c>
    </row>
    <row r="1468" customFormat="false" ht="15" hidden="true" customHeight="false" outlineLevel="0" collapsed="false">
      <c r="A1468" s="51" t="s">
        <v>767</v>
      </c>
      <c r="B1468" s="55" t="n">
        <v>44196</v>
      </c>
      <c r="C1468" s="51" t="s">
        <v>73</v>
      </c>
      <c r="D1468" s="51" t="n">
        <v>0</v>
      </c>
    </row>
    <row r="1469" customFormat="false" ht="15" hidden="true" customHeight="false" outlineLevel="0" collapsed="false">
      <c r="A1469" s="51" t="s">
        <v>722</v>
      </c>
      <c r="B1469" s="55" t="n">
        <v>44196</v>
      </c>
      <c r="C1469" s="51" t="s">
        <v>73</v>
      </c>
      <c r="D1469" s="51" t="n">
        <v>0</v>
      </c>
    </row>
    <row r="1470" customFormat="false" ht="15" hidden="true" customHeight="false" outlineLevel="0" collapsed="false">
      <c r="A1470" s="51" t="s">
        <v>727</v>
      </c>
      <c r="B1470" s="55" t="n">
        <v>44196</v>
      </c>
      <c r="C1470" s="51" t="s">
        <v>73</v>
      </c>
      <c r="D1470" s="51" t="n">
        <v>0</v>
      </c>
    </row>
    <row r="1471" customFormat="false" ht="15" hidden="true" customHeight="false" outlineLevel="0" collapsed="false">
      <c r="A1471" s="51" t="s">
        <v>732</v>
      </c>
      <c r="B1471" s="55" t="n">
        <v>44196</v>
      </c>
      <c r="C1471" s="51" t="s">
        <v>73</v>
      </c>
      <c r="D1471" s="51" t="n">
        <v>0</v>
      </c>
    </row>
    <row r="1472" customFormat="false" ht="15" hidden="true" customHeight="false" outlineLevel="0" collapsed="false">
      <c r="A1472" s="51" t="s">
        <v>736</v>
      </c>
      <c r="B1472" s="55" t="n">
        <v>44196</v>
      </c>
      <c r="C1472" s="51" t="s">
        <v>73</v>
      </c>
      <c r="D1472" s="51" t="n">
        <v>0</v>
      </c>
    </row>
    <row r="1473" customFormat="false" ht="15" hidden="true" customHeight="false" outlineLevel="0" collapsed="false">
      <c r="A1473" s="51" t="s">
        <v>741</v>
      </c>
      <c r="B1473" s="55" t="n">
        <v>44196</v>
      </c>
      <c r="C1473" s="51" t="s">
        <v>73</v>
      </c>
      <c r="D1473" s="51" t="n">
        <v>0</v>
      </c>
    </row>
    <row r="1474" customFormat="false" ht="15" hidden="true" customHeight="false" outlineLevel="0" collapsed="false">
      <c r="A1474" s="51" t="s">
        <v>746</v>
      </c>
      <c r="B1474" s="55" t="n">
        <v>44196</v>
      </c>
      <c r="C1474" s="51" t="s">
        <v>73</v>
      </c>
      <c r="D1474" s="51" t="n">
        <v>0</v>
      </c>
    </row>
    <row r="1475" customFormat="false" ht="15" hidden="true" customHeight="false" outlineLevel="0" collapsed="false">
      <c r="A1475" s="51" t="s">
        <v>751</v>
      </c>
      <c r="B1475" s="55" t="n">
        <v>44196</v>
      </c>
      <c r="C1475" s="51" t="s">
        <v>73</v>
      </c>
      <c r="D1475" s="51" t="n">
        <v>0</v>
      </c>
    </row>
    <row r="1476" customFormat="false" ht="15" hidden="false" customHeight="false" outlineLevel="0" collapsed="false">
      <c r="A1476" s="51" t="s">
        <v>781</v>
      </c>
      <c r="B1476" s="55" t="n">
        <v>44196</v>
      </c>
      <c r="C1476" s="51" t="s">
        <v>791</v>
      </c>
      <c r="D1476" s="51" t="n">
        <v>-5500000</v>
      </c>
    </row>
    <row r="1477" customFormat="false" ht="15" hidden="true" customHeight="false" outlineLevel="0" collapsed="false">
      <c r="A1477" s="51" t="s">
        <v>783</v>
      </c>
      <c r="B1477" s="55" t="n">
        <v>44196</v>
      </c>
      <c r="C1477" s="51" t="s">
        <v>791</v>
      </c>
      <c r="D1477" s="51" t="n">
        <v>-200000</v>
      </c>
    </row>
    <row r="1478" customFormat="false" ht="15" hidden="true" customHeight="false" outlineLevel="0" collapsed="false">
      <c r="A1478" s="51" t="s">
        <v>96</v>
      </c>
      <c r="B1478" s="55" t="n">
        <v>44196</v>
      </c>
      <c r="C1478" s="51" t="s">
        <v>791</v>
      </c>
      <c r="D1478" s="51" t="n">
        <v>-900000</v>
      </c>
    </row>
    <row r="1479" customFormat="false" ht="15" hidden="true" customHeight="false" outlineLevel="0" collapsed="false">
      <c r="A1479" s="51" t="s">
        <v>101</v>
      </c>
      <c r="B1479" s="55" t="n">
        <v>44196</v>
      </c>
      <c r="C1479" s="51" t="s">
        <v>791</v>
      </c>
      <c r="D1479" s="51" t="n">
        <v>1100000</v>
      </c>
    </row>
    <row r="1480" customFormat="false" ht="15" hidden="true" customHeight="false" outlineLevel="0" collapsed="false">
      <c r="A1480" s="51" t="s">
        <v>106</v>
      </c>
      <c r="B1480" s="55" t="n">
        <v>44196</v>
      </c>
      <c r="C1480" s="51" t="s">
        <v>791</v>
      </c>
      <c r="D1480" s="51" t="n">
        <v>-750000</v>
      </c>
    </row>
    <row r="1481" customFormat="false" ht="15" hidden="true" customHeight="false" outlineLevel="0" collapsed="false">
      <c r="A1481" s="51" t="s">
        <v>110</v>
      </c>
      <c r="B1481" s="55" t="n">
        <v>44196</v>
      </c>
      <c r="C1481" s="51" t="s">
        <v>791</v>
      </c>
      <c r="D1481" s="51" t="n">
        <v>0</v>
      </c>
    </row>
    <row r="1482" customFormat="false" ht="15" hidden="true" customHeight="false" outlineLevel="0" collapsed="false">
      <c r="A1482" s="51" t="s">
        <v>115</v>
      </c>
      <c r="B1482" s="55" t="n">
        <v>44196</v>
      </c>
      <c r="C1482" s="51" t="s">
        <v>791</v>
      </c>
      <c r="D1482" s="51" t="n">
        <v>0</v>
      </c>
    </row>
    <row r="1483" customFormat="false" ht="15" hidden="true" customHeight="false" outlineLevel="0" collapsed="false">
      <c r="A1483" s="51" t="s">
        <v>120</v>
      </c>
      <c r="B1483" s="55" t="n">
        <v>44196</v>
      </c>
      <c r="C1483" s="51" t="s">
        <v>791</v>
      </c>
      <c r="D1483" s="51" t="n">
        <v>0</v>
      </c>
    </row>
    <row r="1484" customFormat="false" ht="15" hidden="true" customHeight="false" outlineLevel="0" collapsed="false">
      <c r="A1484" s="51" t="s">
        <v>124</v>
      </c>
      <c r="B1484" s="55" t="n">
        <v>44196</v>
      </c>
      <c r="C1484" s="51" t="s">
        <v>791</v>
      </c>
      <c r="D1484" s="51" t="n">
        <v>-350000</v>
      </c>
    </row>
    <row r="1485" customFormat="false" ht="15" hidden="true" customHeight="false" outlineLevel="0" collapsed="false">
      <c r="A1485" s="51" t="s">
        <v>129</v>
      </c>
      <c r="B1485" s="55" t="n">
        <v>44196</v>
      </c>
      <c r="C1485" s="51" t="s">
        <v>791</v>
      </c>
      <c r="D1485" s="51" t="n">
        <v>-120000</v>
      </c>
    </row>
    <row r="1486" customFormat="false" ht="15" hidden="true" customHeight="false" outlineLevel="0" collapsed="false">
      <c r="A1486" s="51" t="s">
        <v>134</v>
      </c>
      <c r="B1486" s="55" t="n">
        <v>44196</v>
      </c>
      <c r="C1486" s="51" t="s">
        <v>791</v>
      </c>
      <c r="D1486" s="51" t="n">
        <v>0</v>
      </c>
    </row>
    <row r="1487" customFormat="false" ht="15" hidden="true" customHeight="false" outlineLevel="0" collapsed="false">
      <c r="A1487" s="51" t="s">
        <v>141</v>
      </c>
      <c r="B1487" s="55" t="n">
        <v>44196</v>
      </c>
      <c r="C1487" s="51" t="s">
        <v>791</v>
      </c>
      <c r="D1487" s="51" t="n">
        <v>368522</v>
      </c>
    </row>
    <row r="1488" customFormat="false" ht="15" hidden="true" customHeight="false" outlineLevel="0" collapsed="false">
      <c r="A1488" s="51" t="s">
        <v>146</v>
      </c>
      <c r="B1488" s="55" t="n">
        <v>44196</v>
      </c>
      <c r="C1488" s="51" t="s">
        <v>791</v>
      </c>
      <c r="D1488" s="51" t="n">
        <v>0</v>
      </c>
    </row>
    <row r="1489" customFormat="false" ht="15" hidden="true" customHeight="false" outlineLevel="0" collapsed="false">
      <c r="A1489" s="51" t="s">
        <v>151</v>
      </c>
      <c r="B1489" s="55" t="n">
        <v>44196</v>
      </c>
      <c r="C1489" s="51" t="s">
        <v>791</v>
      </c>
      <c r="D1489" s="51" t="n">
        <v>506000</v>
      </c>
    </row>
    <row r="1490" customFormat="false" ht="15" hidden="true" customHeight="false" outlineLevel="0" collapsed="false">
      <c r="A1490" s="51" t="s">
        <v>156</v>
      </c>
      <c r="B1490" s="55" t="n">
        <v>44196</v>
      </c>
      <c r="C1490" s="51" t="s">
        <v>791</v>
      </c>
      <c r="D1490" s="51" t="n">
        <v>217425</v>
      </c>
    </row>
    <row r="1491" customFormat="false" ht="15" hidden="true" customHeight="false" outlineLevel="0" collapsed="false">
      <c r="A1491" s="51" t="s">
        <v>161</v>
      </c>
      <c r="B1491" s="55" t="n">
        <v>44196</v>
      </c>
      <c r="C1491" s="51" t="s">
        <v>791</v>
      </c>
      <c r="D1491" s="51" t="n">
        <v>0</v>
      </c>
    </row>
    <row r="1492" customFormat="false" ht="15" hidden="true" customHeight="false" outlineLevel="0" collapsed="false">
      <c r="A1492" s="51" t="s">
        <v>166</v>
      </c>
      <c r="B1492" s="55" t="n">
        <v>44196</v>
      </c>
      <c r="C1492" s="51" t="s">
        <v>791</v>
      </c>
      <c r="D1492" s="51" t="n">
        <v>5314000</v>
      </c>
    </row>
    <row r="1493" customFormat="false" ht="15" hidden="true" customHeight="false" outlineLevel="0" collapsed="false">
      <c r="A1493" s="51" t="s">
        <v>171</v>
      </c>
      <c r="B1493" s="55" t="n">
        <v>44196</v>
      </c>
      <c r="C1493" s="51" t="s">
        <v>791</v>
      </c>
      <c r="D1493" s="51" t="n">
        <v>1750000</v>
      </c>
    </row>
    <row r="1494" customFormat="false" ht="15" hidden="true" customHeight="false" outlineLevel="0" collapsed="false">
      <c r="A1494" s="51" t="s">
        <v>176</v>
      </c>
      <c r="B1494" s="55" t="n">
        <v>44196</v>
      </c>
      <c r="C1494" s="51" t="s">
        <v>791</v>
      </c>
      <c r="D1494" s="51" t="n">
        <v>596160</v>
      </c>
    </row>
    <row r="1495" customFormat="false" ht="15" hidden="true" customHeight="false" outlineLevel="0" collapsed="false">
      <c r="A1495" s="51" t="s">
        <v>181</v>
      </c>
      <c r="B1495" s="55" t="n">
        <v>44196</v>
      </c>
      <c r="C1495" s="51" t="s">
        <v>791</v>
      </c>
      <c r="D1495" s="51" t="n">
        <v>0</v>
      </c>
    </row>
    <row r="1496" customFormat="false" ht="15" hidden="true" customHeight="false" outlineLevel="0" collapsed="false">
      <c r="A1496" s="51" t="s">
        <v>186</v>
      </c>
      <c r="B1496" s="55" t="n">
        <v>44196</v>
      </c>
      <c r="C1496" s="51" t="s">
        <v>791</v>
      </c>
      <c r="D1496" s="51" t="n">
        <v>0</v>
      </c>
    </row>
    <row r="1497" customFormat="false" ht="15" hidden="true" customHeight="false" outlineLevel="0" collapsed="false">
      <c r="A1497" s="51" t="s">
        <v>191</v>
      </c>
      <c r="B1497" s="55" t="n">
        <v>44196</v>
      </c>
      <c r="C1497" s="51" t="s">
        <v>791</v>
      </c>
      <c r="D1497" s="51" t="n">
        <v>0</v>
      </c>
    </row>
    <row r="1498" customFormat="false" ht="15" hidden="true" customHeight="false" outlineLevel="0" collapsed="false">
      <c r="A1498" s="51" t="s">
        <v>196</v>
      </c>
      <c r="B1498" s="55" t="n">
        <v>44196</v>
      </c>
      <c r="C1498" s="51" t="s">
        <v>791</v>
      </c>
      <c r="D1498" s="51" t="n">
        <v>0</v>
      </c>
    </row>
    <row r="1499" customFormat="false" ht="15" hidden="true" customHeight="false" outlineLevel="0" collapsed="false">
      <c r="A1499" s="51" t="s">
        <v>201</v>
      </c>
      <c r="B1499" s="55" t="n">
        <v>44196</v>
      </c>
      <c r="C1499" s="51" t="s">
        <v>791</v>
      </c>
      <c r="D1499" s="51" t="n">
        <v>0</v>
      </c>
    </row>
    <row r="1500" customFormat="false" ht="15" hidden="true" customHeight="false" outlineLevel="0" collapsed="false">
      <c r="A1500" s="51" t="s">
        <v>206</v>
      </c>
      <c r="B1500" s="55" t="n">
        <v>44196</v>
      </c>
      <c r="C1500" s="51" t="s">
        <v>791</v>
      </c>
      <c r="D1500" s="51" t="n">
        <v>0</v>
      </c>
    </row>
    <row r="1501" customFormat="false" ht="15" hidden="true" customHeight="false" outlineLevel="0" collapsed="false">
      <c r="A1501" s="51" t="s">
        <v>210</v>
      </c>
      <c r="B1501" s="55" t="n">
        <v>44196</v>
      </c>
      <c r="C1501" s="51" t="s">
        <v>791</v>
      </c>
      <c r="D1501" s="51" t="n">
        <v>0</v>
      </c>
    </row>
    <row r="1502" customFormat="false" ht="15" hidden="true" customHeight="false" outlineLevel="0" collapsed="false">
      <c r="A1502" s="51" t="s">
        <v>215</v>
      </c>
      <c r="B1502" s="55" t="n">
        <v>44196</v>
      </c>
      <c r="C1502" s="51" t="s">
        <v>791</v>
      </c>
      <c r="D1502" s="51" t="n">
        <v>0</v>
      </c>
    </row>
    <row r="1503" customFormat="false" ht="15" hidden="true" customHeight="false" outlineLevel="0" collapsed="false">
      <c r="A1503" s="51" t="s">
        <v>790</v>
      </c>
      <c r="B1503" s="55" t="n">
        <v>44196</v>
      </c>
      <c r="C1503" s="51" t="s">
        <v>791</v>
      </c>
      <c r="D1503" s="51" t="n">
        <v>100000</v>
      </c>
    </row>
    <row r="1504" customFormat="false" ht="15" hidden="true" customHeight="false" outlineLevel="0" collapsed="false">
      <c r="A1504" s="51" t="s">
        <v>225</v>
      </c>
      <c r="B1504" s="55" t="n">
        <v>44196</v>
      </c>
      <c r="C1504" s="51" t="s">
        <v>791</v>
      </c>
      <c r="D1504" s="51" t="n">
        <v>0</v>
      </c>
    </row>
    <row r="1505" customFormat="false" ht="15" hidden="true" customHeight="false" outlineLevel="0" collapsed="false">
      <c r="A1505" s="51" t="s">
        <v>230</v>
      </c>
      <c r="B1505" s="55" t="n">
        <v>44196</v>
      </c>
      <c r="C1505" s="51" t="s">
        <v>791</v>
      </c>
      <c r="D1505" s="51" t="n">
        <v>0</v>
      </c>
    </row>
    <row r="1506" customFormat="false" ht="15" hidden="true" customHeight="false" outlineLevel="0" collapsed="false">
      <c r="A1506" s="51" t="s">
        <v>235</v>
      </c>
      <c r="B1506" s="55" t="n">
        <v>44196</v>
      </c>
      <c r="C1506" s="51" t="s">
        <v>791</v>
      </c>
      <c r="D1506" s="51" t="n">
        <v>0</v>
      </c>
    </row>
    <row r="1507" customFormat="false" ht="15" hidden="true" customHeight="false" outlineLevel="0" collapsed="false">
      <c r="A1507" s="51" t="s">
        <v>240</v>
      </c>
      <c r="B1507" s="55" t="n">
        <v>44196</v>
      </c>
      <c r="C1507" s="51" t="s">
        <v>791</v>
      </c>
      <c r="D1507" s="51" t="n">
        <v>0</v>
      </c>
    </row>
    <row r="1508" customFormat="false" ht="15" hidden="true" customHeight="false" outlineLevel="0" collapsed="false">
      <c r="A1508" s="51" t="s">
        <v>246</v>
      </c>
      <c r="B1508" s="55" t="n">
        <v>44196</v>
      </c>
      <c r="C1508" s="51" t="s">
        <v>791</v>
      </c>
      <c r="D1508" s="51" t="n">
        <v>0</v>
      </c>
    </row>
    <row r="1509" customFormat="false" ht="15" hidden="true" customHeight="false" outlineLevel="0" collapsed="false">
      <c r="A1509" s="51" t="s">
        <v>252</v>
      </c>
      <c r="B1509" s="55" t="n">
        <v>44196</v>
      </c>
      <c r="C1509" s="51" t="s">
        <v>791</v>
      </c>
      <c r="D1509" s="51" t="n">
        <v>0</v>
      </c>
    </row>
    <row r="1510" customFormat="false" ht="15" hidden="true" customHeight="false" outlineLevel="0" collapsed="false">
      <c r="A1510" s="51" t="s">
        <v>257</v>
      </c>
      <c r="B1510" s="55" t="n">
        <v>44196</v>
      </c>
      <c r="C1510" s="51" t="s">
        <v>791</v>
      </c>
      <c r="D1510" s="51" t="n">
        <v>0</v>
      </c>
    </row>
    <row r="1511" customFormat="false" ht="15" hidden="true" customHeight="false" outlineLevel="0" collapsed="false">
      <c r="A1511" s="51" t="s">
        <v>262</v>
      </c>
      <c r="B1511" s="55" t="n">
        <v>44196</v>
      </c>
      <c r="C1511" s="51" t="s">
        <v>791</v>
      </c>
      <c r="D1511" s="51" t="n">
        <v>0</v>
      </c>
    </row>
    <row r="1512" customFormat="false" ht="15" hidden="true" customHeight="false" outlineLevel="0" collapsed="false">
      <c r="A1512" s="51" t="s">
        <v>267</v>
      </c>
      <c r="B1512" s="55" t="n">
        <v>44196</v>
      </c>
      <c r="C1512" s="51" t="s">
        <v>791</v>
      </c>
      <c r="D1512" s="51" t="n">
        <v>0</v>
      </c>
    </row>
    <row r="1513" customFormat="false" ht="15" hidden="true" customHeight="false" outlineLevel="0" collapsed="false">
      <c r="A1513" s="51" t="s">
        <v>272</v>
      </c>
      <c r="B1513" s="55" t="n">
        <v>44196</v>
      </c>
      <c r="C1513" s="51" t="s">
        <v>791</v>
      </c>
      <c r="D1513" s="51" t="n">
        <v>0</v>
      </c>
    </row>
    <row r="1514" customFormat="false" ht="15" hidden="true" customHeight="false" outlineLevel="0" collapsed="false">
      <c r="A1514" s="51" t="s">
        <v>277</v>
      </c>
      <c r="B1514" s="55" t="n">
        <v>44196</v>
      </c>
      <c r="C1514" s="51" t="s">
        <v>791</v>
      </c>
      <c r="D1514" s="51" t="n">
        <v>0</v>
      </c>
    </row>
    <row r="1515" customFormat="false" ht="15" hidden="true" customHeight="false" outlineLevel="0" collapsed="false">
      <c r="A1515" s="51" t="s">
        <v>282</v>
      </c>
      <c r="B1515" s="55" t="n">
        <v>44196</v>
      </c>
      <c r="C1515" s="51" t="s">
        <v>791</v>
      </c>
      <c r="D1515" s="51" t="n">
        <v>0</v>
      </c>
    </row>
    <row r="1516" customFormat="false" ht="15" hidden="true" customHeight="false" outlineLevel="0" collapsed="false">
      <c r="A1516" s="51" t="s">
        <v>287</v>
      </c>
      <c r="B1516" s="55" t="n">
        <v>44196</v>
      </c>
      <c r="C1516" s="51" t="s">
        <v>791</v>
      </c>
      <c r="D1516" s="51" t="n">
        <v>0</v>
      </c>
    </row>
    <row r="1517" customFormat="false" ht="15" hidden="true" customHeight="false" outlineLevel="0" collapsed="false">
      <c r="A1517" s="51" t="s">
        <v>292</v>
      </c>
      <c r="B1517" s="55" t="n">
        <v>44196</v>
      </c>
      <c r="C1517" s="51" t="s">
        <v>791</v>
      </c>
      <c r="D1517" s="51" t="n">
        <v>0</v>
      </c>
    </row>
    <row r="1518" customFormat="false" ht="15" hidden="true" customHeight="false" outlineLevel="0" collapsed="false">
      <c r="A1518" s="51" t="s">
        <v>297</v>
      </c>
      <c r="B1518" s="55" t="n">
        <v>44196</v>
      </c>
      <c r="C1518" s="51" t="s">
        <v>791</v>
      </c>
      <c r="D1518" s="51" t="n">
        <v>0</v>
      </c>
    </row>
    <row r="1519" customFormat="false" ht="15" hidden="true" customHeight="false" outlineLevel="0" collapsed="false">
      <c r="A1519" s="51" t="s">
        <v>302</v>
      </c>
      <c r="B1519" s="55" t="n">
        <v>44196</v>
      </c>
      <c r="C1519" s="51" t="s">
        <v>791</v>
      </c>
      <c r="D1519" s="51" t="n">
        <v>0</v>
      </c>
    </row>
    <row r="1520" customFormat="false" ht="15" hidden="true" customHeight="false" outlineLevel="0" collapsed="false">
      <c r="A1520" s="51" t="s">
        <v>307</v>
      </c>
      <c r="B1520" s="55" t="n">
        <v>44196</v>
      </c>
      <c r="C1520" s="51" t="s">
        <v>791</v>
      </c>
      <c r="D1520" s="51" t="n">
        <v>0</v>
      </c>
    </row>
    <row r="1521" customFormat="false" ht="15" hidden="true" customHeight="false" outlineLevel="0" collapsed="false">
      <c r="A1521" s="51" t="s">
        <v>311</v>
      </c>
      <c r="B1521" s="55" t="n">
        <v>44196</v>
      </c>
      <c r="C1521" s="51" t="s">
        <v>791</v>
      </c>
      <c r="D1521" s="51" t="n">
        <v>0</v>
      </c>
    </row>
    <row r="1522" customFormat="false" ht="15" hidden="true" customHeight="false" outlineLevel="0" collapsed="false">
      <c r="A1522" s="51" t="s">
        <v>317</v>
      </c>
      <c r="B1522" s="55" t="n">
        <v>44196</v>
      </c>
      <c r="C1522" s="51" t="s">
        <v>791</v>
      </c>
      <c r="D1522" s="51" t="n">
        <v>0</v>
      </c>
    </row>
    <row r="1523" customFormat="false" ht="15" hidden="true" customHeight="false" outlineLevel="0" collapsed="false">
      <c r="A1523" s="51" t="s">
        <v>322</v>
      </c>
      <c r="B1523" s="55" t="n">
        <v>44196</v>
      </c>
      <c r="C1523" s="51" t="s">
        <v>791</v>
      </c>
      <c r="D1523" s="51" t="n">
        <v>0</v>
      </c>
    </row>
    <row r="1524" customFormat="false" ht="15" hidden="true" customHeight="false" outlineLevel="0" collapsed="false">
      <c r="A1524" s="51" t="s">
        <v>327</v>
      </c>
      <c r="B1524" s="55" t="n">
        <v>44196</v>
      </c>
      <c r="C1524" s="51" t="s">
        <v>791</v>
      </c>
      <c r="D1524" s="51" t="n">
        <v>0</v>
      </c>
    </row>
    <row r="1525" customFormat="false" ht="15" hidden="true" customHeight="false" outlineLevel="0" collapsed="false">
      <c r="A1525" s="51" t="s">
        <v>332</v>
      </c>
      <c r="B1525" s="55" t="n">
        <v>44196</v>
      </c>
      <c r="C1525" s="51" t="s">
        <v>791</v>
      </c>
      <c r="D1525" s="51" t="n">
        <v>0</v>
      </c>
    </row>
    <row r="1526" customFormat="false" ht="15" hidden="true" customHeight="false" outlineLevel="0" collapsed="false">
      <c r="A1526" s="51" t="s">
        <v>339</v>
      </c>
      <c r="B1526" s="55" t="n">
        <v>44196</v>
      </c>
      <c r="C1526" s="51" t="s">
        <v>791</v>
      </c>
      <c r="D1526" s="51" t="n">
        <v>0</v>
      </c>
    </row>
    <row r="1527" customFormat="false" ht="15" hidden="true" customHeight="false" outlineLevel="0" collapsed="false">
      <c r="A1527" s="51" t="s">
        <v>344</v>
      </c>
      <c r="B1527" s="55" t="n">
        <v>44196</v>
      </c>
      <c r="C1527" s="51" t="s">
        <v>791</v>
      </c>
      <c r="D1527" s="51" t="n">
        <v>0</v>
      </c>
    </row>
    <row r="1528" customFormat="false" ht="15" hidden="true" customHeight="false" outlineLevel="0" collapsed="false">
      <c r="A1528" s="51" t="s">
        <v>349</v>
      </c>
      <c r="B1528" s="55" t="n">
        <v>44196</v>
      </c>
      <c r="C1528" s="51" t="s">
        <v>791</v>
      </c>
      <c r="D1528" s="51" t="n">
        <v>0</v>
      </c>
    </row>
    <row r="1529" customFormat="false" ht="15" hidden="true" customHeight="false" outlineLevel="0" collapsed="false">
      <c r="A1529" s="51" t="s">
        <v>354</v>
      </c>
      <c r="B1529" s="55" t="n">
        <v>44196</v>
      </c>
      <c r="C1529" s="51" t="s">
        <v>791</v>
      </c>
      <c r="D1529" s="51" t="n">
        <v>0</v>
      </c>
    </row>
    <row r="1530" customFormat="false" ht="15" hidden="true" customHeight="false" outlineLevel="0" collapsed="false">
      <c r="A1530" s="51" t="s">
        <v>359</v>
      </c>
      <c r="B1530" s="55" t="n">
        <v>44196</v>
      </c>
      <c r="C1530" s="51" t="s">
        <v>791</v>
      </c>
      <c r="D1530" s="51" t="n">
        <v>0</v>
      </c>
    </row>
    <row r="1531" customFormat="false" ht="15" hidden="true" customHeight="false" outlineLevel="0" collapsed="false">
      <c r="A1531" s="51" t="s">
        <v>364</v>
      </c>
      <c r="B1531" s="55" t="n">
        <v>44196</v>
      </c>
      <c r="C1531" s="51" t="s">
        <v>791</v>
      </c>
      <c r="D1531" s="51" t="n">
        <v>0</v>
      </c>
    </row>
    <row r="1532" customFormat="false" ht="15" hidden="true" customHeight="false" outlineLevel="0" collapsed="false">
      <c r="A1532" s="51" t="s">
        <v>369</v>
      </c>
      <c r="B1532" s="55" t="n">
        <v>44196</v>
      </c>
      <c r="C1532" s="51" t="s">
        <v>791</v>
      </c>
      <c r="D1532" s="51" t="n">
        <v>0</v>
      </c>
    </row>
    <row r="1533" customFormat="false" ht="15" hidden="true" customHeight="false" outlineLevel="0" collapsed="false">
      <c r="A1533" s="51" t="s">
        <v>374</v>
      </c>
      <c r="B1533" s="55" t="n">
        <v>44196</v>
      </c>
      <c r="C1533" s="51" t="s">
        <v>791</v>
      </c>
      <c r="D1533" s="51" t="n">
        <v>0</v>
      </c>
    </row>
    <row r="1534" customFormat="false" ht="15" hidden="true" customHeight="false" outlineLevel="0" collapsed="false">
      <c r="A1534" s="51" t="s">
        <v>379</v>
      </c>
      <c r="B1534" s="55" t="n">
        <v>44196</v>
      </c>
      <c r="C1534" s="51" t="s">
        <v>791</v>
      </c>
      <c r="D1534" s="51" t="n">
        <v>0</v>
      </c>
    </row>
    <row r="1535" customFormat="false" ht="15" hidden="true" customHeight="false" outlineLevel="0" collapsed="false">
      <c r="A1535" s="51" t="s">
        <v>384</v>
      </c>
      <c r="B1535" s="55" t="n">
        <v>44196</v>
      </c>
      <c r="C1535" s="51" t="s">
        <v>791</v>
      </c>
      <c r="D1535" s="51" t="n">
        <v>0</v>
      </c>
    </row>
    <row r="1536" customFormat="false" ht="15" hidden="true" customHeight="false" outlineLevel="0" collapsed="false">
      <c r="A1536" s="51" t="s">
        <v>389</v>
      </c>
      <c r="B1536" s="55" t="n">
        <v>44196</v>
      </c>
      <c r="C1536" s="51" t="s">
        <v>791</v>
      </c>
      <c r="D1536" s="51" t="n">
        <v>0</v>
      </c>
    </row>
    <row r="1537" customFormat="false" ht="15" hidden="true" customHeight="false" outlineLevel="0" collapsed="false">
      <c r="A1537" s="51" t="s">
        <v>394</v>
      </c>
      <c r="B1537" s="55" t="n">
        <v>44196</v>
      </c>
      <c r="C1537" s="51" t="s">
        <v>791</v>
      </c>
      <c r="D1537" s="51" t="n">
        <v>0</v>
      </c>
    </row>
    <row r="1538" customFormat="false" ht="15" hidden="true" customHeight="false" outlineLevel="0" collapsed="false">
      <c r="A1538" s="51" t="s">
        <v>399</v>
      </c>
      <c r="B1538" s="55" t="n">
        <v>44196</v>
      </c>
      <c r="C1538" s="51" t="s">
        <v>791</v>
      </c>
      <c r="D1538" s="51" t="n">
        <v>0</v>
      </c>
    </row>
    <row r="1539" customFormat="false" ht="15" hidden="true" customHeight="false" outlineLevel="0" collapsed="false">
      <c r="A1539" s="51" t="s">
        <v>404</v>
      </c>
      <c r="B1539" s="55" t="n">
        <v>44196</v>
      </c>
      <c r="C1539" s="51" t="s">
        <v>791</v>
      </c>
      <c r="D1539" s="51" t="n">
        <v>0</v>
      </c>
    </row>
    <row r="1540" customFormat="false" ht="15" hidden="true" customHeight="false" outlineLevel="0" collapsed="false">
      <c r="A1540" s="51" t="s">
        <v>409</v>
      </c>
      <c r="B1540" s="55" t="n">
        <v>44196</v>
      </c>
      <c r="C1540" s="51" t="s">
        <v>791</v>
      </c>
      <c r="D1540" s="51" t="n">
        <v>0</v>
      </c>
    </row>
    <row r="1541" customFormat="false" ht="15" hidden="true" customHeight="false" outlineLevel="0" collapsed="false">
      <c r="A1541" s="51" t="s">
        <v>414</v>
      </c>
      <c r="B1541" s="55" t="n">
        <v>44196</v>
      </c>
      <c r="C1541" s="51" t="s">
        <v>791</v>
      </c>
      <c r="D1541" s="51" t="n">
        <v>0</v>
      </c>
    </row>
    <row r="1542" customFormat="false" ht="15" hidden="true" customHeight="false" outlineLevel="0" collapsed="false">
      <c r="A1542" s="51" t="s">
        <v>419</v>
      </c>
      <c r="B1542" s="55" t="n">
        <v>44196</v>
      </c>
      <c r="C1542" s="51" t="s">
        <v>791</v>
      </c>
      <c r="D1542" s="51" t="n">
        <v>0</v>
      </c>
    </row>
    <row r="1543" customFormat="false" ht="15" hidden="true" customHeight="false" outlineLevel="0" collapsed="false">
      <c r="A1543" s="51" t="s">
        <v>424</v>
      </c>
      <c r="B1543" s="55" t="n">
        <v>44196</v>
      </c>
      <c r="C1543" s="51" t="s">
        <v>791</v>
      </c>
      <c r="D1543" s="51" t="n">
        <v>0</v>
      </c>
    </row>
    <row r="1544" customFormat="false" ht="15" hidden="true" customHeight="false" outlineLevel="0" collapsed="false">
      <c r="A1544" s="51" t="s">
        <v>429</v>
      </c>
      <c r="B1544" s="55" t="n">
        <v>44196</v>
      </c>
      <c r="C1544" s="51" t="s">
        <v>791</v>
      </c>
      <c r="D1544" s="51" t="n">
        <v>0</v>
      </c>
    </row>
    <row r="1545" customFormat="false" ht="15" hidden="true" customHeight="false" outlineLevel="0" collapsed="false">
      <c r="A1545" s="51" t="s">
        <v>434</v>
      </c>
      <c r="B1545" s="55" t="n">
        <v>44196</v>
      </c>
      <c r="C1545" s="51" t="s">
        <v>791</v>
      </c>
      <c r="D1545" s="51" t="n">
        <v>0</v>
      </c>
    </row>
    <row r="1546" customFormat="false" ht="15" hidden="true" customHeight="false" outlineLevel="0" collapsed="false">
      <c r="A1546" s="51" t="s">
        <v>438</v>
      </c>
      <c r="B1546" s="55" t="n">
        <v>44196</v>
      </c>
      <c r="C1546" s="51" t="s">
        <v>791</v>
      </c>
      <c r="D1546" s="51" t="n">
        <v>0</v>
      </c>
    </row>
    <row r="1547" customFormat="false" ht="15" hidden="true" customHeight="false" outlineLevel="0" collapsed="false">
      <c r="A1547" s="51" t="s">
        <v>443</v>
      </c>
      <c r="B1547" s="55" t="n">
        <v>44196</v>
      </c>
      <c r="C1547" s="51" t="s">
        <v>791</v>
      </c>
      <c r="D1547" s="51" t="n">
        <v>0</v>
      </c>
    </row>
    <row r="1548" customFormat="false" ht="15" hidden="true" customHeight="false" outlineLevel="0" collapsed="false">
      <c r="A1548" s="51" t="s">
        <v>448</v>
      </c>
      <c r="B1548" s="55" t="n">
        <v>44196</v>
      </c>
      <c r="C1548" s="51" t="s">
        <v>791</v>
      </c>
      <c r="D1548" s="51" t="n">
        <v>0</v>
      </c>
    </row>
    <row r="1549" customFormat="false" ht="15" hidden="true" customHeight="false" outlineLevel="0" collapsed="false">
      <c r="A1549" s="51" t="s">
        <v>453</v>
      </c>
      <c r="B1549" s="55" t="n">
        <v>44196</v>
      </c>
      <c r="C1549" s="51" t="s">
        <v>791</v>
      </c>
      <c r="D1549" s="51" t="n">
        <v>0</v>
      </c>
    </row>
    <row r="1550" customFormat="false" ht="15" hidden="true" customHeight="false" outlineLevel="0" collapsed="false">
      <c r="A1550" s="51" t="s">
        <v>458</v>
      </c>
      <c r="B1550" s="55" t="n">
        <v>44196</v>
      </c>
      <c r="C1550" s="51" t="s">
        <v>791</v>
      </c>
      <c r="D1550" s="51" t="n">
        <v>0</v>
      </c>
    </row>
    <row r="1551" customFormat="false" ht="15" hidden="true" customHeight="false" outlineLevel="0" collapsed="false">
      <c r="A1551" s="51" t="s">
        <v>473</v>
      </c>
      <c r="B1551" s="55" t="n">
        <v>44196</v>
      </c>
      <c r="C1551" s="51" t="s">
        <v>791</v>
      </c>
      <c r="D1551" s="51" t="n">
        <v>0</v>
      </c>
    </row>
    <row r="1552" customFormat="false" ht="15" hidden="true" customHeight="false" outlineLevel="0" collapsed="false">
      <c r="A1552" s="51" t="s">
        <v>479</v>
      </c>
      <c r="B1552" s="55" t="n">
        <v>44196</v>
      </c>
      <c r="C1552" s="51" t="s">
        <v>791</v>
      </c>
      <c r="D1552" s="51" t="n">
        <v>0</v>
      </c>
    </row>
    <row r="1553" customFormat="false" ht="15" hidden="true" customHeight="false" outlineLevel="0" collapsed="false">
      <c r="A1553" s="51" t="s">
        <v>484</v>
      </c>
      <c r="B1553" s="55" t="n">
        <v>44196</v>
      </c>
      <c r="C1553" s="51" t="s">
        <v>791</v>
      </c>
      <c r="D1553" s="51" t="n">
        <v>0</v>
      </c>
    </row>
    <row r="1554" customFormat="false" ht="15" hidden="true" customHeight="false" outlineLevel="0" collapsed="false">
      <c r="A1554" s="51" t="s">
        <v>489</v>
      </c>
      <c r="B1554" s="55" t="n">
        <v>44196</v>
      </c>
      <c r="C1554" s="51" t="s">
        <v>791</v>
      </c>
      <c r="D1554" s="51" t="n">
        <v>0</v>
      </c>
    </row>
    <row r="1555" customFormat="false" ht="15" hidden="true" customHeight="false" outlineLevel="0" collapsed="false">
      <c r="A1555" s="51" t="s">
        <v>494</v>
      </c>
      <c r="B1555" s="55" t="n">
        <v>44196</v>
      </c>
      <c r="C1555" s="51" t="s">
        <v>791</v>
      </c>
      <c r="D1555" s="51" t="n">
        <v>0</v>
      </c>
    </row>
    <row r="1556" customFormat="false" ht="15" hidden="true" customHeight="false" outlineLevel="0" collapsed="false">
      <c r="A1556" s="51" t="s">
        <v>499</v>
      </c>
      <c r="B1556" s="55" t="n">
        <v>44196</v>
      </c>
      <c r="C1556" s="51" t="s">
        <v>791</v>
      </c>
      <c r="D1556" s="51" t="n">
        <v>0</v>
      </c>
    </row>
    <row r="1557" customFormat="false" ht="15" hidden="true" customHeight="false" outlineLevel="0" collapsed="false">
      <c r="A1557" s="51" t="s">
        <v>504</v>
      </c>
      <c r="B1557" s="55" t="n">
        <v>44196</v>
      </c>
      <c r="C1557" s="51" t="s">
        <v>791</v>
      </c>
      <c r="D1557" s="51" t="n">
        <v>0</v>
      </c>
    </row>
    <row r="1558" customFormat="false" ht="15" hidden="true" customHeight="false" outlineLevel="0" collapsed="false">
      <c r="A1558" s="51" t="s">
        <v>509</v>
      </c>
      <c r="B1558" s="55" t="n">
        <v>44196</v>
      </c>
      <c r="C1558" s="51" t="s">
        <v>791</v>
      </c>
      <c r="D1558" s="51" t="n">
        <v>0</v>
      </c>
    </row>
    <row r="1559" customFormat="false" ht="15" hidden="true" customHeight="false" outlineLevel="0" collapsed="false">
      <c r="A1559" s="51" t="s">
        <v>515</v>
      </c>
      <c r="B1559" s="55" t="n">
        <v>44196</v>
      </c>
      <c r="C1559" s="51" t="s">
        <v>791</v>
      </c>
      <c r="D1559" s="51" t="n">
        <v>0</v>
      </c>
    </row>
    <row r="1560" customFormat="false" ht="15" hidden="true" customHeight="false" outlineLevel="0" collapsed="false">
      <c r="A1560" s="51" t="s">
        <v>520</v>
      </c>
      <c r="B1560" s="55" t="n">
        <v>44196</v>
      </c>
      <c r="C1560" s="51" t="s">
        <v>791</v>
      </c>
      <c r="D1560" s="51" t="n">
        <v>0</v>
      </c>
    </row>
    <row r="1561" customFormat="false" ht="15" hidden="true" customHeight="false" outlineLevel="0" collapsed="false">
      <c r="A1561" s="51" t="s">
        <v>525</v>
      </c>
      <c r="B1561" s="55" t="n">
        <v>44196</v>
      </c>
      <c r="C1561" s="51" t="s">
        <v>791</v>
      </c>
      <c r="D1561" s="51" t="n">
        <v>0</v>
      </c>
    </row>
    <row r="1562" customFormat="false" ht="15" hidden="true" customHeight="false" outlineLevel="0" collapsed="false">
      <c r="A1562" s="51" t="s">
        <v>531</v>
      </c>
      <c r="B1562" s="55" t="n">
        <v>44196</v>
      </c>
      <c r="C1562" s="51" t="s">
        <v>791</v>
      </c>
      <c r="D1562" s="51" t="n">
        <v>0</v>
      </c>
    </row>
    <row r="1563" customFormat="false" ht="15" hidden="true" customHeight="false" outlineLevel="0" collapsed="false">
      <c r="A1563" s="51" t="s">
        <v>536</v>
      </c>
      <c r="B1563" s="55" t="n">
        <v>44196</v>
      </c>
      <c r="C1563" s="51" t="s">
        <v>791</v>
      </c>
      <c r="D1563" s="51" t="n">
        <v>0</v>
      </c>
    </row>
    <row r="1564" customFormat="false" ht="15" hidden="true" customHeight="false" outlineLevel="0" collapsed="false">
      <c r="A1564" s="51" t="s">
        <v>541</v>
      </c>
      <c r="B1564" s="55" t="n">
        <v>44196</v>
      </c>
      <c r="C1564" s="51" t="s">
        <v>791</v>
      </c>
      <c r="D1564" s="51" t="n">
        <v>0</v>
      </c>
    </row>
    <row r="1565" customFormat="false" ht="15" hidden="true" customHeight="false" outlineLevel="0" collapsed="false">
      <c r="A1565" s="51" t="s">
        <v>549</v>
      </c>
      <c r="B1565" s="55" t="n">
        <v>44196</v>
      </c>
      <c r="C1565" s="51" t="s">
        <v>791</v>
      </c>
      <c r="D1565" s="51" t="n">
        <v>0</v>
      </c>
    </row>
    <row r="1566" customFormat="false" ht="15" hidden="true" customHeight="false" outlineLevel="0" collapsed="false">
      <c r="A1566" s="51" t="s">
        <v>554</v>
      </c>
      <c r="B1566" s="55" t="n">
        <v>44196</v>
      </c>
      <c r="C1566" s="51" t="s">
        <v>791</v>
      </c>
      <c r="D1566" s="51" t="n">
        <v>0</v>
      </c>
    </row>
    <row r="1567" customFormat="false" ht="15" hidden="true" customHeight="false" outlineLevel="0" collapsed="false">
      <c r="A1567" s="51" t="s">
        <v>559</v>
      </c>
      <c r="B1567" s="55" t="n">
        <v>44196</v>
      </c>
      <c r="C1567" s="51" t="s">
        <v>791</v>
      </c>
      <c r="D1567" s="51" t="n">
        <v>0</v>
      </c>
    </row>
    <row r="1568" customFormat="false" ht="15" hidden="true" customHeight="false" outlineLevel="0" collapsed="false">
      <c r="A1568" s="51" t="s">
        <v>564</v>
      </c>
      <c r="B1568" s="55" t="n">
        <v>44196</v>
      </c>
      <c r="C1568" s="51" t="s">
        <v>791</v>
      </c>
      <c r="D1568" s="51" t="n">
        <v>0</v>
      </c>
    </row>
    <row r="1569" customFormat="false" ht="15" hidden="true" customHeight="false" outlineLevel="0" collapsed="false">
      <c r="A1569" s="51" t="s">
        <v>569</v>
      </c>
      <c r="B1569" s="55" t="n">
        <v>44196</v>
      </c>
      <c r="C1569" s="51" t="s">
        <v>791</v>
      </c>
      <c r="D1569" s="51" t="n">
        <v>0</v>
      </c>
    </row>
    <row r="1570" customFormat="false" ht="15" hidden="true" customHeight="false" outlineLevel="0" collapsed="false">
      <c r="A1570" s="51" t="s">
        <v>574</v>
      </c>
      <c r="B1570" s="55" t="n">
        <v>44196</v>
      </c>
      <c r="C1570" s="51" t="s">
        <v>791</v>
      </c>
      <c r="D1570" s="51" t="n">
        <v>0</v>
      </c>
    </row>
    <row r="1571" customFormat="false" ht="15" hidden="true" customHeight="false" outlineLevel="0" collapsed="false">
      <c r="A1571" s="51" t="s">
        <v>579</v>
      </c>
      <c r="B1571" s="55" t="n">
        <v>44196</v>
      </c>
      <c r="C1571" s="51" t="s">
        <v>791</v>
      </c>
      <c r="D1571" s="51" t="n">
        <v>0</v>
      </c>
    </row>
    <row r="1572" customFormat="false" ht="15" hidden="true" customHeight="false" outlineLevel="0" collapsed="false">
      <c r="A1572" s="51" t="s">
        <v>584</v>
      </c>
      <c r="B1572" s="55" t="n">
        <v>44196</v>
      </c>
      <c r="C1572" s="51" t="s">
        <v>791</v>
      </c>
      <c r="D1572" s="51" t="n">
        <v>0</v>
      </c>
    </row>
    <row r="1573" customFormat="false" ht="15" hidden="true" customHeight="false" outlineLevel="0" collapsed="false">
      <c r="A1573" s="51" t="s">
        <v>589</v>
      </c>
      <c r="B1573" s="55" t="n">
        <v>44196</v>
      </c>
      <c r="C1573" s="51" t="s">
        <v>791</v>
      </c>
      <c r="D1573" s="51" t="n">
        <v>0</v>
      </c>
    </row>
    <row r="1574" customFormat="false" ht="15" hidden="true" customHeight="false" outlineLevel="0" collapsed="false">
      <c r="A1574" s="51" t="s">
        <v>756</v>
      </c>
      <c r="B1574" s="55" t="n">
        <v>44196</v>
      </c>
      <c r="C1574" s="51" t="s">
        <v>791</v>
      </c>
      <c r="D1574" s="51" t="n">
        <v>0</v>
      </c>
    </row>
    <row r="1575" customFormat="false" ht="15" hidden="true" customHeight="false" outlineLevel="0" collapsed="false">
      <c r="A1575" s="51" t="s">
        <v>594</v>
      </c>
      <c r="B1575" s="55" t="n">
        <v>44196</v>
      </c>
      <c r="C1575" s="51" t="s">
        <v>791</v>
      </c>
      <c r="D1575" s="51" t="n">
        <v>0</v>
      </c>
    </row>
    <row r="1576" customFormat="false" ht="15" hidden="true" customHeight="false" outlineLevel="0" collapsed="false">
      <c r="A1576" s="51" t="s">
        <v>761</v>
      </c>
      <c r="B1576" s="55" t="n">
        <v>44196</v>
      </c>
      <c r="C1576" s="51" t="s">
        <v>791</v>
      </c>
      <c r="D1576" s="51" t="n">
        <v>0</v>
      </c>
    </row>
    <row r="1577" customFormat="false" ht="15" hidden="true" customHeight="false" outlineLevel="0" collapsed="false">
      <c r="A1577" s="51" t="s">
        <v>599</v>
      </c>
      <c r="B1577" s="55" t="n">
        <v>44196</v>
      </c>
      <c r="C1577" s="51" t="s">
        <v>791</v>
      </c>
      <c r="D1577" s="51" t="n">
        <v>0</v>
      </c>
    </row>
    <row r="1578" customFormat="false" ht="15" hidden="true" customHeight="false" outlineLevel="0" collapsed="false">
      <c r="A1578" s="51" t="s">
        <v>604</v>
      </c>
      <c r="B1578" s="55" t="n">
        <v>44196</v>
      </c>
      <c r="C1578" s="51" t="s">
        <v>791</v>
      </c>
      <c r="D1578" s="51" t="n">
        <v>0</v>
      </c>
    </row>
    <row r="1579" customFormat="false" ht="15" hidden="true" customHeight="false" outlineLevel="0" collapsed="false">
      <c r="A1579" s="51" t="s">
        <v>609</v>
      </c>
      <c r="B1579" s="55" t="n">
        <v>44196</v>
      </c>
      <c r="C1579" s="51" t="s">
        <v>791</v>
      </c>
      <c r="D1579" s="51" t="n">
        <v>0</v>
      </c>
    </row>
    <row r="1580" customFormat="false" ht="15" hidden="true" customHeight="false" outlineLevel="0" collapsed="false">
      <c r="A1580" s="51" t="s">
        <v>614</v>
      </c>
      <c r="B1580" s="55" t="n">
        <v>44196</v>
      </c>
      <c r="C1580" s="51" t="s">
        <v>791</v>
      </c>
      <c r="D1580" s="51" t="n">
        <v>0</v>
      </c>
    </row>
    <row r="1581" customFormat="false" ht="15" hidden="true" customHeight="false" outlineLevel="0" collapsed="false">
      <c r="A1581" s="51" t="s">
        <v>619</v>
      </c>
      <c r="B1581" s="55" t="n">
        <v>44196</v>
      </c>
      <c r="C1581" s="51" t="s">
        <v>791</v>
      </c>
      <c r="D1581" s="51" t="n">
        <v>0</v>
      </c>
    </row>
    <row r="1582" customFormat="false" ht="15" hidden="true" customHeight="false" outlineLevel="0" collapsed="false">
      <c r="A1582" s="51" t="s">
        <v>624</v>
      </c>
      <c r="B1582" s="55" t="n">
        <v>44196</v>
      </c>
      <c r="C1582" s="51" t="s">
        <v>791</v>
      </c>
      <c r="D1582" s="51" t="n">
        <v>0</v>
      </c>
    </row>
    <row r="1583" customFormat="false" ht="15" hidden="true" customHeight="false" outlineLevel="0" collapsed="false">
      <c r="A1583" s="51" t="s">
        <v>629</v>
      </c>
      <c r="B1583" s="55" t="n">
        <v>44196</v>
      </c>
      <c r="C1583" s="51" t="s">
        <v>791</v>
      </c>
      <c r="D1583" s="51" t="n">
        <v>0</v>
      </c>
    </row>
    <row r="1584" customFormat="false" ht="15" hidden="true" customHeight="false" outlineLevel="0" collapsed="false">
      <c r="A1584" s="51" t="s">
        <v>633</v>
      </c>
      <c r="B1584" s="55" t="n">
        <v>44196</v>
      </c>
      <c r="C1584" s="51" t="s">
        <v>791</v>
      </c>
      <c r="D1584" s="51" t="n">
        <v>0</v>
      </c>
    </row>
    <row r="1585" customFormat="false" ht="15" hidden="true" customHeight="false" outlineLevel="0" collapsed="false">
      <c r="A1585" s="51" t="s">
        <v>638</v>
      </c>
      <c r="B1585" s="55" t="n">
        <v>44196</v>
      </c>
      <c r="C1585" s="51" t="s">
        <v>791</v>
      </c>
      <c r="D1585" s="51" t="n">
        <v>0</v>
      </c>
    </row>
    <row r="1586" customFormat="false" ht="15" hidden="true" customHeight="false" outlineLevel="0" collapsed="false">
      <c r="A1586" s="51" t="s">
        <v>642</v>
      </c>
      <c r="B1586" s="55" t="n">
        <v>44196</v>
      </c>
      <c r="C1586" s="51" t="s">
        <v>791</v>
      </c>
      <c r="D1586" s="51" t="n">
        <v>0</v>
      </c>
    </row>
    <row r="1587" customFormat="false" ht="15" hidden="true" customHeight="false" outlineLevel="0" collapsed="false">
      <c r="A1587" s="51" t="s">
        <v>646</v>
      </c>
      <c r="B1587" s="55" t="n">
        <v>44196</v>
      </c>
      <c r="C1587" s="51" t="s">
        <v>791</v>
      </c>
      <c r="D1587" s="51" t="n">
        <v>0</v>
      </c>
    </row>
    <row r="1588" customFormat="false" ht="15" hidden="true" customHeight="false" outlineLevel="0" collapsed="false">
      <c r="A1588" s="51" t="s">
        <v>651</v>
      </c>
      <c r="B1588" s="55" t="n">
        <v>44196</v>
      </c>
      <c r="C1588" s="51" t="s">
        <v>791</v>
      </c>
      <c r="D1588" s="51" t="n">
        <v>0</v>
      </c>
    </row>
    <row r="1589" customFormat="false" ht="15" hidden="true" customHeight="false" outlineLevel="0" collapsed="false">
      <c r="A1589" s="51" t="s">
        <v>656</v>
      </c>
      <c r="B1589" s="55" t="n">
        <v>44196</v>
      </c>
      <c r="C1589" s="51" t="s">
        <v>791</v>
      </c>
      <c r="D1589" s="51" t="n">
        <v>0</v>
      </c>
    </row>
    <row r="1590" customFormat="false" ht="15" hidden="true" customHeight="false" outlineLevel="0" collapsed="false">
      <c r="A1590" s="51" t="s">
        <v>661</v>
      </c>
      <c r="B1590" s="55" t="n">
        <v>44196</v>
      </c>
      <c r="C1590" s="51" t="s">
        <v>791</v>
      </c>
      <c r="D1590" s="51" t="n">
        <v>0</v>
      </c>
    </row>
    <row r="1591" customFormat="false" ht="15" hidden="true" customHeight="false" outlineLevel="0" collapsed="false">
      <c r="A1591" s="51" t="s">
        <v>666</v>
      </c>
      <c r="B1591" s="55" t="n">
        <v>44196</v>
      </c>
      <c r="C1591" s="51" t="s">
        <v>791</v>
      </c>
      <c r="D1591" s="51" t="n">
        <v>0</v>
      </c>
    </row>
    <row r="1592" customFormat="false" ht="15" hidden="true" customHeight="false" outlineLevel="0" collapsed="false">
      <c r="A1592" s="51" t="s">
        <v>671</v>
      </c>
      <c r="B1592" s="55" t="n">
        <v>44196</v>
      </c>
      <c r="C1592" s="51" t="s">
        <v>791</v>
      </c>
      <c r="D1592" s="51" t="n">
        <v>0</v>
      </c>
    </row>
    <row r="1593" customFormat="false" ht="15" hidden="true" customHeight="false" outlineLevel="0" collapsed="false">
      <c r="A1593" s="51" t="s">
        <v>676</v>
      </c>
      <c r="B1593" s="55" t="n">
        <v>44196</v>
      </c>
      <c r="C1593" s="51" t="s">
        <v>791</v>
      </c>
      <c r="D1593" s="51" t="n">
        <v>0</v>
      </c>
    </row>
    <row r="1594" customFormat="false" ht="15" hidden="true" customHeight="false" outlineLevel="0" collapsed="false">
      <c r="A1594" s="51" t="s">
        <v>681</v>
      </c>
      <c r="B1594" s="55" t="n">
        <v>44196</v>
      </c>
      <c r="C1594" s="51" t="s">
        <v>791</v>
      </c>
      <c r="D1594" s="51" t="n">
        <v>0</v>
      </c>
    </row>
    <row r="1595" customFormat="false" ht="15" hidden="true" customHeight="false" outlineLevel="0" collapsed="false">
      <c r="A1595" s="51" t="s">
        <v>686</v>
      </c>
      <c r="B1595" s="55" t="n">
        <v>44196</v>
      </c>
      <c r="C1595" s="51" t="s">
        <v>791</v>
      </c>
      <c r="D1595" s="51" t="n">
        <v>0</v>
      </c>
    </row>
    <row r="1596" customFormat="false" ht="15" hidden="true" customHeight="false" outlineLevel="0" collapsed="false">
      <c r="A1596" s="51" t="s">
        <v>691</v>
      </c>
      <c r="B1596" s="55" t="n">
        <v>44196</v>
      </c>
      <c r="C1596" s="51" t="s">
        <v>791</v>
      </c>
      <c r="D1596" s="51" t="n">
        <v>0</v>
      </c>
    </row>
    <row r="1597" customFormat="false" ht="15" hidden="true" customHeight="false" outlineLevel="0" collapsed="false">
      <c r="A1597" s="51" t="s">
        <v>696</v>
      </c>
      <c r="B1597" s="55" t="n">
        <v>44196</v>
      </c>
      <c r="C1597" s="51" t="s">
        <v>791</v>
      </c>
      <c r="D1597" s="51" t="n">
        <v>0</v>
      </c>
    </row>
    <row r="1598" customFormat="false" ht="15" hidden="true" customHeight="false" outlineLevel="0" collapsed="false">
      <c r="A1598" s="51" t="s">
        <v>701</v>
      </c>
      <c r="B1598" s="55" t="n">
        <v>44196</v>
      </c>
      <c r="C1598" s="51" t="s">
        <v>791</v>
      </c>
      <c r="D1598" s="51" t="n">
        <v>0</v>
      </c>
    </row>
    <row r="1599" customFormat="false" ht="15" hidden="true" customHeight="false" outlineLevel="0" collapsed="false">
      <c r="A1599" s="51" t="s">
        <v>707</v>
      </c>
      <c r="B1599" s="55" t="n">
        <v>44196</v>
      </c>
      <c r="C1599" s="51" t="s">
        <v>791</v>
      </c>
      <c r="D1599" s="51" t="n">
        <v>0</v>
      </c>
    </row>
    <row r="1600" customFormat="false" ht="15" hidden="true" customHeight="false" outlineLevel="0" collapsed="false">
      <c r="A1600" s="51" t="s">
        <v>712</v>
      </c>
      <c r="B1600" s="55" t="n">
        <v>44196</v>
      </c>
      <c r="C1600" s="51" t="s">
        <v>791</v>
      </c>
      <c r="D1600" s="51" t="n">
        <v>0</v>
      </c>
    </row>
    <row r="1601" customFormat="false" ht="15" hidden="true" customHeight="false" outlineLevel="0" collapsed="false">
      <c r="A1601" s="51" t="s">
        <v>717</v>
      </c>
      <c r="B1601" s="55" t="n">
        <v>44196</v>
      </c>
      <c r="C1601" s="51" t="s">
        <v>791</v>
      </c>
      <c r="D1601" s="51" t="n">
        <v>0</v>
      </c>
    </row>
    <row r="1602" customFormat="false" ht="15" hidden="true" customHeight="false" outlineLevel="0" collapsed="false">
      <c r="A1602" s="51" t="s">
        <v>767</v>
      </c>
      <c r="B1602" s="55" t="n">
        <v>44196</v>
      </c>
      <c r="C1602" s="51" t="s">
        <v>791</v>
      </c>
      <c r="D1602" s="51" t="n">
        <v>0</v>
      </c>
    </row>
    <row r="1603" customFormat="false" ht="15" hidden="true" customHeight="false" outlineLevel="0" collapsed="false">
      <c r="A1603" s="51" t="s">
        <v>722</v>
      </c>
      <c r="B1603" s="55" t="n">
        <v>44196</v>
      </c>
      <c r="C1603" s="51" t="s">
        <v>791</v>
      </c>
      <c r="D1603" s="51" t="n">
        <v>0</v>
      </c>
    </row>
    <row r="1604" customFormat="false" ht="15" hidden="true" customHeight="false" outlineLevel="0" collapsed="false">
      <c r="A1604" s="51" t="s">
        <v>727</v>
      </c>
      <c r="B1604" s="55" t="n">
        <v>44196</v>
      </c>
      <c r="C1604" s="51" t="s">
        <v>791</v>
      </c>
      <c r="D1604" s="51" t="n">
        <v>0</v>
      </c>
    </row>
    <row r="1605" customFormat="false" ht="15" hidden="true" customHeight="false" outlineLevel="0" collapsed="false">
      <c r="A1605" s="51" t="s">
        <v>732</v>
      </c>
      <c r="B1605" s="55" t="n">
        <v>44196</v>
      </c>
      <c r="C1605" s="51" t="s">
        <v>791</v>
      </c>
      <c r="D1605" s="51" t="n">
        <v>0</v>
      </c>
    </row>
    <row r="1606" customFormat="false" ht="15" hidden="true" customHeight="false" outlineLevel="0" collapsed="false">
      <c r="A1606" s="51" t="s">
        <v>736</v>
      </c>
      <c r="B1606" s="55" t="n">
        <v>44196</v>
      </c>
      <c r="C1606" s="51" t="s">
        <v>791</v>
      </c>
      <c r="D1606" s="51" t="n">
        <v>0</v>
      </c>
    </row>
    <row r="1607" customFormat="false" ht="15" hidden="true" customHeight="false" outlineLevel="0" collapsed="false">
      <c r="A1607" s="51" t="s">
        <v>741</v>
      </c>
      <c r="B1607" s="55" t="n">
        <v>44196</v>
      </c>
      <c r="C1607" s="51" t="s">
        <v>791</v>
      </c>
      <c r="D1607" s="51" t="n">
        <v>0</v>
      </c>
    </row>
    <row r="1608" customFormat="false" ht="15" hidden="true" customHeight="false" outlineLevel="0" collapsed="false">
      <c r="A1608" s="51" t="s">
        <v>746</v>
      </c>
      <c r="B1608" s="55" t="n">
        <v>44196</v>
      </c>
      <c r="C1608" s="51" t="s">
        <v>791</v>
      </c>
      <c r="D1608" s="51" t="n">
        <v>0</v>
      </c>
    </row>
    <row r="1609" customFormat="false" ht="15" hidden="true" customHeight="false" outlineLevel="0" collapsed="false">
      <c r="A1609" s="51" t="s">
        <v>751</v>
      </c>
      <c r="B1609" s="55" t="n">
        <v>44196</v>
      </c>
      <c r="C1609" s="51" t="s">
        <v>791</v>
      </c>
      <c r="D1609" s="51" t="n">
        <v>0</v>
      </c>
    </row>
    <row r="1610" customFormat="false" ht="15" hidden="false" customHeight="false" outlineLevel="0" collapsed="false">
      <c r="A1610" s="51" t="s">
        <v>781</v>
      </c>
      <c r="B1610" s="55" t="n">
        <v>44285</v>
      </c>
      <c r="C1610" s="51" t="s">
        <v>782</v>
      </c>
      <c r="D1610" s="51" t="n">
        <v>0</v>
      </c>
    </row>
    <row r="1611" customFormat="false" ht="15" hidden="true" customHeight="false" outlineLevel="0" collapsed="false">
      <c r="A1611" s="51" t="s">
        <v>783</v>
      </c>
      <c r="B1611" s="55" t="n">
        <v>44285</v>
      </c>
      <c r="C1611" s="51" t="s">
        <v>782</v>
      </c>
      <c r="D1611" s="51" t="n">
        <v>0</v>
      </c>
    </row>
    <row r="1612" customFormat="false" ht="15" hidden="true" customHeight="false" outlineLevel="0" collapsed="false">
      <c r="A1612" s="51" t="s">
        <v>96</v>
      </c>
      <c r="B1612" s="55" t="n">
        <v>44285</v>
      </c>
      <c r="C1612" s="51" t="s">
        <v>782</v>
      </c>
      <c r="D1612" s="51" t="n">
        <v>0</v>
      </c>
    </row>
    <row r="1613" customFormat="false" ht="15" hidden="true" customHeight="false" outlineLevel="0" collapsed="false">
      <c r="A1613" s="51" t="s">
        <v>101</v>
      </c>
      <c r="B1613" s="55" t="n">
        <v>44285</v>
      </c>
      <c r="C1613" s="51" t="s">
        <v>782</v>
      </c>
      <c r="D1613" s="51" t="n">
        <v>0</v>
      </c>
    </row>
    <row r="1614" customFormat="false" ht="15" hidden="true" customHeight="false" outlineLevel="0" collapsed="false">
      <c r="A1614" s="51" t="s">
        <v>106</v>
      </c>
      <c r="B1614" s="55" t="n">
        <v>44285</v>
      </c>
      <c r="C1614" s="51" t="s">
        <v>782</v>
      </c>
      <c r="D1614" s="51" t="n">
        <v>0</v>
      </c>
    </row>
    <row r="1615" customFormat="false" ht="15" hidden="true" customHeight="false" outlineLevel="0" collapsed="false">
      <c r="A1615" s="51" t="s">
        <v>110</v>
      </c>
      <c r="B1615" s="55" t="n">
        <v>44285</v>
      </c>
      <c r="C1615" s="51" t="s">
        <v>782</v>
      </c>
      <c r="D1615" s="51" t="n">
        <v>0</v>
      </c>
    </row>
    <row r="1616" customFormat="false" ht="15" hidden="true" customHeight="false" outlineLevel="0" collapsed="false">
      <c r="A1616" s="51" t="s">
        <v>115</v>
      </c>
      <c r="B1616" s="55" t="n">
        <v>44285</v>
      </c>
      <c r="C1616" s="51" t="s">
        <v>782</v>
      </c>
      <c r="D1616" s="51" t="n">
        <v>0</v>
      </c>
    </row>
    <row r="1617" customFormat="false" ht="15" hidden="true" customHeight="false" outlineLevel="0" collapsed="false">
      <c r="A1617" s="51" t="s">
        <v>120</v>
      </c>
      <c r="B1617" s="55" t="n">
        <v>44285</v>
      </c>
      <c r="C1617" s="51" t="s">
        <v>782</v>
      </c>
      <c r="D1617" s="51" t="n">
        <v>0</v>
      </c>
    </row>
    <row r="1618" customFormat="false" ht="15" hidden="true" customHeight="false" outlineLevel="0" collapsed="false">
      <c r="A1618" s="51" t="s">
        <v>124</v>
      </c>
      <c r="B1618" s="55" t="n">
        <v>44285</v>
      </c>
      <c r="C1618" s="51" t="s">
        <v>782</v>
      </c>
      <c r="D1618" s="51" t="n">
        <v>0</v>
      </c>
    </row>
    <row r="1619" customFormat="false" ht="15" hidden="true" customHeight="false" outlineLevel="0" collapsed="false">
      <c r="A1619" s="51" t="s">
        <v>129</v>
      </c>
      <c r="B1619" s="55" t="n">
        <v>44285</v>
      </c>
      <c r="C1619" s="51" t="s">
        <v>782</v>
      </c>
      <c r="D1619" s="51" t="n">
        <v>0</v>
      </c>
    </row>
    <row r="1620" customFormat="false" ht="15" hidden="true" customHeight="false" outlineLevel="0" collapsed="false">
      <c r="A1620" s="51" t="s">
        <v>134</v>
      </c>
      <c r="B1620" s="55" t="n">
        <v>44285</v>
      </c>
      <c r="C1620" s="51" t="s">
        <v>782</v>
      </c>
      <c r="D1620" s="51" t="n">
        <v>0</v>
      </c>
    </row>
    <row r="1621" customFormat="false" ht="15" hidden="true" customHeight="false" outlineLevel="0" collapsed="false">
      <c r="A1621" s="51" t="s">
        <v>141</v>
      </c>
      <c r="B1621" s="55" t="n">
        <v>44285</v>
      </c>
      <c r="C1621" s="51" t="s">
        <v>782</v>
      </c>
      <c r="D1621" s="51" t="n">
        <v>0</v>
      </c>
    </row>
    <row r="1622" customFormat="false" ht="15" hidden="true" customHeight="false" outlineLevel="0" collapsed="false">
      <c r="A1622" s="51" t="s">
        <v>146</v>
      </c>
      <c r="B1622" s="55" t="n">
        <v>44285</v>
      </c>
      <c r="C1622" s="51" t="s">
        <v>782</v>
      </c>
      <c r="D1622" s="51" t="n">
        <v>0</v>
      </c>
    </row>
    <row r="1623" customFormat="false" ht="15" hidden="true" customHeight="false" outlineLevel="0" collapsed="false">
      <c r="A1623" s="51" t="s">
        <v>151</v>
      </c>
      <c r="B1623" s="55" t="n">
        <v>44285</v>
      </c>
      <c r="C1623" s="51" t="s">
        <v>782</v>
      </c>
      <c r="D1623" s="51" t="n">
        <v>0</v>
      </c>
    </row>
    <row r="1624" customFormat="false" ht="15" hidden="true" customHeight="false" outlineLevel="0" collapsed="false">
      <c r="A1624" s="51" t="s">
        <v>156</v>
      </c>
      <c r="B1624" s="55" t="n">
        <v>44285</v>
      </c>
      <c r="C1624" s="51" t="s">
        <v>782</v>
      </c>
      <c r="D1624" s="51" t="n">
        <v>0</v>
      </c>
    </row>
    <row r="1625" customFormat="false" ht="15" hidden="true" customHeight="false" outlineLevel="0" collapsed="false">
      <c r="A1625" s="51" t="s">
        <v>161</v>
      </c>
      <c r="B1625" s="55" t="n">
        <v>44285</v>
      </c>
      <c r="C1625" s="51" t="s">
        <v>782</v>
      </c>
      <c r="D1625" s="51" t="n">
        <v>175000</v>
      </c>
    </row>
    <row r="1626" customFormat="false" ht="15" hidden="true" customHeight="false" outlineLevel="0" collapsed="false">
      <c r="A1626" s="51" t="s">
        <v>166</v>
      </c>
      <c r="B1626" s="55" t="n">
        <v>44285</v>
      </c>
      <c r="C1626" s="51" t="s">
        <v>782</v>
      </c>
      <c r="D1626" s="51" t="n">
        <v>0</v>
      </c>
    </row>
    <row r="1627" customFormat="false" ht="15" hidden="true" customHeight="false" outlineLevel="0" collapsed="false">
      <c r="A1627" s="51" t="s">
        <v>171</v>
      </c>
      <c r="B1627" s="55" t="n">
        <v>44285</v>
      </c>
      <c r="C1627" s="51" t="s">
        <v>782</v>
      </c>
      <c r="D1627" s="51" t="n">
        <v>0</v>
      </c>
    </row>
    <row r="1628" customFormat="false" ht="15" hidden="true" customHeight="false" outlineLevel="0" collapsed="false">
      <c r="A1628" s="51" t="s">
        <v>176</v>
      </c>
      <c r="B1628" s="55" t="n">
        <v>44285</v>
      </c>
      <c r="C1628" s="51" t="s">
        <v>782</v>
      </c>
      <c r="D1628" s="51" t="n">
        <v>0</v>
      </c>
    </row>
    <row r="1629" customFormat="false" ht="15" hidden="true" customHeight="false" outlineLevel="0" collapsed="false">
      <c r="A1629" s="51" t="s">
        <v>181</v>
      </c>
      <c r="B1629" s="55" t="n">
        <v>44285</v>
      </c>
      <c r="C1629" s="51" t="s">
        <v>782</v>
      </c>
      <c r="D1629" s="51" t="n">
        <v>4388400</v>
      </c>
    </row>
    <row r="1630" customFormat="false" ht="15" hidden="true" customHeight="false" outlineLevel="0" collapsed="false">
      <c r="A1630" s="51" t="s">
        <v>186</v>
      </c>
      <c r="B1630" s="55" t="n">
        <v>44285</v>
      </c>
      <c r="C1630" s="51" t="s">
        <v>782</v>
      </c>
      <c r="D1630" s="51" t="n">
        <v>700000</v>
      </c>
    </row>
    <row r="1631" customFormat="false" ht="15" hidden="true" customHeight="false" outlineLevel="0" collapsed="false">
      <c r="A1631" s="51" t="s">
        <v>191</v>
      </c>
      <c r="B1631" s="55" t="n">
        <v>44285</v>
      </c>
      <c r="C1631" s="51" t="s">
        <v>782</v>
      </c>
      <c r="D1631" s="51" t="n">
        <v>165000</v>
      </c>
    </row>
    <row r="1632" customFormat="false" ht="15" hidden="true" customHeight="false" outlineLevel="0" collapsed="false">
      <c r="A1632" s="51" t="s">
        <v>196</v>
      </c>
      <c r="B1632" s="55" t="n">
        <v>44285</v>
      </c>
      <c r="C1632" s="51" t="s">
        <v>782</v>
      </c>
      <c r="D1632" s="51" t="n">
        <v>0</v>
      </c>
    </row>
    <row r="1633" customFormat="false" ht="15" hidden="true" customHeight="false" outlineLevel="0" collapsed="false">
      <c r="A1633" s="51" t="s">
        <v>201</v>
      </c>
      <c r="B1633" s="55" t="n">
        <v>44285</v>
      </c>
      <c r="C1633" s="51" t="s">
        <v>782</v>
      </c>
      <c r="D1633" s="51" t="n">
        <v>0</v>
      </c>
    </row>
    <row r="1634" customFormat="false" ht="15" hidden="true" customHeight="false" outlineLevel="0" collapsed="false">
      <c r="A1634" s="51" t="s">
        <v>206</v>
      </c>
      <c r="B1634" s="55" t="n">
        <v>44285</v>
      </c>
      <c r="C1634" s="51" t="s">
        <v>782</v>
      </c>
      <c r="D1634" s="51" t="n">
        <v>0</v>
      </c>
    </row>
    <row r="1635" customFormat="false" ht="15" hidden="true" customHeight="false" outlineLevel="0" collapsed="false">
      <c r="A1635" s="51" t="s">
        <v>210</v>
      </c>
      <c r="B1635" s="55" t="n">
        <v>44285</v>
      </c>
      <c r="C1635" s="51" t="s">
        <v>782</v>
      </c>
      <c r="D1635" s="51" t="n">
        <v>0</v>
      </c>
    </row>
    <row r="1636" customFormat="false" ht="15" hidden="true" customHeight="false" outlineLevel="0" collapsed="false">
      <c r="A1636" s="51" t="s">
        <v>215</v>
      </c>
      <c r="B1636" s="55" t="n">
        <v>44285</v>
      </c>
      <c r="C1636" s="51" t="s">
        <v>782</v>
      </c>
      <c r="D1636" s="51" t="n">
        <v>0</v>
      </c>
    </row>
    <row r="1637" customFormat="false" ht="15" hidden="true" customHeight="false" outlineLevel="0" collapsed="false">
      <c r="A1637" s="51" t="s">
        <v>790</v>
      </c>
      <c r="B1637" s="55" t="n">
        <v>44285</v>
      </c>
      <c r="C1637" s="51" t="s">
        <v>782</v>
      </c>
      <c r="D1637" s="51" t="n">
        <v>0</v>
      </c>
    </row>
    <row r="1638" customFormat="false" ht="15" hidden="true" customHeight="false" outlineLevel="0" collapsed="false">
      <c r="A1638" s="51" t="s">
        <v>225</v>
      </c>
      <c r="B1638" s="55" t="n">
        <v>44285</v>
      </c>
      <c r="C1638" s="51" t="s">
        <v>782</v>
      </c>
      <c r="D1638" s="51" t="n">
        <v>0</v>
      </c>
    </row>
    <row r="1639" customFormat="false" ht="15" hidden="true" customHeight="false" outlineLevel="0" collapsed="false">
      <c r="A1639" s="51" t="s">
        <v>230</v>
      </c>
      <c r="B1639" s="55" t="n">
        <v>44285</v>
      </c>
      <c r="C1639" s="51" t="s">
        <v>782</v>
      </c>
      <c r="D1639" s="51" t="n">
        <v>0</v>
      </c>
    </row>
    <row r="1640" customFormat="false" ht="15" hidden="true" customHeight="false" outlineLevel="0" collapsed="false">
      <c r="A1640" s="51" t="s">
        <v>235</v>
      </c>
      <c r="B1640" s="55" t="n">
        <v>44285</v>
      </c>
      <c r="C1640" s="51" t="s">
        <v>782</v>
      </c>
      <c r="D1640" s="51" t="n">
        <v>0</v>
      </c>
    </row>
    <row r="1641" customFormat="false" ht="15" hidden="true" customHeight="false" outlineLevel="0" collapsed="false">
      <c r="A1641" s="51" t="s">
        <v>240</v>
      </c>
      <c r="B1641" s="55" t="n">
        <v>44285</v>
      </c>
      <c r="C1641" s="51" t="s">
        <v>782</v>
      </c>
      <c r="D1641" s="51" t="n">
        <v>0</v>
      </c>
    </row>
    <row r="1642" customFormat="false" ht="15" hidden="true" customHeight="false" outlineLevel="0" collapsed="false">
      <c r="A1642" s="51" t="s">
        <v>246</v>
      </c>
      <c r="B1642" s="55" t="n">
        <v>44285</v>
      </c>
      <c r="C1642" s="51" t="s">
        <v>782</v>
      </c>
      <c r="D1642" s="51" t="n">
        <v>0</v>
      </c>
    </row>
    <row r="1643" customFormat="false" ht="15" hidden="true" customHeight="false" outlineLevel="0" collapsed="false">
      <c r="A1643" s="51" t="s">
        <v>252</v>
      </c>
      <c r="B1643" s="55" t="n">
        <v>44285</v>
      </c>
      <c r="C1643" s="51" t="s">
        <v>782</v>
      </c>
      <c r="D1643" s="51" t="n">
        <v>0</v>
      </c>
    </row>
    <row r="1644" customFormat="false" ht="15" hidden="true" customHeight="false" outlineLevel="0" collapsed="false">
      <c r="A1644" s="51" t="s">
        <v>257</v>
      </c>
      <c r="B1644" s="55" t="n">
        <v>44285</v>
      </c>
      <c r="C1644" s="51" t="s">
        <v>782</v>
      </c>
      <c r="D1644" s="51" t="n">
        <v>0</v>
      </c>
    </row>
    <row r="1645" customFormat="false" ht="15" hidden="true" customHeight="false" outlineLevel="0" collapsed="false">
      <c r="A1645" s="51" t="s">
        <v>262</v>
      </c>
      <c r="B1645" s="55" t="n">
        <v>44285</v>
      </c>
      <c r="C1645" s="51" t="s">
        <v>782</v>
      </c>
      <c r="D1645" s="51" t="n">
        <v>0</v>
      </c>
    </row>
    <row r="1646" customFormat="false" ht="15" hidden="true" customHeight="false" outlineLevel="0" collapsed="false">
      <c r="A1646" s="51" t="s">
        <v>267</v>
      </c>
      <c r="B1646" s="55" t="n">
        <v>44285</v>
      </c>
      <c r="C1646" s="51" t="s">
        <v>782</v>
      </c>
      <c r="D1646" s="51" t="n">
        <v>0</v>
      </c>
    </row>
    <row r="1647" customFormat="false" ht="15" hidden="true" customHeight="false" outlineLevel="0" collapsed="false">
      <c r="A1647" s="51" t="s">
        <v>272</v>
      </c>
      <c r="B1647" s="55" t="n">
        <v>44285</v>
      </c>
      <c r="C1647" s="51" t="s">
        <v>782</v>
      </c>
      <c r="D1647" s="51" t="n">
        <v>0</v>
      </c>
    </row>
    <row r="1648" customFormat="false" ht="15" hidden="true" customHeight="false" outlineLevel="0" collapsed="false">
      <c r="A1648" s="51" t="s">
        <v>277</v>
      </c>
      <c r="B1648" s="55" t="n">
        <v>44285</v>
      </c>
      <c r="C1648" s="51" t="s">
        <v>782</v>
      </c>
      <c r="D1648" s="51" t="n">
        <v>113400</v>
      </c>
    </row>
    <row r="1649" customFormat="false" ht="15" hidden="true" customHeight="false" outlineLevel="0" collapsed="false">
      <c r="A1649" s="51" t="s">
        <v>282</v>
      </c>
      <c r="B1649" s="55" t="n">
        <v>44285</v>
      </c>
      <c r="C1649" s="51" t="s">
        <v>782</v>
      </c>
      <c r="D1649" s="51" t="n">
        <v>0</v>
      </c>
    </row>
    <row r="1650" customFormat="false" ht="15" hidden="true" customHeight="false" outlineLevel="0" collapsed="false">
      <c r="A1650" s="51" t="s">
        <v>287</v>
      </c>
      <c r="B1650" s="55" t="n">
        <v>44285</v>
      </c>
      <c r="C1650" s="51" t="s">
        <v>782</v>
      </c>
      <c r="D1650" s="51" t="n">
        <v>0</v>
      </c>
    </row>
    <row r="1651" customFormat="false" ht="15" hidden="true" customHeight="false" outlineLevel="0" collapsed="false">
      <c r="A1651" s="51" t="s">
        <v>292</v>
      </c>
      <c r="B1651" s="55" t="n">
        <v>44285</v>
      </c>
      <c r="C1651" s="51" t="s">
        <v>782</v>
      </c>
      <c r="D1651" s="51" t="n">
        <v>0</v>
      </c>
    </row>
    <row r="1652" customFormat="false" ht="15" hidden="true" customHeight="false" outlineLevel="0" collapsed="false">
      <c r="A1652" s="51" t="s">
        <v>297</v>
      </c>
      <c r="B1652" s="55" t="n">
        <v>44285</v>
      </c>
      <c r="C1652" s="51" t="s">
        <v>782</v>
      </c>
      <c r="D1652" s="51" t="n">
        <v>0</v>
      </c>
    </row>
    <row r="1653" customFormat="false" ht="15" hidden="true" customHeight="false" outlineLevel="0" collapsed="false">
      <c r="A1653" s="51" t="s">
        <v>302</v>
      </c>
      <c r="B1653" s="55" t="n">
        <v>44285</v>
      </c>
      <c r="C1653" s="51" t="s">
        <v>782</v>
      </c>
      <c r="D1653" s="51" t="n">
        <v>0</v>
      </c>
    </row>
    <row r="1654" customFormat="false" ht="15" hidden="true" customHeight="false" outlineLevel="0" collapsed="false">
      <c r="A1654" s="51" t="s">
        <v>307</v>
      </c>
      <c r="B1654" s="55" t="n">
        <v>44285</v>
      </c>
      <c r="C1654" s="51" t="s">
        <v>782</v>
      </c>
      <c r="D1654" s="51" t="n">
        <v>0</v>
      </c>
    </row>
    <row r="1655" customFormat="false" ht="15" hidden="true" customHeight="false" outlineLevel="0" collapsed="false">
      <c r="A1655" s="51" t="s">
        <v>311</v>
      </c>
      <c r="B1655" s="55" t="n">
        <v>44285</v>
      </c>
      <c r="C1655" s="51" t="s">
        <v>782</v>
      </c>
      <c r="D1655" s="51" t="n">
        <v>0</v>
      </c>
    </row>
    <row r="1656" customFormat="false" ht="15" hidden="true" customHeight="false" outlineLevel="0" collapsed="false">
      <c r="A1656" s="51" t="s">
        <v>317</v>
      </c>
      <c r="B1656" s="55" t="n">
        <v>44285</v>
      </c>
      <c r="C1656" s="51" t="s">
        <v>782</v>
      </c>
      <c r="D1656" s="51" t="n">
        <v>0</v>
      </c>
    </row>
    <row r="1657" customFormat="false" ht="15" hidden="true" customHeight="false" outlineLevel="0" collapsed="false">
      <c r="A1657" s="51" t="s">
        <v>322</v>
      </c>
      <c r="B1657" s="55" t="n">
        <v>44285</v>
      </c>
      <c r="C1657" s="51" t="s">
        <v>782</v>
      </c>
      <c r="D1657" s="51" t="n">
        <v>0</v>
      </c>
    </row>
    <row r="1658" customFormat="false" ht="15" hidden="true" customHeight="false" outlineLevel="0" collapsed="false">
      <c r="A1658" s="51" t="s">
        <v>327</v>
      </c>
      <c r="B1658" s="55" t="n">
        <v>44285</v>
      </c>
      <c r="C1658" s="51" t="s">
        <v>782</v>
      </c>
      <c r="D1658" s="51" t="n">
        <v>0</v>
      </c>
    </row>
    <row r="1659" customFormat="false" ht="15" hidden="true" customHeight="false" outlineLevel="0" collapsed="false">
      <c r="A1659" s="51" t="s">
        <v>332</v>
      </c>
      <c r="B1659" s="55" t="n">
        <v>44285</v>
      </c>
      <c r="C1659" s="51" t="s">
        <v>782</v>
      </c>
      <c r="D1659" s="51" t="n">
        <v>0</v>
      </c>
    </row>
    <row r="1660" customFormat="false" ht="15" hidden="true" customHeight="false" outlineLevel="0" collapsed="false">
      <c r="A1660" s="51" t="s">
        <v>339</v>
      </c>
      <c r="B1660" s="55" t="n">
        <v>44285</v>
      </c>
      <c r="C1660" s="51" t="s">
        <v>782</v>
      </c>
      <c r="D1660" s="51" t="n">
        <v>0</v>
      </c>
    </row>
    <row r="1661" customFormat="false" ht="15" hidden="true" customHeight="false" outlineLevel="0" collapsed="false">
      <c r="A1661" s="51" t="s">
        <v>344</v>
      </c>
      <c r="B1661" s="55" t="n">
        <v>44285</v>
      </c>
      <c r="C1661" s="51" t="s">
        <v>782</v>
      </c>
      <c r="D1661" s="51" t="n">
        <v>0</v>
      </c>
    </row>
    <row r="1662" customFormat="false" ht="15" hidden="true" customHeight="false" outlineLevel="0" collapsed="false">
      <c r="A1662" s="51" t="s">
        <v>349</v>
      </c>
      <c r="B1662" s="55" t="n">
        <v>44285</v>
      </c>
      <c r="C1662" s="51" t="s">
        <v>782</v>
      </c>
      <c r="D1662" s="51" t="n">
        <v>0</v>
      </c>
    </row>
    <row r="1663" customFormat="false" ht="15" hidden="true" customHeight="false" outlineLevel="0" collapsed="false">
      <c r="A1663" s="51" t="s">
        <v>354</v>
      </c>
      <c r="B1663" s="55" t="n">
        <v>44285</v>
      </c>
      <c r="C1663" s="51" t="s">
        <v>782</v>
      </c>
      <c r="D1663" s="51" t="n">
        <v>0</v>
      </c>
    </row>
    <row r="1664" customFormat="false" ht="15" hidden="true" customHeight="false" outlineLevel="0" collapsed="false">
      <c r="A1664" s="51" t="s">
        <v>359</v>
      </c>
      <c r="B1664" s="55" t="n">
        <v>44285</v>
      </c>
      <c r="C1664" s="51" t="s">
        <v>782</v>
      </c>
      <c r="D1664" s="51" t="n">
        <v>0</v>
      </c>
    </row>
    <row r="1665" customFormat="false" ht="15" hidden="true" customHeight="false" outlineLevel="0" collapsed="false">
      <c r="A1665" s="51" t="s">
        <v>364</v>
      </c>
      <c r="B1665" s="55" t="n">
        <v>44285</v>
      </c>
      <c r="C1665" s="51" t="s">
        <v>782</v>
      </c>
      <c r="D1665" s="51" t="n">
        <v>0</v>
      </c>
    </row>
    <row r="1666" customFormat="false" ht="15" hidden="true" customHeight="false" outlineLevel="0" collapsed="false">
      <c r="A1666" s="51" t="s">
        <v>369</v>
      </c>
      <c r="B1666" s="55" t="n">
        <v>44285</v>
      </c>
      <c r="C1666" s="51" t="s">
        <v>782</v>
      </c>
      <c r="D1666" s="51" t="n">
        <v>0</v>
      </c>
    </row>
    <row r="1667" customFormat="false" ht="15" hidden="true" customHeight="false" outlineLevel="0" collapsed="false">
      <c r="A1667" s="51" t="s">
        <v>374</v>
      </c>
      <c r="B1667" s="55" t="n">
        <v>44285</v>
      </c>
      <c r="C1667" s="51" t="s">
        <v>782</v>
      </c>
      <c r="D1667" s="51" t="n">
        <v>0</v>
      </c>
    </row>
    <row r="1668" customFormat="false" ht="15" hidden="true" customHeight="false" outlineLevel="0" collapsed="false">
      <c r="A1668" s="51" t="s">
        <v>379</v>
      </c>
      <c r="B1668" s="55" t="n">
        <v>44285</v>
      </c>
      <c r="C1668" s="51" t="s">
        <v>782</v>
      </c>
      <c r="D1668" s="51" t="n">
        <v>0</v>
      </c>
    </row>
    <row r="1669" customFormat="false" ht="15" hidden="true" customHeight="false" outlineLevel="0" collapsed="false">
      <c r="A1669" s="51" t="s">
        <v>384</v>
      </c>
      <c r="B1669" s="55" t="n">
        <v>44285</v>
      </c>
      <c r="C1669" s="51" t="s">
        <v>782</v>
      </c>
      <c r="D1669" s="51" t="n">
        <v>0</v>
      </c>
    </row>
    <row r="1670" customFormat="false" ht="15" hidden="true" customHeight="false" outlineLevel="0" collapsed="false">
      <c r="A1670" s="51" t="s">
        <v>389</v>
      </c>
      <c r="B1670" s="55" t="n">
        <v>44285</v>
      </c>
      <c r="C1670" s="51" t="s">
        <v>782</v>
      </c>
      <c r="D1670" s="51" t="n">
        <v>0</v>
      </c>
    </row>
    <row r="1671" customFormat="false" ht="15" hidden="true" customHeight="false" outlineLevel="0" collapsed="false">
      <c r="A1671" s="51" t="s">
        <v>394</v>
      </c>
      <c r="B1671" s="55" t="n">
        <v>44285</v>
      </c>
      <c r="C1671" s="51" t="s">
        <v>782</v>
      </c>
      <c r="D1671" s="51" t="n">
        <v>0</v>
      </c>
    </row>
    <row r="1672" customFormat="false" ht="15" hidden="true" customHeight="false" outlineLevel="0" collapsed="false">
      <c r="A1672" s="51" t="s">
        <v>399</v>
      </c>
      <c r="B1672" s="55" t="n">
        <v>44285</v>
      </c>
      <c r="C1672" s="51" t="s">
        <v>782</v>
      </c>
      <c r="D1672" s="51" t="n">
        <v>0</v>
      </c>
    </row>
    <row r="1673" customFormat="false" ht="15" hidden="true" customHeight="false" outlineLevel="0" collapsed="false">
      <c r="A1673" s="51" t="s">
        <v>404</v>
      </c>
      <c r="B1673" s="55" t="n">
        <v>44285</v>
      </c>
      <c r="C1673" s="51" t="s">
        <v>782</v>
      </c>
      <c r="D1673" s="51" t="n">
        <v>0</v>
      </c>
    </row>
    <row r="1674" customFormat="false" ht="15" hidden="true" customHeight="false" outlineLevel="0" collapsed="false">
      <c r="A1674" s="51" t="s">
        <v>409</v>
      </c>
      <c r="B1674" s="55" t="n">
        <v>44285</v>
      </c>
      <c r="C1674" s="51" t="s">
        <v>782</v>
      </c>
      <c r="D1674" s="51" t="n">
        <v>0</v>
      </c>
    </row>
    <row r="1675" customFormat="false" ht="15" hidden="true" customHeight="false" outlineLevel="0" collapsed="false">
      <c r="A1675" s="51" t="s">
        <v>414</v>
      </c>
      <c r="B1675" s="55" t="n">
        <v>44285</v>
      </c>
      <c r="C1675" s="51" t="s">
        <v>782</v>
      </c>
      <c r="D1675" s="51" t="n">
        <v>0</v>
      </c>
    </row>
    <row r="1676" customFormat="false" ht="15" hidden="true" customHeight="false" outlineLevel="0" collapsed="false">
      <c r="A1676" s="51" t="s">
        <v>419</v>
      </c>
      <c r="B1676" s="55" t="n">
        <v>44285</v>
      </c>
      <c r="C1676" s="51" t="s">
        <v>782</v>
      </c>
      <c r="D1676" s="51" t="n">
        <v>0</v>
      </c>
    </row>
    <row r="1677" customFormat="false" ht="15" hidden="true" customHeight="false" outlineLevel="0" collapsed="false">
      <c r="A1677" s="51" t="s">
        <v>424</v>
      </c>
      <c r="B1677" s="55" t="n">
        <v>44285</v>
      </c>
      <c r="C1677" s="51" t="s">
        <v>782</v>
      </c>
      <c r="D1677" s="51" t="n">
        <v>0</v>
      </c>
    </row>
    <row r="1678" customFormat="false" ht="15" hidden="true" customHeight="false" outlineLevel="0" collapsed="false">
      <c r="A1678" s="51" t="s">
        <v>429</v>
      </c>
      <c r="B1678" s="55" t="n">
        <v>44285</v>
      </c>
      <c r="C1678" s="51" t="s">
        <v>782</v>
      </c>
      <c r="D1678" s="51" t="n">
        <v>0</v>
      </c>
    </row>
    <row r="1679" customFormat="false" ht="15" hidden="true" customHeight="false" outlineLevel="0" collapsed="false">
      <c r="A1679" s="51" t="s">
        <v>434</v>
      </c>
      <c r="B1679" s="55" t="n">
        <v>44285</v>
      </c>
      <c r="C1679" s="51" t="s">
        <v>782</v>
      </c>
      <c r="D1679" s="51" t="n">
        <v>0</v>
      </c>
    </row>
    <row r="1680" customFormat="false" ht="15" hidden="true" customHeight="false" outlineLevel="0" collapsed="false">
      <c r="A1680" s="51" t="s">
        <v>438</v>
      </c>
      <c r="B1680" s="55" t="n">
        <v>44285</v>
      </c>
      <c r="C1680" s="51" t="s">
        <v>782</v>
      </c>
      <c r="D1680" s="51" t="n">
        <v>0</v>
      </c>
    </row>
    <row r="1681" customFormat="false" ht="15" hidden="true" customHeight="false" outlineLevel="0" collapsed="false">
      <c r="A1681" s="51" t="s">
        <v>443</v>
      </c>
      <c r="B1681" s="55" t="n">
        <v>44285</v>
      </c>
      <c r="C1681" s="51" t="s">
        <v>782</v>
      </c>
      <c r="D1681" s="51" t="n">
        <v>0</v>
      </c>
    </row>
    <row r="1682" customFormat="false" ht="15" hidden="true" customHeight="false" outlineLevel="0" collapsed="false">
      <c r="A1682" s="51" t="s">
        <v>448</v>
      </c>
      <c r="B1682" s="55" t="n">
        <v>44285</v>
      </c>
      <c r="C1682" s="51" t="s">
        <v>782</v>
      </c>
      <c r="D1682" s="51" t="n">
        <v>0</v>
      </c>
    </row>
    <row r="1683" customFormat="false" ht="15" hidden="true" customHeight="false" outlineLevel="0" collapsed="false">
      <c r="A1683" s="51" t="s">
        <v>453</v>
      </c>
      <c r="B1683" s="55" t="n">
        <v>44285</v>
      </c>
      <c r="C1683" s="51" t="s">
        <v>782</v>
      </c>
      <c r="D1683" s="51" t="n">
        <v>0</v>
      </c>
    </row>
    <row r="1684" customFormat="false" ht="15" hidden="true" customHeight="false" outlineLevel="0" collapsed="false">
      <c r="A1684" s="51" t="s">
        <v>458</v>
      </c>
      <c r="B1684" s="55" t="n">
        <v>44285</v>
      </c>
      <c r="C1684" s="51" t="s">
        <v>782</v>
      </c>
      <c r="D1684" s="51" t="n">
        <v>0</v>
      </c>
    </row>
    <row r="1685" customFormat="false" ht="15" hidden="true" customHeight="false" outlineLevel="0" collapsed="false">
      <c r="A1685" s="51" t="s">
        <v>473</v>
      </c>
      <c r="B1685" s="55" t="n">
        <v>44285</v>
      </c>
      <c r="C1685" s="51" t="s">
        <v>782</v>
      </c>
      <c r="D1685" s="51" t="n">
        <v>0</v>
      </c>
    </row>
    <row r="1686" customFormat="false" ht="15" hidden="true" customHeight="false" outlineLevel="0" collapsed="false">
      <c r="A1686" s="51" t="s">
        <v>479</v>
      </c>
      <c r="B1686" s="55" t="n">
        <v>44285</v>
      </c>
      <c r="C1686" s="51" t="s">
        <v>782</v>
      </c>
      <c r="D1686" s="51" t="n">
        <v>0</v>
      </c>
    </row>
    <row r="1687" customFormat="false" ht="15" hidden="true" customHeight="false" outlineLevel="0" collapsed="false">
      <c r="A1687" s="51" t="s">
        <v>484</v>
      </c>
      <c r="B1687" s="55" t="n">
        <v>44285</v>
      </c>
      <c r="C1687" s="51" t="s">
        <v>782</v>
      </c>
      <c r="D1687" s="51" t="n">
        <v>0</v>
      </c>
    </row>
    <row r="1688" customFormat="false" ht="15" hidden="true" customHeight="false" outlineLevel="0" collapsed="false">
      <c r="A1688" s="51" t="s">
        <v>489</v>
      </c>
      <c r="B1688" s="55" t="n">
        <v>44285</v>
      </c>
      <c r="C1688" s="51" t="s">
        <v>782</v>
      </c>
      <c r="D1688" s="51" t="n">
        <v>0</v>
      </c>
    </row>
    <row r="1689" customFormat="false" ht="15" hidden="true" customHeight="false" outlineLevel="0" collapsed="false">
      <c r="A1689" s="51" t="s">
        <v>494</v>
      </c>
      <c r="B1689" s="55" t="n">
        <v>44285</v>
      </c>
      <c r="C1689" s="51" t="s">
        <v>782</v>
      </c>
      <c r="D1689" s="51" t="n">
        <v>0</v>
      </c>
    </row>
    <row r="1690" customFormat="false" ht="15" hidden="true" customHeight="false" outlineLevel="0" collapsed="false">
      <c r="A1690" s="51" t="s">
        <v>499</v>
      </c>
      <c r="B1690" s="55" t="n">
        <v>44285</v>
      </c>
      <c r="C1690" s="51" t="s">
        <v>782</v>
      </c>
      <c r="D1690" s="51" t="n">
        <v>0</v>
      </c>
    </row>
    <row r="1691" customFormat="false" ht="15" hidden="true" customHeight="false" outlineLevel="0" collapsed="false">
      <c r="A1691" s="51" t="s">
        <v>504</v>
      </c>
      <c r="B1691" s="55" t="n">
        <v>44285</v>
      </c>
      <c r="C1691" s="51" t="s">
        <v>782</v>
      </c>
      <c r="D1691" s="51" t="n">
        <v>0</v>
      </c>
    </row>
    <row r="1692" customFormat="false" ht="15" hidden="true" customHeight="false" outlineLevel="0" collapsed="false">
      <c r="A1692" s="51" t="s">
        <v>509</v>
      </c>
      <c r="B1692" s="55" t="n">
        <v>44285</v>
      </c>
      <c r="C1692" s="51" t="s">
        <v>782</v>
      </c>
      <c r="D1692" s="51" t="n">
        <v>0</v>
      </c>
    </row>
    <row r="1693" customFormat="false" ht="15" hidden="true" customHeight="false" outlineLevel="0" collapsed="false">
      <c r="A1693" s="51" t="s">
        <v>515</v>
      </c>
      <c r="B1693" s="55" t="n">
        <v>44285</v>
      </c>
      <c r="C1693" s="51" t="s">
        <v>782</v>
      </c>
      <c r="D1693" s="51" t="n">
        <v>0</v>
      </c>
    </row>
    <row r="1694" customFormat="false" ht="15" hidden="true" customHeight="false" outlineLevel="0" collapsed="false">
      <c r="A1694" s="51" t="s">
        <v>520</v>
      </c>
      <c r="B1694" s="55" t="n">
        <v>44285</v>
      </c>
      <c r="C1694" s="51" t="s">
        <v>782</v>
      </c>
      <c r="D1694" s="51" t="n">
        <v>0</v>
      </c>
    </row>
    <row r="1695" customFormat="false" ht="15" hidden="true" customHeight="false" outlineLevel="0" collapsed="false">
      <c r="A1695" s="51" t="s">
        <v>525</v>
      </c>
      <c r="B1695" s="55" t="n">
        <v>44285</v>
      </c>
      <c r="C1695" s="51" t="s">
        <v>782</v>
      </c>
      <c r="D1695" s="51" t="n">
        <v>0</v>
      </c>
    </row>
    <row r="1696" customFormat="false" ht="15" hidden="true" customHeight="false" outlineLevel="0" collapsed="false">
      <c r="A1696" s="51" t="s">
        <v>531</v>
      </c>
      <c r="B1696" s="55" t="n">
        <v>44285</v>
      </c>
      <c r="C1696" s="51" t="s">
        <v>782</v>
      </c>
      <c r="D1696" s="51" t="n">
        <v>0</v>
      </c>
    </row>
    <row r="1697" customFormat="false" ht="15" hidden="true" customHeight="false" outlineLevel="0" collapsed="false">
      <c r="A1697" s="51" t="s">
        <v>536</v>
      </c>
      <c r="B1697" s="55" t="n">
        <v>44285</v>
      </c>
      <c r="C1697" s="51" t="s">
        <v>782</v>
      </c>
      <c r="D1697" s="51" t="n">
        <v>0</v>
      </c>
    </row>
    <row r="1698" customFormat="false" ht="15" hidden="true" customHeight="false" outlineLevel="0" collapsed="false">
      <c r="A1698" s="51" t="s">
        <v>541</v>
      </c>
      <c r="B1698" s="55" t="n">
        <v>44285</v>
      </c>
      <c r="C1698" s="51" t="s">
        <v>782</v>
      </c>
      <c r="D1698" s="51" t="n">
        <v>0</v>
      </c>
    </row>
    <row r="1699" customFormat="false" ht="15" hidden="true" customHeight="false" outlineLevel="0" collapsed="false">
      <c r="A1699" s="51" t="s">
        <v>549</v>
      </c>
      <c r="B1699" s="55" t="n">
        <v>44285</v>
      </c>
      <c r="C1699" s="51" t="s">
        <v>782</v>
      </c>
      <c r="D1699" s="51" t="n">
        <v>0</v>
      </c>
    </row>
    <row r="1700" customFormat="false" ht="15" hidden="true" customHeight="false" outlineLevel="0" collapsed="false">
      <c r="A1700" s="51" t="s">
        <v>554</v>
      </c>
      <c r="B1700" s="55" t="n">
        <v>44285</v>
      </c>
      <c r="C1700" s="51" t="s">
        <v>782</v>
      </c>
      <c r="D1700" s="51" t="n">
        <v>0</v>
      </c>
    </row>
    <row r="1701" customFormat="false" ht="15" hidden="true" customHeight="false" outlineLevel="0" collapsed="false">
      <c r="A1701" s="51" t="s">
        <v>559</v>
      </c>
      <c r="B1701" s="55" t="n">
        <v>44285</v>
      </c>
      <c r="C1701" s="51" t="s">
        <v>782</v>
      </c>
      <c r="D1701" s="51" t="n">
        <v>0</v>
      </c>
    </row>
    <row r="1702" customFormat="false" ht="15" hidden="true" customHeight="false" outlineLevel="0" collapsed="false">
      <c r="A1702" s="51" t="s">
        <v>564</v>
      </c>
      <c r="B1702" s="55" t="n">
        <v>44285</v>
      </c>
      <c r="C1702" s="51" t="s">
        <v>782</v>
      </c>
      <c r="D1702" s="51" t="n">
        <v>0</v>
      </c>
    </row>
    <row r="1703" customFormat="false" ht="15" hidden="true" customHeight="false" outlineLevel="0" collapsed="false">
      <c r="A1703" s="51" t="s">
        <v>569</v>
      </c>
      <c r="B1703" s="55" t="n">
        <v>44285</v>
      </c>
      <c r="C1703" s="51" t="s">
        <v>782</v>
      </c>
      <c r="D1703" s="51" t="n">
        <v>0</v>
      </c>
    </row>
    <row r="1704" customFormat="false" ht="15" hidden="true" customHeight="false" outlineLevel="0" collapsed="false">
      <c r="A1704" s="51" t="s">
        <v>574</v>
      </c>
      <c r="B1704" s="55" t="n">
        <v>44285</v>
      </c>
      <c r="C1704" s="51" t="s">
        <v>782</v>
      </c>
      <c r="D1704" s="51" t="n">
        <v>0</v>
      </c>
    </row>
    <row r="1705" customFormat="false" ht="15" hidden="true" customHeight="false" outlineLevel="0" collapsed="false">
      <c r="A1705" s="51" t="s">
        <v>579</v>
      </c>
      <c r="B1705" s="55" t="n">
        <v>44285</v>
      </c>
      <c r="C1705" s="51" t="s">
        <v>782</v>
      </c>
      <c r="D1705" s="51" t="n">
        <v>0</v>
      </c>
    </row>
    <row r="1706" customFormat="false" ht="15" hidden="true" customHeight="false" outlineLevel="0" collapsed="false">
      <c r="A1706" s="51" t="s">
        <v>584</v>
      </c>
      <c r="B1706" s="55" t="n">
        <v>44285</v>
      </c>
      <c r="C1706" s="51" t="s">
        <v>782</v>
      </c>
      <c r="D1706" s="51" t="n">
        <v>0</v>
      </c>
    </row>
    <row r="1707" customFormat="false" ht="15" hidden="true" customHeight="false" outlineLevel="0" collapsed="false">
      <c r="A1707" s="51" t="s">
        <v>589</v>
      </c>
      <c r="B1707" s="55" t="n">
        <v>44285</v>
      </c>
      <c r="C1707" s="51" t="s">
        <v>782</v>
      </c>
      <c r="D1707" s="51" t="n">
        <v>0</v>
      </c>
    </row>
    <row r="1708" customFormat="false" ht="15" hidden="true" customHeight="false" outlineLevel="0" collapsed="false">
      <c r="A1708" s="51" t="s">
        <v>756</v>
      </c>
      <c r="B1708" s="55" t="n">
        <v>44285</v>
      </c>
      <c r="C1708" s="51" t="s">
        <v>782</v>
      </c>
      <c r="D1708" s="51" t="n">
        <v>0</v>
      </c>
    </row>
    <row r="1709" customFormat="false" ht="15" hidden="true" customHeight="false" outlineLevel="0" collapsed="false">
      <c r="A1709" s="51" t="s">
        <v>594</v>
      </c>
      <c r="B1709" s="55" t="n">
        <v>44285</v>
      </c>
      <c r="C1709" s="51" t="s">
        <v>782</v>
      </c>
      <c r="D1709" s="51" t="n">
        <v>0</v>
      </c>
    </row>
    <row r="1710" customFormat="false" ht="15" hidden="true" customHeight="false" outlineLevel="0" collapsed="false">
      <c r="A1710" s="51" t="s">
        <v>761</v>
      </c>
      <c r="B1710" s="55" t="n">
        <v>44285</v>
      </c>
      <c r="C1710" s="51" t="s">
        <v>782</v>
      </c>
      <c r="D1710" s="51" t="n">
        <v>0</v>
      </c>
    </row>
    <row r="1711" customFormat="false" ht="15" hidden="true" customHeight="false" outlineLevel="0" collapsed="false">
      <c r="A1711" s="51" t="s">
        <v>599</v>
      </c>
      <c r="B1711" s="55" t="n">
        <v>44285</v>
      </c>
      <c r="C1711" s="51" t="s">
        <v>782</v>
      </c>
      <c r="D1711" s="51" t="n">
        <v>0</v>
      </c>
    </row>
    <row r="1712" customFormat="false" ht="15" hidden="true" customHeight="false" outlineLevel="0" collapsed="false">
      <c r="A1712" s="51" t="s">
        <v>604</v>
      </c>
      <c r="B1712" s="55" t="n">
        <v>44285</v>
      </c>
      <c r="C1712" s="51" t="s">
        <v>782</v>
      </c>
      <c r="D1712" s="51" t="n">
        <v>0</v>
      </c>
    </row>
    <row r="1713" customFormat="false" ht="15" hidden="true" customHeight="false" outlineLevel="0" collapsed="false">
      <c r="A1713" s="51" t="s">
        <v>609</v>
      </c>
      <c r="B1713" s="55" t="n">
        <v>44285</v>
      </c>
      <c r="C1713" s="51" t="s">
        <v>782</v>
      </c>
      <c r="D1713" s="51" t="n">
        <v>0</v>
      </c>
    </row>
    <row r="1714" customFormat="false" ht="15" hidden="true" customHeight="false" outlineLevel="0" collapsed="false">
      <c r="A1714" s="51" t="s">
        <v>614</v>
      </c>
      <c r="B1714" s="55" t="n">
        <v>44285</v>
      </c>
      <c r="C1714" s="51" t="s">
        <v>782</v>
      </c>
      <c r="D1714" s="51" t="n">
        <v>0</v>
      </c>
    </row>
    <row r="1715" customFormat="false" ht="15" hidden="true" customHeight="false" outlineLevel="0" collapsed="false">
      <c r="A1715" s="51" t="s">
        <v>619</v>
      </c>
      <c r="B1715" s="55" t="n">
        <v>44285</v>
      </c>
      <c r="C1715" s="51" t="s">
        <v>782</v>
      </c>
      <c r="D1715" s="51" t="n">
        <v>0</v>
      </c>
    </row>
    <row r="1716" customFormat="false" ht="15" hidden="true" customHeight="false" outlineLevel="0" collapsed="false">
      <c r="A1716" s="51" t="s">
        <v>624</v>
      </c>
      <c r="B1716" s="55" t="n">
        <v>44285</v>
      </c>
      <c r="C1716" s="51" t="s">
        <v>782</v>
      </c>
      <c r="D1716" s="51" t="n">
        <v>0</v>
      </c>
    </row>
    <row r="1717" customFormat="false" ht="15" hidden="true" customHeight="false" outlineLevel="0" collapsed="false">
      <c r="A1717" s="51" t="s">
        <v>629</v>
      </c>
      <c r="B1717" s="55" t="n">
        <v>44285</v>
      </c>
      <c r="C1717" s="51" t="s">
        <v>782</v>
      </c>
      <c r="D1717" s="51" t="n">
        <v>0</v>
      </c>
    </row>
    <row r="1718" customFormat="false" ht="15" hidden="true" customHeight="false" outlineLevel="0" collapsed="false">
      <c r="A1718" s="51" t="s">
        <v>633</v>
      </c>
      <c r="B1718" s="55" t="n">
        <v>44285</v>
      </c>
      <c r="C1718" s="51" t="s">
        <v>782</v>
      </c>
      <c r="D1718" s="51" t="n">
        <v>0</v>
      </c>
    </row>
    <row r="1719" customFormat="false" ht="15" hidden="true" customHeight="false" outlineLevel="0" collapsed="false">
      <c r="A1719" s="51" t="s">
        <v>638</v>
      </c>
      <c r="B1719" s="55" t="n">
        <v>44285</v>
      </c>
      <c r="C1719" s="51" t="s">
        <v>782</v>
      </c>
      <c r="D1719" s="51" t="n">
        <v>0</v>
      </c>
    </row>
    <row r="1720" customFormat="false" ht="15" hidden="true" customHeight="false" outlineLevel="0" collapsed="false">
      <c r="A1720" s="51" t="s">
        <v>642</v>
      </c>
      <c r="B1720" s="55" t="n">
        <v>44285</v>
      </c>
      <c r="C1720" s="51" t="s">
        <v>782</v>
      </c>
      <c r="D1720" s="51" t="n">
        <v>0</v>
      </c>
    </row>
    <row r="1721" customFormat="false" ht="15" hidden="true" customHeight="false" outlineLevel="0" collapsed="false">
      <c r="A1721" s="51" t="s">
        <v>646</v>
      </c>
      <c r="B1721" s="55" t="n">
        <v>44285</v>
      </c>
      <c r="C1721" s="51" t="s">
        <v>782</v>
      </c>
      <c r="D1721" s="51" t="n">
        <v>0</v>
      </c>
    </row>
    <row r="1722" customFormat="false" ht="15" hidden="true" customHeight="false" outlineLevel="0" collapsed="false">
      <c r="A1722" s="51" t="s">
        <v>651</v>
      </c>
      <c r="B1722" s="55" t="n">
        <v>44285</v>
      </c>
      <c r="C1722" s="51" t="s">
        <v>782</v>
      </c>
      <c r="D1722" s="51" t="n">
        <v>0</v>
      </c>
    </row>
    <row r="1723" customFormat="false" ht="15" hidden="true" customHeight="false" outlineLevel="0" collapsed="false">
      <c r="A1723" s="51" t="s">
        <v>656</v>
      </c>
      <c r="B1723" s="55" t="n">
        <v>44285</v>
      </c>
      <c r="C1723" s="51" t="s">
        <v>782</v>
      </c>
      <c r="D1723" s="51" t="n">
        <v>0</v>
      </c>
    </row>
    <row r="1724" customFormat="false" ht="15" hidden="true" customHeight="false" outlineLevel="0" collapsed="false">
      <c r="A1724" s="51" t="s">
        <v>661</v>
      </c>
      <c r="B1724" s="55" t="n">
        <v>44285</v>
      </c>
      <c r="C1724" s="51" t="s">
        <v>782</v>
      </c>
      <c r="D1724" s="51" t="n">
        <v>0</v>
      </c>
    </row>
    <row r="1725" customFormat="false" ht="15" hidden="true" customHeight="false" outlineLevel="0" collapsed="false">
      <c r="A1725" s="51" t="s">
        <v>666</v>
      </c>
      <c r="B1725" s="55" t="n">
        <v>44285</v>
      </c>
      <c r="C1725" s="51" t="s">
        <v>782</v>
      </c>
      <c r="D1725" s="51" t="n">
        <v>0</v>
      </c>
    </row>
    <row r="1726" customFormat="false" ht="15" hidden="true" customHeight="false" outlineLevel="0" collapsed="false">
      <c r="A1726" s="51" t="s">
        <v>671</v>
      </c>
      <c r="B1726" s="55" t="n">
        <v>44285</v>
      </c>
      <c r="C1726" s="51" t="s">
        <v>782</v>
      </c>
      <c r="D1726" s="51" t="n">
        <v>0</v>
      </c>
    </row>
    <row r="1727" customFormat="false" ht="15" hidden="true" customHeight="false" outlineLevel="0" collapsed="false">
      <c r="A1727" s="51" t="s">
        <v>676</v>
      </c>
      <c r="B1727" s="55" t="n">
        <v>44285</v>
      </c>
      <c r="C1727" s="51" t="s">
        <v>782</v>
      </c>
      <c r="D1727" s="51" t="n">
        <v>0</v>
      </c>
    </row>
    <row r="1728" customFormat="false" ht="15" hidden="true" customHeight="false" outlineLevel="0" collapsed="false">
      <c r="A1728" s="51" t="s">
        <v>681</v>
      </c>
      <c r="B1728" s="55" t="n">
        <v>44285</v>
      </c>
      <c r="C1728" s="51" t="s">
        <v>782</v>
      </c>
      <c r="D1728" s="51" t="n">
        <v>0</v>
      </c>
    </row>
    <row r="1729" customFormat="false" ht="15" hidden="true" customHeight="false" outlineLevel="0" collapsed="false">
      <c r="A1729" s="51" t="s">
        <v>686</v>
      </c>
      <c r="B1729" s="55" t="n">
        <v>44285</v>
      </c>
      <c r="C1729" s="51" t="s">
        <v>782</v>
      </c>
      <c r="D1729" s="51" t="n">
        <v>0</v>
      </c>
    </row>
    <row r="1730" customFormat="false" ht="15" hidden="true" customHeight="false" outlineLevel="0" collapsed="false">
      <c r="A1730" s="51" t="s">
        <v>691</v>
      </c>
      <c r="B1730" s="55" t="n">
        <v>44285</v>
      </c>
      <c r="C1730" s="51" t="s">
        <v>782</v>
      </c>
      <c r="D1730" s="51" t="n">
        <v>0</v>
      </c>
    </row>
    <row r="1731" customFormat="false" ht="15" hidden="true" customHeight="false" outlineLevel="0" collapsed="false">
      <c r="A1731" s="51" t="s">
        <v>696</v>
      </c>
      <c r="B1731" s="55" t="n">
        <v>44285</v>
      </c>
      <c r="C1731" s="51" t="s">
        <v>782</v>
      </c>
      <c r="D1731" s="51" t="n">
        <v>0</v>
      </c>
    </row>
    <row r="1732" customFormat="false" ht="15" hidden="true" customHeight="false" outlineLevel="0" collapsed="false">
      <c r="A1732" s="51" t="s">
        <v>701</v>
      </c>
      <c r="B1732" s="55" t="n">
        <v>44285</v>
      </c>
      <c r="C1732" s="51" t="s">
        <v>782</v>
      </c>
      <c r="D1732" s="51" t="n">
        <v>0</v>
      </c>
    </row>
    <row r="1733" customFormat="false" ht="15" hidden="true" customHeight="false" outlineLevel="0" collapsed="false">
      <c r="A1733" s="51" t="s">
        <v>707</v>
      </c>
      <c r="B1733" s="55" t="n">
        <v>44285</v>
      </c>
      <c r="C1733" s="51" t="s">
        <v>782</v>
      </c>
      <c r="D1733" s="51" t="n">
        <v>0</v>
      </c>
    </row>
    <row r="1734" customFormat="false" ht="15" hidden="true" customHeight="false" outlineLevel="0" collapsed="false">
      <c r="A1734" s="51" t="s">
        <v>712</v>
      </c>
      <c r="B1734" s="55" t="n">
        <v>44285</v>
      </c>
      <c r="C1734" s="51" t="s">
        <v>782</v>
      </c>
      <c r="D1734" s="51" t="n">
        <v>0</v>
      </c>
    </row>
    <row r="1735" customFormat="false" ht="15" hidden="true" customHeight="false" outlineLevel="0" collapsed="false">
      <c r="A1735" s="51" t="s">
        <v>717</v>
      </c>
      <c r="B1735" s="55" t="n">
        <v>44285</v>
      </c>
      <c r="C1735" s="51" t="s">
        <v>782</v>
      </c>
      <c r="D1735" s="51" t="n">
        <v>0</v>
      </c>
    </row>
    <row r="1736" customFormat="false" ht="15" hidden="true" customHeight="false" outlineLevel="0" collapsed="false">
      <c r="A1736" s="51" t="s">
        <v>767</v>
      </c>
      <c r="B1736" s="55" t="n">
        <v>44285</v>
      </c>
      <c r="C1736" s="51" t="s">
        <v>782</v>
      </c>
      <c r="D1736" s="51" t="n">
        <v>0</v>
      </c>
    </row>
    <row r="1737" customFormat="false" ht="15" hidden="true" customHeight="false" outlineLevel="0" collapsed="false">
      <c r="A1737" s="51" t="s">
        <v>722</v>
      </c>
      <c r="B1737" s="55" t="n">
        <v>44285</v>
      </c>
      <c r="C1737" s="51" t="s">
        <v>782</v>
      </c>
      <c r="D1737" s="51" t="n">
        <v>0</v>
      </c>
    </row>
    <row r="1738" customFormat="false" ht="15" hidden="true" customHeight="false" outlineLevel="0" collapsed="false">
      <c r="A1738" s="51" t="s">
        <v>727</v>
      </c>
      <c r="B1738" s="55" t="n">
        <v>44285</v>
      </c>
      <c r="C1738" s="51" t="s">
        <v>782</v>
      </c>
      <c r="D1738" s="51" t="n">
        <v>0</v>
      </c>
    </row>
    <row r="1739" customFormat="false" ht="15" hidden="true" customHeight="false" outlineLevel="0" collapsed="false">
      <c r="A1739" s="51" t="s">
        <v>732</v>
      </c>
      <c r="B1739" s="55" t="n">
        <v>44285</v>
      </c>
      <c r="C1739" s="51" t="s">
        <v>782</v>
      </c>
      <c r="D1739" s="51" t="n">
        <v>0</v>
      </c>
    </row>
    <row r="1740" customFormat="false" ht="15" hidden="true" customHeight="false" outlineLevel="0" collapsed="false">
      <c r="A1740" s="51" t="s">
        <v>736</v>
      </c>
      <c r="B1740" s="55" t="n">
        <v>44285</v>
      </c>
      <c r="C1740" s="51" t="s">
        <v>782</v>
      </c>
      <c r="D1740" s="51" t="n">
        <v>0</v>
      </c>
    </row>
    <row r="1741" customFormat="false" ht="15" hidden="true" customHeight="false" outlineLevel="0" collapsed="false">
      <c r="A1741" s="51" t="s">
        <v>741</v>
      </c>
      <c r="B1741" s="55" t="n">
        <v>44285</v>
      </c>
      <c r="C1741" s="51" t="s">
        <v>782</v>
      </c>
      <c r="D1741" s="51" t="n">
        <v>0</v>
      </c>
    </row>
    <row r="1742" customFormat="false" ht="15" hidden="true" customHeight="false" outlineLevel="0" collapsed="false">
      <c r="A1742" s="51" t="s">
        <v>746</v>
      </c>
      <c r="B1742" s="55" t="n">
        <v>44285</v>
      </c>
      <c r="C1742" s="51" t="s">
        <v>782</v>
      </c>
      <c r="D1742" s="51" t="n">
        <v>0</v>
      </c>
    </row>
    <row r="1743" customFormat="false" ht="15" hidden="true" customHeight="false" outlineLevel="0" collapsed="false">
      <c r="A1743" s="51" t="s">
        <v>751</v>
      </c>
      <c r="B1743" s="55" t="n">
        <v>44285</v>
      </c>
      <c r="C1743" s="51" t="s">
        <v>782</v>
      </c>
      <c r="D1743" s="51" t="n">
        <v>0</v>
      </c>
    </row>
    <row r="1744" customFormat="false" ht="15" hidden="false" customHeight="false" outlineLevel="0" collapsed="false">
      <c r="A1744" s="51" t="s">
        <v>781</v>
      </c>
      <c r="B1744" s="55" t="n">
        <v>44285</v>
      </c>
      <c r="C1744" s="51" t="s">
        <v>82</v>
      </c>
      <c r="D1744" s="51" t="n">
        <v>0</v>
      </c>
    </row>
    <row r="1745" customFormat="false" ht="15" hidden="true" customHeight="false" outlineLevel="0" collapsed="false">
      <c r="A1745" s="51" t="s">
        <v>783</v>
      </c>
      <c r="B1745" s="55" t="n">
        <v>44285</v>
      </c>
      <c r="C1745" s="51" t="s">
        <v>82</v>
      </c>
      <c r="D1745" s="51" t="n">
        <v>0</v>
      </c>
    </row>
    <row r="1746" customFormat="false" ht="15" hidden="true" customHeight="false" outlineLevel="0" collapsed="false">
      <c r="A1746" s="51" t="s">
        <v>96</v>
      </c>
      <c r="B1746" s="55" t="n">
        <v>44285</v>
      </c>
      <c r="C1746" s="51" t="s">
        <v>82</v>
      </c>
      <c r="D1746" s="51" t="n">
        <v>0</v>
      </c>
    </row>
    <row r="1747" customFormat="false" ht="15" hidden="true" customHeight="false" outlineLevel="0" collapsed="false">
      <c r="A1747" s="51" t="s">
        <v>101</v>
      </c>
      <c r="B1747" s="55" t="n">
        <v>44285</v>
      </c>
      <c r="C1747" s="51" t="s">
        <v>82</v>
      </c>
      <c r="D1747" s="51" t="n">
        <v>0</v>
      </c>
    </row>
    <row r="1748" customFormat="false" ht="15" hidden="true" customHeight="false" outlineLevel="0" collapsed="false">
      <c r="A1748" s="51" t="s">
        <v>106</v>
      </c>
      <c r="B1748" s="55" t="n">
        <v>44285</v>
      </c>
      <c r="C1748" s="51" t="s">
        <v>82</v>
      </c>
      <c r="D1748" s="51" t="n">
        <v>0</v>
      </c>
    </row>
    <row r="1749" customFormat="false" ht="15" hidden="true" customHeight="false" outlineLevel="0" collapsed="false">
      <c r="A1749" s="51" t="s">
        <v>110</v>
      </c>
      <c r="B1749" s="55" t="n">
        <v>44285</v>
      </c>
      <c r="C1749" s="51" t="s">
        <v>82</v>
      </c>
      <c r="D1749" s="51" t="n">
        <v>0</v>
      </c>
    </row>
    <row r="1750" customFormat="false" ht="15" hidden="true" customHeight="false" outlineLevel="0" collapsed="false">
      <c r="A1750" s="51" t="s">
        <v>115</v>
      </c>
      <c r="B1750" s="55" t="n">
        <v>44285</v>
      </c>
      <c r="C1750" s="51" t="s">
        <v>82</v>
      </c>
      <c r="D1750" s="51" t="n">
        <v>0</v>
      </c>
    </row>
    <row r="1751" customFormat="false" ht="15" hidden="true" customHeight="false" outlineLevel="0" collapsed="false">
      <c r="A1751" s="51" t="s">
        <v>120</v>
      </c>
      <c r="B1751" s="55" t="n">
        <v>44285</v>
      </c>
      <c r="C1751" s="51" t="s">
        <v>82</v>
      </c>
      <c r="D1751" s="51" t="n">
        <v>0</v>
      </c>
    </row>
    <row r="1752" customFormat="false" ht="15" hidden="true" customHeight="false" outlineLevel="0" collapsed="false">
      <c r="A1752" s="51" t="s">
        <v>124</v>
      </c>
      <c r="B1752" s="55" t="n">
        <v>44285</v>
      </c>
      <c r="C1752" s="51" t="s">
        <v>82</v>
      </c>
      <c r="D1752" s="51" t="n">
        <v>0</v>
      </c>
    </row>
    <row r="1753" customFormat="false" ht="15" hidden="true" customHeight="false" outlineLevel="0" collapsed="false">
      <c r="A1753" s="51" t="s">
        <v>129</v>
      </c>
      <c r="B1753" s="55" t="n">
        <v>44285</v>
      </c>
      <c r="C1753" s="51" t="s">
        <v>82</v>
      </c>
      <c r="D1753" s="51" t="n">
        <v>0</v>
      </c>
    </row>
    <row r="1754" customFormat="false" ht="15" hidden="true" customHeight="false" outlineLevel="0" collapsed="false">
      <c r="A1754" s="51" t="s">
        <v>134</v>
      </c>
      <c r="B1754" s="55" t="n">
        <v>44285</v>
      </c>
      <c r="C1754" s="51" t="s">
        <v>82</v>
      </c>
      <c r="D1754" s="51" t="n">
        <v>0</v>
      </c>
    </row>
    <row r="1755" customFormat="false" ht="15" hidden="true" customHeight="false" outlineLevel="0" collapsed="false">
      <c r="A1755" s="51" t="s">
        <v>141</v>
      </c>
      <c r="B1755" s="55" t="n">
        <v>44285</v>
      </c>
      <c r="C1755" s="51" t="s">
        <v>82</v>
      </c>
      <c r="D1755" s="51" t="n">
        <v>0</v>
      </c>
    </row>
    <row r="1756" customFormat="false" ht="15" hidden="true" customHeight="false" outlineLevel="0" collapsed="false">
      <c r="A1756" s="51" t="s">
        <v>146</v>
      </c>
      <c r="B1756" s="55" t="n">
        <v>44285</v>
      </c>
      <c r="C1756" s="51" t="s">
        <v>82</v>
      </c>
      <c r="D1756" s="51" t="n">
        <v>0</v>
      </c>
    </row>
    <row r="1757" customFormat="false" ht="15" hidden="true" customHeight="false" outlineLevel="0" collapsed="false">
      <c r="A1757" s="51" t="s">
        <v>151</v>
      </c>
      <c r="B1757" s="55" t="n">
        <v>44285</v>
      </c>
      <c r="C1757" s="51" t="s">
        <v>82</v>
      </c>
      <c r="D1757" s="51" t="n">
        <v>0</v>
      </c>
    </row>
    <row r="1758" customFormat="false" ht="15" hidden="true" customHeight="false" outlineLevel="0" collapsed="false">
      <c r="A1758" s="51" t="s">
        <v>156</v>
      </c>
      <c r="B1758" s="55" t="n">
        <v>44285</v>
      </c>
      <c r="C1758" s="51" t="s">
        <v>82</v>
      </c>
      <c r="D1758" s="51" t="n">
        <v>0</v>
      </c>
    </row>
    <row r="1759" customFormat="false" ht="15" hidden="true" customHeight="false" outlineLevel="0" collapsed="false">
      <c r="A1759" s="51" t="s">
        <v>161</v>
      </c>
      <c r="B1759" s="55" t="n">
        <v>44285</v>
      </c>
      <c r="C1759" s="51" t="s">
        <v>82</v>
      </c>
      <c r="D1759" s="51" t="n">
        <v>175000</v>
      </c>
    </row>
    <row r="1760" customFormat="false" ht="15" hidden="true" customHeight="false" outlineLevel="0" collapsed="false">
      <c r="A1760" s="51" t="s">
        <v>166</v>
      </c>
      <c r="B1760" s="55" t="n">
        <v>44285</v>
      </c>
      <c r="C1760" s="51" t="s">
        <v>82</v>
      </c>
      <c r="D1760" s="51" t="n">
        <v>0</v>
      </c>
    </row>
    <row r="1761" customFormat="false" ht="15" hidden="true" customHeight="false" outlineLevel="0" collapsed="false">
      <c r="A1761" s="51" t="s">
        <v>171</v>
      </c>
      <c r="B1761" s="55" t="n">
        <v>44285</v>
      </c>
      <c r="C1761" s="51" t="s">
        <v>82</v>
      </c>
      <c r="D1761" s="51" t="n">
        <v>0</v>
      </c>
    </row>
    <row r="1762" customFormat="false" ht="15" hidden="true" customHeight="false" outlineLevel="0" collapsed="false">
      <c r="A1762" s="51" t="s">
        <v>176</v>
      </c>
      <c r="B1762" s="55" t="n">
        <v>44285</v>
      </c>
      <c r="C1762" s="51" t="s">
        <v>82</v>
      </c>
      <c r="D1762" s="51" t="n">
        <v>0</v>
      </c>
    </row>
    <row r="1763" customFormat="false" ht="15" hidden="true" customHeight="false" outlineLevel="0" collapsed="false">
      <c r="A1763" s="51" t="s">
        <v>181</v>
      </c>
      <c r="B1763" s="55" t="n">
        <v>44285</v>
      </c>
      <c r="C1763" s="51" t="s">
        <v>82</v>
      </c>
      <c r="D1763" s="51" t="n">
        <v>4388400</v>
      </c>
    </row>
    <row r="1764" customFormat="false" ht="15" hidden="true" customHeight="false" outlineLevel="0" collapsed="false">
      <c r="A1764" s="51" t="s">
        <v>186</v>
      </c>
      <c r="B1764" s="55" t="n">
        <v>44285</v>
      </c>
      <c r="C1764" s="51" t="s">
        <v>82</v>
      </c>
      <c r="D1764" s="51" t="n">
        <v>700000</v>
      </c>
    </row>
    <row r="1765" customFormat="false" ht="15" hidden="true" customHeight="false" outlineLevel="0" collapsed="false">
      <c r="A1765" s="51" t="s">
        <v>191</v>
      </c>
      <c r="B1765" s="55" t="n">
        <v>44285</v>
      </c>
      <c r="C1765" s="51" t="s">
        <v>82</v>
      </c>
      <c r="D1765" s="51" t="n">
        <v>165000</v>
      </c>
    </row>
    <row r="1766" customFormat="false" ht="15" hidden="true" customHeight="false" outlineLevel="0" collapsed="false">
      <c r="A1766" s="51" t="s">
        <v>196</v>
      </c>
      <c r="B1766" s="55" t="n">
        <v>44285</v>
      </c>
      <c r="C1766" s="51" t="s">
        <v>82</v>
      </c>
      <c r="D1766" s="51" t="n">
        <v>0</v>
      </c>
    </row>
    <row r="1767" customFormat="false" ht="15" hidden="true" customHeight="false" outlineLevel="0" collapsed="false">
      <c r="A1767" s="51" t="s">
        <v>201</v>
      </c>
      <c r="B1767" s="55" t="n">
        <v>44285</v>
      </c>
      <c r="C1767" s="51" t="s">
        <v>82</v>
      </c>
      <c r="D1767" s="51" t="n">
        <v>0</v>
      </c>
    </row>
    <row r="1768" customFormat="false" ht="15" hidden="true" customHeight="false" outlineLevel="0" collapsed="false">
      <c r="A1768" s="51" t="s">
        <v>206</v>
      </c>
      <c r="B1768" s="55" t="n">
        <v>44285</v>
      </c>
      <c r="C1768" s="51" t="s">
        <v>82</v>
      </c>
      <c r="D1768" s="51" t="n">
        <v>0</v>
      </c>
    </row>
    <row r="1769" customFormat="false" ht="15" hidden="true" customHeight="false" outlineLevel="0" collapsed="false">
      <c r="A1769" s="51" t="s">
        <v>210</v>
      </c>
      <c r="B1769" s="55" t="n">
        <v>44285</v>
      </c>
      <c r="C1769" s="51" t="s">
        <v>82</v>
      </c>
      <c r="D1769" s="51" t="n">
        <v>0</v>
      </c>
    </row>
    <row r="1770" customFormat="false" ht="15" hidden="true" customHeight="false" outlineLevel="0" collapsed="false">
      <c r="A1770" s="51" t="s">
        <v>215</v>
      </c>
      <c r="B1770" s="55" t="n">
        <v>44285</v>
      </c>
      <c r="C1770" s="51" t="s">
        <v>82</v>
      </c>
      <c r="D1770" s="51" t="n">
        <v>0</v>
      </c>
    </row>
    <row r="1771" customFormat="false" ht="15" hidden="true" customHeight="false" outlineLevel="0" collapsed="false">
      <c r="A1771" s="51" t="s">
        <v>790</v>
      </c>
      <c r="B1771" s="55" t="n">
        <v>44285</v>
      </c>
      <c r="C1771" s="51" t="s">
        <v>82</v>
      </c>
      <c r="D1771" s="51" t="n">
        <v>0</v>
      </c>
    </row>
    <row r="1772" customFormat="false" ht="15" hidden="true" customHeight="false" outlineLevel="0" collapsed="false">
      <c r="A1772" s="51" t="s">
        <v>225</v>
      </c>
      <c r="B1772" s="55" t="n">
        <v>44285</v>
      </c>
      <c r="C1772" s="51" t="s">
        <v>82</v>
      </c>
      <c r="D1772" s="51" t="n">
        <v>0</v>
      </c>
    </row>
    <row r="1773" customFormat="false" ht="15" hidden="true" customHeight="false" outlineLevel="0" collapsed="false">
      <c r="A1773" s="51" t="s">
        <v>230</v>
      </c>
      <c r="B1773" s="55" t="n">
        <v>44285</v>
      </c>
      <c r="C1773" s="51" t="s">
        <v>82</v>
      </c>
      <c r="D1773" s="51" t="n">
        <v>0</v>
      </c>
    </row>
    <row r="1774" customFormat="false" ht="15" hidden="true" customHeight="false" outlineLevel="0" collapsed="false">
      <c r="A1774" s="51" t="s">
        <v>235</v>
      </c>
      <c r="B1774" s="55" t="n">
        <v>44285</v>
      </c>
      <c r="C1774" s="51" t="s">
        <v>82</v>
      </c>
      <c r="D1774" s="51" t="n">
        <v>0</v>
      </c>
    </row>
    <row r="1775" customFormat="false" ht="15" hidden="true" customHeight="false" outlineLevel="0" collapsed="false">
      <c r="A1775" s="51" t="s">
        <v>240</v>
      </c>
      <c r="B1775" s="55" t="n">
        <v>44285</v>
      </c>
      <c r="C1775" s="51" t="s">
        <v>82</v>
      </c>
      <c r="D1775" s="51" t="n">
        <v>0</v>
      </c>
    </row>
    <row r="1776" customFormat="false" ht="15" hidden="true" customHeight="false" outlineLevel="0" collapsed="false">
      <c r="A1776" s="51" t="s">
        <v>246</v>
      </c>
      <c r="B1776" s="55" t="n">
        <v>44285</v>
      </c>
      <c r="C1776" s="51" t="s">
        <v>82</v>
      </c>
      <c r="D1776" s="51" t="n">
        <v>0</v>
      </c>
    </row>
    <row r="1777" customFormat="false" ht="15" hidden="true" customHeight="false" outlineLevel="0" collapsed="false">
      <c r="A1777" s="51" t="s">
        <v>252</v>
      </c>
      <c r="B1777" s="55" t="n">
        <v>44285</v>
      </c>
      <c r="C1777" s="51" t="s">
        <v>82</v>
      </c>
      <c r="D1777" s="51" t="n">
        <v>0</v>
      </c>
    </row>
    <row r="1778" customFormat="false" ht="15" hidden="true" customHeight="false" outlineLevel="0" collapsed="false">
      <c r="A1778" s="51" t="s">
        <v>257</v>
      </c>
      <c r="B1778" s="55" t="n">
        <v>44285</v>
      </c>
      <c r="C1778" s="51" t="s">
        <v>82</v>
      </c>
      <c r="D1778" s="51" t="n">
        <v>0</v>
      </c>
    </row>
    <row r="1779" customFormat="false" ht="15" hidden="true" customHeight="false" outlineLevel="0" collapsed="false">
      <c r="A1779" s="51" t="s">
        <v>262</v>
      </c>
      <c r="B1779" s="55" t="n">
        <v>44285</v>
      </c>
      <c r="C1779" s="51" t="s">
        <v>82</v>
      </c>
      <c r="D1779" s="51" t="n">
        <v>0</v>
      </c>
    </row>
    <row r="1780" customFormat="false" ht="15" hidden="true" customHeight="false" outlineLevel="0" collapsed="false">
      <c r="A1780" s="51" t="s">
        <v>267</v>
      </c>
      <c r="B1780" s="55" t="n">
        <v>44285</v>
      </c>
      <c r="C1780" s="51" t="s">
        <v>82</v>
      </c>
      <c r="D1780" s="51" t="n">
        <v>0</v>
      </c>
    </row>
    <row r="1781" customFormat="false" ht="15" hidden="true" customHeight="false" outlineLevel="0" collapsed="false">
      <c r="A1781" s="51" t="s">
        <v>272</v>
      </c>
      <c r="B1781" s="55" t="n">
        <v>44285</v>
      </c>
      <c r="C1781" s="51" t="s">
        <v>82</v>
      </c>
      <c r="D1781" s="51" t="n">
        <v>0</v>
      </c>
    </row>
    <row r="1782" customFormat="false" ht="15" hidden="true" customHeight="false" outlineLevel="0" collapsed="false">
      <c r="A1782" s="51" t="s">
        <v>277</v>
      </c>
      <c r="B1782" s="55" t="n">
        <v>44285</v>
      </c>
      <c r="C1782" s="51" t="s">
        <v>82</v>
      </c>
      <c r="D1782" s="51" t="n">
        <v>113400</v>
      </c>
    </row>
    <row r="1783" customFormat="false" ht="15" hidden="true" customHeight="false" outlineLevel="0" collapsed="false">
      <c r="A1783" s="51" t="s">
        <v>282</v>
      </c>
      <c r="B1783" s="55" t="n">
        <v>44285</v>
      </c>
      <c r="C1783" s="51" t="s">
        <v>82</v>
      </c>
      <c r="D1783" s="51" t="n">
        <v>0</v>
      </c>
    </row>
    <row r="1784" customFormat="false" ht="15" hidden="true" customHeight="false" outlineLevel="0" collapsed="false">
      <c r="A1784" s="51" t="s">
        <v>287</v>
      </c>
      <c r="B1784" s="55" t="n">
        <v>44285</v>
      </c>
      <c r="C1784" s="51" t="s">
        <v>82</v>
      </c>
      <c r="D1784" s="51" t="n">
        <v>0</v>
      </c>
    </row>
    <row r="1785" customFormat="false" ht="15" hidden="true" customHeight="false" outlineLevel="0" collapsed="false">
      <c r="A1785" s="51" t="s">
        <v>292</v>
      </c>
      <c r="B1785" s="55" t="n">
        <v>44285</v>
      </c>
      <c r="C1785" s="51" t="s">
        <v>82</v>
      </c>
      <c r="D1785" s="51" t="n">
        <v>0</v>
      </c>
    </row>
    <row r="1786" customFormat="false" ht="15" hidden="true" customHeight="false" outlineLevel="0" collapsed="false">
      <c r="A1786" s="51" t="s">
        <v>297</v>
      </c>
      <c r="B1786" s="55" t="n">
        <v>44285</v>
      </c>
      <c r="C1786" s="51" t="s">
        <v>82</v>
      </c>
      <c r="D1786" s="51" t="n">
        <v>0</v>
      </c>
    </row>
    <row r="1787" customFormat="false" ht="15" hidden="true" customHeight="false" outlineLevel="0" collapsed="false">
      <c r="A1787" s="51" t="s">
        <v>302</v>
      </c>
      <c r="B1787" s="55" t="n">
        <v>44285</v>
      </c>
      <c r="C1787" s="51" t="s">
        <v>82</v>
      </c>
      <c r="D1787" s="51" t="n">
        <v>0</v>
      </c>
    </row>
    <row r="1788" customFormat="false" ht="15" hidden="true" customHeight="false" outlineLevel="0" collapsed="false">
      <c r="A1788" s="51" t="s">
        <v>307</v>
      </c>
      <c r="B1788" s="55" t="n">
        <v>44285</v>
      </c>
      <c r="C1788" s="51" t="s">
        <v>82</v>
      </c>
      <c r="D1788" s="51" t="n">
        <v>0</v>
      </c>
    </row>
    <row r="1789" customFormat="false" ht="15" hidden="true" customHeight="false" outlineLevel="0" collapsed="false">
      <c r="A1789" s="51" t="s">
        <v>311</v>
      </c>
      <c r="B1789" s="55" t="n">
        <v>44285</v>
      </c>
      <c r="C1789" s="51" t="s">
        <v>82</v>
      </c>
      <c r="D1789" s="51" t="n">
        <v>0</v>
      </c>
    </row>
    <row r="1790" customFormat="false" ht="15" hidden="true" customHeight="false" outlineLevel="0" collapsed="false">
      <c r="A1790" s="51" t="s">
        <v>317</v>
      </c>
      <c r="B1790" s="55" t="n">
        <v>44285</v>
      </c>
      <c r="C1790" s="51" t="s">
        <v>82</v>
      </c>
      <c r="D1790" s="51" t="n">
        <v>0</v>
      </c>
    </row>
    <row r="1791" customFormat="false" ht="15" hidden="true" customHeight="false" outlineLevel="0" collapsed="false">
      <c r="A1791" s="51" t="s">
        <v>322</v>
      </c>
      <c r="B1791" s="55" t="n">
        <v>44285</v>
      </c>
      <c r="C1791" s="51" t="s">
        <v>82</v>
      </c>
      <c r="D1791" s="51" t="n">
        <v>0</v>
      </c>
    </row>
    <row r="1792" customFormat="false" ht="15" hidden="true" customHeight="false" outlineLevel="0" collapsed="false">
      <c r="A1792" s="51" t="s">
        <v>327</v>
      </c>
      <c r="B1792" s="55" t="n">
        <v>44285</v>
      </c>
      <c r="C1792" s="51" t="s">
        <v>82</v>
      </c>
      <c r="D1792" s="51" t="n">
        <v>0</v>
      </c>
    </row>
    <row r="1793" customFormat="false" ht="15" hidden="true" customHeight="false" outlineLevel="0" collapsed="false">
      <c r="A1793" s="51" t="s">
        <v>332</v>
      </c>
      <c r="B1793" s="55" t="n">
        <v>44285</v>
      </c>
      <c r="C1793" s="51" t="s">
        <v>82</v>
      </c>
      <c r="D1793" s="51" t="n">
        <v>0</v>
      </c>
    </row>
    <row r="1794" customFormat="false" ht="15" hidden="true" customHeight="false" outlineLevel="0" collapsed="false">
      <c r="A1794" s="51" t="s">
        <v>339</v>
      </c>
      <c r="B1794" s="55" t="n">
        <v>44285</v>
      </c>
      <c r="C1794" s="51" t="s">
        <v>82</v>
      </c>
      <c r="D1794" s="51" t="n">
        <v>0</v>
      </c>
    </row>
    <row r="1795" customFormat="false" ht="15" hidden="true" customHeight="false" outlineLevel="0" collapsed="false">
      <c r="A1795" s="51" t="s">
        <v>344</v>
      </c>
      <c r="B1795" s="55" t="n">
        <v>44285</v>
      </c>
      <c r="C1795" s="51" t="s">
        <v>82</v>
      </c>
      <c r="D1795" s="51" t="n">
        <v>0</v>
      </c>
    </row>
    <row r="1796" customFormat="false" ht="15" hidden="true" customHeight="false" outlineLevel="0" collapsed="false">
      <c r="A1796" s="51" t="s">
        <v>349</v>
      </c>
      <c r="B1796" s="55" t="n">
        <v>44285</v>
      </c>
      <c r="C1796" s="51" t="s">
        <v>82</v>
      </c>
      <c r="D1796" s="51" t="n">
        <v>0</v>
      </c>
    </row>
    <row r="1797" customFormat="false" ht="15" hidden="true" customHeight="false" outlineLevel="0" collapsed="false">
      <c r="A1797" s="51" t="s">
        <v>354</v>
      </c>
      <c r="B1797" s="55" t="n">
        <v>44285</v>
      </c>
      <c r="C1797" s="51" t="s">
        <v>82</v>
      </c>
      <c r="D1797" s="51" t="n">
        <v>0</v>
      </c>
    </row>
    <row r="1798" customFormat="false" ht="15" hidden="true" customHeight="false" outlineLevel="0" collapsed="false">
      <c r="A1798" s="51" t="s">
        <v>359</v>
      </c>
      <c r="B1798" s="55" t="n">
        <v>44285</v>
      </c>
      <c r="C1798" s="51" t="s">
        <v>82</v>
      </c>
      <c r="D1798" s="51" t="n">
        <v>0</v>
      </c>
    </row>
    <row r="1799" customFormat="false" ht="15" hidden="true" customHeight="false" outlineLevel="0" collapsed="false">
      <c r="A1799" s="51" t="s">
        <v>364</v>
      </c>
      <c r="B1799" s="55" t="n">
        <v>44285</v>
      </c>
      <c r="C1799" s="51" t="s">
        <v>82</v>
      </c>
      <c r="D1799" s="51" t="n">
        <v>0</v>
      </c>
    </row>
    <row r="1800" customFormat="false" ht="15" hidden="true" customHeight="false" outlineLevel="0" collapsed="false">
      <c r="A1800" s="51" t="s">
        <v>369</v>
      </c>
      <c r="B1800" s="55" t="n">
        <v>44285</v>
      </c>
      <c r="C1800" s="51" t="s">
        <v>82</v>
      </c>
      <c r="D1800" s="51" t="n">
        <v>0</v>
      </c>
    </row>
    <row r="1801" customFormat="false" ht="15" hidden="true" customHeight="false" outlineLevel="0" collapsed="false">
      <c r="A1801" s="51" t="s">
        <v>374</v>
      </c>
      <c r="B1801" s="55" t="n">
        <v>44285</v>
      </c>
      <c r="C1801" s="51" t="s">
        <v>82</v>
      </c>
      <c r="D1801" s="51" t="n">
        <v>0</v>
      </c>
    </row>
    <row r="1802" customFormat="false" ht="15" hidden="true" customHeight="false" outlineLevel="0" collapsed="false">
      <c r="A1802" s="51" t="s">
        <v>379</v>
      </c>
      <c r="B1802" s="55" t="n">
        <v>44285</v>
      </c>
      <c r="C1802" s="51" t="s">
        <v>82</v>
      </c>
      <c r="D1802" s="51" t="n">
        <v>0</v>
      </c>
    </row>
    <row r="1803" customFormat="false" ht="15" hidden="true" customHeight="false" outlineLevel="0" collapsed="false">
      <c r="A1803" s="51" t="s">
        <v>384</v>
      </c>
      <c r="B1803" s="55" t="n">
        <v>44285</v>
      </c>
      <c r="C1803" s="51" t="s">
        <v>82</v>
      </c>
      <c r="D1803" s="51" t="n">
        <v>0</v>
      </c>
    </row>
    <row r="1804" customFormat="false" ht="15" hidden="true" customHeight="false" outlineLevel="0" collapsed="false">
      <c r="A1804" s="51" t="s">
        <v>389</v>
      </c>
      <c r="B1804" s="55" t="n">
        <v>44285</v>
      </c>
      <c r="C1804" s="51" t="s">
        <v>82</v>
      </c>
      <c r="D1804" s="51" t="n">
        <v>0</v>
      </c>
    </row>
    <row r="1805" customFormat="false" ht="15" hidden="true" customHeight="false" outlineLevel="0" collapsed="false">
      <c r="A1805" s="51" t="s">
        <v>394</v>
      </c>
      <c r="B1805" s="55" t="n">
        <v>44285</v>
      </c>
      <c r="C1805" s="51" t="s">
        <v>82</v>
      </c>
      <c r="D1805" s="51" t="n">
        <v>0</v>
      </c>
    </row>
    <row r="1806" customFormat="false" ht="15" hidden="true" customHeight="false" outlineLevel="0" collapsed="false">
      <c r="A1806" s="51" t="s">
        <v>399</v>
      </c>
      <c r="B1806" s="55" t="n">
        <v>44285</v>
      </c>
      <c r="C1806" s="51" t="s">
        <v>82</v>
      </c>
      <c r="D1806" s="51" t="n">
        <v>0</v>
      </c>
    </row>
    <row r="1807" customFormat="false" ht="15" hidden="true" customHeight="false" outlineLevel="0" collapsed="false">
      <c r="A1807" s="51" t="s">
        <v>404</v>
      </c>
      <c r="B1807" s="55" t="n">
        <v>44285</v>
      </c>
      <c r="C1807" s="51" t="s">
        <v>82</v>
      </c>
      <c r="D1807" s="51" t="n">
        <v>0</v>
      </c>
    </row>
    <row r="1808" customFormat="false" ht="15" hidden="true" customHeight="false" outlineLevel="0" collapsed="false">
      <c r="A1808" s="51" t="s">
        <v>409</v>
      </c>
      <c r="B1808" s="55" t="n">
        <v>44285</v>
      </c>
      <c r="C1808" s="51" t="s">
        <v>82</v>
      </c>
      <c r="D1808" s="51" t="n">
        <v>0</v>
      </c>
    </row>
    <row r="1809" customFormat="false" ht="15" hidden="true" customHeight="false" outlineLevel="0" collapsed="false">
      <c r="A1809" s="51" t="s">
        <v>414</v>
      </c>
      <c r="B1809" s="55" t="n">
        <v>44285</v>
      </c>
      <c r="C1809" s="51" t="s">
        <v>82</v>
      </c>
      <c r="D1809" s="51" t="n">
        <v>0</v>
      </c>
    </row>
    <row r="1810" customFormat="false" ht="15" hidden="true" customHeight="false" outlineLevel="0" collapsed="false">
      <c r="A1810" s="51" t="s">
        <v>419</v>
      </c>
      <c r="B1810" s="55" t="n">
        <v>44285</v>
      </c>
      <c r="C1810" s="51" t="s">
        <v>82</v>
      </c>
      <c r="D1810" s="51" t="n">
        <v>0</v>
      </c>
    </row>
    <row r="1811" customFormat="false" ht="15" hidden="true" customHeight="false" outlineLevel="0" collapsed="false">
      <c r="A1811" s="51" t="s">
        <v>424</v>
      </c>
      <c r="B1811" s="55" t="n">
        <v>44285</v>
      </c>
      <c r="C1811" s="51" t="s">
        <v>82</v>
      </c>
      <c r="D1811" s="51" t="n">
        <v>0</v>
      </c>
    </row>
    <row r="1812" customFormat="false" ht="15" hidden="true" customHeight="false" outlineLevel="0" collapsed="false">
      <c r="A1812" s="51" t="s">
        <v>429</v>
      </c>
      <c r="B1812" s="55" t="n">
        <v>44285</v>
      </c>
      <c r="C1812" s="51" t="s">
        <v>82</v>
      </c>
      <c r="D1812" s="51" t="n">
        <v>0</v>
      </c>
    </row>
    <row r="1813" customFormat="false" ht="15" hidden="true" customHeight="false" outlineLevel="0" collapsed="false">
      <c r="A1813" s="51" t="s">
        <v>434</v>
      </c>
      <c r="B1813" s="55" t="n">
        <v>44285</v>
      </c>
      <c r="C1813" s="51" t="s">
        <v>82</v>
      </c>
      <c r="D1813" s="51" t="n">
        <v>0</v>
      </c>
    </row>
    <row r="1814" customFormat="false" ht="15" hidden="true" customHeight="false" outlineLevel="0" collapsed="false">
      <c r="A1814" s="51" t="s">
        <v>438</v>
      </c>
      <c r="B1814" s="55" t="n">
        <v>44285</v>
      </c>
      <c r="C1814" s="51" t="s">
        <v>82</v>
      </c>
      <c r="D1814" s="51" t="n">
        <v>0</v>
      </c>
    </row>
    <row r="1815" customFormat="false" ht="15" hidden="true" customHeight="false" outlineLevel="0" collapsed="false">
      <c r="A1815" s="51" t="s">
        <v>443</v>
      </c>
      <c r="B1815" s="55" t="n">
        <v>44285</v>
      </c>
      <c r="C1815" s="51" t="s">
        <v>82</v>
      </c>
      <c r="D1815" s="51" t="n">
        <v>0</v>
      </c>
    </row>
    <row r="1816" customFormat="false" ht="15" hidden="true" customHeight="false" outlineLevel="0" collapsed="false">
      <c r="A1816" s="51" t="s">
        <v>448</v>
      </c>
      <c r="B1816" s="55" t="n">
        <v>44285</v>
      </c>
      <c r="C1816" s="51" t="s">
        <v>82</v>
      </c>
      <c r="D1816" s="51" t="n">
        <v>0</v>
      </c>
    </row>
    <row r="1817" customFormat="false" ht="15" hidden="true" customHeight="false" outlineLevel="0" collapsed="false">
      <c r="A1817" s="51" t="s">
        <v>453</v>
      </c>
      <c r="B1817" s="55" t="n">
        <v>44285</v>
      </c>
      <c r="C1817" s="51" t="s">
        <v>82</v>
      </c>
      <c r="D1817" s="51" t="n">
        <v>0</v>
      </c>
    </row>
    <row r="1818" customFormat="false" ht="15" hidden="true" customHeight="false" outlineLevel="0" collapsed="false">
      <c r="A1818" s="51" t="s">
        <v>458</v>
      </c>
      <c r="B1818" s="55" t="n">
        <v>44285</v>
      </c>
      <c r="C1818" s="51" t="s">
        <v>82</v>
      </c>
      <c r="D1818" s="51" t="n">
        <v>0</v>
      </c>
    </row>
    <row r="1819" customFormat="false" ht="15" hidden="true" customHeight="false" outlineLevel="0" collapsed="false">
      <c r="A1819" s="51" t="s">
        <v>473</v>
      </c>
      <c r="B1819" s="55" t="n">
        <v>44285</v>
      </c>
      <c r="C1819" s="51" t="s">
        <v>82</v>
      </c>
      <c r="D1819" s="51" t="n">
        <v>0</v>
      </c>
    </row>
    <row r="1820" customFormat="false" ht="15" hidden="true" customHeight="false" outlineLevel="0" collapsed="false">
      <c r="A1820" s="51" t="s">
        <v>479</v>
      </c>
      <c r="B1820" s="55" t="n">
        <v>44285</v>
      </c>
      <c r="C1820" s="51" t="s">
        <v>82</v>
      </c>
      <c r="D1820" s="51" t="n">
        <v>0</v>
      </c>
    </row>
    <row r="1821" customFormat="false" ht="15" hidden="true" customHeight="false" outlineLevel="0" collapsed="false">
      <c r="A1821" s="51" t="s">
        <v>484</v>
      </c>
      <c r="B1821" s="55" t="n">
        <v>44285</v>
      </c>
      <c r="C1821" s="51" t="s">
        <v>82</v>
      </c>
      <c r="D1821" s="51" t="n">
        <v>0</v>
      </c>
    </row>
    <row r="1822" customFormat="false" ht="15" hidden="true" customHeight="false" outlineLevel="0" collapsed="false">
      <c r="A1822" s="51" t="s">
        <v>489</v>
      </c>
      <c r="B1822" s="55" t="n">
        <v>44285</v>
      </c>
      <c r="C1822" s="51" t="s">
        <v>82</v>
      </c>
      <c r="D1822" s="51" t="n">
        <v>0</v>
      </c>
    </row>
    <row r="1823" customFormat="false" ht="15" hidden="true" customHeight="false" outlineLevel="0" collapsed="false">
      <c r="A1823" s="51" t="s">
        <v>494</v>
      </c>
      <c r="B1823" s="55" t="n">
        <v>44285</v>
      </c>
      <c r="C1823" s="51" t="s">
        <v>82</v>
      </c>
      <c r="D1823" s="51" t="n">
        <v>0</v>
      </c>
    </row>
    <row r="1824" customFormat="false" ht="15" hidden="true" customHeight="false" outlineLevel="0" collapsed="false">
      <c r="A1824" s="51" t="s">
        <v>499</v>
      </c>
      <c r="B1824" s="55" t="n">
        <v>44285</v>
      </c>
      <c r="C1824" s="51" t="s">
        <v>82</v>
      </c>
      <c r="D1824" s="51" t="n">
        <v>0</v>
      </c>
    </row>
    <row r="1825" customFormat="false" ht="15" hidden="true" customHeight="false" outlineLevel="0" collapsed="false">
      <c r="A1825" s="51" t="s">
        <v>504</v>
      </c>
      <c r="B1825" s="55" t="n">
        <v>44285</v>
      </c>
      <c r="C1825" s="51" t="s">
        <v>82</v>
      </c>
      <c r="D1825" s="51" t="n">
        <v>0</v>
      </c>
    </row>
    <row r="1826" customFormat="false" ht="15" hidden="true" customHeight="false" outlineLevel="0" collapsed="false">
      <c r="A1826" s="51" t="s">
        <v>509</v>
      </c>
      <c r="B1826" s="55" t="n">
        <v>44285</v>
      </c>
      <c r="C1826" s="51" t="s">
        <v>82</v>
      </c>
      <c r="D1826" s="51" t="n">
        <v>0</v>
      </c>
    </row>
    <row r="1827" customFormat="false" ht="15" hidden="true" customHeight="false" outlineLevel="0" collapsed="false">
      <c r="A1827" s="51" t="s">
        <v>515</v>
      </c>
      <c r="B1827" s="55" t="n">
        <v>44285</v>
      </c>
      <c r="C1827" s="51" t="s">
        <v>82</v>
      </c>
      <c r="D1827" s="51" t="n">
        <v>0</v>
      </c>
    </row>
    <row r="1828" customFormat="false" ht="15" hidden="true" customHeight="false" outlineLevel="0" collapsed="false">
      <c r="A1828" s="51" t="s">
        <v>520</v>
      </c>
      <c r="B1828" s="55" t="n">
        <v>44285</v>
      </c>
      <c r="C1828" s="51" t="s">
        <v>82</v>
      </c>
      <c r="D1828" s="51" t="n">
        <v>0</v>
      </c>
    </row>
    <row r="1829" customFormat="false" ht="15" hidden="true" customHeight="false" outlineLevel="0" collapsed="false">
      <c r="A1829" s="51" t="s">
        <v>525</v>
      </c>
      <c r="B1829" s="55" t="n">
        <v>44285</v>
      </c>
      <c r="C1829" s="51" t="s">
        <v>82</v>
      </c>
      <c r="D1829" s="51" t="n">
        <v>0</v>
      </c>
    </row>
    <row r="1830" customFormat="false" ht="15" hidden="true" customHeight="false" outlineLevel="0" collapsed="false">
      <c r="A1830" s="51" t="s">
        <v>531</v>
      </c>
      <c r="B1830" s="55" t="n">
        <v>44285</v>
      </c>
      <c r="C1830" s="51" t="s">
        <v>82</v>
      </c>
      <c r="D1830" s="51" t="n">
        <v>0</v>
      </c>
    </row>
    <row r="1831" customFormat="false" ht="15" hidden="true" customHeight="false" outlineLevel="0" collapsed="false">
      <c r="A1831" s="51" t="s">
        <v>536</v>
      </c>
      <c r="B1831" s="55" t="n">
        <v>44285</v>
      </c>
      <c r="C1831" s="51" t="s">
        <v>82</v>
      </c>
      <c r="D1831" s="51" t="n">
        <v>0</v>
      </c>
    </row>
    <row r="1832" customFormat="false" ht="15" hidden="true" customHeight="false" outlineLevel="0" collapsed="false">
      <c r="A1832" s="51" t="s">
        <v>541</v>
      </c>
      <c r="B1832" s="55" t="n">
        <v>44285</v>
      </c>
      <c r="C1832" s="51" t="s">
        <v>82</v>
      </c>
      <c r="D1832" s="51" t="n">
        <v>0</v>
      </c>
    </row>
    <row r="1833" customFormat="false" ht="15" hidden="true" customHeight="false" outlineLevel="0" collapsed="false">
      <c r="A1833" s="51" t="s">
        <v>549</v>
      </c>
      <c r="B1833" s="55" t="n">
        <v>44285</v>
      </c>
      <c r="C1833" s="51" t="s">
        <v>82</v>
      </c>
      <c r="D1833" s="51" t="n">
        <v>0</v>
      </c>
    </row>
    <row r="1834" customFormat="false" ht="15" hidden="true" customHeight="false" outlineLevel="0" collapsed="false">
      <c r="A1834" s="51" t="s">
        <v>554</v>
      </c>
      <c r="B1834" s="55" t="n">
        <v>44285</v>
      </c>
      <c r="C1834" s="51" t="s">
        <v>82</v>
      </c>
      <c r="D1834" s="51" t="n">
        <v>0</v>
      </c>
    </row>
    <row r="1835" customFormat="false" ht="15" hidden="true" customHeight="false" outlineLevel="0" collapsed="false">
      <c r="A1835" s="51" t="s">
        <v>559</v>
      </c>
      <c r="B1835" s="55" t="n">
        <v>44285</v>
      </c>
      <c r="C1835" s="51" t="s">
        <v>82</v>
      </c>
      <c r="D1835" s="51" t="n">
        <v>0</v>
      </c>
    </row>
    <row r="1836" customFormat="false" ht="15" hidden="true" customHeight="false" outlineLevel="0" collapsed="false">
      <c r="A1836" s="51" t="s">
        <v>564</v>
      </c>
      <c r="B1836" s="55" t="n">
        <v>44285</v>
      </c>
      <c r="C1836" s="51" t="s">
        <v>82</v>
      </c>
      <c r="D1836" s="51" t="n">
        <v>0</v>
      </c>
    </row>
    <row r="1837" customFormat="false" ht="15" hidden="true" customHeight="false" outlineLevel="0" collapsed="false">
      <c r="A1837" s="51" t="s">
        <v>569</v>
      </c>
      <c r="B1837" s="55" t="n">
        <v>44285</v>
      </c>
      <c r="C1837" s="51" t="s">
        <v>82</v>
      </c>
      <c r="D1837" s="51" t="n">
        <v>0</v>
      </c>
    </row>
    <row r="1838" customFormat="false" ht="15" hidden="true" customHeight="false" outlineLevel="0" collapsed="false">
      <c r="A1838" s="51" t="s">
        <v>574</v>
      </c>
      <c r="B1838" s="55" t="n">
        <v>44285</v>
      </c>
      <c r="C1838" s="51" t="s">
        <v>82</v>
      </c>
      <c r="D1838" s="51" t="n">
        <v>0</v>
      </c>
    </row>
    <row r="1839" customFormat="false" ht="15" hidden="true" customHeight="false" outlineLevel="0" collapsed="false">
      <c r="A1839" s="51" t="s">
        <v>579</v>
      </c>
      <c r="B1839" s="55" t="n">
        <v>44285</v>
      </c>
      <c r="C1839" s="51" t="s">
        <v>82</v>
      </c>
      <c r="D1839" s="51" t="n">
        <v>0</v>
      </c>
    </row>
    <row r="1840" customFormat="false" ht="15" hidden="true" customHeight="false" outlineLevel="0" collapsed="false">
      <c r="A1840" s="51" t="s">
        <v>584</v>
      </c>
      <c r="B1840" s="55" t="n">
        <v>44285</v>
      </c>
      <c r="C1840" s="51" t="s">
        <v>82</v>
      </c>
      <c r="D1840" s="51" t="n">
        <v>0</v>
      </c>
    </row>
    <row r="1841" customFormat="false" ht="15" hidden="true" customHeight="false" outlineLevel="0" collapsed="false">
      <c r="A1841" s="51" t="s">
        <v>589</v>
      </c>
      <c r="B1841" s="55" t="n">
        <v>44285</v>
      </c>
      <c r="C1841" s="51" t="s">
        <v>82</v>
      </c>
      <c r="D1841" s="51" t="n">
        <v>0</v>
      </c>
    </row>
    <row r="1842" customFormat="false" ht="15" hidden="true" customHeight="false" outlineLevel="0" collapsed="false">
      <c r="A1842" s="51" t="s">
        <v>756</v>
      </c>
      <c r="B1842" s="55" t="n">
        <v>44285</v>
      </c>
      <c r="C1842" s="51" t="s">
        <v>82</v>
      </c>
      <c r="D1842" s="51" t="n">
        <v>0</v>
      </c>
    </row>
    <row r="1843" customFormat="false" ht="15" hidden="true" customHeight="false" outlineLevel="0" collapsed="false">
      <c r="A1843" s="51" t="s">
        <v>594</v>
      </c>
      <c r="B1843" s="55" t="n">
        <v>44285</v>
      </c>
      <c r="C1843" s="51" t="s">
        <v>82</v>
      </c>
      <c r="D1843" s="51" t="n">
        <v>0</v>
      </c>
    </row>
    <row r="1844" customFormat="false" ht="15" hidden="true" customHeight="false" outlineLevel="0" collapsed="false">
      <c r="A1844" s="51" t="s">
        <v>761</v>
      </c>
      <c r="B1844" s="55" t="n">
        <v>44285</v>
      </c>
      <c r="C1844" s="51" t="s">
        <v>82</v>
      </c>
      <c r="D1844" s="51" t="n">
        <v>0</v>
      </c>
    </row>
    <row r="1845" customFormat="false" ht="15" hidden="true" customHeight="false" outlineLevel="0" collapsed="false">
      <c r="A1845" s="51" t="s">
        <v>599</v>
      </c>
      <c r="B1845" s="55" t="n">
        <v>44285</v>
      </c>
      <c r="C1845" s="51" t="s">
        <v>82</v>
      </c>
      <c r="D1845" s="51" t="n">
        <v>0</v>
      </c>
    </row>
    <row r="1846" customFormat="false" ht="15" hidden="true" customHeight="false" outlineLevel="0" collapsed="false">
      <c r="A1846" s="51" t="s">
        <v>604</v>
      </c>
      <c r="B1846" s="55" t="n">
        <v>44285</v>
      </c>
      <c r="C1846" s="51" t="s">
        <v>82</v>
      </c>
      <c r="D1846" s="51" t="n">
        <v>0</v>
      </c>
    </row>
    <row r="1847" customFormat="false" ht="15" hidden="true" customHeight="false" outlineLevel="0" collapsed="false">
      <c r="A1847" s="51" t="s">
        <v>609</v>
      </c>
      <c r="B1847" s="55" t="n">
        <v>44285</v>
      </c>
      <c r="C1847" s="51" t="s">
        <v>82</v>
      </c>
      <c r="D1847" s="51" t="n">
        <v>0</v>
      </c>
    </row>
    <row r="1848" customFormat="false" ht="15" hidden="true" customHeight="false" outlineLevel="0" collapsed="false">
      <c r="A1848" s="51" t="s">
        <v>614</v>
      </c>
      <c r="B1848" s="55" t="n">
        <v>44285</v>
      </c>
      <c r="C1848" s="51" t="s">
        <v>82</v>
      </c>
      <c r="D1848" s="51" t="n">
        <v>0</v>
      </c>
    </row>
    <row r="1849" customFormat="false" ht="15" hidden="true" customHeight="false" outlineLevel="0" collapsed="false">
      <c r="A1849" s="51" t="s">
        <v>619</v>
      </c>
      <c r="B1849" s="55" t="n">
        <v>44285</v>
      </c>
      <c r="C1849" s="51" t="s">
        <v>82</v>
      </c>
      <c r="D1849" s="51" t="n">
        <v>0</v>
      </c>
    </row>
    <row r="1850" customFormat="false" ht="15" hidden="true" customHeight="false" outlineLevel="0" collapsed="false">
      <c r="A1850" s="51" t="s">
        <v>624</v>
      </c>
      <c r="B1850" s="55" t="n">
        <v>44285</v>
      </c>
      <c r="C1850" s="51" t="s">
        <v>82</v>
      </c>
      <c r="D1850" s="51" t="n">
        <v>0</v>
      </c>
    </row>
    <row r="1851" customFormat="false" ht="15" hidden="true" customHeight="false" outlineLevel="0" collapsed="false">
      <c r="A1851" s="51" t="s">
        <v>629</v>
      </c>
      <c r="B1851" s="55" t="n">
        <v>44285</v>
      </c>
      <c r="C1851" s="51" t="s">
        <v>82</v>
      </c>
      <c r="D1851" s="51" t="n">
        <v>0</v>
      </c>
    </row>
    <row r="1852" customFormat="false" ht="15" hidden="true" customHeight="false" outlineLevel="0" collapsed="false">
      <c r="A1852" s="51" t="s">
        <v>633</v>
      </c>
      <c r="B1852" s="55" t="n">
        <v>44285</v>
      </c>
      <c r="C1852" s="51" t="s">
        <v>82</v>
      </c>
      <c r="D1852" s="51" t="n">
        <v>0</v>
      </c>
    </row>
    <row r="1853" customFormat="false" ht="15" hidden="true" customHeight="false" outlineLevel="0" collapsed="false">
      <c r="A1853" s="51" t="s">
        <v>638</v>
      </c>
      <c r="B1853" s="55" t="n">
        <v>44285</v>
      </c>
      <c r="C1853" s="51" t="s">
        <v>82</v>
      </c>
      <c r="D1853" s="51" t="n">
        <v>0</v>
      </c>
    </row>
    <row r="1854" customFormat="false" ht="15" hidden="true" customHeight="false" outlineLevel="0" collapsed="false">
      <c r="A1854" s="51" t="s">
        <v>642</v>
      </c>
      <c r="B1854" s="55" t="n">
        <v>44285</v>
      </c>
      <c r="C1854" s="51" t="s">
        <v>82</v>
      </c>
      <c r="D1854" s="51" t="n">
        <v>0</v>
      </c>
    </row>
    <row r="1855" customFormat="false" ht="15" hidden="true" customHeight="false" outlineLevel="0" collapsed="false">
      <c r="A1855" s="51" t="s">
        <v>646</v>
      </c>
      <c r="B1855" s="55" t="n">
        <v>44285</v>
      </c>
      <c r="C1855" s="51" t="s">
        <v>82</v>
      </c>
      <c r="D1855" s="51" t="n">
        <v>0</v>
      </c>
    </row>
    <row r="1856" customFormat="false" ht="15" hidden="true" customHeight="false" outlineLevel="0" collapsed="false">
      <c r="A1856" s="51" t="s">
        <v>651</v>
      </c>
      <c r="B1856" s="55" t="n">
        <v>44285</v>
      </c>
      <c r="C1856" s="51" t="s">
        <v>82</v>
      </c>
      <c r="D1856" s="51" t="n">
        <v>0</v>
      </c>
    </row>
    <row r="1857" customFormat="false" ht="15" hidden="true" customHeight="false" outlineLevel="0" collapsed="false">
      <c r="A1857" s="51" t="s">
        <v>656</v>
      </c>
      <c r="B1857" s="55" t="n">
        <v>44285</v>
      </c>
      <c r="C1857" s="51" t="s">
        <v>82</v>
      </c>
      <c r="D1857" s="51" t="n">
        <v>0</v>
      </c>
    </row>
    <row r="1858" customFormat="false" ht="15" hidden="true" customHeight="false" outlineLevel="0" collapsed="false">
      <c r="A1858" s="51" t="s">
        <v>661</v>
      </c>
      <c r="B1858" s="55" t="n">
        <v>44285</v>
      </c>
      <c r="C1858" s="51" t="s">
        <v>82</v>
      </c>
      <c r="D1858" s="51" t="n">
        <v>0</v>
      </c>
    </row>
    <row r="1859" customFormat="false" ht="15" hidden="true" customHeight="false" outlineLevel="0" collapsed="false">
      <c r="A1859" s="51" t="s">
        <v>666</v>
      </c>
      <c r="B1859" s="55" t="n">
        <v>44285</v>
      </c>
      <c r="C1859" s="51" t="s">
        <v>82</v>
      </c>
      <c r="D1859" s="51" t="n">
        <v>0</v>
      </c>
    </row>
    <row r="1860" customFormat="false" ht="15" hidden="true" customHeight="false" outlineLevel="0" collapsed="false">
      <c r="A1860" s="51" t="s">
        <v>671</v>
      </c>
      <c r="B1860" s="55" t="n">
        <v>44285</v>
      </c>
      <c r="C1860" s="51" t="s">
        <v>82</v>
      </c>
      <c r="D1860" s="51" t="n">
        <v>0</v>
      </c>
    </row>
    <row r="1861" customFormat="false" ht="15" hidden="true" customHeight="false" outlineLevel="0" collapsed="false">
      <c r="A1861" s="51" t="s">
        <v>676</v>
      </c>
      <c r="B1861" s="55" t="n">
        <v>44285</v>
      </c>
      <c r="C1861" s="51" t="s">
        <v>82</v>
      </c>
      <c r="D1861" s="51" t="n">
        <v>0</v>
      </c>
    </row>
    <row r="1862" customFormat="false" ht="15" hidden="true" customHeight="false" outlineLevel="0" collapsed="false">
      <c r="A1862" s="51" t="s">
        <v>681</v>
      </c>
      <c r="B1862" s="55" t="n">
        <v>44285</v>
      </c>
      <c r="C1862" s="51" t="s">
        <v>82</v>
      </c>
      <c r="D1862" s="51" t="n">
        <v>0</v>
      </c>
    </row>
    <row r="1863" customFormat="false" ht="15" hidden="true" customHeight="false" outlineLevel="0" collapsed="false">
      <c r="A1863" s="51" t="s">
        <v>686</v>
      </c>
      <c r="B1863" s="55" t="n">
        <v>44285</v>
      </c>
      <c r="C1863" s="51" t="s">
        <v>82</v>
      </c>
      <c r="D1863" s="51" t="n">
        <v>0</v>
      </c>
    </row>
    <row r="1864" customFormat="false" ht="15" hidden="true" customHeight="false" outlineLevel="0" collapsed="false">
      <c r="A1864" s="51" t="s">
        <v>691</v>
      </c>
      <c r="B1864" s="55" t="n">
        <v>44285</v>
      </c>
      <c r="C1864" s="51" t="s">
        <v>82</v>
      </c>
      <c r="D1864" s="51" t="n">
        <v>0</v>
      </c>
    </row>
    <row r="1865" customFormat="false" ht="15" hidden="true" customHeight="false" outlineLevel="0" collapsed="false">
      <c r="A1865" s="51" t="s">
        <v>696</v>
      </c>
      <c r="B1865" s="55" t="n">
        <v>44285</v>
      </c>
      <c r="C1865" s="51" t="s">
        <v>82</v>
      </c>
      <c r="D1865" s="51" t="n">
        <v>0</v>
      </c>
    </row>
    <row r="1866" customFormat="false" ht="15" hidden="true" customHeight="false" outlineLevel="0" collapsed="false">
      <c r="A1866" s="51" t="s">
        <v>701</v>
      </c>
      <c r="B1866" s="55" t="n">
        <v>44285</v>
      </c>
      <c r="C1866" s="51" t="s">
        <v>82</v>
      </c>
      <c r="D1866" s="51" t="n">
        <v>0</v>
      </c>
    </row>
    <row r="1867" customFormat="false" ht="15" hidden="true" customHeight="false" outlineLevel="0" collapsed="false">
      <c r="A1867" s="51" t="s">
        <v>707</v>
      </c>
      <c r="B1867" s="55" t="n">
        <v>44285</v>
      </c>
      <c r="C1867" s="51" t="s">
        <v>82</v>
      </c>
      <c r="D1867" s="51" t="n">
        <v>0</v>
      </c>
    </row>
    <row r="1868" customFormat="false" ht="15" hidden="true" customHeight="false" outlineLevel="0" collapsed="false">
      <c r="A1868" s="51" t="s">
        <v>712</v>
      </c>
      <c r="B1868" s="55" t="n">
        <v>44285</v>
      </c>
      <c r="C1868" s="51" t="s">
        <v>82</v>
      </c>
      <c r="D1868" s="51" t="n">
        <v>0</v>
      </c>
    </row>
    <row r="1869" customFormat="false" ht="15" hidden="true" customHeight="false" outlineLevel="0" collapsed="false">
      <c r="A1869" s="51" t="s">
        <v>717</v>
      </c>
      <c r="B1869" s="55" t="n">
        <v>44285</v>
      </c>
      <c r="C1869" s="51" t="s">
        <v>82</v>
      </c>
      <c r="D1869" s="51" t="n">
        <v>0</v>
      </c>
    </row>
    <row r="1870" customFormat="false" ht="15" hidden="true" customHeight="false" outlineLevel="0" collapsed="false">
      <c r="A1870" s="51" t="s">
        <v>767</v>
      </c>
      <c r="B1870" s="55" t="n">
        <v>44285</v>
      </c>
      <c r="C1870" s="51" t="s">
        <v>82</v>
      </c>
      <c r="D1870" s="51" t="n">
        <v>0</v>
      </c>
    </row>
    <row r="1871" customFormat="false" ht="15" hidden="true" customHeight="false" outlineLevel="0" collapsed="false">
      <c r="A1871" s="51" t="s">
        <v>722</v>
      </c>
      <c r="B1871" s="55" t="n">
        <v>44285</v>
      </c>
      <c r="C1871" s="51" t="s">
        <v>82</v>
      </c>
      <c r="D1871" s="51" t="n">
        <v>0</v>
      </c>
    </row>
    <row r="1872" customFormat="false" ht="15" hidden="true" customHeight="false" outlineLevel="0" collapsed="false">
      <c r="A1872" s="51" t="s">
        <v>727</v>
      </c>
      <c r="B1872" s="55" t="n">
        <v>44285</v>
      </c>
      <c r="C1872" s="51" t="s">
        <v>82</v>
      </c>
      <c r="D1872" s="51" t="n">
        <v>0</v>
      </c>
    </row>
    <row r="1873" customFormat="false" ht="15" hidden="true" customHeight="false" outlineLevel="0" collapsed="false">
      <c r="A1873" s="51" t="s">
        <v>732</v>
      </c>
      <c r="B1873" s="55" t="n">
        <v>44285</v>
      </c>
      <c r="C1873" s="51" t="s">
        <v>82</v>
      </c>
      <c r="D1873" s="51" t="n">
        <v>0</v>
      </c>
    </row>
    <row r="1874" customFormat="false" ht="15" hidden="true" customHeight="false" outlineLevel="0" collapsed="false">
      <c r="A1874" s="51" t="s">
        <v>736</v>
      </c>
      <c r="B1874" s="55" t="n">
        <v>44285</v>
      </c>
      <c r="C1874" s="51" t="s">
        <v>82</v>
      </c>
      <c r="D1874" s="51" t="n">
        <v>0</v>
      </c>
    </row>
    <row r="1875" customFormat="false" ht="15" hidden="true" customHeight="false" outlineLevel="0" collapsed="false">
      <c r="A1875" s="51" t="s">
        <v>741</v>
      </c>
      <c r="B1875" s="55" t="n">
        <v>44285</v>
      </c>
      <c r="C1875" s="51" t="s">
        <v>82</v>
      </c>
      <c r="D1875" s="51" t="n">
        <v>0</v>
      </c>
    </row>
    <row r="1876" customFormat="false" ht="15" hidden="true" customHeight="false" outlineLevel="0" collapsed="false">
      <c r="A1876" s="51" t="s">
        <v>746</v>
      </c>
      <c r="B1876" s="55" t="n">
        <v>44285</v>
      </c>
      <c r="C1876" s="51" t="s">
        <v>82</v>
      </c>
      <c r="D1876" s="51" t="n">
        <v>0</v>
      </c>
    </row>
    <row r="1877" customFormat="false" ht="15" hidden="true" customHeight="false" outlineLevel="0" collapsed="false">
      <c r="A1877" s="51" t="s">
        <v>751</v>
      </c>
      <c r="B1877" s="55" t="n">
        <v>44285</v>
      </c>
      <c r="C1877" s="51" t="s">
        <v>82</v>
      </c>
      <c r="D1877" s="51" t="n">
        <v>0</v>
      </c>
    </row>
    <row r="1878" customFormat="false" ht="15" hidden="false" customHeight="false" outlineLevel="0" collapsed="false">
      <c r="A1878" s="51" t="s">
        <v>781</v>
      </c>
      <c r="B1878" s="55" t="n">
        <v>44285</v>
      </c>
      <c r="C1878" s="51" t="s">
        <v>73</v>
      </c>
      <c r="D1878" s="51" t="n">
        <v>21600000</v>
      </c>
    </row>
    <row r="1879" customFormat="false" ht="15" hidden="true" customHeight="false" outlineLevel="0" collapsed="false">
      <c r="A1879" s="51" t="s">
        <v>783</v>
      </c>
      <c r="B1879" s="55" t="n">
        <v>44285</v>
      </c>
      <c r="C1879" s="51" t="s">
        <v>73</v>
      </c>
      <c r="D1879" s="51" t="n">
        <v>700000</v>
      </c>
    </row>
    <row r="1880" customFormat="false" ht="15" hidden="true" customHeight="false" outlineLevel="0" collapsed="false">
      <c r="A1880" s="51" t="s">
        <v>96</v>
      </c>
      <c r="B1880" s="55" t="n">
        <v>44285</v>
      </c>
      <c r="C1880" s="51" t="s">
        <v>73</v>
      </c>
      <c r="D1880" s="51" t="n">
        <v>1900000</v>
      </c>
    </row>
    <row r="1881" customFormat="false" ht="15" hidden="true" customHeight="false" outlineLevel="0" collapsed="false">
      <c r="A1881" s="51" t="s">
        <v>101</v>
      </c>
      <c r="B1881" s="55" t="n">
        <v>44285</v>
      </c>
      <c r="C1881" s="51" t="s">
        <v>73</v>
      </c>
      <c r="D1881" s="51" t="n">
        <v>500000</v>
      </c>
    </row>
    <row r="1882" customFormat="false" ht="15" hidden="true" customHeight="false" outlineLevel="0" collapsed="false">
      <c r="A1882" s="51" t="s">
        <v>106</v>
      </c>
      <c r="B1882" s="55" t="n">
        <v>44285</v>
      </c>
      <c r="C1882" s="51" t="s">
        <v>73</v>
      </c>
      <c r="D1882" s="51" t="n">
        <v>250000</v>
      </c>
    </row>
    <row r="1883" customFormat="false" ht="15" hidden="true" customHeight="false" outlineLevel="0" collapsed="false">
      <c r="A1883" s="51" t="s">
        <v>110</v>
      </c>
      <c r="B1883" s="55" t="n">
        <v>44285</v>
      </c>
      <c r="C1883" s="51" t="s">
        <v>73</v>
      </c>
      <c r="D1883" s="51" t="n">
        <v>481000</v>
      </c>
    </row>
    <row r="1884" customFormat="false" ht="15" hidden="true" customHeight="false" outlineLevel="0" collapsed="false">
      <c r="A1884" s="51" t="s">
        <v>115</v>
      </c>
      <c r="B1884" s="55" t="n">
        <v>44285</v>
      </c>
      <c r="C1884" s="51" t="s">
        <v>73</v>
      </c>
      <c r="D1884" s="51" t="n">
        <v>180000</v>
      </c>
    </row>
    <row r="1885" customFormat="false" ht="15" hidden="true" customHeight="false" outlineLevel="0" collapsed="false">
      <c r="A1885" s="51" t="s">
        <v>120</v>
      </c>
      <c r="B1885" s="55" t="n">
        <v>44285</v>
      </c>
      <c r="C1885" s="51" t="s">
        <v>73</v>
      </c>
      <c r="D1885" s="51" t="n">
        <v>800000</v>
      </c>
    </row>
    <row r="1886" customFormat="false" ht="15" hidden="true" customHeight="false" outlineLevel="0" collapsed="false">
      <c r="A1886" s="51" t="s">
        <v>124</v>
      </c>
      <c r="B1886" s="55" t="n">
        <v>44285</v>
      </c>
      <c r="C1886" s="51" t="s">
        <v>73</v>
      </c>
      <c r="D1886" s="51" t="n">
        <v>250000</v>
      </c>
    </row>
    <row r="1887" customFormat="false" ht="15" hidden="true" customHeight="false" outlineLevel="0" collapsed="false">
      <c r="A1887" s="51" t="s">
        <v>129</v>
      </c>
      <c r="B1887" s="55" t="n">
        <v>44285</v>
      </c>
      <c r="C1887" s="51" t="s">
        <v>73</v>
      </c>
      <c r="D1887" s="51" t="n">
        <v>200000</v>
      </c>
    </row>
    <row r="1888" customFormat="false" ht="15" hidden="true" customHeight="false" outlineLevel="0" collapsed="false">
      <c r="A1888" s="51" t="s">
        <v>134</v>
      </c>
      <c r="B1888" s="55" t="n">
        <v>44285</v>
      </c>
      <c r="C1888" s="51" t="s">
        <v>73</v>
      </c>
      <c r="D1888" s="51" t="n">
        <v>714249</v>
      </c>
    </row>
    <row r="1889" customFormat="false" ht="15" hidden="true" customHeight="false" outlineLevel="0" collapsed="false">
      <c r="A1889" s="51" t="s">
        <v>141</v>
      </c>
      <c r="B1889" s="55" t="n">
        <v>44285</v>
      </c>
      <c r="C1889" s="51" t="s">
        <v>73</v>
      </c>
      <c r="D1889" s="51" t="n">
        <v>357000</v>
      </c>
    </row>
    <row r="1890" customFormat="false" ht="15" hidden="true" customHeight="false" outlineLevel="0" collapsed="false">
      <c r="A1890" s="51" t="s">
        <v>146</v>
      </c>
      <c r="B1890" s="55" t="n">
        <v>44285</v>
      </c>
      <c r="C1890" s="51" t="s">
        <v>73</v>
      </c>
      <c r="D1890" s="51" t="n">
        <v>500000</v>
      </c>
    </row>
    <row r="1891" customFormat="false" ht="15" hidden="true" customHeight="false" outlineLevel="0" collapsed="false">
      <c r="A1891" s="51" t="s">
        <v>151</v>
      </c>
      <c r="B1891" s="55" t="n">
        <v>44285</v>
      </c>
      <c r="C1891" s="51" t="s">
        <v>73</v>
      </c>
      <c r="D1891" s="51" t="n">
        <v>50000</v>
      </c>
    </row>
    <row r="1892" customFormat="false" ht="15" hidden="true" customHeight="false" outlineLevel="0" collapsed="false">
      <c r="A1892" s="51" t="s">
        <v>156</v>
      </c>
      <c r="B1892" s="55" t="n">
        <v>44285</v>
      </c>
      <c r="C1892" s="51" t="s">
        <v>73</v>
      </c>
      <c r="D1892" s="51" t="n">
        <v>217425</v>
      </c>
    </row>
    <row r="1893" customFormat="false" ht="15" hidden="true" customHeight="false" outlineLevel="0" collapsed="false">
      <c r="A1893" s="51" t="s">
        <v>161</v>
      </c>
      <c r="B1893" s="55" t="n">
        <v>44285</v>
      </c>
      <c r="C1893" s="51" t="s">
        <v>73</v>
      </c>
      <c r="D1893" s="51" t="n">
        <v>50000</v>
      </c>
    </row>
    <row r="1894" customFormat="false" ht="15" hidden="true" customHeight="false" outlineLevel="0" collapsed="false">
      <c r="A1894" s="51" t="s">
        <v>166</v>
      </c>
      <c r="B1894" s="55" t="n">
        <v>44285</v>
      </c>
      <c r="C1894" s="51" t="s">
        <v>73</v>
      </c>
      <c r="D1894" s="51" t="n">
        <v>961000</v>
      </c>
    </row>
    <row r="1895" customFormat="false" ht="15" hidden="true" customHeight="false" outlineLevel="0" collapsed="false">
      <c r="A1895" s="51" t="s">
        <v>171</v>
      </c>
      <c r="B1895" s="55" t="n">
        <v>44285</v>
      </c>
      <c r="C1895" s="51" t="s">
        <v>73</v>
      </c>
      <c r="D1895" s="51" t="n">
        <v>1750000</v>
      </c>
    </row>
    <row r="1896" customFormat="false" ht="15" hidden="true" customHeight="false" outlineLevel="0" collapsed="false">
      <c r="A1896" s="51" t="s">
        <v>176</v>
      </c>
      <c r="B1896" s="55" t="n">
        <v>44285</v>
      </c>
      <c r="C1896" s="51" t="s">
        <v>73</v>
      </c>
      <c r="D1896" s="51" t="n">
        <v>370000</v>
      </c>
    </row>
    <row r="1897" customFormat="false" ht="15" hidden="true" customHeight="false" outlineLevel="0" collapsed="false">
      <c r="A1897" s="51" t="s">
        <v>181</v>
      </c>
      <c r="B1897" s="55" t="n">
        <v>44285</v>
      </c>
      <c r="C1897" s="51" t="s">
        <v>73</v>
      </c>
      <c r="D1897" s="51" t="n">
        <v>100000</v>
      </c>
    </row>
    <row r="1898" customFormat="false" ht="15" hidden="true" customHeight="false" outlineLevel="0" collapsed="false">
      <c r="A1898" s="51" t="s">
        <v>186</v>
      </c>
      <c r="B1898" s="55" t="n">
        <v>44285</v>
      </c>
      <c r="C1898" s="51" t="s">
        <v>73</v>
      </c>
      <c r="D1898" s="51" t="n">
        <v>250000</v>
      </c>
    </row>
    <row r="1899" customFormat="false" ht="15" hidden="true" customHeight="false" outlineLevel="0" collapsed="false">
      <c r="A1899" s="51" t="s">
        <v>191</v>
      </c>
      <c r="B1899" s="55" t="n">
        <v>44285</v>
      </c>
      <c r="C1899" s="51" t="s">
        <v>73</v>
      </c>
      <c r="D1899" s="51" t="n">
        <v>0</v>
      </c>
    </row>
    <row r="1900" customFormat="false" ht="15" hidden="true" customHeight="false" outlineLevel="0" collapsed="false">
      <c r="A1900" s="51" t="s">
        <v>196</v>
      </c>
      <c r="B1900" s="55" t="n">
        <v>44285</v>
      </c>
      <c r="C1900" s="51" t="s">
        <v>73</v>
      </c>
      <c r="D1900" s="51" t="n">
        <v>0</v>
      </c>
    </row>
    <row r="1901" customFormat="false" ht="15" hidden="true" customHeight="false" outlineLevel="0" collapsed="false">
      <c r="A1901" s="51" t="s">
        <v>201</v>
      </c>
      <c r="B1901" s="55" t="n">
        <v>44285</v>
      </c>
      <c r="C1901" s="51" t="s">
        <v>73</v>
      </c>
      <c r="D1901" s="51" t="n">
        <v>0</v>
      </c>
    </row>
    <row r="1902" customFormat="false" ht="15" hidden="true" customHeight="false" outlineLevel="0" collapsed="false">
      <c r="A1902" s="51" t="s">
        <v>206</v>
      </c>
      <c r="B1902" s="55" t="n">
        <v>44285</v>
      </c>
      <c r="C1902" s="51" t="s">
        <v>73</v>
      </c>
      <c r="D1902" s="51" t="n">
        <v>0</v>
      </c>
    </row>
    <row r="1903" customFormat="false" ht="15" hidden="true" customHeight="false" outlineLevel="0" collapsed="false">
      <c r="A1903" s="51" t="s">
        <v>210</v>
      </c>
      <c r="B1903" s="55" t="n">
        <v>44285</v>
      </c>
      <c r="C1903" s="51" t="s">
        <v>73</v>
      </c>
      <c r="D1903" s="51" t="n">
        <v>0</v>
      </c>
    </row>
    <row r="1904" customFormat="false" ht="15" hidden="true" customHeight="false" outlineLevel="0" collapsed="false">
      <c r="A1904" s="51" t="s">
        <v>215</v>
      </c>
      <c r="B1904" s="55" t="n">
        <v>44285</v>
      </c>
      <c r="C1904" s="51" t="s">
        <v>73</v>
      </c>
      <c r="D1904" s="51" t="n">
        <v>0</v>
      </c>
    </row>
    <row r="1905" customFormat="false" ht="15" hidden="true" customHeight="false" outlineLevel="0" collapsed="false">
      <c r="A1905" s="51" t="s">
        <v>790</v>
      </c>
      <c r="B1905" s="55" t="n">
        <v>44285</v>
      </c>
      <c r="C1905" s="51" t="s">
        <v>73</v>
      </c>
      <c r="D1905" s="51" t="n">
        <v>0</v>
      </c>
    </row>
    <row r="1906" customFormat="false" ht="15" hidden="true" customHeight="false" outlineLevel="0" collapsed="false">
      <c r="A1906" s="51" t="s">
        <v>225</v>
      </c>
      <c r="B1906" s="55" t="n">
        <v>44285</v>
      </c>
      <c r="C1906" s="51" t="s">
        <v>73</v>
      </c>
      <c r="D1906" s="51" t="n">
        <v>0</v>
      </c>
    </row>
    <row r="1907" customFormat="false" ht="15" hidden="true" customHeight="false" outlineLevel="0" collapsed="false">
      <c r="A1907" s="51" t="s">
        <v>230</v>
      </c>
      <c r="B1907" s="55" t="n">
        <v>44285</v>
      </c>
      <c r="C1907" s="51" t="s">
        <v>73</v>
      </c>
      <c r="D1907" s="51" t="n">
        <v>0</v>
      </c>
    </row>
    <row r="1908" customFormat="false" ht="15" hidden="true" customHeight="false" outlineLevel="0" collapsed="false">
      <c r="A1908" s="51" t="s">
        <v>235</v>
      </c>
      <c r="B1908" s="55" t="n">
        <v>44285</v>
      </c>
      <c r="C1908" s="51" t="s">
        <v>73</v>
      </c>
      <c r="D1908" s="51" t="n">
        <v>0</v>
      </c>
    </row>
    <row r="1909" customFormat="false" ht="15" hidden="true" customHeight="false" outlineLevel="0" collapsed="false">
      <c r="A1909" s="51" t="s">
        <v>240</v>
      </c>
      <c r="B1909" s="55" t="n">
        <v>44285</v>
      </c>
      <c r="C1909" s="51" t="s">
        <v>73</v>
      </c>
      <c r="D1909" s="51" t="n">
        <v>0</v>
      </c>
    </row>
    <row r="1910" customFormat="false" ht="15" hidden="true" customHeight="false" outlineLevel="0" collapsed="false">
      <c r="A1910" s="51" t="s">
        <v>246</v>
      </c>
      <c r="B1910" s="55" t="n">
        <v>44285</v>
      </c>
      <c r="C1910" s="51" t="s">
        <v>73</v>
      </c>
      <c r="D1910" s="51" t="n">
        <v>0</v>
      </c>
    </row>
    <row r="1911" customFormat="false" ht="15" hidden="true" customHeight="false" outlineLevel="0" collapsed="false">
      <c r="A1911" s="51" t="s">
        <v>252</v>
      </c>
      <c r="B1911" s="55" t="n">
        <v>44285</v>
      </c>
      <c r="C1911" s="51" t="s">
        <v>73</v>
      </c>
      <c r="D1911" s="51" t="n">
        <v>0</v>
      </c>
    </row>
    <row r="1912" customFormat="false" ht="15" hidden="true" customHeight="false" outlineLevel="0" collapsed="false">
      <c r="A1912" s="51" t="s">
        <v>257</v>
      </c>
      <c r="B1912" s="55" t="n">
        <v>44285</v>
      </c>
      <c r="C1912" s="51" t="s">
        <v>73</v>
      </c>
      <c r="D1912" s="51" t="n">
        <v>0</v>
      </c>
    </row>
    <row r="1913" customFormat="false" ht="15" hidden="true" customHeight="false" outlineLevel="0" collapsed="false">
      <c r="A1913" s="51" t="s">
        <v>262</v>
      </c>
      <c r="B1913" s="55" t="n">
        <v>44285</v>
      </c>
      <c r="C1913" s="51" t="s">
        <v>73</v>
      </c>
      <c r="D1913" s="51" t="n">
        <v>0</v>
      </c>
    </row>
    <row r="1914" customFormat="false" ht="15" hidden="true" customHeight="false" outlineLevel="0" collapsed="false">
      <c r="A1914" s="51" t="s">
        <v>267</v>
      </c>
      <c r="B1914" s="55" t="n">
        <v>44285</v>
      </c>
      <c r="C1914" s="51" t="s">
        <v>73</v>
      </c>
      <c r="D1914" s="51" t="n">
        <v>0</v>
      </c>
    </row>
    <row r="1915" customFormat="false" ht="15" hidden="true" customHeight="false" outlineLevel="0" collapsed="false">
      <c r="A1915" s="51" t="s">
        <v>272</v>
      </c>
      <c r="B1915" s="55" t="n">
        <v>44285</v>
      </c>
      <c r="C1915" s="51" t="s">
        <v>73</v>
      </c>
      <c r="D1915" s="51" t="n">
        <v>0</v>
      </c>
    </row>
    <row r="1916" customFormat="false" ht="15" hidden="true" customHeight="false" outlineLevel="0" collapsed="false">
      <c r="A1916" s="51" t="s">
        <v>277</v>
      </c>
      <c r="B1916" s="55" t="n">
        <v>44285</v>
      </c>
      <c r="C1916" s="51" t="s">
        <v>73</v>
      </c>
      <c r="D1916" s="51" t="n">
        <v>0</v>
      </c>
    </row>
    <row r="1917" customFormat="false" ht="15" hidden="true" customHeight="false" outlineLevel="0" collapsed="false">
      <c r="A1917" s="51" t="s">
        <v>282</v>
      </c>
      <c r="B1917" s="55" t="n">
        <v>44285</v>
      </c>
      <c r="C1917" s="51" t="s">
        <v>73</v>
      </c>
      <c r="D1917" s="51" t="n">
        <v>0</v>
      </c>
    </row>
    <row r="1918" customFormat="false" ht="15" hidden="true" customHeight="false" outlineLevel="0" collapsed="false">
      <c r="A1918" s="51" t="s">
        <v>287</v>
      </c>
      <c r="B1918" s="55" t="n">
        <v>44285</v>
      </c>
      <c r="C1918" s="51" t="s">
        <v>73</v>
      </c>
      <c r="D1918" s="51" t="n">
        <v>0</v>
      </c>
    </row>
    <row r="1919" customFormat="false" ht="15" hidden="true" customHeight="false" outlineLevel="0" collapsed="false">
      <c r="A1919" s="51" t="s">
        <v>292</v>
      </c>
      <c r="B1919" s="55" t="n">
        <v>44285</v>
      </c>
      <c r="C1919" s="51" t="s">
        <v>73</v>
      </c>
      <c r="D1919" s="51" t="n">
        <v>0</v>
      </c>
    </row>
    <row r="1920" customFormat="false" ht="15" hidden="true" customHeight="false" outlineLevel="0" collapsed="false">
      <c r="A1920" s="51" t="s">
        <v>297</v>
      </c>
      <c r="B1920" s="55" t="n">
        <v>44285</v>
      </c>
      <c r="C1920" s="51" t="s">
        <v>73</v>
      </c>
      <c r="D1920" s="51" t="n">
        <v>0</v>
      </c>
    </row>
    <row r="1921" customFormat="false" ht="15" hidden="true" customHeight="false" outlineLevel="0" collapsed="false">
      <c r="A1921" s="51" t="s">
        <v>302</v>
      </c>
      <c r="B1921" s="55" t="n">
        <v>44285</v>
      </c>
      <c r="C1921" s="51" t="s">
        <v>73</v>
      </c>
      <c r="D1921" s="51" t="n">
        <v>0</v>
      </c>
    </row>
    <row r="1922" customFormat="false" ht="15" hidden="true" customHeight="false" outlineLevel="0" collapsed="false">
      <c r="A1922" s="51" t="s">
        <v>307</v>
      </c>
      <c r="B1922" s="55" t="n">
        <v>44285</v>
      </c>
      <c r="C1922" s="51" t="s">
        <v>73</v>
      </c>
      <c r="D1922" s="51" t="n">
        <v>0</v>
      </c>
    </row>
    <row r="1923" customFormat="false" ht="15" hidden="true" customHeight="false" outlineLevel="0" collapsed="false">
      <c r="A1923" s="51" t="s">
        <v>311</v>
      </c>
      <c r="B1923" s="55" t="n">
        <v>44285</v>
      </c>
      <c r="C1923" s="51" t="s">
        <v>73</v>
      </c>
      <c r="D1923" s="51" t="n">
        <v>0</v>
      </c>
    </row>
    <row r="1924" customFormat="false" ht="15" hidden="true" customHeight="false" outlineLevel="0" collapsed="false">
      <c r="A1924" s="51" t="s">
        <v>317</v>
      </c>
      <c r="B1924" s="55" t="n">
        <v>44285</v>
      </c>
      <c r="C1924" s="51" t="s">
        <v>73</v>
      </c>
      <c r="D1924" s="51" t="n">
        <v>0</v>
      </c>
    </row>
    <row r="1925" customFormat="false" ht="15" hidden="true" customHeight="false" outlineLevel="0" collapsed="false">
      <c r="A1925" s="51" t="s">
        <v>322</v>
      </c>
      <c r="B1925" s="55" t="n">
        <v>44285</v>
      </c>
      <c r="C1925" s="51" t="s">
        <v>73</v>
      </c>
      <c r="D1925" s="51" t="n">
        <v>0</v>
      </c>
    </row>
    <row r="1926" customFormat="false" ht="15" hidden="true" customHeight="false" outlineLevel="0" collapsed="false">
      <c r="A1926" s="51" t="s">
        <v>327</v>
      </c>
      <c r="B1926" s="55" t="n">
        <v>44285</v>
      </c>
      <c r="C1926" s="51" t="s">
        <v>73</v>
      </c>
      <c r="D1926" s="51" t="n">
        <v>0</v>
      </c>
    </row>
    <row r="1927" customFormat="false" ht="15" hidden="true" customHeight="false" outlineLevel="0" collapsed="false">
      <c r="A1927" s="51" t="s">
        <v>332</v>
      </c>
      <c r="B1927" s="55" t="n">
        <v>44285</v>
      </c>
      <c r="C1927" s="51" t="s">
        <v>73</v>
      </c>
      <c r="D1927" s="51" t="n">
        <v>0</v>
      </c>
    </row>
    <row r="1928" customFormat="false" ht="15" hidden="true" customHeight="false" outlineLevel="0" collapsed="false">
      <c r="A1928" s="51" t="s">
        <v>339</v>
      </c>
      <c r="B1928" s="55" t="n">
        <v>44285</v>
      </c>
      <c r="C1928" s="51" t="s">
        <v>73</v>
      </c>
      <c r="D1928" s="51" t="n">
        <v>0</v>
      </c>
    </row>
    <row r="1929" customFormat="false" ht="15" hidden="true" customHeight="false" outlineLevel="0" collapsed="false">
      <c r="A1929" s="51" t="s">
        <v>344</v>
      </c>
      <c r="B1929" s="55" t="n">
        <v>44285</v>
      </c>
      <c r="C1929" s="51" t="s">
        <v>73</v>
      </c>
      <c r="D1929" s="51" t="n">
        <v>0</v>
      </c>
    </row>
    <row r="1930" customFormat="false" ht="15" hidden="true" customHeight="false" outlineLevel="0" collapsed="false">
      <c r="A1930" s="51" t="s">
        <v>349</v>
      </c>
      <c r="B1930" s="55" t="n">
        <v>44285</v>
      </c>
      <c r="C1930" s="51" t="s">
        <v>73</v>
      </c>
      <c r="D1930" s="51" t="n">
        <v>0</v>
      </c>
    </row>
    <row r="1931" customFormat="false" ht="15" hidden="true" customHeight="false" outlineLevel="0" collapsed="false">
      <c r="A1931" s="51" t="s">
        <v>354</v>
      </c>
      <c r="B1931" s="55" t="n">
        <v>44285</v>
      </c>
      <c r="C1931" s="51" t="s">
        <v>73</v>
      </c>
      <c r="D1931" s="51" t="n">
        <v>0</v>
      </c>
    </row>
    <row r="1932" customFormat="false" ht="15" hidden="true" customHeight="false" outlineLevel="0" collapsed="false">
      <c r="A1932" s="51" t="s">
        <v>359</v>
      </c>
      <c r="B1932" s="55" t="n">
        <v>44285</v>
      </c>
      <c r="C1932" s="51" t="s">
        <v>73</v>
      </c>
      <c r="D1932" s="51" t="n">
        <v>0</v>
      </c>
    </row>
    <row r="1933" customFormat="false" ht="15" hidden="true" customHeight="false" outlineLevel="0" collapsed="false">
      <c r="A1933" s="51" t="s">
        <v>364</v>
      </c>
      <c r="B1933" s="55" t="n">
        <v>44285</v>
      </c>
      <c r="C1933" s="51" t="s">
        <v>73</v>
      </c>
      <c r="D1933" s="51" t="n">
        <v>0</v>
      </c>
    </row>
    <row r="1934" customFormat="false" ht="15" hidden="true" customHeight="false" outlineLevel="0" collapsed="false">
      <c r="A1934" s="51" t="s">
        <v>369</v>
      </c>
      <c r="B1934" s="55" t="n">
        <v>44285</v>
      </c>
      <c r="C1934" s="51" t="s">
        <v>73</v>
      </c>
      <c r="D1934" s="51" t="n">
        <v>0</v>
      </c>
    </row>
    <row r="1935" customFormat="false" ht="15" hidden="true" customHeight="false" outlineLevel="0" collapsed="false">
      <c r="A1935" s="51" t="s">
        <v>374</v>
      </c>
      <c r="B1935" s="55" t="n">
        <v>44285</v>
      </c>
      <c r="C1935" s="51" t="s">
        <v>73</v>
      </c>
      <c r="D1935" s="51" t="n">
        <v>0</v>
      </c>
    </row>
    <row r="1936" customFormat="false" ht="15" hidden="true" customHeight="false" outlineLevel="0" collapsed="false">
      <c r="A1936" s="51" t="s">
        <v>379</v>
      </c>
      <c r="B1936" s="55" t="n">
        <v>44285</v>
      </c>
      <c r="C1936" s="51" t="s">
        <v>73</v>
      </c>
      <c r="D1936" s="51" t="n">
        <v>0</v>
      </c>
    </row>
    <row r="1937" customFormat="false" ht="15" hidden="true" customHeight="false" outlineLevel="0" collapsed="false">
      <c r="A1937" s="51" t="s">
        <v>384</v>
      </c>
      <c r="B1937" s="55" t="n">
        <v>44285</v>
      </c>
      <c r="C1937" s="51" t="s">
        <v>73</v>
      </c>
      <c r="D1937" s="51" t="n">
        <v>0</v>
      </c>
    </row>
    <row r="1938" customFormat="false" ht="15" hidden="true" customHeight="false" outlineLevel="0" collapsed="false">
      <c r="A1938" s="51" t="s">
        <v>389</v>
      </c>
      <c r="B1938" s="55" t="n">
        <v>44285</v>
      </c>
      <c r="C1938" s="51" t="s">
        <v>73</v>
      </c>
      <c r="D1938" s="51" t="n">
        <v>0</v>
      </c>
    </row>
    <row r="1939" customFormat="false" ht="15" hidden="true" customHeight="false" outlineLevel="0" collapsed="false">
      <c r="A1939" s="51" t="s">
        <v>394</v>
      </c>
      <c r="B1939" s="55" t="n">
        <v>44285</v>
      </c>
      <c r="C1939" s="51" t="s">
        <v>73</v>
      </c>
      <c r="D1939" s="51" t="n">
        <v>0</v>
      </c>
    </row>
    <row r="1940" customFormat="false" ht="15" hidden="true" customHeight="false" outlineLevel="0" collapsed="false">
      <c r="A1940" s="51" t="s">
        <v>399</v>
      </c>
      <c r="B1940" s="55" t="n">
        <v>44285</v>
      </c>
      <c r="C1940" s="51" t="s">
        <v>73</v>
      </c>
      <c r="D1940" s="51" t="n">
        <v>0</v>
      </c>
    </row>
    <row r="1941" customFormat="false" ht="15" hidden="true" customHeight="false" outlineLevel="0" collapsed="false">
      <c r="A1941" s="51" t="s">
        <v>404</v>
      </c>
      <c r="B1941" s="55" t="n">
        <v>44285</v>
      </c>
      <c r="C1941" s="51" t="s">
        <v>73</v>
      </c>
      <c r="D1941" s="51" t="n">
        <v>0</v>
      </c>
    </row>
    <row r="1942" customFormat="false" ht="15" hidden="true" customHeight="false" outlineLevel="0" collapsed="false">
      <c r="A1942" s="51" t="s">
        <v>409</v>
      </c>
      <c r="B1942" s="55" t="n">
        <v>44285</v>
      </c>
      <c r="C1942" s="51" t="s">
        <v>73</v>
      </c>
      <c r="D1942" s="51" t="n">
        <v>0</v>
      </c>
    </row>
    <row r="1943" customFormat="false" ht="15" hidden="true" customHeight="false" outlineLevel="0" collapsed="false">
      <c r="A1943" s="51" t="s">
        <v>414</v>
      </c>
      <c r="B1943" s="55" t="n">
        <v>44285</v>
      </c>
      <c r="C1943" s="51" t="s">
        <v>73</v>
      </c>
      <c r="D1943" s="51" t="n">
        <v>0</v>
      </c>
    </row>
    <row r="1944" customFormat="false" ht="15" hidden="true" customHeight="false" outlineLevel="0" collapsed="false">
      <c r="A1944" s="51" t="s">
        <v>419</v>
      </c>
      <c r="B1944" s="55" t="n">
        <v>44285</v>
      </c>
      <c r="C1944" s="51" t="s">
        <v>73</v>
      </c>
      <c r="D1944" s="51" t="n">
        <v>0</v>
      </c>
    </row>
    <row r="1945" customFormat="false" ht="15" hidden="true" customHeight="false" outlineLevel="0" collapsed="false">
      <c r="A1945" s="51" t="s">
        <v>424</v>
      </c>
      <c r="B1945" s="55" t="n">
        <v>44285</v>
      </c>
      <c r="C1945" s="51" t="s">
        <v>73</v>
      </c>
      <c r="D1945" s="51" t="n">
        <v>0</v>
      </c>
    </row>
    <row r="1946" customFormat="false" ht="15" hidden="true" customHeight="false" outlineLevel="0" collapsed="false">
      <c r="A1946" s="51" t="s">
        <v>429</v>
      </c>
      <c r="B1946" s="55" t="n">
        <v>44285</v>
      </c>
      <c r="C1946" s="51" t="s">
        <v>73</v>
      </c>
      <c r="D1946" s="51" t="n">
        <v>0</v>
      </c>
    </row>
    <row r="1947" customFormat="false" ht="15" hidden="true" customHeight="false" outlineLevel="0" collapsed="false">
      <c r="A1947" s="51" t="s">
        <v>434</v>
      </c>
      <c r="B1947" s="55" t="n">
        <v>44285</v>
      </c>
      <c r="C1947" s="51" t="s">
        <v>73</v>
      </c>
      <c r="D1947" s="51" t="n">
        <v>0</v>
      </c>
    </row>
    <row r="1948" customFormat="false" ht="15" hidden="true" customHeight="false" outlineLevel="0" collapsed="false">
      <c r="A1948" s="51" t="s">
        <v>438</v>
      </c>
      <c r="B1948" s="55" t="n">
        <v>44285</v>
      </c>
      <c r="C1948" s="51" t="s">
        <v>73</v>
      </c>
      <c r="D1948" s="51" t="n">
        <v>0</v>
      </c>
    </row>
    <row r="1949" customFormat="false" ht="15" hidden="true" customHeight="false" outlineLevel="0" collapsed="false">
      <c r="A1949" s="51" t="s">
        <v>443</v>
      </c>
      <c r="B1949" s="55" t="n">
        <v>44285</v>
      </c>
      <c r="C1949" s="51" t="s">
        <v>73</v>
      </c>
      <c r="D1949" s="51" t="n">
        <v>0</v>
      </c>
    </row>
    <row r="1950" customFormat="false" ht="15" hidden="true" customHeight="false" outlineLevel="0" collapsed="false">
      <c r="A1950" s="51" t="s">
        <v>448</v>
      </c>
      <c r="B1950" s="55" t="n">
        <v>44285</v>
      </c>
      <c r="C1950" s="51" t="s">
        <v>73</v>
      </c>
      <c r="D1950" s="51" t="n">
        <v>0</v>
      </c>
    </row>
    <row r="1951" customFormat="false" ht="15" hidden="true" customHeight="false" outlineLevel="0" collapsed="false">
      <c r="A1951" s="51" t="s">
        <v>453</v>
      </c>
      <c r="B1951" s="55" t="n">
        <v>44285</v>
      </c>
      <c r="C1951" s="51" t="s">
        <v>73</v>
      </c>
      <c r="D1951" s="51" t="n">
        <v>0</v>
      </c>
    </row>
    <row r="1952" customFormat="false" ht="15" hidden="true" customHeight="false" outlineLevel="0" collapsed="false">
      <c r="A1952" s="51" t="s">
        <v>458</v>
      </c>
      <c r="B1952" s="55" t="n">
        <v>44285</v>
      </c>
      <c r="C1952" s="51" t="s">
        <v>73</v>
      </c>
      <c r="D1952" s="51" t="n">
        <v>0</v>
      </c>
    </row>
    <row r="1953" customFormat="false" ht="15" hidden="true" customHeight="false" outlineLevel="0" collapsed="false">
      <c r="A1953" s="51" t="s">
        <v>473</v>
      </c>
      <c r="B1953" s="55" t="n">
        <v>44285</v>
      </c>
      <c r="C1953" s="51" t="s">
        <v>73</v>
      </c>
      <c r="D1953" s="51" t="n">
        <v>0</v>
      </c>
    </row>
    <row r="1954" customFormat="false" ht="15" hidden="true" customHeight="false" outlineLevel="0" collapsed="false">
      <c r="A1954" s="51" t="s">
        <v>479</v>
      </c>
      <c r="B1954" s="55" t="n">
        <v>44285</v>
      </c>
      <c r="C1954" s="51" t="s">
        <v>73</v>
      </c>
      <c r="D1954" s="51" t="n">
        <v>0</v>
      </c>
    </row>
    <row r="1955" customFormat="false" ht="15" hidden="true" customHeight="false" outlineLevel="0" collapsed="false">
      <c r="A1955" s="51" t="s">
        <v>484</v>
      </c>
      <c r="B1955" s="55" t="n">
        <v>44285</v>
      </c>
      <c r="C1955" s="51" t="s">
        <v>73</v>
      </c>
      <c r="D1955" s="51" t="n">
        <v>0</v>
      </c>
    </row>
    <row r="1956" customFormat="false" ht="15" hidden="true" customHeight="false" outlineLevel="0" collapsed="false">
      <c r="A1956" s="51" t="s">
        <v>489</v>
      </c>
      <c r="B1956" s="55" t="n">
        <v>44285</v>
      </c>
      <c r="C1956" s="51" t="s">
        <v>73</v>
      </c>
      <c r="D1956" s="51" t="n">
        <v>0</v>
      </c>
    </row>
    <row r="1957" customFormat="false" ht="15" hidden="true" customHeight="false" outlineLevel="0" collapsed="false">
      <c r="A1957" s="51" t="s">
        <v>494</v>
      </c>
      <c r="B1957" s="55" t="n">
        <v>44285</v>
      </c>
      <c r="C1957" s="51" t="s">
        <v>73</v>
      </c>
      <c r="D1957" s="51" t="n">
        <v>0</v>
      </c>
    </row>
    <row r="1958" customFormat="false" ht="15" hidden="true" customHeight="false" outlineLevel="0" collapsed="false">
      <c r="A1958" s="51" t="s">
        <v>499</v>
      </c>
      <c r="B1958" s="55" t="n">
        <v>44285</v>
      </c>
      <c r="C1958" s="51" t="s">
        <v>73</v>
      </c>
      <c r="D1958" s="51" t="n">
        <v>0</v>
      </c>
    </row>
    <row r="1959" customFormat="false" ht="15" hidden="true" customHeight="false" outlineLevel="0" collapsed="false">
      <c r="A1959" s="51" t="s">
        <v>504</v>
      </c>
      <c r="B1959" s="55" t="n">
        <v>44285</v>
      </c>
      <c r="C1959" s="51" t="s">
        <v>73</v>
      </c>
      <c r="D1959" s="51" t="n">
        <v>0</v>
      </c>
    </row>
    <row r="1960" customFormat="false" ht="15" hidden="true" customHeight="false" outlineLevel="0" collapsed="false">
      <c r="A1960" s="51" t="s">
        <v>509</v>
      </c>
      <c r="B1960" s="55" t="n">
        <v>44285</v>
      </c>
      <c r="C1960" s="51" t="s">
        <v>73</v>
      </c>
      <c r="D1960" s="51" t="n">
        <v>0</v>
      </c>
    </row>
    <row r="1961" customFormat="false" ht="15" hidden="true" customHeight="false" outlineLevel="0" collapsed="false">
      <c r="A1961" s="51" t="s">
        <v>515</v>
      </c>
      <c r="B1961" s="55" t="n">
        <v>44285</v>
      </c>
      <c r="C1961" s="51" t="s">
        <v>73</v>
      </c>
      <c r="D1961" s="51" t="n">
        <v>0</v>
      </c>
    </row>
    <row r="1962" customFormat="false" ht="15" hidden="true" customHeight="false" outlineLevel="0" collapsed="false">
      <c r="A1962" s="51" t="s">
        <v>520</v>
      </c>
      <c r="B1962" s="55" t="n">
        <v>44285</v>
      </c>
      <c r="C1962" s="51" t="s">
        <v>73</v>
      </c>
      <c r="D1962" s="51" t="n">
        <v>0</v>
      </c>
    </row>
    <row r="1963" customFormat="false" ht="15" hidden="true" customHeight="false" outlineLevel="0" collapsed="false">
      <c r="A1963" s="51" t="s">
        <v>525</v>
      </c>
      <c r="B1963" s="55" t="n">
        <v>44285</v>
      </c>
      <c r="C1963" s="51" t="s">
        <v>73</v>
      </c>
      <c r="D1963" s="51" t="n">
        <v>0</v>
      </c>
    </row>
    <row r="1964" customFormat="false" ht="15" hidden="true" customHeight="false" outlineLevel="0" collapsed="false">
      <c r="A1964" s="51" t="s">
        <v>531</v>
      </c>
      <c r="B1964" s="55" t="n">
        <v>44285</v>
      </c>
      <c r="C1964" s="51" t="s">
        <v>73</v>
      </c>
      <c r="D1964" s="51" t="n">
        <v>0</v>
      </c>
    </row>
    <row r="1965" customFormat="false" ht="15" hidden="true" customHeight="false" outlineLevel="0" collapsed="false">
      <c r="A1965" s="51" t="s">
        <v>536</v>
      </c>
      <c r="B1965" s="55" t="n">
        <v>44285</v>
      </c>
      <c r="C1965" s="51" t="s">
        <v>73</v>
      </c>
      <c r="D1965" s="51" t="n">
        <v>0</v>
      </c>
    </row>
    <row r="1966" customFormat="false" ht="15" hidden="true" customHeight="false" outlineLevel="0" collapsed="false">
      <c r="A1966" s="51" t="s">
        <v>541</v>
      </c>
      <c r="B1966" s="55" t="n">
        <v>44285</v>
      </c>
      <c r="C1966" s="51" t="s">
        <v>73</v>
      </c>
      <c r="D1966" s="51" t="n">
        <v>0</v>
      </c>
    </row>
    <row r="1967" customFormat="false" ht="15" hidden="true" customHeight="false" outlineLevel="0" collapsed="false">
      <c r="A1967" s="51" t="s">
        <v>549</v>
      </c>
      <c r="B1967" s="55" t="n">
        <v>44285</v>
      </c>
      <c r="C1967" s="51" t="s">
        <v>73</v>
      </c>
      <c r="D1967" s="51" t="n">
        <v>0</v>
      </c>
    </row>
    <row r="1968" customFormat="false" ht="15" hidden="true" customHeight="false" outlineLevel="0" collapsed="false">
      <c r="A1968" s="51" t="s">
        <v>554</v>
      </c>
      <c r="B1968" s="55" t="n">
        <v>44285</v>
      </c>
      <c r="C1968" s="51" t="s">
        <v>73</v>
      </c>
      <c r="D1968" s="51" t="n">
        <v>0</v>
      </c>
    </row>
    <row r="1969" customFormat="false" ht="15" hidden="true" customHeight="false" outlineLevel="0" collapsed="false">
      <c r="A1969" s="51" t="s">
        <v>559</v>
      </c>
      <c r="B1969" s="55" t="n">
        <v>44285</v>
      </c>
      <c r="C1969" s="51" t="s">
        <v>73</v>
      </c>
      <c r="D1969" s="51" t="n">
        <v>0</v>
      </c>
    </row>
    <row r="1970" customFormat="false" ht="15" hidden="true" customHeight="false" outlineLevel="0" collapsed="false">
      <c r="A1970" s="51" t="s">
        <v>564</v>
      </c>
      <c r="B1970" s="55" t="n">
        <v>44285</v>
      </c>
      <c r="C1970" s="51" t="s">
        <v>73</v>
      </c>
      <c r="D1970" s="51" t="n">
        <v>0</v>
      </c>
    </row>
    <row r="1971" customFormat="false" ht="15" hidden="true" customHeight="false" outlineLevel="0" collapsed="false">
      <c r="A1971" s="51" t="s">
        <v>569</v>
      </c>
      <c r="B1971" s="55" t="n">
        <v>44285</v>
      </c>
      <c r="C1971" s="51" t="s">
        <v>73</v>
      </c>
      <c r="D1971" s="51" t="n">
        <v>0</v>
      </c>
    </row>
    <row r="1972" customFormat="false" ht="15" hidden="true" customHeight="false" outlineLevel="0" collapsed="false">
      <c r="A1972" s="51" t="s">
        <v>574</v>
      </c>
      <c r="B1972" s="55" t="n">
        <v>44285</v>
      </c>
      <c r="C1972" s="51" t="s">
        <v>73</v>
      </c>
      <c r="D1972" s="51" t="n">
        <v>0</v>
      </c>
    </row>
    <row r="1973" customFormat="false" ht="15" hidden="true" customHeight="false" outlineLevel="0" collapsed="false">
      <c r="A1973" s="51" t="s">
        <v>579</v>
      </c>
      <c r="B1973" s="55" t="n">
        <v>44285</v>
      </c>
      <c r="C1973" s="51" t="s">
        <v>73</v>
      </c>
      <c r="D1973" s="51" t="n">
        <v>0</v>
      </c>
    </row>
    <row r="1974" customFormat="false" ht="15" hidden="true" customHeight="false" outlineLevel="0" collapsed="false">
      <c r="A1974" s="51" t="s">
        <v>584</v>
      </c>
      <c r="B1974" s="55" t="n">
        <v>44285</v>
      </c>
      <c r="C1974" s="51" t="s">
        <v>73</v>
      </c>
      <c r="D1974" s="51" t="n">
        <v>0</v>
      </c>
    </row>
    <row r="1975" customFormat="false" ht="15" hidden="true" customHeight="false" outlineLevel="0" collapsed="false">
      <c r="A1975" s="51" t="s">
        <v>589</v>
      </c>
      <c r="B1975" s="55" t="n">
        <v>44285</v>
      </c>
      <c r="C1975" s="51" t="s">
        <v>73</v>
      </c>
      <c r="D1975" s="51" t="n">
        <v>0</v>
      </c>
    </row>
    <row r="1976" customFormat="false" ht="15" hidden="true" customHeight="false" outlineLevel="0" collapsed="false">
      <c r="A1976" s="51" t="s">
        <v>756</v>
      </c>
      <c r="B1976" s="55" t="n">
        <v>44285</v>
      </c>
      <c r="C1976" s="51" t="s">
        <v>73</v>
      </c>
      <c r="D1976" s="51" t="n">
        <v>0</v>
      </c>
    </row>
    <row r="1977" customFormat="false" ht="15" hidden="true" customHeight="false" outlineLevel="0" collapsed="false">
      <c r="A1977" s="51" t="s">
        <v>594</v>
      </c>
      <c r="B1977" s="55" t="n">
        <v>44285</v>
      </c>
      <c r="C1977" s="51" t="s">
        <v>73</v>
      </c>
      <c r="D1977" s="51" t="n">
        <v>0</v>
      </c>
    </row>
    <row r="1978" customFormat="false" ht="15" hidden="true" customHeight="false" outlineLevel="0" collapsed="false">
      <c r="A1978" s="51" t="s">
        <v>761</v>
      </c>
      <c r="B1978" s="55" t="n">
        <v>44285</v>
      </c>
      <c r="C1978" s="51" t="s">
        <v>73</v>
      </c>
      <c r="D1978" s="51" t="n">
        <v>0</v>
      </c>
    </row>
    <row r="1979" customFormat="false" ht="15" hidden="true" customHeight="false" outlineLevel="0" collapsed="false">
      <c r="A1979" s="51" t="s">
        <v>599</v>
      </c>
      <c r="B1979" s="55" t="n">
        <v>44285</v>
      </c>
      <c r="C1979" s="51" t="s">
        <v>73</v>
      </c>
      <c r="D1979" s="51" t="n">
        <v>0</v>
      </c>
    </row>
    <row r="1980" customFormat="false" ht="15" hidden="true" customHeight="false" outlineLevel="0" collapsed="false">
      <c r="A1980" s="51" t="s">
        <v>604</v>
      </c>
      <c r="B1980" s="55" t="n">
        <v>44285</v>
      </c>
      <c r="C1980" s="51" t="s">
        <v>73</v>
      </c>
      <c r="D1980" s="51" t="n">
        <v>0</v>
      </c>
    </row>
    <row r="1981" customFormat="false" ht="15" hidden="true" customHeight="false" outlineLevel="0" collapsed="false">
      <c r="A1981" s="51" t="s">
        <v>609</v>
      </c>
      <c r="B1981" s="55" t="n">
        <v>44285</v>
      </c>
      <c r="C1981" s="51" t="s">
        <v>73</v>
      </c>
      <c r="D1981" s="51" t="n">
        <v>0</v>
      </c>
    </row>
    <row r="1982" customFormat="false" ht="15" hidden="true" customHeight="false" outlineLevel="0" collapsed="false">
      <c r="A1982" s="51" t="s">
        <v>614</v>
      </c>
      <c r="B1982" s="55" t="n">
        <v>44285</v>
      </c>
      <c r="C1982" s="51" t="s">
        <v>73</v>
      </c>
      <c r="D1982" s="51" t="n">
        <v>0</v>
      </c>
    </row>
    <row r="1983" customFormat="false" ht="15" hidden="true" customHeight="false" outlineLevel="0" collapsed="false">
      <c r="A1983" s="51" t="s">
        <v>619</v>
      </c>
      <c r="B1983" s="55" t="n">
        <v>44285</v>
      </c>
      <c r="C1983" s="51" t="s">
        <v>73</v>
      </c>
      <c r="D1983" s="51" t="n">
        <v>0</v>
      </c>
    </row>
    <row r="1984" customFormat="false" ht="15" hidden="true" customHeight="false" outlineLevel="0" collapsed="false">
      <c r="A1984" s="51" t="s">
        <v>624</v>
      </c>
      <c r="B1984" s="55" t="n">
        <v>44285</v>
      </c>
      <c r="C1984" s="51" t="s">
        <v>73</v>
      </c>
      <c r="D1984" s="51" t="n">
        <v>0</v>
      </c>
    </row>
    <row r="1985" customFormat="false" ht="15" hidden="true" customHeight="false" outlineLevel="0" collapsed="false">
      <c r="A1985" s="51" t="s">
        <v>629</v>
      </c>
      <c r="B1985" s="55" t="n">
        <v>44285</v>
      </c>
      <c r="C1985" s="51" t="s">
        <v>73</v>
      </c>
      <c r="D1985" s="51" t="n">
        <v>0</v>
      </c>
    </row>
    <row r="1986" customFormat="false" ht="15" hidden="true" customHeight="false" outlineLevel="0" collapsed="false">
      <c r="A1986" s="51" t="s">
        <v>633</v>
      </c>
      <c r="B1986" s="55" t="n">
        <v>44285</v>
      </c>
      <c r="C1986" s="51" t="s">
        <v>73</v>
      </c>
      <c r="D1986" s="51" t="n">
        <v>0</v>
      </c>
    </row>
    <row r="1987" customFormat="false" ht="15" hidden="true" customHeight="false" outlineLevel="0" collapsed="false">
      <c r="A1987" s="51" t="s">
        <v>638</v>
      </c>
      <c r="B1987" s="55" t="n">
        <v>44285</v>
      </c>
      <c r="C1987" s="51" t="s">
        <v>73</v>
      </c>
      <c r="D1987" s="51" t="n">
        <v>0</v>
      </c>
    </row>
    <row r="1988" customFormat="false" ht="15" hidden="true" customHeight="false" outlineLevel="0" collapsed="false">
      <c r="A1988" s="51" t="s">
        <v>642</v>
      </c>
      <c r="B1988" s="55" t="n">
        <v>44285</v>
      </c>
      <c r="C1988" s="51" t="s">
        <v>73</v>
      </c>
      <c r="D1988" s="51" t="n">
        <v>0</v>
      </c>
    </row>
    <row r="1989" customFormat="false" ht="15" hidden="true" customHeight="false" outlineLevel="0" collapsed="false">
      <c r="A1989" s="51" t="s">
        <v>646</v>
      </c>
      <c r="B1989" s="55" t="n">
        <v>44285</v>
      </c>
      <c r="C1989" s="51" t="s">
        <v>73</v>
      </c>
      <c r="D1989" s="51" t="n">
        <v>0</v>
      </c>
    </row>
    <row r="1990" customFormat="false" ht="15" hidden="true" customHeight="false" outlineLevel="0" collapsed="false">
      <c r="A1990" s="51" t="s">
        <v>651</v>
      </c>
      <c r="B1990" s="55" t="n">
        <v>44285</v>
      </c>
      <c r="C1990" s="51" t="s">
        <v>73</v>
      </c>
      <c r="D1990" s="51" t="n">
        <v>0</v>
      </c>
    </row>
    <row r="1991" customFormat="false" ht="15" hidden="true" customHeight="false" outlineLevel="0" collapsed="false">
      <c r="A1991" s="51" t="s">
        <v>656</v>
      </c>
      <c r="B1991" s="55" t="n">
        <v>44285</v>
      </c>
      <c r="C1991" s="51" t="s">
        <v>73</v>
      </c>
      <c r="D1991" s="51" t="n">
        <v>0</v>
      </c>
    </row>
    <row r="1992" customFormat="false" ht="15" hidden="true" customHeight="false" outlineLevel="0" collapsed="false">
      <c r="A1992" s="51" t="s">
        <v>661</v>
      </c>
      <c r="B1992" s="55" t="n">
        <v>44285</v>
      </c>
      <c r="C1992" s="51" t="s">
        <v>73</v>
      </c>
      <c r="D1992" s="51" t="n">
        <v>0</v>
      </c>
    </row>
    <row r="1993" customFormat="false" ht="15" hidden="true" customHeight="false" outlineLevel="0" collapsed="false">
      <c r="A1993" s="51" t="s">
        <v>666</v>
      </c>
      <c r="B1993" s="55" t="n">
        <v>44285</v>
      </c>
      <c r="C1993" s="51" t="s">
        <v>73</v>
      </c>
      <c r="D1993" s="51" t="n">
        <v>0</v>
      </c>
    </row>
    <row r="1994" customFormat="false" ht="15" hidden="true" customHeight="false" outlineLevel="0" collapsed="false">
      <c r="A1994" s="51" t="s">
        <v>671</v>
      </c>
      <c r="B1994" s="55" t="n">
        <v>44285</v>
      </c>
      <c r="C1994" s="51" t="s">
        <v>73</v>
      </c>
      <c r="D1994" s="51" t="n">
        <v>0</v>
      </c>
    </row>
    <row r="1995" customFormat="false" ht="15" hidden="true" customHeight="false" outlineLevel="0" collapsed="false">
      <c r="A1995" s="51" t="s">
        <v>676</v>
      </c>
      <c r="B1995" s="55" t="n">
        <v>44285</v>
      </c>
      <c r="C1995" s="51" t="s">
        <v>73</v>
      </c>
      <c r="D1995" s="51" t="n">
        <v>0</v>
      </c>
    </row>
    <row r="1996" customFormat="false" ht="15" hidden="true" customHeight="false" outlineLevel="0" collapsed="false">
      <c r="A1996" s="51" t="s">
        <v>681</v>
      </c>
      <c r="B1996" s="55" t="n">
        <v>44285</v>
      </c>
      <c r="C1996" s="51" t="s">
        <v>73</v>
      </c>
      <c r="D1996" s="51" t="n">
        <v>0</v>
      </c>
    </row>
    <row r="1997" customFormat="false" ht="15" hidden="true" customHeight="false" outlineLevel="0" collapsed="false">
      <c r="A1997" s="51" t="s">
        <v>686</v>
      </c>
      <c r="B1997" s="55" t="n">
        <v>44285</v>
      </c>
      <c r="C1997" s="51" t="s">
        <v>73</v>
      </c>
      <c r="D1997" s="51" t="n">
        <v>0</v>
      </c>
    </row>
    <row r="1998" customFormat="false" ht="15" hidden="true" customHeight="false" outlineLevel="0" collapsed="false">
      <c r="A1998" s="51" t="s">
        <v>691</v>
      </c>
      <c r="B1998" s="55" t="n">
        <v>44285</v>
      </c>
      <c r="C1998" s="51" t="s">
        <v>73</v>
      </c>
      <c r="D1998" s="51" t="n">
        <v>0</v>
      </c>
    </row>
    <row r="1999" customFormat="false" ht="15" hidden="true" customHeight="false" outlineLevel="0" collapsed="false">
      <c r="A1999" s="51" t="s">
        <v>696</v>
      </c>
      <c r="B1999" s="55" t="n">
        <v>44285</v>
      </c>
      <c r="C1999" s="51" t="s">
        <v>73</v>
      </c>
      <c r="D1999" s="51" t="n">
        <v>0</v>
      </c>
    </row>
    <row r="2000" customFormat="false" ht="15" hidden="true" customHeight="false" outlineLevel="0" collapsed="false">
      <c r="A2000" s="51" t="s">
        <v>701</v>
      </c>
      <c r="B2000" s="55" t="n">
        <v>44285</v>
      </c>
      <c r="C2000" s="51" t="s">
        <v>73</v>
      </c>
      <c r="D2000" s="51" t="n">
        <v>0</v>
      </c>
    </row>
    <row r="2001" customFormat="false" ht="15" hidden="true" customHeight="false" outlineLevel="0" collapsed="false">
      <c r="A2001" s="51" t="s">
        <v>707</v>
      </c>
      <c r="B2001" s="55" t="n">
        <v>44285</v>
      </c>
      <c r="C2001" s="51" t="s">
        <v>73</v>
      </c>
      <c r="D2001" s="51" t="n">
        <v>0</v>
      </c>
    </row>
    <row r="2002" customFormat="false" ht="15" hidden="true" customHeight="false" outlineLevel="0" collapsed="false">
      <c r="A2002" s="51" t="s">
        <v>712</v>
      </c>
      <c r="B2002" s="55" t="n">
        <v>44285</v>
      </c>
      <c r="C2002" s="51" t="s">
        <v>73</v>
      </c>
      <c r="D2002" s="51" t="n">
        <v>0</v>
      </c>
    </row>
    <row r="2003" customFormat="false" ht="15" hidden="true" customHeight="false" outlineLevel="0" collapsed="false">
      <c r="A2003" s="51" t="s">
        <v>717</v>
      </c>
      <c r="B2003" s="55" t="n">
        <v>44285</v>
      </c>
      <c r="C2003" s="51" t="s">
        <v>73</v>
      </c>
      <c r="D2003" s="51" t="n">
        <v>0</v>
      </c>
    </row>
    <row r="2004" customFormat="false" ht="15" hidden="true" customHeight="false" outlineLevel="0" collapsed="false">
      <c r="A2004" s="51" t="s">
        <v>767</v>
      </c>
      <c r="B2004" s="55" t="n">
        <v>44285</v>
      </c>
      <c r="C2004" s="51" t="s">
        <v>73</v>
      </c>
      <c r="D2004" s="51" t="n">
        <v>0</v>
      </c>
    </row>
    <row r="2005" customFormat="false" ht="15" hidden="true" customHeight="false" outlineLevel="0" collapsed="false">
      <c r="A2005" s="51" t="s">
        <v>722</v>
      </c>
      <c r="B2005" s="55" t="n">
        <v>44285</v>
      </c>
      <c r="C2005" s="51" t="s">
        <v>73</v>
      </c>
      <c r="D2005" s="51" t="n">
        <v>0</v>
      </c>
    </row>
    <row r="2006" customFormat="false" ht="15" hidden="true" customHeight="false" outlineLevel="0" collapsed="false">
      <c r="A2006" s="51" t="s">
        <v>727</v>
      </c>
      <c r="B2006" s="55" t="n">
        <v>44285</v>
      </c>
      <c r="C2006" s="51" t="s">
        <v>73</v>
      </c>
      <c r="D2006" s="51" t="n">
        <v>0</v>
      </c>
    </row>
    <row r="2007" customFormat="false" ht="15" hidden="true" customHeight="false" outlineLevel="0" collapsed="false">
      <c r="A2007" s="51" t="s">
        <v>732</v>
      </c>
      <c r="B2007" s="55" t="n">
        <v>44285</v>
      </c>
      <c r="C2007" s="51" t="s">
        <v>73</v>
      </c>
      <c r="D2007" s="51" t="n">
        <v>0</v>
      </c>
    </row>
    <row r="2008" customFormat="false" ht="15" hidden="true" customHeight="false" outlineLevel="0" collapsed="false">
      <c r="A2008" s="51" t="s">
        <v>736</v>
      </c>
      <c r="B2008" s="55" t="n">
        <v>44285</v>
      </c>
      <c r="C2008" s="51" t="s">
        <v>73</v>
      </c>
      <c r="D2008" s="51" t="n">
        <v>0</v>
      </c>
    </row>
    <row r="2009" customFormat="false" ht="15" hidden="true" customHeight="false" outlineLevel="0" collapsed="false">
      <c r="A2009" s="51" t="s">
        <v>741</v>
      </c>
      <c r="B2009" s="55" t="n">
        <v>44285</v>
      </c>
      <c r="C2009" s="51" t="s">
        <v>73</v>
      </c>
      <c r="D2009" s="51" t="n">
        <v>0</v>
      </c>
    </row>
    <row r="2010" customFormat="false" ht="15" hidden="true" customHeight="false" outlineLevel="0" collapsed="false">
      <c r="A2010" s="51" t="s">
        <v>746</v>
      </c>
      <c r="B2010" s="55" t="n">
        <v>44285</v>
      </c>
      <c r="C2010" s="51" t="s">
        <v>73</v>
      </c>
      <c r="D2010" s="51" t="n">
        <v>0</v>
      </c>
    </row>
    <row r="2011" customFormat="false" ht="15" hidden="true" customHeight="false" outlineLevel="0" collapsed="false">
      <c r="A2011" s="51" t="s">
        <v>751</v>
      </c>
      <c r="B2011" s="55" t="n">
        <v>44285</v>
      </c>
      <c r="C2011" s="51" t="s">
        <v>73</v>
      </c>
      <c r="D2011" s="51" t="n">
        <v>0</v>
      </c>
    </row>
    <row r="2012" customFormat="false" ht="15" hidden="false" customHeight="false" outlineLevel="0" collapsed="false">
      <c r="A2012" s="51" t="s">
        <v>781</v>
      </c>
      <c r="B2012" s="55" t="n">
        <v>44285</v>
      </c>
      <c r="C2012" s="51" t="s">
        <v>791</v>
      </c>
      <c r="D2012" s="51" t="n">
        <v>-21600000</v>
      </c>
    </row>
    <row r="2013" customFormat="false" ht="15" hidden="true" customHeight="false" outlineLevel="0" collapsed="false">
      <c r="A2013" s="51" t="s">
        <v>783</v>
      </c>
      <c r="B2013" s="55" t="n">
        <v>44285</v>
      </c>
      <c r="C2013" s="51" t="s">
        <v>791</v>
      </c>
      <c r="D2013" s="51" t="n">
        <v>-700000</v>
      </c>
    </row>
    <row r="2014" customFormat="false" ht="15" hidden="true" customHeight="false" outlineLevel="0" collapsed="false">
      <c r="A2014" s="51" t="s">
        <v>96</v>
      </c>
      <c r="B2014" s="55" t="n">
        <v>44285</v>
      </c>
      <c r="C2014" s="51" t="s">
        <v>791</v>
      </c>
      <c r="D2014" s="51" t="n">
        <v>-1900000</v>
      </c>
    </row>
    <row r="2015" customFormat="false" ht="15" hidden="true" customHeight="false" outlineLevel="0" collapsed="false">
      <c r="A2015" s="51" t="s">
        <v>101</v>
      </c>
      <c r="B2015" s="55" t="n">
        <v>44285</v>
      </c>
      <c r="C2015" s="51" t="s">
        <v>791</v>
      </c>
      <c r="D2015" s="51" t="n">
        <v>-500000</v>
      </c>
    </row>
    <row r="2016" customFormat="false" ht="15" hidden="true" customHeight="false" outlineLevel="0" collapsed="false">
      <c r="A2016" s="51" t="s">
        <v>106</v>
      </c>
      <c r="B2016" s="55" t="n">
        <v>44285</v>
      </c>
      <c r="C2016" s="51" t="s">
        <v>791</v>
      </c>
      <c r="D2016" s="51" t="n">
        <v>-250000</v>
      </c>
    </row>
    <row r="2017" customFormat="false" ht="15" hidden="true" customHeight="false" outlineLevel="0" collapsed="false">
      <c r="A2017" s="51" t="s">
        <v>110</v>
      </c>
      <c r="B2017" s="55" t="n">
        <v>44285</v>
      </c>
      <c r="C2017" s="51" t="s">
        <v>791</v>
      </c>
      <c r="D2017" s="51" t="n">
        <v>-481000</v>
      </c>
    </row>
    <row r="2018" customFormat="false" ht="15" hidden="true" customHeight="false" outlineLevel="0" collapsed="false">
      <c r="A2018" s="51" t="s">
        <v>115</v>
      </c>
      <c r="B2018" s="55" t="n">
        <v>44285</v>
      </c>
      <c r="C2018" s="51" t="s">
        <v>791</v>
      </c>
      <c r="D2018" s="51" t="n">
        <v>-180000</v>
      </c>
    </row>
    <row r="2019" customFormat="false" ht="15" hidden="true" customHeight="false" outlineLevel="0" collapsed="false">
      <c r="A2019" s="51" t="s">
        <v>120</v>
      </c>
      <c r="B2019" s="55" t="n">
        <v>44285</v>
      </c>
      <c r="C2019" s="51" t="s">
        <v>791</v>
      </c>
      <c r="D2019" s="51" t="n">
        <v>-800000</v>
      </c>
    </row>
    <row r="2020" customFormat="false" ht="15" hidden="true" customHeight="false" outlineLevel="0" collapsed="false">
      <c r="A2020" s="51" t="s">
        <v>124</v>
      </c>
      <c r="B2020" s="55" t="n">
        <v>44285</v>
      </c>
      <c r="C2020" s="51" t="s">
        <v>791</v>
      </c>
      <c r="D2020" s="51" t="n">
        <v>-250000</v>
      </c>
    </row>
    <row r="2021" customFormat="false" ht="15" hidden="true" customHeight="false" outlineLevel="0" collapsed="false">
      <c r="A2021" s="51" t="s">
        <v>129</v>
      </c>
      <c r="B2021" s="55" t="n">
        <v>44285</v>
      </c>
      <c r="C2021" s="51" t="s">
        <v>791</v>
      </c>
      <c r="D2021" s="51" t="n">
        <v>-200000</v>
      </c>
    </row>
    <row r="2022" customFormat="false" ht="15" hidden="true" customHeight="false" outlineLevel="0" collapsed="false">
      <c r="A2022" s="51" t="s">
        <v>134</v>
      </c>
      <c r="B2022" s="55" t="n">
        <v>44285</v>
      </c>
      <c r="C2022" s="51" t="s">
        <v>791</v>
      </c>
      <c r="D2022" s="51" t="n">
        <v>-714249</v>
      </c>
    </row>
    <row r="2023" customFormat="false" ht="15" hidden="true" customHeight="false" outlineLevel="0" collapsed="false">
      <c r="A2023" s="51" t="s">
        <v>141</v>
      </c>
      <c r="B2023" s="55" t="n">
        <v>44285</v>
      </c>
      <c r="C2023" s="51" t="s">
        <v>791</v>
      </c>
      <c r="D2023" s="51" t="n">
        <v>-357000</v>
      </c>
    </row>
    <row r="2024" customFormat="false" ht="15" hidden="true" customHeight="false" outlineLevel="0" collapsed="false">
      <c r="A2024" s="51" t="s">
        <v>146</v>
      </c>
      <c r="B2024" s="55" t="n">
        <v>44285</v>
      </c>
      <c r="C2024" s="51" t="s">
        <v>791</v>
      </c>
      <c r="D2024" s="51" t="n">
        <v>-500000</v>
      </c>
    </row>
    <row r="2025" customFormat="false" ht="15" hidden="true" customHeight="false" outlineLevel="0" collapsed="false">
      <c r="A2025" s="51" t="s">
        <v>151</v>
      </c>
      <c r="B2025" s="55" t="n">
        <v>44285</v>
      </c>
      <c r="C2025" s="51" t="s">
        <v>791</v>
      </c>
      <c r="D2025" s="51" t="n">
        <v>-50000</v>
      </c>
    </row>
    <row r="2026" customFormat="false" ht="15" hidden="true" customHeight="false" outlineLevel="0" collapsed="false">
      <c r="A2026" s="51" t="s">
        <v>156</v>
      </c>
      <c r="B2026" s="55" t="n">
        <v>44285</v>
      </c>
      <c r="C2026" s="51" t="s">
        <v>791</v>
      </c>
      <c r="D2026" s="51" t="n">
        <v>-217425</v>
      </c>
    </row>
    <row r="2027" customFormat="false" ht="15" hidden="true" customHeight="false" outlineLevel="0" collapsed="false">
      <c r="A2027" s="51" t="s">
        <v>161</v>
      </c>
      <c r="B2027" s="55" t="n">
        <v>44285</v>
      </c>
      <c r="C2027" s="51" t="s">
        <v>791</v>
      </c>
      <c r="D2027" s="51" t="n">
        <v>125000</v>
      </c>
    </row>
    <row r="2028" customFormat="false" ht="15" hidden="true" customHeight="false" outlineLevel="0" collapsed="false">
      <c r="A2028" s="51" t="s">
        <v>166</v>
      </c>
      <c r="B2028" s="55" t="n">
        <v>44285</v>
      </c>
      <c r="C2028" s="51" t="s">
        <v>791</v>
      </c>
      <c r="D2028" s="51" t="n">
        <v>-961000</v>
      </c>
    </row>
    <row r="2029" customFormat="false" ht="15" hidden="true" customHeight="false" outlineLevel="0" collapsed="false">
      <c r="A2029" s="51" t="s">
        <v>171</v>
      </c>
      <c r="B2029" s="55" t="n">
        <v>44285</v>
      </c>
      <c r="C2029" s="51" t="s">
        <v>791</v>
      </c>
      <c r="D2029" s="51" t="n">
        <v>-1750000</v>
      </c>
    </row>
    <row r="2030" customFormat="false" ht="15" hidden="true" customHeight="false" outlineLevel="0" collapsed="false">
      <c r="A2030" s="51" t="s">
        <v>176</v>
      </c>
      <c r="B2030" s="55" t="n">
        <v>44285</v>
      </c>
      <c r="C2030" s="51" t="s">
        <v>791</v>
      </c>
      <c r="D2030" s="51" t="n">
        <v>-370000</v>
      </c>
    </row>
    <row r="2031" customFormat="false" ht="15" hidden="true" customHeight="false" outlineLevel="0" collapsed="false">
      <c r="A2031" s="51" t="s">
        <v>181</v>
      </c>
      <c r="B2031" s="55" t="n">
        <v>44285</v>
      </c>
      <c r="C2031" s="51" t="s">
        <v>791</v>
      </c>
      <c r="D2031" s="51" t="n">
        <v>4288400</v>
      </c>
    </row>
    <row r="2032" customFormat="false" ht="15" hidden="true" customHeight="false" outlineLevel="0" collapsed="false">
      <c r="A2032" s="51" t="s">
        <v>186</v>
      </c>
      <c r="B2032" s="55" t="n">
        <v>44285</v>
      </c>
      <c r="C2032" s="51" t="s">
        <v>791</v>
      </c>
      <c r="D2032" s="51" t="n">
        <v>450000</v>
      </c>
    </row>
    <row r="2033" customFormat="false" ht="15" hidden="true" customHeight="false" outlineLevel="0" collapsed="false">
      <c r="A2033" s="51" t="s">
        <v>191</v>
      </c>
      <c r="B2033" s="55" t="n">
        <v>44285</v>
      </c>
      <c r="C2033" s="51" t="s">
        <v>791</v>
      </c>
      <c r="D2033" s="51" t="n">
        <v>165000</v>
      </c>
    </row>
    <row r="2034" customFormat="false" ht="15" hidden="true" customHeight="false" outlineLevel="0" collapsed="false">
      <c r="A2034" s="51" t="s">
        <v>196</v>
      </c>
      <c r="B2034" s="55" t="n">
        <v>44285</v>
      </c>
      <c r="C2034" s="51" t="s">
        <v>791</v>
      </c>
      <c r="D2034" s="51" t="n">
        <v>0</v>
      </c>
    </row>
    <row r="2035" customFormat="false" ht="15" hidden="true" customHeight="false" outlineLevel="0" collapsed="false">
      <c r="A2035" s="51" t="s">
        <v>201</v>
      </c>
      <c r="B2035" s="55" t="n">
        <v>44285</v>
      </c>
      <c r="C2035" s="51" t="s">
        <v>791</v>
      </c>
      <c r="D2035" s="51" t="n">
        <v>0</v>
      </c>
    </row>
    <row r="2036" customFormat="false" ht="15" hidden="true" customHeight="false" outlineLevel="0" collapsed="false">
      <c r="A2036" s="51" t="s">
        <v>206</v>
      </c>
      <c r="B2036" s="55" t="n">
        <v>44285</v>
      </c>
      <c r="C2036" s="51" t="s">
        <v>791</v>
      </c>
      <c r="D2036" s="51" t="n">
        <v>0</v>
      </c>
    </row>
    <row r="2037" customFormat="false" ht="15" hidden="true" customHeight="false" outlineLevel="0" collapsed="false">
      <c r="A2037" s="51" t="s">
        <v>210</v>
      </c>
      <c r="B2037" s="55" t="n">
        <v>44285</v>
      </c>
      <c r="C2037" s="51" t="s">
        <v>791</v>
      </c>
      <c r="D2037" s="51" t="n">
        <v>0</v>
      </c>
    </row>
    <row r="2038" customFormat="false" ht="15" hidden="true" customHeight="false" outlineLevel="0" collapsed="false">
      <c r="A2038" s="51" t="s">
        <v>215</v>
      </c>
      <c r="B2038" s="55" t="n">
        <v>44285</v>
      </c>
      <c r="C2038" s="51" t="s">
        <v>791</v>
      </c>
      <c r="D2038" s="51" t="n">
        <v>0</v>
      </c>
    </row>
    <row r="2039" customFormat="false" ht="15" hidden="true" customHeight="false" outlineLevel="0" collapsed="false">
      <c r="A2039" s="51" t="s">
        <v>790</v>
      </c>
      <c r="B2039" s="55" t="n">
        <v>44285</v>
      </c>
      <c r="C2039" s="51" t="s">
        <v>791</v>
      </c>
      <c r="D2039" s="51" t="n">
        <v>0</v>
      </c>
    </row>
    <row r="2040" customFormat="false" ht="15" hidden="true" customHeight="false" outlineLevel="0" collapsed="false">
      <c r="A2040" s="51" t="s">
        <v>225</v>
      </c>
      <c r="B2040" s="55" t="n">
        <v>44285</v>
      </c>
      <c r="C2040" s="51" t="s">
        <v>791</v>
      </c>
      <c r="D2040" s="51" t="n">
        <v>0</v>
      </c>
    </row>
    <row r="2041" customFormat="false" ht="15" hidden="true" customHeight="false" outlineLevel="0" collapsed="false">
      <c r="A2041" s="51" t="s">
        <v>230</v>
      </c>
      <c r="B2041" s="55" t="n">
        <v>44285</v>
      </c>
      <c r="C2041" s="51" t="s">
        <v>791</v>
      </c>
      <c r="D2041" s="51" t="n">
        <v>0</v>
      </c>
    </row>
    <row r="2042" customFormat="false" ht="15" hidden="true" customHeight="false" outlineLevel="0" collapsed="false">
      <c r="A2042" s="51" t="s">
        <v>235</v>
      </c>
      <c r="B2042" s="55" t="n">
        <v>44285</v>
      </c>
      <c r="C2042" s="51" t="s">
        <v>791</v>
      </c>
      <c r="D2042" s="51" t="n">
        <v>0</v>
      </c>
    </row>
    <row r="2043" customFormat="false" ht="15" hidden="true" customHeight="false" outlineLevel="0" collapsed="false">
      <c r="A2043" s="51" t="s">
        <v>240</v>
      </c>
      <c r="B2043" s="55" t="n">
        <v>44285</v>
      </c>
      <c r="C2043" s="51" t="s">
        <v>791</v>
      </c>
      <c r="D2043" s="51" t="n">
        <v>0</v>
      </c>
    </row>
    <row r="2044" customFormat="false" ht="15" hidden="true" customHeight="false" outlineLevel="0" collapsed="false">
      <c r="A2044" s="51" t="s">
        <v>246</v>
      </c>
      <c r="B2044" s="55" t="n">
        <v>44285</v>
      </c>
      <c r="C2044" s="51" t="s">
        <v>791</v>
      </c>
      <c r="D2044" s="51" t="n">
        <v>0</v>
      </c>
    </row>
    <row r="2045" customFormat="false" ht="15" hidden="true" customHeight="false" outlineLevel="0" collapsed="false">
      <c r="A2045" s="51" t="s">
        <v>252</v>
      </c>
      <c r="B2045" s="55" t="n">
        <v>44285</v>
      </c>
      <c r="C2045" s="51" t="s">
        <v>791</v>
      </c>
      <c r="D2045" s="51" t="n">
        <v>0</v>
      </c>
    </row>
    <row r="2046" customFormat="false" ht="15" hidden="true" customHeight="false" outlineLevel="0" collapsed="false">
      <c r="A2046" s="51" t="s">
        <v>257</v>
      </c>
      <c r="B2046" s="55" t="n">
        <v>44285</v>
      </c>
      <c r="C2046" s="51" t="s">
        <v>791</v>
      </c>
      <c r="D2046" s="51" t="n">
        <v>0</v>
      </c>
    </row>
    <row r="2047" customFormat="false" ht="15" hidden="true" customHeight="false" outlineLevel="0" collapsed="false">
      <c r="A2047" s="51" t="s">
        <v>262</v>
      </c>
      <c r="B2047" s="55" t="n">
        <v>44285</v>
      </c>
      <c r="C2047" s="51" t="s">
        <v>791</v>
      </c>
      <c r="D2047" s="51" t="n">
        <v>0</v>
      </c>
    </row>
    <row r="2048" customFormat="false" ht="15" hidden="true" customHeight="false" outlineLevel="0" collapsed="false">
      <c r="A2048" s="51" t="s">
        <v>267</v>
      </c>
      <c r="B2048" s="55" t="n">
        <v>44285</v>
      </c>
      <c r="C2048" s="51" t="s">
        <v>791</v>
      </c>
      <c r="D2048" s="51" t="n">
        <v>0</v>
      </c>
    </row>
    <row r="2049" customFormat="false" ht="15" hidden="true" customHeight="false" outlineLevel="0" collapsed="false">
      <c r="A2049" s="51" t="s">
        <v>272</v>
      </c>
      <c r="B2049" s="55" t="n">
        <v>44285</v>
      </c>
      <c r="C2049" s="51" t="s">
        <v>791</v>
      </c>
      <c r="D2049" s="51" t="n">
        <v>0</v>
      </c>
    </row>
    <row r="2050" customFormat="false" ht="15" hidden="true" customHeight="false" outlineLevel="0" collapsed="false">
      <c r="A2050" s="51" t="s">
        <v>277</v>
      </c>
      <c r="B2050" s="55" t="n">
        <v>44285</v>
      </c>
      <c r="C2050" s="51" t="s">
        <v>791</v>
      </c>
      <c r="D2050" s="51" t="n">
        <v>113400</v>
      </c>
    </row>
    <row r="2051" customFormat="false" ht="15" hidden="true" customHeight="false" outlineLevel="0" collapsed="false">
      <c r="A2051" s="51" t="s">
        <v>282</v>
      </c>
      <c r="B2051" s="55" t="n">
        <v>44285</v>
      </c>
      <c r="C2051" s="51" t="s">
        <v>791</v>
      </c>
      <c r="D2051" s="51" t="n">
        <v>0</v>
      </c>
    </row>
    <row r="2052" customFormat="false" ht="15" hidden="true" customHeight="false" outlineLevel="0" collapsed="false">
      <c r="A2052" s="51" t="s">
        <v>287</v>
      </c>
      <c r="B2052" s="55" t="n">
        <v>44285</v>
      </c>
      <c r="C2052" s="51" t="s">
        <v>791</v>
      </c>
      <c r="D2052" s="51" t="n">
        <v>0</v>
      </c>
    </row>
    <row r="2053" customFormat="false" ht="15" hidden="true" customHeight="false" outlineLevel="0" collapsed="false">
      <c r="A2053" s="51" t="s">
        <v>292</v>
      </c>
      <c r="B2053" s="55" t="n">
        <v>44285</v>
      </c>
      <c r="C2053" s="51" t="s">
        <v>791</v>
      </c>
      <c r="D2053" s="51" t="n">
        <v>0</v>
      </c>
    </row>
    <row r="2054" customFormat="false" ht="15" hidden="true" customHeight="false" outlineLevel="0" collapsed="false">
      <c r="A2054" s="51" t="s">
        <v>297</v>
      </c>
      <c r="B2054" s="55" t="n">
        <v>44285</v>
      </c>
      <c r="C2054" s="51" t="s">
        <v>791</v>
      </c>
      <c r="D2054" s="51" t="n">
        <v>0</v>
      </c>
    </row>
    <row r="2055" customFormat="false" ht="15" hidden="true" customHeight="false" outlineLevel="0" collapsed="false">
      <c r="A2055" s="51" t="s">
        <v>302</v>
      </c>
      <c r="B2055" s="55" t="n">
        <v>44285</v>
      </c>
      <c r="C2055" s="51" t="s">
        <v>791</v>
      </c>
      <c r="D2055" s="51" t="n">
        <v>0</v>
      </c>
    </row>
    <row r="2056" customFormat="false" ht="15" hidden="true" customHeight="false" outlineLevel="0" collapsed="false">
      <c r="A2056" s="51" t="s">
        <v>307</v>
      </c>
      <c r="B2056" s="55" t="n">
        <v>44285</v>
      </c>
      <c r="C2056" s="51" t="s">
        <v>791</v>
      </c>
      <c r="D2056" s="51" t="n">
        <v>0</v>
      </c>
    </row>
    <row r="2057" customFormat="false" ht="15" hidden="true" customHeight="false" outlineLevel="0" collapsed="false">
      <c r="A2057" s="51" t="s">
        <v>311</v>
      </c>
      <c r="B2057" s="55" t="n">
        <v>44285</v>
      </c>
      <c r="C2057" s="51" t="s">
        <v>791</v>
      </c>
      <c r="D2057" s="51" t="n">
        <v>0</v>
      </c>
    </row>
    <row r="2058" customFormat="false" ht="15" hidden="true" customHeight="false" outlineLevel="0" collapsed="false">
      <c r="A2058" s="51" t="s">
        <v>317</v>
      </c>
      <c r="B2058" s="55" t="n">
        <v>44285</v>
      </c>
      <c r="C2058" s="51" t="s">
        <v>791</v>
      </c>
      <c r="D2058" s="51" t="n">
        <v>0</v>
      </c>
    </row>
    <row r="2059" customFormat="false" ht="15" hidden="true" customHeight="false" outlineLevel="0" collapsed="false">
      <c r="A2059" s="51" t="s">
        <v>322</v>
      </c>
      <c r="B2059" s="55" t="n">
        <v>44285</v>
      </c>
      <c r="C2059" s="51" t="s">
        <v>791</v>
      </c>
      <c r="D2059" s="51" t="n">
        <v>0</v>
      </c>
    </row>
    <row r="2060" customFormat="false" ht="15" hidden="true" customHeight="false" outlineLevel="0" collapsed="false">
      <c r="A2060" s="51" t="s">
        <v>327</v>
      </c>
      <c r="B2060" s="55" t="n">
        <v>44285</v>
      </c>
      <c r="C2060" s="51" t="s">
        <v>791</v>
      </c>
      <c r="D2060" s="51" t="n">
        <v>0</v>
      </c>
    </row>
    <row r="2061" customFormat="false" ht="15" hidden="true" customHeight="false" outlineLevel="0" collapsed="false">
      <c r="A2061" s="51" t="s">
        <v>332</v>
      </c>
      <c r="B2061" s="55" t="n">
        <v>44285</v>
      </c>
      <c r="C2061" s="51" t="s">
        <v>791</v>
      </c>
      <c r="D2061" s="51" t="n">
        <v>0</v>
      </c>
    </row>
    <row r="2062" customFormat="false" ht="15" hidden="true" customHeight="false" outlineLevel="0" collapsed="false">
      <c r="A2062" s="51" t="s">
        <v>339</v>
      </c>
      <c r="B2062" s="55" t="n">
        <v>44285</v>
      </c>
      <c r="C2062" s="51" t="s">
        <v>791</v>
      </c>
      <c r="D2062" s="51" t="n">
        <v>0</v>
      </c>
    </row>
    <row r="2063" customFormat="false" ht="15" hidden="true" customHeight="false" outlineLevel="0" collapsed="false">
      <c r="A2063" s="51" t="s">
        <v>344</v>
      </c>
      <c r="B2063" s="55" t="n">
        <v>44285</v>
      </c>
      <c r="C2063" s="51" t="s">
        <v>791</v>
      </c>
      <c r="D2063" s="51" t="n">
        <v>0</v>
      </c>
    </row>
    <row r="2064" customFormat="false" ht="15" hidden="true" customHeight="false" outlineLevel="0" collapsed="false">
      <c r="A2064" s="51" t="s">
        <v>349</v>
      </c>
      <c r="B2064" s="55" t="n">
        <v>44285</v>
      </c>
      <c r="C2064" s="51" t="s">
        <v>791</v>
      </c>
      <c r="D2064" s="51" t="n">
        <v>0</v>
      </c>
    </row>
    <row r="2065" customFormat="false" ht="15" hidden="true" customHeight="false" outlineLevel="0" collapsed="false">
      <c r="A2065" s="51" t="s">
        <v>354</v>
      </c>
      <c r="B2065" s="55" t="n">
        <v>44285</v>
      </c>
      <c r="C2065" s="51" t="s">
        <v>791</v>
      </c>
      <c r="D2065" s="51" t="n">
        <v>0</v>
      </c>
    </row>
    <row r="2066" customFormat="false" ht="15" hidden="true" customHeight="false" outlineLevel="0" collapsed="false">
      <c r="A2066" s="51" t="s">
        <v>359</v>
      </c>
      <c r="B2066" s="55" t="n">
        <v>44285</v>
      </c>
      <c r="C2066" s="51" t="s">
        <v>791</v>
      </c>
      <c r="D2066" s="51" t="n">
        <v>0</v>
      </c>
    </row>
    <row r="2067" customFormat="false" ht="15" hidden="true" customHeight="false" outlineLevel="0" collapsed="false">
      <c r="A2067" s="51" t="s">
        <v>364</v>
      </c>
      <c r="B2067" s="55" t="n">
        <v>44285</v>
      </c>
      <c r="C2067" s="51" t="s">
        <v>791</v>
      </c>
      <c r="D2067" s="51" t="n">
        <v>0</v>
      </c>
    </row>
    <row r="2068" customFormat="false" ht="15" hidden="true" customHeight="false" outlineLevel="0" collapsed="false">
      <c r="A2068" s="51" t="s">
        <v>369</v>
      </c>
      <c r="B2068" s="55" t="n">
        <v>44285</v>
      </c>
      <c r="C2068" s="51" t="s">
        <v>791</v>
      </c>
      <c r="D2068" s="51" t="n">
        <v>0</v>
      </c>
    </row>
    <row r="2069" customFormat="false" ht="15" hidden="true" customHeight="false" outlineLevel="0" collapsed="false">
      <c r="A2069" s="51" t="s">
        <v>374</v>
      </c>
      <c r="B2069" s="55" t="n">
        <v>44285</v>
      </c>
      <c r="C2069" s="51" t="s">
        <v>791</v>
      </c>
      <c r="D2069" s="51" t="n">
        <v>0</v>
      </c>
    </row>
    <row r="2070" customFormat="false" ht="15" hidden="true" customHeight="false" outlineLevel="0" collapsed="false">
      <c r="A2070" s="51" t="s">
        <v>379</v>
      </c>
      <c r="B2070" s="55" t="n">
        <v>44285</v>
      </c>
      <c r="C2070" s="51" t="s">
        <v>791</v>
      </c>
      <c r="D2070" s="51" t="n">
        <v>0</v>
      </c>
    </row>
    <row r="2071" customFormat="false" ht="15" hidden="true" customHeight="false" outlineLevel="0" collapsed="false">
      <c r="A2071" s="51" t="s">
        <v>384</v>
      </c>
      <c r="B2071" s="55" t="n">
        <v>44285</v>
      </c>
      <c r="C2071" s="51" t="s">
        <v>791</v>
      </c>
      <c r="D2071" s="51" t="n">
        <v>0</v>
      </c>
    </row>
    <row r="2072" customFormat="false" ht="15" hidden="true" customHeight="false" outlineLevel="0" collapsed="false">
      <c r="A2072" s="51" t="s">
        <v>389</v>
      </c>
      <c r="B2072" s="55" t="n">
        <v>44285</v>
      </c>
      <c r="C2072" s="51" t="s">
        <v>791</v>
      </c>
      <c r="D2072" s="51" t="n">
        <v>0</v>
      </c>
    </row>
    <row r="2073" customFormat="false" ht="15" hidden="true" customHeight="false" outlineLevel="0" collapsed="false">
      <c r="A2073" s="51" t="s">
        <v>394</v>
      </c>
      <c r="B2073" s="55" t="n">
        <v>44285</v>
      </c>
      <c r="C2073" s="51" t="s">
        <v>791</v>
      </c>
      <c r="D2073" s="51" t="n">
        <v>0</v>
      </c>
    </row>
    <row r="2074" customFormat="false" ht="15" hidden="true" customHeight="false" outlineLevel="0" collapsed="false">
      <c r="A2074" s="51" t="s">
        <v>399</v>
      </c>
      <c r="B2074" s="55" t="n">
        <v>44285</v>
      </c>
      <c r="C2074" s="51" t="s">
        <v>791</v>
      </c>
      <c r="D2074" s="51" t="n">
        <v>0</v>
      </c>
    </row>
    <row r="2075" customFormat="false" ht="15" hidden="true" customHeight="false" outlineLevel="0" collapsed="false">
      <c r="A2075" s="51" t="s">
        <v>404</v>
      </c>
      <c r="B2075" s="55" t="n">
        <v>44285</v>
      </c>
      <c r="C2075" s="51" t="s">
        <v>791</v>
      </c>
      <c r="D2075" s="51" t="n">
        <v>0</v>
      </c>
    </row>
    <row r="2076" customFormat="false" ht="15" hidden="true" customHeight="false" outlineLevel="0" collapsed="false">
      <c r="A2076" s="51" t="s">
        <v>409</v>
      </c>
      <c r="B2076" s="55" t="n">
        <v>44285</v>
      </c>
      <c r="C2076" s="51" t="s">
        <v>791</v>
      </c>
      <c r="D2076" s="51" t="n">
        <v>0</v>
      </c>
    </row>
    <row r="2077" customFormat="false" ht="15" hidden="true" customHeight="false" outlineLevel="0" collapsed="false">
      <c r="A2077" s="51" t="s">
        <v>414</v>
      </c>
      <c r="B2077" s="55" t="n">
        <v>44285</v>
      </c>
      <c r="C2077" s="51" t="s">
        <v>791</v>
      </c>
      <c r="D2077" s="51" t="n">
        <v>0</v>
      </c>
    </row>
    <row r="2078" customFormat="false" ht="15" hidden="true" customHeight="false" outlineLevel="0" collapsed="false">
      <c r="A2078" s="51" t="s">
        <v>419</v>
      </c>
      <c r="B2078" s="55" t="n">
        <v>44285</v>
      </c>
      <c r="C2078" s="51" t="s">
        <v>791</v>
      </c>
      <c r="D2078" s="51" t="n">
        <v>0</v>
      </c>
    </row>
    <row r="2079" customFormat="false" ht="15" hidden="true" customHeight="false" outlineLevel="0" collapsed="false">
      <c r="A2079" s="51" t="s">
        <v>424</v>
      </c>
      <c r="B2079" s="55" t="n">
        <v>44285</v>
      </c>
      <c r="C2079" s="51" t="s">
        <v>791</v>
      </c>
      <c r="D2079" s="51" t="n">
        <v>0</v>
      </c>
    </row>
    <row r="2080" customFormat="false" ht="15" hidden="true" customHeight="false" outlineLevel="0" collapsed="false">
      <c r="A2080" s="51" t="s">
        <v>429</v>
      </c>
      <c r="B2080" s="55" t="n">
        <v>44285</v>
      </c>
      <c r="C2080" s="51" t="s">
        <v>791</v>
      </c>
      <c r="D2080" s="51" t="n">
        <v>0</v>
      </c>
    </row>
    <row r="2081" customFormat="false" ht="15" hidden="true" customHeight="false" outlineLevel="0" collapsed="false">
      <c r="A2081" s="51" t="s">
        <v>434</v>
      </c>
      <c r="B2081" s="55" t="n">
        <v>44285</v>
      </c>
      <c r="C2081" s="51" t="s">
        <v>791</v>
      </c>
      <c r="D2081" s="51" t="n">
        <v>0</v>
      </c>
    </row>
    <row r="2082" customFormat="false" ht="15" hidden="true" customHeight="false" outlineLevel="0" collapsed="false">
      <c r="A2082" s="51" t="s">
        <v>438</v>
      </c>
      <c r="B2082" s="55" t="n">
        <v>44285</v>
      </c>
      <c r="C2082" s="51" t="s">
        <v>791</v>
      </c>
      <c r="D2082" s="51" t="n">
        <v>0</v>
      </c>
    </row>
    <row r="2083" customFormat="false" ht="15" hidden="true" customHeight="false" outlineLevel="0" collapsed="false">
      <c r="A2083" s="51" t="s">
        <v>443</v>
      </c>
      <c r="B2083" s="55" t="n">
        <v>44285</v>
      </c>
      <c r="C2083" s="51" t="s">
        <v>791</v>
      </c>
      <c r="D2083" s="51" t="n">
        <v>0</v>
      </c>
    </row>
    <row r="2084" customFormat="false" ht="15" hidden="true" customHeight="false" outlineLevel="0" collapsed="false">
      <c r="A2084" s="51" t="s">
        <v>448</v>
      </c>
      <c r="B2084" s="55" t="n">
        <v>44285</v>
      </c>
      <c r="C2084" s="51" t="s">
        <v>791</v>
      </c>
      <c r="D2084" s="51" t="n">
        <v>0</v>
      </c>
    </row>
    <row r="2085" customFormat="false" ht="15" hidden="true" customHeight="false" outlineLevel="0" collapsed="false">
      <c r="A2085" s="51" t="s">
        <v>453</v>
      </c>
      <c r="B2085" s="55" t="n">
        <v>44285</v>
      </c>
      <c r="C2085" s="51" t="s">
        <v>791</v>
      </c>
      <c r="D2085" s="51" t="n">
        <v>0</v>
      </c>
    </row>
    <row r="2086" customFormat="false" ht="15" hidden="true" customHeight="false" outlineLevel="0" collapsed="false">
      <c r="A2086" s="51" t="s">
        <v>458</v>
      </c>
      <c r="B2086" s="55" t="n">
        <v>44285</v>
      </c>
      <c r="C2086" s="51" t="s">
        <v>791</v>
      </c>
      <c r="D2086" s="51" t="n">
        <v>0</v>
      </c>
    </row>
    <row r="2087" customFormat="false" ht="15" hidden="true" customHeight="false" outlineLevel="0" collapsed="false">
      <c r="A2087" s="51" t="s">
        <v>473</v>
      </c>
      <c r="B2087" s="55" t="n">
        <v>44285</v>
      </c>
      <c r="C2087" s="51" t="s">
        <v>791</v>
      </c>
      <c r="D2087" s="51" t="n">
        <v>0</v>
      </c>
    </row>
    <row r="2088" customFormat="false" ht="15" hidden="true" customHeight="false" outlineLevel="0" collapsed="false">
      <c r="A2088" s="51" t="s">
        <v>479</v>
      </c>
      <c r="B2088" s="55" t="n">
        <v>44285</v>
      </c>
      <c r="C2088" s="51" t="s">
        <v>791</v>
      </c>
      <c r="D2088" s="51" t="n">
        <v>0</v>
      </c>
    </row>
    <row r="2089" customFormat="false" ht="15" hidden="true" customHeight="false" outlineLevel="0" collapsed="false">
      <c r="A2089" s="51" t="s">
        <v>484</v>
      </c>
      <c r="B2089" s="55" t="n">
        <v>44285</v>
      </c>
      <c r="C2089" s="51" t="s">
        <v>791</v>
      </c>
      <c r="D2089" s="51" t="n">
        <v>0</v>
      </c>
    </row>
    <row r="2090" customFormat="false" ht="15" hidden="true" customHeight="false" outlineLevel="0" collapsed="false">
      <c r="A2090" s="51" t="s">
        <v>489</v>
      </c>
      <c r="B2090" s="55" t="n">
        <v>44285</v>
      </c>
      <c r="C2090" s="51" t="s">
        <v>791</v>
      </c>
      <c r="D2090" s="51" t="n">
        <v>0</v>
      </c>
    </row>
    <row r="2091" customFormat="false" ht="15" hidden="true" customHeight="false" outlineLevel="0" collapsed="false">
      <c r="A2091" s="51" t="s">
        <v>494</v>
      </c>
      <c r="B2091" s="55" t="n">
        <v>44285</v>
      </c>
      <c r="C2091" s="51" t="s">
        <v>791</v>
      </c>
      <c r="D2091" s="51" t="n">
        <v>0</v>
      </c>
    </row>
    <row r="2092" customFormat="false" ht="15" hidden="true" customHeight="false" outlineLevel="0" collapsed="false">
      <c r="A2092" s="51" t="s">
        <v>499</v>
      </c>
      <c r="B2092" s="55" t="n">
        <v>44285</v>
      </c>
      <c r="C2092" s="51" t="s">
        <v>791</v>
      </c>
      <c r="D2092" s="51" t="n">
        <v>0</v>
      </c>
    </row>
    <row r="2093" customFormat="false" ht="15" hidden="true" customHeight="false" outlineLevel="0" collapsed="false">
      <c r="A2093" s="51" t="s">
        <v>504</v>
      </c>
      <c r="B2093" s="55" t="n">
        <v>44285</v>
      </c>
      <c r="C2093" s="51" t="s">
        <v>791</v>
      </c>
      <c r="D2093" s="51" t="n">
        <v>0</v>
      </c>
    </row>
    <row r="2094" customFormat="false" ht="15" hidden="true" customHeight="false" outlineLevel="0" collapsed="false">
      <c r="A2094" s="51" t="s">
        <v>509</v>
      </c>
      <c r="B2094" s="55" t="n">
        <v>44285</v>
      </c>
      <c r="C2094" s="51" t="s">
        <v>791</v>
      </c>
      <c r="D2094" s="51" t="n">
        <v>0</v>
      </c>
    </row>
    <row r="2095" customFormat="false" ht="15" hidden="true" customHeight="false" outlineLevel="0" collapsed="false">
      <c r="A2095" s="51" t="s">
        <v>515</v>
      </c>
      <c r="B2095" s="55" t="n">
        <v>44285</v>
      </c>
      <c r="C2095" s="51" t="s">
        <v>791</v>
      </c>
      <c r="D2095" s="51" t="n">
        <v>0</v>
      </c>
    </row>
    <row r="2096" customFormat="false" ht="15" hidden="true" customHeight="false" outlineLevel="0" collapsed="false">
      <c r="A2096" s="51" t="s">
        <v>520</v>
      </c>
      <c r="B2096" s="55" t="n">
        <v>44285</v>
      </c>
      <c r="C2096" s="51" t="s">
        <v>791</v>
      </c>
      <c r="D2096" s="51" t="n">
        <v>0</v>
      </c>
    </row>
    <row r="2097" customFormat="false" ht="15" hidden="true" customHeight="false" outlineLevel="0" collapsed="false">
      <c r="A2097" s="51" t="s">
        <v>525</v>
      </c>
      <c r="B2097" s="55" t="n">
        <v>44285</v>
      </c>
      <c r="C2097" s="51" t="s">
        <v>791</v>
      </c>
      <c r="D2097" s="51" t="n">
        <v>0</v>
      </c>
    </row>
    <row r="2098" customFormat="false" ht="15" hidden="true" customHeight="false" outlineLevel="0" collapsed="false">
      <c r="A2098" s="51" t="s">
        <v>531</v>
      </c>
      <c r="B2098" s="55" t="n">
        <v>44285</v>
      </c>
      <c r="C2098" s="51" t="s">
        <v>791</v>
      </c>
      <c r="D2098" s="51" t="n">
        <v>0</v>
      </c>
    </row>
    <row r="2099" customFormat="false" ht="15" hidden="true" customHeight="false" outlineLevel="0" collapsed="false">
      <c r="A2099" s="51" t="s">
        <v>536</v>
      </c>
      <c r="B2099" s="55" t="n">
        <v>44285</v>
      </c>
      <c r="C2099" s="51" t="s">
        <v>791</v>
      </c>
      <c r="D2099" s="51" t="n">
        <v>0</v>
      </c>
    </row>
    <row r="2100" customFormat="false" ht="15" hidden="true" customHeight="false" outlineLevel="0" collapsed="false">
      <c r="A2100" s="51" t="s">
        <v>541</v>
      </c>
      <c r="B2100" s="55" t="n">
        <v>44285</v>
      </c>
      <c r="C2100" s="51" t="s">
        <v>791</v>
      </c>
      <c r="D2100" s="51" t="n">
        <v>0</v>
      </c>
    </row>
    <row r="2101" customFormat="false" ht="15" hidden="true" customHeight="false" outlineLevel="0" collapsed="false">
      <c r="A2101" s="51" t="s">
        <v>549</v>
      </c>
      <c r="B2101" s="55" t="n">
        <v>44285</v>
      </c>
      <c r="C2101" s="51" t="s">
        <v>791</v>
      </c>
      <c r="D2101" s="51" t="n">
        <v>0</v>
      </c>
    </row>
    <row r="2102" customFormat="false" ht="15" hidden="true" customHeight="false" outlineLevel="0" collapsed="false">
      <c r="A2102" s="51" t="s">
        <v>554</v>
      </c>
      <c r="B2102" s="55" t="n">
        <v>44285</v>
      </c>
      <c r="C2102" s="51" t="s">
        <v>791</v>
      </c>
      <c r="D2102" s="51" t="n">
        <v>0</v>
      </c>
    </row>
    <row r="2103" customFormat="false" ht="15" hidden="true" customHeight="false" outlineLevel="0" collapsed="false">
      <c r="A2103" s="51" t="s">
        <v>559</v>
      </c>
      <c r="B2103" s="55" t="n">
        <v>44285</v>
      </c>
      <c r="C2103" s="51" t="s">
        <v>791</v>
      </c>
      <c r="D2103" s="51" t="n">
        <v>0</v>
      </c>
    </row>
    <row r="2104" customFormat="false" ht="15" hidden="true" customHeight="false" outlineLevel="0" collapsed="false">
      <c r="A2104" s="51" t="s">
        <v>564</v>
      </c>
      <c r="B2104" s="55" t="n">
        <v>44285</v>
      </c>
      <c r="C2104" s="51" t="s">
        <v>791</v>
      </c>
      <c r="D2104" s="51" t="n">
        <v>0</v>
      </c>
    </row>
    <row r="2105" customFormat="false" ht="15" hidden="true" customHeight="false" outlineLevel="0" collapsed="false">
      <c r="A2105" s="51" t="s">
        <v>569</v>
      </c>
      <c r="B2105" s="55" t="n">
        <v>44285</v>
      </c>
      <c r="C2105" s="51" t="s">
        <v>791</v>
      </c>
      <c r="D2105" s="51" t="n">
        <v>0</v>
      </c>
    </row>
    <row r="2106" customFormat="false" ht="15" hidden="true" customHeight="false" outlineLevel="0" collapsed="false">
      <c r="A2106" s="51" t="s">
        <v>574</v>
      </c>
      <c r="B2106" s="55" t="n">
        <v>44285</v>
      </c>
      <c r="C2106" s="51" t="s">
        <v>791</v>
      </c>
      <c r="D2106" s="51" t="n">
        <v>0</v>
      </c>
    </row>
    <row r="2107" customFormat="false" ht="15" hidden="true" customHeight="false" outlineLevel="0" collapsed="false">
      <c r="A2107" s="51" t="s">
        <v>579</v>
      </c>
      <c r="B2107" s="55" t="n">
        <v>44285</v>
      </c>
      <c r="C2107" s="51" t="s">
        <v>791</v>
      </c>
      <c r="D2107" s="51" t="n">
        <v>0</v>
      </c>
    </row>
    <row r="2108" customFormat="false" ht="15" hidden="true" customHeight="false" outlineLevel="0" collapsed="false">
      <c r="A2108" s="51" t="s">
        <v>584</v>
      </c>
      <c r="B2108" s="55" t="n">
        <v>44285</v>
      </c>
      <c r="C2108" s="51" t="s">
        <v>791</v>
      </c>
      <c r="D2108" s="51" t="n">
        <v>0</v>
      </c>
    </row>
    <row r="2109" customFormat="false" ht="15" hidden="true" customHeight="false" outlineLevel="0" collapsed="false">
      <c r="A2109" s="51" t="s">
        <v>589</v>
      </c>
      <c r="B2109" s="55" t="n">
        <v>44285</v>
      </c>
      <c r="C2109" s="51" t="s">
        <v>791</v>
      </c>
      <c r="D2109" s="51" t="n">
        <v>0</v>
      </c>
    </row>
    <row r="2110" customFormat="false" ht="15" hidden="true" customHeight="false" outlineLevel="0" collapsed="false">
      <c r="A2110" s="51" t="s">
        <v>756</v>
      </c>
      <c r="B2110" s="55" t="n">
        <v>44285</v>
      </c>
      <c r="C2110" s="51" t="s">
        <v>791</v>
      </c>
      <c r="D2110" s="51" t="n">
        <v>0</v>
      </c>
    </row>
    <row r="2111" customFormat="false" ht="15" hidden="true" customHeight="false" outlineLevel="0" collapsed="false">
      <c r="A2111" s="51" t="s">
        <v>594</v>
      </c>
      <c r="B2111" s="55" t="n">
        <v>44285</v>
      </c>
      <c r="C2111" s="51" t="s">
        <v>791</v>
      </c>
      <c r="D2111" s="51" t="n">
        <v>0</v>
      </c>
    </row>
    <row r="2112" customFormat="false" ht="15" hidden="true" customHeight="false" outlineLevel="0" collapsed="false">
      <c r="A2112" s="51" t="s">
        <v>761</v>
      </c>
      <c r="B2112" s="55" t="n">
        <v>44285</v>
      </c>
      <c r="C2112" s="51" t="s">
        <v>791</v>
      </c>
      <c r="D2112" s="51" t="n">
        <v>0</v>
      </c>
    </row>
    <row r="2113" customFormat="false" ht="15" hidden="true" customHeight="false" outlineLevel="0" collapsed="false">
      <c r="A2113" s="51" t="s">
        <v>599</v>
      </c>
      <c r="B2113" s="55" t="n">
        <v>44285</v>
      </c>
      <c r="C2113" s="51" t="s">
        <v>791</v>
      </c>
      <c r="D2113" s="51" t="n">
        <v>0</v>
      </c>
    </row>
    <row r="2114" customFormat="false" ht="15" hidden="true" customHeight="false" outlineLevel="0" collapsed="false">
      <c r="A2114" s="51" t="s">
        <v>604</v>
      </c>
      <c r="B2114" s="55" t="n">
        <v>44285</v>
      </c>
      <c r="C2114" s="51" t="s">
        <v>791</v>
      </c>
      <c r="D2114" s="51" t="n">
        <v>0</v>
      </c>
    </row>
    <row r="2115" customFormat="false" ht="15" hidden="true" customHeight="false" outlineLevel="0" collapsed="false">
      <c r="A2115" s="51" t="s">
        <v>609</v>
      </c>
      <c r="B2115" s="55" t="n">
        <v>44285</v>
      </c>
      <c r="C2115" s="51" t="s">
        <v>791</v>
      </c>
      <c r="D2115" s="51" t="n">
        <v>0</v>
      </c>
    </row>
    <row r="2116" customFormat="false" ht="15" hidden="true" customHeight="false" outlineLevel="0" collapsed="false">
      <c r="A2116" s="51" t="s">
        <v>614</v>
      </c>
      <c r="B2116" s="55" t="n">
        <v>44285</v>
      </c>
      <c r="C2116" s="51" t="s">
        <v>791</v>
      </c>
      <c r="D2116" s="51" t="n">
        <v>0</v>
      </c>
    </row>
    <row r="2117" customFormat="false" ht="15" hidden="true" customHeight="false" outlineLevel="0" collapsed="false">
      <c r="A2117" s="51" t="s">
        <v>619</v>
      </c>
      <c r="B2117" s="55" t="n">
        <v>44285</v>
      </c>
      <c r="C2117" s="51" t="s">
        <v>791</v>
      </c>
      <c r="D2117" s="51" t="n">
        <v>0</v>
      </c>
    </row>
    <row r="2118" customFormat="false" ht="15" hidden="true" customHeight="false" outlineLevel="0" collapsed="false">
      <c r="A2118" s="51" t="s">
        <v>624</v>
      </c>
      <c r="B2118" s="55" t="n">
        <v>44285</v>
      </c>
      <c r="C2118" s="51" t="s">
        <v>791</v>
      </c>
      <c r="D2118" s="51" t="n">
        <v>0</v>
      </c>
    </row>
    <row r="2119" customFormat="false" ht="15" hidden="true" customHeight="false" outlineLevel="0" collapsed="false">
      <c r="A2119" s="51" t="s">
        <v>629</v>
      </c>
      <c r="B2119" s="55" t="n">
        <v>44285</v>
      </c>
      <c r="C2119" s="51" t="s">
        <v>791</v>
      </c>
      <c r="D2119" s="51" t="n">
        <v>0</v>
      </c>
    </row>
    <row r="2120" customFormat="false" ht="15" hidden="true" customHeight="false" outlineLevel="0" collapsed="false">
      <c r="A2120" s="51" t="s">
        <v>633</v>
      </c>
      <c r="B2120" s="55" t="n">
        <v>44285</v>
      </c>
      <c r="C2120" s="51" t="s">
        <v>791</v>
      </c>
      <c r="D2120" s="51" t="n">
        <v>0</v>
      </c>
    </row>
    <row r="2121" customFormat="false" ht="15" hidden="true" customHeight="false" outlineLevel="0" collapsed="false">
      <c r="A2121" s="51" t="s">
        <v>638</v>
      </c>
      <c r="B2121" s="55" t="n">
        <v>44285</v>
      </c>
      <c r="C2121" s="51" t="s">
        <v>791</v>
      </c>
      <c r="D2121" s="51" t="n">
        <v>0</v>
      </c>
    </row>
    <row r="2122" customFormat="false" ht="15" hidden="true" customHeight="false" outlineLevel="0" collapsed="false">
      <c r="A2122" s="51" t="s">
        <v>642</v>
      </c>
      <c r="B2122" s="55" t="n">
        <v>44285</v>
      </c>
      <c r="C2122" s="51" t="s">
        <v>791</v>
      </c>
      <c r="D2122" s="51" t="n">
        <v>0</v>
      </c>
    </row>
    <row r="2123" customFormat="false" ht="15" hidden="true" customHeight="false" outlineLevel="0" collapsed="false">
      <c r="A2123" s="51" t="s">
        <v>646</v>
      </c>
      <c r="B2123" s="55" t="n">
        <v>44285</v>
      </c>
      <c r="C2123" s="51" t="s">
        <v>791</v>
      </c>
      <c r="D2123" s="51" t="n">
        <v>0</v>
      </c>
    </row>
    <row r="2124" customFormat="false" ht="15" hidden="true" customHeight="false" outlineLevel="0" collapsed="false">
      <c r="A2124" s="51" t="s">
        <v>651</v>
      </c>
      <c r="B2124" s="55" t="n">
        <v>44285</v>
      </c>
      <c r="C2124" s="51" t="s">
        <v>791</v>
      </c>
      <c r="D2124" s="51" t="n">
        <v>0</v>
      </c>
    </row>
    <row r="2125" customFormat="false" ht="15" hidden="true" customHeight="false" outlineLevel="0" collapsed="false">
      <c r="A2125" s="51" t="s">
        <v>656</v>
      </c>
      <c r="B2125" s="55" t="n">
        <v>44285</v>
      </c>
      <c r="C2125" s="51" t="s">
        <v>791</v>
      </c>
      <c r="D2125" s="51" t="n">
        <v>0</v>
      </c>
    </row>
    <row r="2126" customFormat="false" ht="15" hidden="true" customHeight="false" outlineLevel="0" collapsed="false">
      <c r="A2126" s="51" t="s">
        <v>661</v>
      </c>
      <c r="B2126" s="55" t="n">
        <v>44285</v>
      </c>
      <c r="C2126" s="51" t="s">
        <v>791</v>
      </c>
      <c r="D2126" s="51" t="n">
        <v>0</v>
      </c>
    </row>
    <row r="2127" customFormat="false" ht="15" hidden="true" customHeight="false" outlineLevel="0" collapsed="false">
      <c r="A2127" s="51" t="s">
        <v>666</v>
      </c>
      <c r="B2127" s="55" t="n">
        <v>44285</v>
      </c>
      <c r="C2127" s="51" t="s">
        <v>791</v>
      </c>
      <c r="D2127" s="51" t="n">
        <v>0</v>
      </c>
    </row>
    <row r="2128" customFormat="false" ht="15" hidden="true" customHeight="false" outlineLevel="0" collapsed="false">
      <c r="A2128" s="51" t="s">
        <v>671</v>
      </c>
      <c r="B2128" s="55" t="n">
        <v>44285</v>
      </c>
      <c r="C2128" s="51" t="s">
        <v>791</v>
      </c>
      <c r="D2128" s="51" t="n">
        <v>0</v>
      </c>
    </row>
    <row r="2129" customFormat="false" ht="15" hidden="true" customHeight="false" outlineLevel="0" collapsed="false">
      <c r="A2129" s="51" t="s">
        <v>676</v>
      </c>
      <c r="B2129" s="55" t="n">
        <v>44285</v>
      </c>
      <c r="C2129" s="51" t="s">
        <v>791</v>
      </c>
      <c r="D2129" s="51" t="n">
        <v>0</v>
      </c>
    </row>
    <row r="2130" customFormat="false" ht="15" hidden="true" customHeight="false" outlineLevel="0" collapsed="false">
      <c r="A2130" s="51" t="s">
        <v>681</v>
      </c>
      <c r="B2130" s="55" t="n">
        <v>44285</v>
      </c>
      <c r="C2130" s="51" t="s">
        <v>791</v>
      </c>
      <c r="D2130" s="51" t="n">
        <v>0</v>
      </c>
    </row>
    <row r="2131" customFormat="false" ht="15" hidden="true" customHeight="false" outlineLevel="0" collapsed="false">
      <c r="A2131" s="51" t="s">
        <v>686</v>
      </c>
      <c r="B2131" s="55" t="n">
        <v>44285</v>
      </c>
      <c r="C2131" s="51" t="s">
        <v>791</v>
      </c>
      <c r="D2131" s="51" t="n">
        <v>0</v>
      </c>
    </row>
    <row r="2132" customFormat="false" ht="15" hidden="true" customHeight="false" outlineLevel="0" collapsed="false">
      <c r="A2132" s="51" t="s">
        <v>691</v>
      </c>
      <c r="B2132" s="55" t="n">
        <v>44285</v>
      </c>
      <c r="C2132" s="51" t="s">
        <v>791</v>
      </c>
      <c r="D2132" s="51" t="n">
        <v>0</v>
      </c>
    </row>
    <row r="2133" customFormat="false" ht="15" hidden="true" customHeight="false" outlineLevel="0" collapsed="false">
      <c r="A2133" s="51" t="s">
        <v>696</v>
      </c>
      <c r="B2133" s="55" t="n">
        <v>44285</v>
      </c>
      <c r="C2133" s="51" t="s">
        <v>791</v>
      </c>
      <c r="D2133" s="51" t="n">
        <v>0</v>
      </c>
    </row>
    <row r="2134" customFormat="false" ht="15" hidden="true" customHeight="false" outlineLevel="0" collapsed="false">
      <c r="A2134" s="51" t="s">
        <v>701</v>
      </c>
      <c r="B2134" s="55" t="n">
        <v>44285</v>
      </c>
      <c r="C2134" s="51" t="s">
        <v>791</v>
      </c>
      <c r="D2134" s="51" t="n">
        <v>0</v>
      </c>
    </row>
    <row r="2135" customFormat="false" ht="15" hidden="true" customHeight="false" outlineLevel="0" collapsed="false">
      <c r="A2135" s="51" t="s">
        <v>707</v>
      </c>
      <c r="B2135" s="55" t="n">
        <v>44285</v>
      </c>
      <c r="C2135" s="51" t="s">
        <v>791</v>
      </c>
      <c r="D2135" s="51" t="n">
        <v>0</v>
      </c>
    </row>
    <row r="2136" customFormat="false" ht="15" hidden="true" customHeight="false" outlineLevel="0" collapsed="false">
      <c r="A2136" s="51" t="s">
        <v>712</v>
      </c>
      <c r="B2136" s="55" t="n">
        <v>44285</v>
      </c>
      <c r="C2136" s="51" t="s">
        <v>791</v>
      </c>
      <c r="D2136" s="51" t="n">
        <v>0</v>
      </c>
    </row>
    <row r="2137" customFormat="false" ht="15" hidden="true" customHeight="false" outlineLevel="0" collapsed="false">
      <c r="A2137" s="51" t="s">
        <v>717</v>
      </c>
      <c r="B2137" s="55" t="n">
        <v>44285</v>
      </c>
      <c r="C2137" s="51" t="s">
        <v>791</v>
      </c>
      <c r="D2137" s="51" t="n">
        <v>0</v>
      </c>
    </row>
    <row r="2138" customFormat="false" ht="15" hidden="true" customHeight="false" outlineLevel="0" collapsed="false">
      <c r="A2138" s="51" t="s">
        <v>767</v>
      </c>
      <c r="B2138" s="55" t="n">
        <v>44285</v>
      </c>
      <c r="C2138" s="51" t="s">
        <v>791</v>
      </c>
      <c r="D2138" s="51" t="n">
        <v>0</v>
      </c>
    </row>
    <row r="2139" customFormat="false" ht="15" hidden="true" customHeight="false" outlineLevel="0" collapsed="false">
      <c r="A2139" s="51" t="s">
        <v>722</v>
      </c>
      <c r="B2139" s="55" t="n">
        <v>44285</v>
      </c>
      <c r="C2139" s="51" t="s">
        <v>791</v>
      </c>
      <c r="D2139" s="51" t="n">
        <v>0</v>
      </c>
    </row>
    <row r="2140" customFormat="false" ht="15" hidden="true" customHeight="false" outlineLevel="0" collapsed="false">
      <c r="A2140" s="51" t="s">
        <v>727</v>
      </c>
      <c r="B2140" s="55" t="n">
        <v>44285</v>
      </c>
      <c r="C2140" s="51" t="s">
        <v>791</v>
      </c>
      <c r="D2140" s="51" t="n">
        <v>0</v>
      </c>
    </row>
    <row r="2141" customFormat="false" ht="15" hidden="true" customHeight="false" outlineLevel="0" collapsed="false">
      <c r="A2141" s="51" t="s">
        <v>732</v>
      </c>
      <c r="B2141" s="55" t="n">
        <v>44285</v>
      </c>
      <c r="C2141" s="51" t="s">
        <v>791</v>
      </c>
      <c r="D2141" s="51" t="n">
        <v>0</v>
      </c>
    </row>
    <row r="2142" customFormat="false" ht="15" hidden="true" customHeight="false" outlineLevel="0" collapsed="false">
      <c r="A2142" s="51" t="s">
        <v>736</v>
      </c>
      <c r="B2142" s="55" t="n">
        <v>44285</v>
      </c>
      <c r="C2142" s="51" t="s">
        <v>791</v>
      </c>
      <c r="D2142" s="51" t="n">
        <v>0</v>
      </c>
    </row>
    <row r="2143" customFormat="false" ht="15" hidden="true" customHeight="false" outlineLevel="0" collapsed="false">
      <c r="A2143" s="51" t="s">
        <v>741</v>
      </c>
      <c r="B2143" s="55" t="n">
        <v>44285</v>
      </c>
      <c r="C2143" s="51" t="s">
        <v>791</v>
      </c>
      <c r="D2143" s="51" t="n">
        <v>0</v>
      </c>
    </row>
    <row r="2144" customFormat="false" ht="15" hidden="true" customHeight="false" outlineLevel="0" collapsed="false">
      <c r="A2144" s="51" t="s">
        <v>746</v>
      </c>
      <c r="B2144" s="55" t="n">
        <v>44285</v>
      </c>
      <c r="C2144" s="51" t="s">
        <v>791</v>
      </c>
      <c r="D2144" s="51" t="n">
        <v>0</v>
      </c>
    </row>
    <row r="2145" customFormat="false" ht="15" hidden="true" customHeight="false" outlineLevel="0" collapsed="false">
      <c r="A2145" s="51" t="s">
        <v>751</v>
      </c>
      <c r="B2145" s="55" t="n">
        <v>44285</v>
      </c>
      <c r="C2145" s="51" t="s">
        <v>791</v>
      </c>
      <c r="D2145" s="51" t="n">
        <v>0</v>
      </c>
    </row>
    <row r="2146" customFormat="false" ht="15" hidden="false" customHeight="false" outlineLevel="0" collapsed="false">
      <c r="A2146" s="51" t="s">
        <v>781</v>
      </c>
      <c r="B2146" s="55" t="n">
        <v>44377</v>
      </c>
      <c r="C2146" s="51" t="s">
        <v>782</v>
      </c>
      <c r="D2146" s="51" t="n">
        <v>0</v>
      </c>
    </row>
    <row r="2147" customFormat="false" ht="15" hidden="true" customHeight="false" outlineLevel="0" collapsed="false">
      <c r="A2147" s="51" t="s">
        <v>783</v>
      </c>
      <c r="B2147" s="55" t="n">
        <v>44377</v>
      </c>
      <c r="C2147" s="51" t="s">
        <v>782</v>
      </c>
      <c r="D2147" s="51" t="n">
        <v>0</v>
      </c>
    </row>
    <row r="2148" customFormat="false" ht="15" hidden="true" customHeight="false" outlineLevel="0" collapsed="false">
      <c r="A2148" s="51" t="s">
        <v>96</v>
      </c>
      <c r="B2148" s="55" t="n">
        <v>44377</v>
      </c>
      <c r="C2148" s="51" t="s">
        <v>782</v>
      </c>
      <c r="D2148" s="51" t="n">
        <v>0</v>
      </c>
    </row>
    <row r="2149" customFormat="false" ht="15" hidden="true" customHeight="false" outlineLevel="0" collapsed="false">
      <c r="A2149" s="51" t="s">
        <v>101</v>
      </c>
      <c r="B2149" s="55" t="n">
        <v>44377</v>
      </c>
      <c r="C2149" s="51" t="s">
        <v>782</v>
      </c>
      <c r="D2149" s="51" t="n">
        <v>0</v>
      </c>
    </row>
    <row r="2150" customFormat="false" ht="15" hidden="true" customHeight="false" outlineLevel="0" collapsed="false">
      <c r="A2150" s="51" t="s">
        <v>106</v>
      </c>
      <c r="B2150" s="55" t="n">
        <v>44377</v>
      </c>
      <c r="C2150" s="51" t="s">
        <v>782</v>
      </c>
      <c r="D2150" s="51" t="n">
        <v>0</v>
      </c>
    </row>
    <row r="2151" customFormat="false" ht="15" hidden="true" customHeight="false" outlineLevel="0" collapsed="false">
      <c r="A2151" s="51" t="s">
        <v>110</v>
      </c>
      <c r="B2151" s="55" t="n">
        <v>44377</v>
      </c>
      <c r="C2151" s="51" t="s">
        <v>782</v>
      </c>
      <c r="D2151" s="51" t="n">
        <v>0</v>
      </c>
    </row>
    <row r="2152" customFormat="false" ht="15" hidden="true" customHeight="false" outlineLevel="0" collapsed="false">
      <c r="A2152" s="51" t="s">
        <v>115</v>
      </c>
      <c r="B2152" s="55" t="n">
        <v>44377</v>
      </c>
      <c r="C2152" s="51" t="s">
        <v>782</v>
      </c>
      <c r="D2152" s="51" t="n">
        <v>0</v>
      </c>
    </row>
    <row r="2153" customFormat="false" ht="15" hidden="true" customHeight="false" outlineLevel="0" collapsed="false">
      <c r="A2153" s="51" t="s">
        <v>120</v>
      </c>
      <c r="B2153" s="55" t="n">
        <v>44377</v>
      </c>
      <c r="C2153" s="51" t="s">
        <v>782</v>
      </c>
      <c r="D2153" s="51" t="n">
        <v>0</v>
      </c>
    </row>
    <row r="2154" customFormat="false" ht="15" hidden="true" customHeight="false" outlineLevel="0" collapsed="false">
      <c r="A2154" s="51" t="s">
        <v>124</v>
      </c>
      <c r="B2154" s="55" t="n">
        <v>44377</v>
      </c>
      <c r="C2154" s="51" t="s">
        <v>782</v>
      </c>
      <c r="D2154" s="51" t="n">
        <v>0</v>
      </c>
    </row>
    <row r="2155" customFormat="false" ht="15" hidden="true" customHeight="false" outlineLevel="0" collapsed="false">
      <c r="A2155" s="51" t="s">
        <v>129</v>
      </c>
      <c r="B2155" s="55" t="n">
        <v>44377</v>
      </c>
      <c r="C2155" s="51" t="s">
        <v>782</v>
      </c>
      <c r="D2155" s="51" t="n">
        <v>0</v>
      </c>
    </row>
    <row r="2156" customFormat="false" ht="15" hidden="true" customHeight="false" outlineLevel="0" collapsed="false">
      <c r="A2156" s="51" t="s">
        <v>134</v>
      </c>
      <c r="B2156" s="55" t="n">
        <v>44377</v>
      </c>
      <c r="C2156" s="51" t="s">
        <v>782</v>
      </c>
      <c r="D2156" s="51" t="n">
        <v>0</v>
      </c>
    </row>
    <row r="2157" customFormat="false" ht="15" hidden="true" customHeight="false" outlineLevel="0" collapsed="false">
      <c r="A2157" s="51" t="s">
        <v>141</v>
      </c>
      <c r="B2157" s="55" t="n">
        <v>44377</v>
      </c>
      <c r="C2157" s="51" t="s">
        <v>782</v>
      </c>
      <c r="D2157" s="51" t="n">
        <v>0</v>
      </c>
    </row>
    <row r="2158" customFormat="false" ht="15" hidden="true" customHeight="false" outlineLevel="0" collapsed="false">
      <c r="A2158" s="51" t="s">
        <v>146</v>
      </c>
      <c r="B2158" s="55" t="n">
        <v>44377</v>
      </c>
      <c r="C2158" s="51" t="s">
        <v>782</v>
      </c>
      <c r="D2158" s="51" t="n">
        <v>0</v>
      </c>
    </row>
    <row r="2159" customFormat="false" ht="15" hidden="true" customHeight="false" outlineLevel="0" collapsed="false">
      <c r="A2159" s="51" t="s">
        <v>151</v>
      </c>
      <c r="B2159" s="55" t="n">
        <v>44377</v>
      </c>
      <c r="C2159" s="51" t="s">
        <v>782</v>
      </c>
      <c r="D2159" s="51" t="n">
        <v>0</v>
      </c>
    </row>
    <row r="2160" customFormat="false" ht="15" hidden="true" customHeight="false" outlineLevel="0" collapsed="false">
      <c r="A2160" s="51" t="s">
        <v>156</v>
      </c>
      <c r="B2160" s="55" t="n">
        <v>44377</v>
      </c>
      <c r="C2160" s="51" t="s">
        <v>782</v>
      </c>
      <c r="D2160" s="51" t="n">
        <v>0</v>
      </c>
    </row>
    <row r="2161" customFormat="false" ht="15" hidden="true" customHeight="false" outlineLevel="0" collapsed="false">
      <c r="A2161" s="51" t="s">
        <v>161</v>
      </c>
      <c r="B2161" s="55" t="n">
        <v>44377</v>
      </c>
      <c r="C2161" s="51" t="s">
        <v>782</v>
      </c>
      <c r="D2161" s="51" t="n">
        <v>0</v>
      </c>
    </row>
    <row r="2162" customFormat="false" ht="15" hidden="true" customHeight="false" outlineLevel="0" collapsed="false">
      <c r="A2162" s="51" t="s">
        <v>166</v>
      </c>
      <c r="B2162" s="55" t="n">
        <v>44377</v>
      </c>
      <c r="C2162" s="51" t="s">
        <v>782</v>
      </c>
      <c r="D2162" s="51" t="n">
        <v>0</v>
      </c>
    </row>
    <row r="2163" customFormat="false" ht="15" hidden="true" customHeight="false" outlineLevel="0" collapsed="false">
      <c r="A2163" s="51" t="s">
        <v>171</v>
      </c>
      <c r="B2163" s="55" t="n">
        <v>44377</v>
      </c>
      <c r="C2163" s="51" t="s">
        <v>782</v>
      </c>
      <c r="D2163" s="51" t="n">
        <v>0</v>
      </c>
    </row>
    <row r="2164" customFormat="false" ht="15" hidden="true" customHeight="false" outlineLevel="0" collapsed="false">
      <c r="A2164" s="51" t="s">
        <v>176</v>
      </c>
      <c r="B2164" s="55" t="n">
        <v>44377</v>
      </c>
      <c r="C2164" s="51" t="s">
        <v>782</v>
      </c>
      <c r="D2164" s="51" t="n">
        <v>0</v>
      </c>
    </row>
    <row r="2165" customFormat="false" ht="15" hidden="true" customHeight="false" outlineLevel="0" collapsed="false">
      <c r="A2165" s="51" t="s">
        <v>181</v>
      </c>
      <c r="B2165" s="55" t="n">
        <v>44377</v>
      </c>
      <c r="C2165" s="51" t="s">
        <v>782</v>
      </c>
      <c r="D2165" s="51" t="n">
        <v>0</v>
      </c>
    </row>
    <row r="2166" customFormat="false" ht="15" hidden="true" customHeight="false" outlineLevel="0" collapsed="false">
      <c r="A2166" s="51" t="s">
        <v>186</v>
      </c>
      <c r="B2166" s="55" t="n">
        <v>44377</v>
      </c>
      <c r="C2166" s="51" t="s">
        <v>782</v>
      </c>
      <c r="D2166" s="51" t="n">
        <v>0</v>
      </c>
    </row>
    <row r="2167" customFormat="false" ht="15" hidden="true" customHeight="false" outlineLevel="0" collapsed="false">
      <c r="A2167" s="51" t="s">
        <v>191</v>
      </c>
      <c r="B2167" s="55" t="n">
        <v>44377</v>
      </c>
      <c r="C2167" s="51" t="s">
        <v>782</v>
      </c>
      <c r="D2167" s="51" t="n">
        <v>0</v>
      </c>
    </row>
    <row r="2168" customFormat="false" ht="15" hidden="true" customHeight="false" outlineLevel="0" collapsed="false">
      <c r="A2168" s="51" t="s">
        <v>196</v>
      </c>
      <c r="B2168" s="55" t="n">
        <v>44377</v>
      </c>
      <c r="C2168" s="51" t="s">
        <v>782</v>
      </c>
      <c r="D2168" s="51" t="n">
        <v>4125000</v>
      </c>
    </row>
    <row r="2169" customFormat="false" ht="15" hidden="true" customHeight="false" outlineLevel="0" collapsed="false">
      <c r="A2169" s="51" t="s">
        <v>201</v>
      </c>
      <c r="B2169" s="55" t="n">
        <v>44377</v>
      </c>
      <c r="C2169" s="51" t="s">
        <v>782</v>
      </c>
      <c r="D2169" s="51" t="n">
        <v>630924.61</v>
      </c>
    </row>
    <row r="2170" customFormat="false" ht="15" hidden="true" customHeight="false" outlineLevel="0" collapsed="false">
      <c r="A2170" s="51" t="s">
        <v>206</v>
      </c>
      <c r="B2170" s="55" t="n">
        <v>44377</v>
      </c>
      <c r="C2170" s="51" t="s">
        <v>782</v>
      </c>
      <c r="D2170" s="51" t="n">
        <v>3788001.31</v>
      </c>
    </row>
    <row r="2171" customFormat="false" ht="15" hidden="true" customHeight="false" outlineLevel="0" collapsed="false">
      <c r="A2171" s="51" t="s">
        <v>210</v>
      </c>
      <c r="B2171" s="55" t="n">
        <v>44377</v>
      </c>
      <c r="C2171" s="51" t="s">
        <v>782</v>
      </c>
      <c r="D2171" s="51" t="n">
        <v>110000</v>
      </c>
    </row>
    <row r="2172" customFormat="false" ht="15" hidden="true" customHeight="false" outlineLevel="0" collapsed="false">
      <c r="A2172" s="51" t="s">
        <v>215</v>
      </c>
      <c r="B2172" s="55" t="n">
        <v>44377</v>
      </c>
      <c r="C2172" s="51" t="s">
        <v>782</v>
      </c>
      <c r="D2172" s="51" t="n">
        <v>750000</v>
      </c>
    </row>
    <row r="2173" customFormat="false" ht="15" hidden="true" customHeight="false" outlineLevel="0" collapsed="false">
      <c r="A2173" s="51" t="s">
        <v>790</v>
      </c>
      <c r="B2173" s="55" t="n">
        <v>44377</v>
      </c>
      <c r="C2173" s="51" t="s">
        <v>782</v>
      </c>
      <c r="D2173" s="51" t="n">
        <v>0</v>
      </c>
    </row>
    <row r="2174" customFormat="false" ht="15" hidden="true" customHeight="false" outlineLevel="0" collapsed="false">
      <c r="A2174" s="51" t="s">
        <v>225</v>
      </c>
      <c r="B2174" s="55" t="n">
        <v>44377</v>
      </c>
      <c r="C2174" s="51" t="s">
        <v>782</v>
      </c>
      <c r="D2174" s="51" t="n">
        <v>0</v>
      </c>
    </row>
    <row r="2175" customFormat="false" ht="15" hidden="true" customHeight="false" outlineLevel="0" collapsed="false">
      <c r="A2175" s="51" t="s">
        <v>230</v>
      </c>
      <c r="B2175" s="55" t="n">
        <v>44377</v>
      </c>
      <c r="C2175" s="51" t="s">
        <v>782</v>
      </c>
      <c r="D2175" s="51" t="n">
        <v>0</v>
      </c>
    </row>
    <row r="2176" customFormat="false" ht="15" hidden="true" customHeight="false" outlineLevel="0" collapsed="false">
      <c r="A2176" s="51" t="s">
        <v>235</v>
      </c>
      <c r="B2176" s="55" t="n">
        <v>44377</v>
      </c>
      <c r="C2176" s="51" t="s">
        <v>782</v>
      </c>
      <c r="D2176" s="51" t="n">
        <v>0</v>
      </c>
    </row>
    <row r="2177" customFormat="false" ht="15" hidden="true" customHeight="false" outlineLevel="0" collapsed="false">
      <c r="A2177" s="51" t="s">
        <v>240</v>
      </c>
      <c r="B2177" s="55" t="n">
        <v>44377</v>
      </c>
      <c r="C2177" s="51" t="s">
        <v>782</v>
      </c>
      <c r="D2177" s="51" t="n">
        <v>0</v>
      </c>
    </row>
    <row r="2178" customFormat="false" ht="15" hidden="true" customHeight="false" outlineLevel="0" collapsed="false">
      <c r="A2178" s="51" t="s">
        <v>246</v>
      </c>
      <c r="B2178" s="55" t="n">
        <v>44377</v>
      </c>
      <c r="C2178" s="51" t="s">
        <v>782</v>
      </c>
      <c r="D2178" s="51" t="n">
        <v>0</v>
      </c>
    </row>
    <row r="2179" customFormat="false" ht="15" hidden="true" customHeight="false" outlineLevel="0" collapsed="false">
      <c r="A2179" s="51" t="s">
        <v>252</v>
      </c>
      <c r="B2179" s="55" t="n">
        <v>44377</v>
      </c>
      <c r="C2179" s="51" t="s">
        <v>782</v>
      </c>
      <c r="D2179" s="51" t="n">
        <v>0</v>
      </c>
    </row>
    <row r="2180" customFormat="false" ht="15" hidden="true" customHeight="false" outlineLevel="0" collapsed="false">
      <c r="A2180" s="51" t="s">
        <v>257</v>
      </c>
      <c r="B2180" s="55" t="n">
        <v>44377</v>
      </c>
      <c r="C2180" s="51" t="s">
        <v>782</v>
      </c>
      <c r="D2180" s="51" t="n">
        <v>2715649</v>
      </c>
    </row>
    <row r="2181" customFormat="false" ht="15" hidden="true" customHeight="false" outlineLevel="0" collapsed="false">
      <c r="A2181" s="51" t="s">
        <v>262</v>
      </c>
      <c r="B2181" s="55" t="n">
        <v>44377</v>
      </c>
      <c r="C2181" s="51" t="s">
        <v>782</v>
      </c>
      <c r="D2181" s="51" t="n">
        <v>0</v>
      </c>
    </row>
    <row r="2182" customFormat="false" ht="15" hidden="true" customHeight="false" outlineLevel="0" collapsed="false">
      <c r="A2182" s="51" t="s">
        <v>267</v>
      </c>
      <c r="B2182" s="55" t="n">
        <v>44377</v>
      </c>
      <c r="C2182" s="51" t="s">
        <v>782</v>
      </c>
      <c r="D2182" s="51" t="n">
        <v>0</v>
      </c>
    </row>
    <row r="2183" customFormat="false" ht="15" hidden="true" customHeight="false" outlineLevel="0" collapsed="false">
      <c r="A2183" s="51" t="s">
        <v>272</v>
      </c>
      <c r="B2183" s="55" t="n">
        <v>44377</v>
      </c>
      <c r="C2183" s="51" t="s">
        <v>782</v>
      </c>
      <c r="D2183" s="51" t="n">
        <v>0</v>
      </c>
    </row>
    <row r="2184" customFormat="false" ht="15" hidden="true" customHeight="false" outlineLevel="0" collapsed="false">
      <c r="A2184" s="51" t="s">
        <v>277</v>
      </c>
      <c r="B2184" s="55" t="n">
        <v>44377</v>
      </c>
      <c r="C2184" s="51" t="s">
        <v>782</v>
      </c>
      <c r="D2184" s="51" t="n">
        <v>0</v>
      </c>
    </row>
    <row r="2185" customFormat="false" ht="15" hidden="true" customHeight="false" outlineLevel="0" collapsed="false">
      <c r="A2185" s="51" t="s">
        <v>282</v>
      </c>
      <c r="B2185" s="55" t="n">
        <v>44377</v>
      </c>
      <c r="C2185" s="51" t="s">
        <v>782</v>
      </c>
      <c r="D2185" s="51" t="n">
        <v>0</v>
      </c>
    </row>
    <row r="2186" customFormat="false" ht="15" hidden="true" customHeight="false" outlineLevel="0" collapsed="false">
      <c r="A2186" s="51" t="s">
        <v>287</v>
      </c>
      <c r="B2186" s="55" t="n">
        <v>44377</v>
      </c>
      <c r="C2186" s="51" t="s">
        <v>782</v>
      </c>
      <c r="D2186" s="51" t="n">
        <v>0</v>
      </c>
    </row>
    <row r="2187" customFormat="false" ht="15" hidden="true" customHeight="false" outlineLevel="0" collapsed="false">
      <c r="A2187" s="51" t="s">
        <v>292</v>
      </c>
      <c r="B2187" s="55" t="n">
        <v>44377</v>
      </c>
      <c r="C2187" s="51" t="s">
        <v>782</v>
      </c>
      <c r="D2187" s="51" t="n">
        <v>0</v>
      </c>
    </row>
    <row r="2188" customFormat="false" ht="15" hidden="true" customHeight="false" outlineLevel="0" collapsed="false">
      <c r="A2188" s="51" t="s">
        <v>297</v>
      </c>
      <c r="B2188" s="55" t="n">
        <v>44377</v>
      </c>
      <c r="C2188" s="51" t="s">
        <v>782</v>
      </c>
      <c r="D2188" s="51" t="n">
        <v>0</v>
      </c>
    </row>
    <row r="2189" customFormat="false" ht="15" hidden="true" customHeight="false" outlineLevel="0" collapsed="false">
      <c r="A2189" s="51" t="s">
        <v>302</v>
      </c>
      <c r="B2189" s="55" t="n">
        <v>44377</v>
      </c>
      <c r="C2189" s="51" t="s">
        <v>782</v>
      </c>
      <c r="D2189" s="51" t="n">
        <v>0</v>
      </c>
    </row>
    <row r="2190" customFormat="false" ht="15" hidden="true" customHeight="false" outlineLevel="0" collapsed="false">
      <c r="A2190" s="51" t="s">
        <v>307</v>
      </c>
      <c r="B2190" s="55" t="n">
        <v>44377</v>
      </c>
      <c r="C2190" s="51" t="s">
        <v>782</v>
      </c>
      <c r="D2190" s="51" t="n">
        <v>0</v>
      </c>
    </row>
    <row r="2191" customFormat="false" ht="15" hidden="true" customHeight="false" outlineLevel="0" collapsed="false">
      <c r="A2191" s="51" t="s">
        <v>311</v>
      </c>
      <c r="B2191" s="55" t="n">
        <v>44377</v>
      </c>
      <c r="C2191" s="51" t="s">
        <v>782</v>
      </c>
      <c r="D2191" s="51" t="n">
        <v>0</v>
      </c>
    </row>
    <row r="2192" customFormat="false" ht="15" hidden="true" customHeight="false" outlineLevel="0" collapsed="false">
      <c r="A2192" s="51" t="s">
        <v>317</v>
      </c>
      <c r="B2192" s="55" t="n">
        <v>44377</v>
      </c>
      <c r="C2192" s="51" t="s">
        <v>782</v>
      </c>
      <c r="D2192" s="51" t="n">
        <v>0</v>
      </c>
    </row>
    <row r="2193" customFormat="false" ht="15" hidden="true" customHeight="false" outlineLevel="0" collapsed="false">
      <c r="A2193" s="51" t="s">
        <v>322</v>
      </c>
      <c r="B2193" s="55" t="n">
        <v>44377</v>
      </c>
      <c r="C2193" s="51" t="s">
        <v>782</v>
      </c>
      <c r="D2193" s="51" t="n">
        <v>0</v>
      </c>
    </row>
    <row r="2194" customFormat="false" ht="15" hidden="true" customHeight="false" outlineLevel="0" collapsed="false">
      <c r="A2194" s="51" t="s">
        <v>327</v>
      </c>
      <c r="B2194" s="55" t="n">
        <v>44377</v>
      </c>
      <c r="C2194" s="51" t="s">
        <v>782</v>
      </c>
      <c r="D2194" s="51" t="n">
        <v>0</v>
      </c>
    </row>
    <row r="2195" customFormat="false" ht="15" hidden="true" customHeight="false" outlineLevel="0" collapsed="false">
      <c r="A2195" s="51" t="s">
        <v>332</v>
      </c>
      <c r="B2195" s="55" t="n">
        <v>44377</v>
      </c>
      <c r="C2195" s="51" t="s">
        <v>782</v>
      </c>
      <c r="D2195" s="51" t="n">
        <v>0</v>
      </c>
    </row>
    <row r="2196" customFormat="false" ht="15" hidden="true" customHeight="false" outlineLevel="0" collapsed="false">
      <c r="A2196" s="51" t="s">
        <v>339</v>
      </c>
      <c r="B2196" s="55" t="n">
        <v>44377</v>
      </c>
      <c r="C2196" s="51" t="s">
        <v>782</v>
      </c>
      <c r="D2196" s="51" t="n">
        <v>0</v>
      </c>
    </row>
    <row r="2197" customFormat="false" ht="15" hidden="true" customHeight="false" outlineLevel="0" collapsed="false">
      <c r="A2197" s="51" t="s">
        <v>344</v>
      </c>
      <c r="B2197" s="55" t="n">
        <v>44377</v>
      </c>
      <c r="C2197" s="51" t="s">
        <v>782</v>
      </c>
      <c r="D2197" s="51" t="n">
        <v>0</v>
      </c>
    </row>
    <row r="2198" customFormat="false" ht="15" hidden="true" customHeight="false" outlineLevel="0" collapsed="false">
      <c r="A2198" s="51" t="s">
        <v>349</v>
      </c>
      <c r="B2198" s="55" t="n">
        <v>44377</v>
      </c>
      <c r="C2198" s="51" t="s">
        <v>782</v>
      </c>
      <c r="D2198" s="51" t="n">
        <v>0</v>
      </c>
    </row>
    <row r="2199" customFormat="false" ht="15" hidden="true" customHeight="false" outlineLevel="0" collapsed="false">
      <c r="A2199" s="51" t="s">
        <v>354</v>
      </c>
      <c r="B2199" s="55" t="n">
        <v>44377</v>
      </c>
      <c r="C2199" s="51" t="s">
        <v>782</v>
      </c>
      <c r="D2199" s="51" t="n">
        <v>0</v>
      </c>
    </row>
    <row r="2200" customFormat="false" ht="15" hidden="true" customHeight="false" outlineLevel="0" collapsed="false">
      <c r="A2200" s="51" t="s">
        <v>359</v>
      </c>
      <c r="B2200" s="55" t="n">
        <v>44377</v>
      </c>
      <c r="C2200" s="51" t="s">
        <v>782</v>
      </c>
      <c r="D2200" s="51" t="n">
        <v>0</v>
      </c>
    </row>
    <row r="2201" customFormat="false" ht="15" hidden="true" customHeight="false" outlineLevel="0" collapsed="false">
      <c r="A2201" s="51" t="s">
        <v>364</v>
      </c>
      <c r="B2201" s="55" t="n">
        <v>44377</v>
      </c>
      <c r="C2201" s="51" t="s">
        <v>782</v>
      </c>
      <c r="D2201" s="51" t="n">
        <v>0</v>
      </c>
    </row>
    <row r="2202" customFormat="false" ht="15" hidden="true" customHeight="false" outlineLevel="0" collapsed="false">
      <c r="A2202" s="51" t="s">
        <v>369</v>
      </c>
      <c r="B2202" s="55" t="n">
        <v>44377</v>
      </c>
      <c r="C2202" s="51" t="s">
        <v>782</v>
      </c>
      <c r="D2202" s="51" t="n">
        <v>0</v>
      </c>
    </row>
    <row r="2203" customFormat="false" ht="15" hidden="true" customHeight="false" outlineLevel="0" collapsed="false">
      <c r="A2203" s="51" t="s">
        <v>374</v>
      </c>
      <c r="B2203" s="55" t="n">
        <v>44377</v>
      </c>
      <c r="C2203" s="51" t="s">
        <v>782</v>
      </c>
      <c r="D2203" s="51" t="n">
        <v>0</v>
      </c>
    </row>
    <row r="2204" customFormat="false" ht="15" hidden="true" customHeight="false" outlineLevel="0" collapsed="false">
      <c r="A2204" s="51" t="s">
        <v>379</v>
      </c>
      <c r="B2204" s="55" t="n">
        <v>44377</v>
      </c>
      <c r="C2204" s="51" t="s">
        <v>782</v>
      </c>
      <c r="D2204" s="51" t="n">
        <v>0</v>
      </c>
    </row>
    <row r="2205" customFormat="false" ht="15" hidden="true" customHeight="false" outlineLevel="0" collapsed="false">
      <c r="A2205" s="51" t="s">
        <v>384</v>
      </c>
      <c r="B2205" s="55" t="n">
        <v>44377</v>
      </c>
      <c r="C2205" s="51" t="s">
        <v>782</v>
      </c>
      <c r="D2205" s="51" t="n">
        <v>0</v>
      </c>
    </row>
    <row r="2206" customFormat="false" ht="15" hidden="true" customHeight="false" outlineLevel="0" collapsed="false">
      <c r="A2206" s="51" t="s">
        <v>389</v>
      </c>
      <c r="B2206" s="55" t="n">
        <v>44377</v>
      </c>
      <c r="C2206" s="51" t="s">
        <v>782</v>
      </c>
      <c r="D2206" s="51" t="n">
        <v>0</v>
      </c>
    </row>
    <row r="2207" customFormat="false" ht="15" hidden="true" customHeight="false" outlineLevel="0" collapsed="false">
      <c r="A2207" s="51" t="s">
        <v>394</v>
      </c>
      <c r="B2207" s="55" t="n">
        <v>44377</v>
      </c>
      <c r="C2207" s="51" t="s">
        <v>782</v>
      </c>
      <c r="D2207" s="51" t="n">
        <v>0</v>
      </c>
    </row>
    <row r="2208" customFormat="false" ht="15" hidden="true" customHeight="false" outlineLevel="0" collapsed="false">
      <c r="A2208" s="51" t="s">
        <v>399</v>
      </c>
      <c r="B2208" s="55" t="n">
        <v>44377</v>
      </c>
      <c r="C2208" s="51" t="s">
        <v>782</v>
      </c>
      <c r="D2208" s="51" t="n">
        <v>0</v>
      </c>
    </row>
    <row r="2209" customFormat="false" ht="15" hidden="true" customHeight="false" outlineLevel="0" collapsed="false">
      <c r="A2209" s="51" t="s">
        <v>404</v>
      </c>
      <c r="B2209" s="55" t="n">
        <v>44377</v>
      </c>
      <c r="C2209" s="51" t="s">
        <v>782</v>
      </c>
      <c r="D2209" s="51" t="n">
        <v>0</v>
      </c>
    </row>
    <row r="2210" customFormat="false" ht="15" hidden="true" customHeight="false" outlineLevel="0" collapsed="false">
      <c r="A2210" s="51" t="s">
        <v>409</v>
      </c>
      <c r="B2210" s="55" t="n">
        <v>44377</v>
      </c>
      <c r="C2210" s="51" t="s">
        <v>782</v>
      </c>
      <c r="D2210" s="51" t="n">
        <v>0</v>
      </c>
    </row>
    <row r="2211" customFormat="false" ht="15" hidden="true" customHeight="false" outlineLevel="0" collapsed="false">
      <c r="A2211" s="51" t="s">
        <v>414</v>
      </c>
      <c r="B2211" s="55" t="n">
        <v>44377</v>
      </c>
      <c r="C2211" s="51" t="s">
        <v>782</v>
      </c>
      <c r="D2211" s="51" t="n">
        <v>0</v>
      </c>
    </row>
    <row r="2212" customFormat="false" ht="15" hidden="true" customHeight="false" outlineLevel="0" collapsed="false">
      <c r="A2212" s="51" t="s">
        <v>419</v>
      </c>
      <c r="B2212" s="55" t="n">
        <v>44377</v>
      </c>
      <c r="C2212" s="51" t="s">
        <v>782</v>
      </c>
      <c r="D2212" s="51" t="n">
        <v>0</v>
      </c>
    </row>
    <row r="2213" customFormat="false" ht="15" hidden="true" customHeight="false" outlineLevel="0" collapsed="false">
      <c r="A2213" s="51" t="s">
        <v>424</v>
      </c>
      <c r="B2213" s="55" t="n">
        <v>44377</v>
      </c>
      <c r="C2213" s="51" t="s">
        <v>782</v>
      </c>
      <c r="D2213" s="51" t="n">
        <v>0</v>
      </c>
    </row>
    <row r="2214" customFormat="false" ht="15" hidden="true" customHeight="false" outlineLevel="0" collapsed="false">
      <c r="A2214" s="51" t="s">
        <v>429</v>
      </c>
      <c r="B2214" s="55" t="n">
        <v>44377</v>
      </c>
      <c r="C2214" s="51" t="s">
        <v>782</v>
      </c>
      <c r="D2214" s="51" t="n">
        <v>0</v>
      </c>
    </row>
    <row r="2215" customFormat="false" ht="15" hidden="true" customHeight="false" outlineLevel="0" collapsed="false">
      <c r="A2215" s="51" t="s">
        <v>434</v>
      </c>
      <c r="B2215" s="55" t="n">
        <v>44377</v>
      </c>
      <c r="C2215" s="51" t="s">
        <v>782</v>
      </c>
      <c r="D2215" s="51" t="n">
        <v>0</v>
      </c>
    </row>
    <row r="2216" customFormat="false" ht="15" hidden="true" customHeight="false" outlineLevel="0" collapsed="false">
      <c r="A2216" s="51" t="s">
        <v>438</v>
      </c>
      <c r="B2216" s="55" t="n">
        <v>44377</v>
      </c>
      <c r="C2216" s="51" t="s">
        <v>782</v>
      </c>
      <c r="D2216" s="51" t="n">
        <v>0</v>
      </c>
    </row>
    <row r="2217" customFormat="false" ht="15" hidden="true" customHeight="false" outlineLevel="0" collapsed="false">
      <c r="A2217" s="51" t="s">
        <v>443</v>
      </c>
      <c r="B2217" s="55" t="n">
        <v>44377</v>
      </c>
      <c r="C2217" s="51" t="s">
        <v>782</v>
      </c>
      <c r="D2217" s="51" t="n">
        <v>0</v>
      </c>
    </row>
    <row r="2218" customFormat="false" ht="15" hidden="true" customHeight="false" outlineLevel="0" collapsed="false">
      <c r="A2218" s="51" t="s">
        <v>448</v>
      </c>
      <c r="B2218" s="55" t="n">
        <v>44377</v>
      </c>
      <c r="C2218" s="51" t="s">
        <v>782</v>
      </c>
      <c r="D2218" s="51" t="n">
        <v>0</v>
      </c>
    </row>
    <row r="2219" customFormat="false" ht="15" hidden="true" customHeight="false" outlineLevel="0" collapsed="false">
      <c r="A2219" s="51" t="s">
        <v>453</v>
      </c>
      <c r="B2219" s="55" t="n">
        <v>44377</v>
      </c>
      <c r="C2219" s="51" t="s">
        <v>782</v>
      </c>
      <c r="D2219" s="51" t="n">
        <v>0</v>
      </c>
    </row>
    <row r="2220" customFormat="false" ht="15" hidden="true" customHeight="false" outlineLevel="0" collapsed="false">
      <c r="A2220" s="51" t="s">
        <v>458</v>
      </c>
      <c r="B2220" s="55" t="n">
        <v>44377</v>
      </c>
      <c r="C2220" s="51" t="s">
        <v>782</v>
      </c>
      <c r="D2220" s="51" t="n">
        <v>0</v>
      </c>
    </row>
    <row r="2221" customFormat="false" ht="15" hidden="true" customHeight="false" outlineLevel="0" collapsed="false">
      <c r="A2221" s="51" t="s">
        <v>473</v>
      </c>
      <c r="B2221" s="55" t="n">
        <v>44377</v>
      </c>
      <c r="C2221" s="51" t="s">
        <v>782</v>
      </c>
      <c r="D2221" s="51" t="n">
        <v>0</v>
      </c>
    </row>
    <row r="2222" customFormat="false" ht="15" hidden="true" customHeight="false" outlineLevel="0" collapsed="false">
      <c r="A2222" s="51" t="s">
        <v>479</v>
      </c>
      <c r="B2222" s="55" t="n">
        <v>44377</v>
      </c>
      <c r="C2222" s="51" t="s">
        <v>782</v>
      </c>
      <c r="D2222" s="51" t="n">
        <v>0</v>
      </c>
    </row>
    <row r="2223" customFormat="false" ht="15" hidden="true" customHeight="false" outlineLevel="0" collapsed="false">
      <c r="A2223" s="51" t="s">
        <v>484</v>
      </c>
      <c r="B2223" s="55" t="n">
        <v>44377</v>
      </c>
      <c r="C2223" s="51" t="s">
        <v>782</v>
      </c>
      <c r="D2223" s="51" t="n">
        <v>0</v>
      </c>
    </row>
    <row r="2224" customFormat="false" ht="15" hidden="true" customHeight="false" outlineLevel="0" collapsed="false">
      <c r="A2224" s="51" t="s">
        <v>489</v>
      </c>
      <c r="B2224" s="55" t="n">
        <v>44377</v>
      </c>
      <c r="C2224" s="51" t="s">
        <v>782</v>
      </c>
      <c r="D2224" s="51" t="n">
        <v>0</v>
      </c>
    </row>
    <row r="2225" customFormat="false" ht="15" hidden="true" customHeight="false" outlineLevel="0" collapsed="false">
      <c r="A2225" s="51" t="s">
        <v>494</v>
      </c>
      <c r="B2225" s="55" t="n">
        <v>44377</v>
      </c>
      <c r="C2225" s="51" t="s">
        <v>782</v>
      </c>
      <c r="D2225" s="51" t="n">
        <v>0</v>
      </c>
    </row>
    <row r="2226" customFormat="false" ht="15" hidden="true" customHeight="false" outlineLevel="0" collapsed="false">
      <c r="A2226" s="51" t="s">
        <v>499</v>
      </c>
      <c r="B2226" s="55" t="n">
        <v>44377</v>
      </c>
      <c r="C2226" s="51" t="s">
        <v>782</v>
      </c>
      <c r="D2226" s="51" t="n">
        <v>0</v>
      </c>
    </row>
    <row r="2227" customFormat="false" ht="15" hidden="true" customHeight="false" outlineLevel="0" collapsed="false">
      <c r="A2227" s="51" t="s">
        <v>504</v>
      </c>
      <c r="B2227" s="55" t="n">
        <v>44377</v>
      </c>
      <c r="C2227" s="51" t="s">
        <v>782</v>
      </c>
      <c r="D2227" s="51" t="n">
        <v>0</v>
      </c>
    </row>
    <row r="2228" customFormat="false" ht="15" hidden="true" customHeight="false" outlineLevel="0" collapsed="false">
      <c r="A2228" s="51" t="s">
        <v>509</v>
      </c>
      <c r="B2228" s="55" t="n">
        <v>44377</v>
      </c>
      <c r="C2228" s="51" t="s">
        <v>782</v>
      </c>
      <c r="D2228" s="51" t="n">
        <v>0</v>
      </c>
    </row>
    <row r="2229" customFormat="false" ht="15" hidden="true" customHeight="false" outlineLevel="0" collapsed="false">
      <c r="A2229" s="51" t="s">
        <v>515</v>
      </c>
      <c r="B2229" s="55" t="n">
        <v>44377</v>
      </c>
      <c r="C2229" s="51" t="s">
        <v>782</v>
      </c>
      <c r="D2229" s="51" t="n">
        <v>0</v>
      </c>
    </row>
    <row r="2230" customFormat="false" ht="15" hidden="true" customHeight="false" outlineLevel="0" collapsed="false">
      <c r="A2230" s="51" t="s">
        <v>520</v>
      </c>
      <c r="B2230" s="55" t="n">
        <v>44377</v>
      </c>
      <c r="C2230" s="51" t="s">
        <v>782</v>
      </c>
      <c r="D2230" s="51" t="n">
        <v>0</v>
      </c>
    </row>
    <row r="2231" customFormat="false" ht="15" hidden="true" customHeight="false" outlineLevel="0" collapsed="false">
      <c r="A2231" s="51" t="s">
        <v>525</v>
      </c>
      <c r="B2231" s="55" t="n">
        <v>44377</v>
      </c>
      <c r="C2231" s="51" t="s">
        <v>782</v>
      </c>
      <c r="D2231" s="51" t="n">
        <v>0</v>
      </c>
    </row>
    <row r="2232" customFormat="false" ht="15" hidden="true" customHeight="false" outlineLevel="0" collapsed="false">
      <c r="A2232" s="51" t="s">
        <v>531</v>
      </c>
      <c r="B2232" s="55" t="n">
        <v>44377</v>
      </c>
      <c r="C2232" s="51" t="s">
        <v>782</v>
      </c>
      <c r="D2232" s="51" t="n">
        <v>0</v>
      </c>
    </row>
    <row r="2233" customFormat="false" ht="15" hidden="true" customHeight="false" outlineLevel="0" collapsed="false">
      <c r="A2233" s="51" t="s">
        <v>536</v>
      </c>
      <c r="B2233" s="55" t="n">
        <v>44377</v>
      </c>
      <c r="C2233" s="51" t="s">
        <v>782</v>
      </c>
      <c r="D2233" s="51" t="n">
        <v>0</v>
      </c>
    </row>
    <row r="2234" customFormat="false" ht="15" hidden="true" customHeight="false" outlineLevel="0" collapsed="false">
      <c r="A2234" s="51" t="s">
        <v>541</v>
      </c>
      <c r="B2234" s="55" t="n">
        <v>44377</v>
      </c>
      <c r="C2234" s="51" t="s">
        <v>782</v>
      </c>
      <c r="D2234" s="51" t="n">
        <v>0</v>
      </c>
    </row>
    <row r="2235" customFormat="false" ht="15" hidden="true" customHeight="false" outlineLevel="0" collapsed="false">
      <c r="A2235" s="51" t="s">
        <v>549</v>
      </c>
      <c r="B2235" s="55" t="n">
        <v>44377</v>
      </c>
      <c r="C2235" s="51" t="s">
        <v>782</v>
      </c>
      <c r="D2235" s="51" t="n">
        <v>0</v>
      </c>
    </row>
    <row r="2236" customFormat="false" ht="15" hidden="true" customHeight="false" outlineLevel="0" collapsed="false">
      <c r="A2236" s="51" t="s">
        <v>554</v>
      </c>
      <c r="B2236" s="55" t="n">
        <v>44377</v>
      </c>
      <c r="C2236" s="51" t="s">
        <v>782</v>
      </c>
      <c r="D2236" s="51" t="n">
        <v>0</v>
      </c>
    </row>
    <row r="2237" customFormat="false" ht="15" hidden="true" customHeight="false" outlineLevel="0" collapsed="false">
      <c r="A2237" s="51" t="s">
        <v>559</v>
      </c>
      <c r="B2237" s="55" t="n">
        <v>44377</v>
      </c>
      <c r="C2237" s="51" t="s">
        <v>782</v>
      </c>
      <c r="D2237" s="51" t="n">
        <v>0</v>
      </c>
    </row>
    <row r="2238" customFormat="false" ht="15" hidden="true" customHeight="false" outlineLevel="0" collapsed="false">
      <c r="A2238" s="51" t="s">
        <v>564</v>
      </c>
      <c r="B2238" s="55" t="n">
        <v>44377</v>
      </c>
      <c r="C2238" s="51" t="s">
        <v>782</v>
      </c>
      <c r="D2238" s="51" t="n">
        <v>0</v>
      </c>
    </row>
    <row r="2239" customFormat="false" ht="15" hidden="true" customHeight="false" outlineLevel="0" collapsed="false">
      <c r="A2239" s="51" t="s">
        <v>569</v>
      </c>
      <c r="B2239" s="55" t="n">
        <v>44377</v>
      </c>
      <c r="C2239" s="51" t="s">
        <v>782</v>
      </c>
      <c r="D2239" s="51" t="n">
        <v>0</v>
      </c>
    </row>
    <row r="2240" customFormat="false" ht="15" hidden="true" customHeight="false" outlineLevel="0" collapsed="false">
      <c r="A2240" s="51" t="s">
        <v>574</v>
      </c>
      <c r="B2240" s="55" t="n">
        <v>44377</v>
      </c>
      <c r="C2240" s="51" t="s">
        <v>782</v>
      </c>
      <c r="D2240" s="51" t="n">
        <v>0</v>
      </c>
    </row>
    <row r="2241" customFormat="false" ht="15" hidden="true" customHeight="false" outlineLevel="0" collapsed="false">
      <c r="A2241" s="51" t="s">
        <v>579</v>
      </c>
      <c r="B2241" s="55" t="n">
        <v>44377</v>
      </c>
      <c r="C2241" s="51" t="s">
        <v>782</v>
      </c>
      <c r="D2241" s="51" t="n">
        <v>0</v>
      </c>
    </row>
    <row r="2242" customFormat="false" ht="15" hidden="true" customHeight="false" outlineLevel="0" collapsed="false">
      <c r="A2242" s="51" t="s">
        <v>584</v>
      </c>
      <c r="B2242" s="55" t="n">
        <v>44377</v>
      </c>
      <c r="C2242" s="51" t="s">
        <v>782</v>
      </c>
      <c r="D2242" s="51" t="n">
        <v>0</v>
      </c>
    </row>
    <row r="2243" customFormat="false" ht="15" hidden="true" customHeight="false" outlineLevel="0" collapsed="false">
      <c r="A2243" s="51" t="s">
        <v>589</v>
      </c>
      <c r="B2243" s="55" t="n">
        <v>44377</v>
      </c>
      <c r="C2243" s="51" t="s">
        <v>782</v>
      </c>
      <c r="D2243" s="51" t="n">
        <v>0</v>
      </c>
    </row>
    <row r="2244" customFormat="false" ht="15" hidden="true" customHeight="false" outlineLevel="0" collapsed="false">
      <c r="A2244" s="51" t="s">
        <v>756</v>
      </c>
      <c r="B2244" s="55" t="n">
        <v>44377</v>
      </c>
      <c r="C2244" s="51" t="s">
        <v>782</v>
      </c>
      <c r="D2244" s="51" t="n">
        <v>0</v>
      </c>
    </row>
    <row r="2245" customFormat="false" ht="15" hidden="true" customHeight="false" outlineLevel="0" collapsed="false">
      <c r="A2245" s="51" t="s">
        <v>594</v>
      </c>
      <c r="B2245" s="55" t="n">
        <v>44377</v>
      </c>
      <c r="C2245" s="51" t="s">
        <v>782</v>
      </c>
      <c r="D2245" s="51" t="n">
        <v>0</v>
      </c>
    </row>
    <row r="2246" customFormat="false" ht="15" hidden="true" customHeight="false" outlineLevel="0" collapsed="false">
      <c r="A2246" s="51" t="s">
        <v>761</v>
      </c>
      <c r="B2246" s="55" t="n">
        <v>44377</v>
      </c>
      <c r="C2246" s="51" t="s">
        <v>782</v>
      </c>
      <c r="D2246" s="51" t="n">
        <v>0</v>
      </c>
    </row>
    <row r="2247" customFormat="false" ht="15" hidden="true" customHeight="false" outlineLevel="0" collapsed="false">
      <c r="A2247" s="51" t="s">
        <v>599</v>
      </c>
      <c r="B2247" s="55" t="n">
        <v>44377</v>
      </c>
      <c r="C2247" s="51" t="s">
        <v>782</v>
      </c>
      <c r="D2247" s="51" t="n">
        <v>0</v>
      </c>
    </row>
    <row r="2248" customFormat="false" ht="15" hidden="true" customHeight="false" outlineLevel="0" collapsed="false">
      <c r="A2248" s="51" t="s">
        <v>604</v>
      </c>
      <c r="B2248" s="55" t="n">
        <v>44377</v>
      </c>
      <c r="C2248" s="51" t="s">
        <v>782</v>
      </c>
      <c r="D2248" s="51" t="n">
        <v>0</v>
      </c>
    </row>
    <row r="2249" customFormat="false" ht="15" hidden="true" customHeight="false" outlineLevel="0" collapsed="false">
      <c r="A2249" s="51" t="s">
        <v>609</v>
      </c>
      <c r="B2249" s="55" t="n">
        <v>44377</v>
      </c>
      <c r="C2249" s="51" t="s">
        <v>782</v>
      </c>
      <c r="D2249" s="51" t="n">
        <v>0</v>
      </c>
    </row>
    <row r="2250" customFormat="false" ht="15" hidden="true" customHeight="false" outlineLevel="0" collapsed="false">
      <c r="A2250" s="51" t="s">
        <v>614</v>
      </c>
      <c r="B2250" s="55" t="n">
        <v>44377</v>
      </c>
      <c r="C2250" s="51" t="s">
        <v>782</v>
      </c>
      <c r="D2250" s="51" t="n">
        <v>0</v>
      </c>
    </row>
    <row r="2251" customFormat="false" ht="15" hidden="true" customHeight="false" outlineLevel="0" collapsed="false">
      <c r="A2251" s="51" t="s">
        <v>619</v>
      </c>
      <c r="B2251" s="55" t="n">
        <v>44377</v>
      </c>
      <c r="C2251" s="51" t="s">
        <v>782</v>
      </c>
      <c r="D2251" s="51" t="n">
        <v>0</v>
      </c>
    </row>
    <row r="2252" customFormat="false" ht="15" hidden="true" customHeight="false" outlineLevel="0" collapsed="false">
      <c r="A2252" s="51" t="s">
        <v>624</v>
      </c>
      <c r="B2252" s="55" t="n">
        <v>44377</v>
      </c>
      <c r="C2252" s="51" t="s">
        <v>782</v>
      </c>
      <c r="D2252" s="51" t="n">
        <v>0</v>
      </c>
    </row>
    <row r="2253" customFormat="false" ht="15" hidden="true" customHeight="false" outlineLevel="0" collapsed="false">
      <c r="A2253" s="51" t="s">
        <v>629</v>
      </c>
      <c r="B2253" s="55" t="n">
        <v>44377</v>
      </c>
      <c r="C2253" s="51" t="s">
        <v>782</v>
      </c>
      <c r="D2253" s="51" t="n">
        <v>0</v>
      </c>
    </row>
    <row r="2254" customFormat="false" ht="15" hidden="true" customHeight="false" outlineLevel="0" collapsed="false">
      <c r="A2254" s="51" t="s">
        <v>633</v>
      </c>
      <c r="B2254" s="55" t="n">
        <v>44377</v>
      </c>
      <c r="C2254" s="51" t="s">
        <v>782</v>
      </c>
      <c r="D2254" s="51" t="n">
        <v>0</v>
      </c>
    </row>
    <row r="2255" customFormat="false" ht="15" hidden="true" customHeight="false" outlineLevel="0" collapsed="false">
      <c r="A2255" s="51" t="s">
        <v>638</v>
      </c>
      <c r="B2255" s="55" t="n">
        <v>44377</v>
      </c>
      <c r="C2255" s="51" t="s">
        <v>782</v>
      </c>
      <c r="D2255" s="51" t="n">
        <v>0</v>
      </c>
    </row>
    <row r="2256" customFormat="false" ht="15" hidden="true" customHeight="false" outlineLevel="0" collapsed="false">
      <c r="A2256" s="51" t="s">
        <v>642</v>
      </c>
      <c r="B2256" s="55" t="n">
        <v>44377</v>
      </c>
      <c r="C2256" s="51" t="s">
        <v>782</v>
      </c>
      <c r="D2256" s="51" t="n">
        <v>0</v>
      </c>
    </row>
    <row r="2257" customFormat="false" ht="15" hidden="true" customHeight="false" outlineLevel="0" collapsed="false">
      <c r="A2257" s="51" t="s">
        <v>646</v>
      </c>
      <c r="B2257" s="55" t="n">
        <v>44377</v>
      </c>
      <c r="C2257" s="51" t="s">
        <v>782</v>
      </c>
      <c r="D2257" s="51" t="n">
        <v>0</v>
      </c>
    </row>
    <row r="2258" customFormat="false" ht="15" hidden="true" customHeight="false" outlineLevel="0" collapsed="false">
      <c r="A2258" s="51" t="s">
        <v>651</v>
      </c>
      <c r="B2258" s="55" t="n">
        <v>44377</v>
      </c>
      <c r="C2258" s="51" t="s">
        <v>782</v>
      </c>
      <c r="D2258" s="51" t="n">
        <v>0</v>
      </c>
    </row>
    <row r="2259" customFormat="false" ht="15" hidden="true" customHeight="false" outlineLevel="0" collapsed="false">
      <c r="A2259" s="51" t="s">
        <v>656</v>
      </c>
      <c r="B2259" s="55" t="n">
        <v>44377</v>
      </c>
      <c r="C2259" s="51" t="s">
        <v>782</v>
      </c>
      <c r="D2259" s="51" t="n">
        <v>0</v>
      </c>
    </row>
    <row r="2260" customFormat="false" ht="15" hidden="true" customHeight="false" outlineLevel="0" collapsed="false">
      <c r="A2260" s="51" t="s">
        <v>661</v>
      </c>
      <c r="B2260" s="55" t="n">
        <v>44377</v>
      </c>
      <c r="C2260" s="51" t="s">
        <v>782</v>
      </c>
      <c r="D2260" s="51" t="n">
        <v>0</v>
      </c>
    </row>
    <row r="2261" customFormat="false" ht="15" hidden="true" customHeight="false" outlineLevel="0" collapsed="false">
      <c r="A2261" s="51" t="s">
        <v>666</v>
      </c>
      <c r="B2261" s="55" t="n">
        <v>44377</v>
      </c>
      <c r="C2261" s="51" t="s">
        <v>782</v>
      </c>
      <c r="D2261" s="51" t="n">
        <v>0</v>
      </c>
    </row>
    <row r="2262" customFormat="false" ht="15" hidden="true" customHeight="false" outlineLevel="0" collapsed="false">
      <c r="A2262" s="51" t="s">
        <v>671</v>
      </c>
      <c r="B2262" s="55" t="n">
        <v>44377</v>
      </c>
      <c r="C2262" s="51" t="s">
        <v>782</v>
      </c>
      <c r="D2262" s="51" t="n">
        <v>0</v>
      </c>
    </row>
    <row r="2263" customFormat="false" ht="15" hidden="true" customHeight="false" outlineLevel="0" collapsed="false">
      <c r="A2263" s="51" t="s">
        <v>676</v>
      </c>
      <c r="B2263" s="55" t="n">
        <v>44377</v>
      </c>
      <c r="C2263" s="51" t="s">
        <v>782</v>
      </c>
      <c r="D2263" s="51" t="n">
        <v>0</v>
      </c>
    </row>
    <row r="2264" customFormat="false" ht="15" hidden="true" customHeight="false" outlineLevel="0" collapsed="false">
      <c r="A2264" s="51" t="s">
        <v>681</v>
      </c>
      <c r="B2264" s="55" t="n">
        <v>44377</v>
      </c>
      <c r="C2264" s="51" t="s">
        <v>782</v>
      </c>
      <c r="D2264" s="51" t="n">
        <v>0</v>
      </c>
    </row>
    <row r="2265" customFormat="false" ht="15" hidden="true" customHeight="false" outlineLevel="0" collapsed="false">
      <c r="A2265" s="51" t="s">
        <v>686</v>
      </c>
      <c r="B2265" s="55" t="n">
        <v>44377</v>
      </c>
      <c r="C2265" s="51" t="s">
        <v>782</v>
      </c>
      <c r="D2265" s="51" t="n">
        <v>0</v>
      </c>
    </row>
    <row r="2266" customFormat="false" ht="15" hidden="true" customHeight="false" outlineLevel="0" collapsed="false">
      <c r="A2266" s="51" t="s">
        <v>691</v>
      </c>
      <c r="B2266" s="55" t="n">
        <v>44377</v>
      </c>
      <c r="C2266" s="51" t="s">
        <v>782</v>
      </c>
      <c r="D2266" s="51" t="n">
        <v>0</v>
      </c>
    </row>
    <row r="2267" customFormat="false" ht="15" hidden="true" customHeight="false" outlineLevel="0" collapsed="false">
      <c r="A2267" s="51" t="s">
        <v>696</v>
      </c>
      <c r="B2267" s="55" t="n">
        <v>44377</v>
      </c>
      <c r="C2267" s="51" t="s">
        <v>782</v>
      </c>
      <c r="D2267" s="51" t="n">
        <v>0</v>
      </c>
    </row>
    <row r="2268" customFormat="false" ht="15" hidden="true" customHeight="false" outlineLevel="0" collapsed="false">
      <c r="A2268" s="51" t="s">
        <v>701</v>
      </c>
      <c r="B2268" s="55" t="n">
        <v>44377</v>
      </c>
      <c r="C2268" s="51" t="s">
        <v>782</v>
      </c>
      <c r="D2268" s="51" t="n">
        <v>0</v>
      </c>
    </row>
    <row r="2269" customFormat="false" ht="15" hidden="true" customHeight="false" outlineLevel="0" collapsed="false">
      <c r="A2269" s="51" t="s">
        <v>707</v>
      </c>
      <c r="B2269" s="55" t="n">
        <v>44377</v>
      </c>
      <c r="C2269" s="51" t="s">
        <v>782</v>
      </c>
      <c r="D2269" s="51" t="n">
        <v>0</v>
      </c>
    </row>
    <row r="2270" customFormat="false" ht="15" hidden="true" customHeight="false" outlineLevel="0" collapsed="false">
      <c r="A2270" s="51" t="s">
        <v>712</v>
      </c>
      <c r="B2270" s="55" t="n">
        <v>44377</v>
      </c>
      <c r="C2270" s="51" t="s">
        <v>782</v>
      </c>
      <c r="D2270" s="51" t="n">
        <v>0</v>
      </c>
    </row>
    <row r="2271" customFormat="false" ht="15" hidden="true" customHeight="false" outlineLevel="0" collapsed="false">
      <c r="A2271" s="51" t="s">
        <v>717</v>
      </c>
      <c r="B2271" s="55" t="n">
        <v>44377</v>
      </c>
      <c r="C2271" s="51" t="s">
        <v>782</v>
      </c>
      <c r="D2271" s="51" t="n">
        <v>0</v>
      </c>
    </row>
    <row r="2272" customFormat="false" ht="15" hidden="true" customHeight="false" outlineLevel="0" collapsed="false">
      <c r="A2272" s="51" t="s">
        <v>767</v>
      </c>
      <c r="B2272" s="55" t="n">
        <v>44377</v>
      </c>
      <c r="C2272" s="51" t="s">
        <v>782</v>
      </c>
      <c r="D2272" s="51" t="n">
        <v>0</v>
      </c>
    </row>
    <row r="2273" customFormat="false" ht="15" hidden="true" customHeight="false" outlineLevel="0" collapsed="false">
      <c r="A2273" s="51" t="s">
        <v>722</v>
      </c>
      <c r="B2273" s="55" t="n">
        <v>44377</v>
      </c>
      <c r="C2273" s="51" t="s">
        <v>782</v>
      </c>
      <c r="D2273" s="51" t="n">
        <v>0</v>
      </c>
    </row>
    <row r="2274" customFormat="false" ht="15" hidden="true" customHeight="false" outlineLevel="0" collapsed="false">
      <c r="A2274" s="51" t="s">
        <v>727</v>
      </c>
      <c r="B2274" s="55" t="n">
        <v>44377</v>
      </c>
      <c r="C2274" s="51" t="s">
        <v>782</v>
      </c>
      <c r="D2274" s="51" t="n">
        <v>0</v>
      </c>
    </row>
    <row r="2275" customFormat="false" ht="15" hidden="true" customHeight="false" outlineLevel="0" collapsed="false">
      <c r="A2275" s="51" t="s">
        <v>732</v>
      </c>
      <c r="B2275" s="55" t="n">
        <v>44377</v>
      </c>
      <c r="C2275" s="51" t="s">
        <v>782</v>
      </c>
      <c r="D2275" s="51" t="n">
        <v>0</v>
      </c>
    </row>
    <row r="2276" customFormat="false" ht="15" hidden="true" customHeight="false" outlineLevel="0" collapsed="false">
      <c r="A2276" s="51" t="s">
        <v>736</v>
      </c>
      <c r="B2276" s="55" t="n">
        <v>44377</v>
      </c>
      <c r="C2276" s="51" t="s">
        <v>782</v>
      </c>
      <c r="D2276" s="51" t="n">
        <v>0</v>
      </c>
    </row>
    <row r="2277" customFormat="false" ht="15" hidden="true" customHeight="false" outlineLevel="0" collapsed="false">
      <c r="A2277" s="51" t="s">
        <v>741</v>
      </c>
      <c r="B2277" s="55" t="n">
        <v>44377</v>
      </c>
      <c r="C2277" s="51" t="s">
        <v>782</v>
      </c>
      <c r="D2277" s="51" t="n">
        <v>0</v>
      </c>
    </row>
    <row r="2278" customFormat="false" ht="15" hidden="true" customHeight="false" outlineLevel="0" collapsed="false">
      <c r="A2278" s="51" t="s">
        <v>746</v>
      </c>
      <c r="B2278" s="55" t="n">
        <v>44377</v>
      </c>
      <c r="C2278" s="51" t="s">
        <v>782</v>
      </c>
      <c r="D2278" s="51" t="n">
        <v>0</v>
      </c>
    </row>
    <row r="2279" customFormat="false" ht="15" hidden="true" customHeight="false" outlineLevel="0" collapsed="false">
      <c r="A2279" s="51" t="s">
        <v>751</v>
      </c>
      <c r="B2279" s="55" t="n">
        <v>44377</v>
      </c>
      <c r="C2279" s="51" t="s">
        <v>782</v>
      </c>
      <c r="D2279" s="51" t="n">
        <v>0</v>
      </c>
    </row>
    <row r="2280" customFormat="false" ht="15" hidden="false" customHeight="false" outlineLevel="0" collapsed="false">
      <c r="A2280" s="51" t="s">
        <v>781</v>
      </c>
      <c r="B2280" s="55" t="n">
        <v>44377</v>
      </c>
      <c r="C2280" s="51" t="s">
        <v>82</v>
      </c>
      <c r="D2280" s="51" t="n">
        <v>0</v>
      </c>
    </row>
    <row r="2281" customFormat="false" ht="15" hidden="true" customHeight="false" outlineLevel="0" collapsed="false">
      <c r="A2281" s="51" t="s">
        <v>783</v>
      </c>
      <c r="B2281" s="55" t="n">
        <v>44377</v>
      </c>
      <c r="C2281" s="51" t="s">
        <v>82</v>
      </c>
      <c r="D2281" s="51" t="n">
        <v>0</v>
      </c>
    </row>
    <row r="2282" customFormat="false" ht="15" hidden="true" customHeight="false" outlineLevel="0" collapsed="false">
      <c r="A2282" s="51" t="s">
        <v>96</v>
      </c>
      <c r="B2282" s="55" t="n">
        <v>44377</v>
      </c>
      <c r="C2282" s="51" t="s">
        <v>82</v>
      </c>
      <c r="D2282" s="51" t="n">
        <v>0</v>
      </c>
    </row>
    <row r="2283" customFormat="false" ht="15" hidden="true" customHeight="false" outlineLevel="0" collapsed="false">
      <c r="A2283" s="51" t="s">
        <v>101</v>
      </c>
      <c r="B2283" s="55" t="n">
        <v>44377</v>
      </c>
      <c r="C2283" s="51" t="s">
        <v>82</v>
      </c>
      <c r="D2283" s="51" t="n">
        <v>0</v>
      </c>
    </row>
    <row r="2284" customFormat="false" ht="15" hidden="true" customHeight="false" outlineLevel="0" collapsed="false">
      <c r="A2284" s="51" t="s">
        <v>106</v>
      </c>
      <c r="B2284" s="55" t="n">
        <v>44377</v>
      </c>
      <c r="C2284" s="51" t="s">
        <v>82</v>
      </c>
      <c r="D2284" s="51" t="n">
        <v>0</v>
      </c>
    </row>
    <row r="2285" customFormat="false" ht="15" hidden="true" customHeight="false" outlineLevel="0" collapsed="false">
      <c r="A2285" s="51" t="s">
        <v>110</v>
      </c>
      <c r="B2285" s="55" t="n">
        <v>44377</v>
      </c>
      <c r="C2285" s="51" t="s">
        <v>82</v>
      </c>
      <c r="D2285" s="51" t="n">
        <v>0</v>
      </c>
    </row>
    <row r="2286" customFormat="false" ht="15" hidden="true" customHeight="false" outlineLevel="0" collapsed="false">
      <c r="A2286" s="51" t="s">
        <v>115</v>
      </c>
      <c r="B2286" s="55" t="n">
        <v>44377</v>
      </c>
      <c r="C2286" s="51" t="s">
        <v>82</v>
      </c>
      <c r="D2286" s="51" t="n">
        <v>0</v>
      </c>
    </row>
    <row r="2287" customFormat="false" ht="15" hidden="true" customHeight="false" outlineLevel="0" collapsed="false">
      <c r="A2287" s="51" t="s">
        <v>120</v>
      </c>
      <c r="B2287" s="55" t="n">
        <v>44377</v>
      </c>
      <c r="C2287" s="51" t="s">
        <v>82</v>
      </c>
      <c r="D2287" s="51" t="n">
        <v>0</v>
      </c>
    </row>
    <row r="2288" customFormat="false" ht="15" hidden="true" customHeight="false" outlineLevel="0" collapsed="false">
      <c r="A2288" s="51" t="s">
        <v>124</v>
      </c>
      <c r="B2288" s="55" t="n">
        <v>44377</v>
      </c>
      <c r="C2288" s="51" t="s">
        <v>82</v>
      </c>
      <c r="D2288" s="51" t="n">
        <v>0</v>
      </c>
    </row>
    <row r="2289" customFormat="false" ht="15" hidden="true" customHeight="false" outlineLevel="0" collapsed="false">
      <c r="A2289" s="51" t="s">
        <v>129</v>
      </c>
      <c r="B2289" s="55" t="n">
        <v>44377</v>
      </c>
      <c r="C2289" s="51" t="s">
        <v>82</v>
      </c>
      <c r="D2289" s="51" t="n">
        <v>0</v>
      </c>
    </row>
    <row r="2290" customFormat="false" ht="15" hidden="true" customHeight="false" outlineLevel="0" collapsed="false">
      <c r="A2290" s="51" t="s">
        <v>134</v>
      </c>
      <c r="B2290" s="55" t="n">
        <v>44377</v>
      </c>
      <c r="C2290" s="51" t="s">
        <v>82</v>
      </c>
      <c r="D2290" s="51" t="n">
        <v>0</v>
      </c>
    </row>
    <row r="2291" customFormat="false" ht="15" hidden="true" customHeight="false" outlineLevel="0" collapsed="false">
      <c r="A2291" s="51" t="s">
        <v>141</v>
      </c>
      <c r="B2291" s="55" t="n">
        <v>44377</v>
      </c>
      <c r="C2291" s="51" t="s">
        <v>82</v>
      </c>
      <c r="D2291" s="51" t="n">
        <v>0</v>
      </c>
    </row>
    <row r="2292" customFormat="false" ht="15" hidden="true" customHeight="false" outlineLevel="0" collapsed="false">
      <c r="A2292" s="51" t="s">
        <v>146</v>
      </c>
      <c r="B2292" s="55" t="n">
        <v>44377</v>
      </c>
      <c r="C2292" s="51" t="s">
        <v>82</v>
      </c>
      <c r="D2292" s="51" t="n">
        <v>0</v>
      </c>
    </row>
    <row r="2293" customFormat="false" ht="15" hidden="true" customHeight="false" outlineLevel="0" collapsed="false">
      <c r="A2293" s="51" t="s">
        <v>151</v>
      </c>
      <c r="B2293" s="55" t="n">
        <v>44377</v>
      </c>
      <c r="C2293" s="51" t="s">
        <v>82</v>
      </c>
      <c r="D2293" s="51" t="n">
        <v>0</v>
      </c>
    </row>
    <row r="2294" customFormat="false" ht="15" hidden="true" customHeight="false" outlineLevel="0" collapsed="false">
      <c r="A2294" s="51" t="s">
        <v>156</v>
      </c>
      <c r="B2294" s="55" t="n">
        <v>44377</v>
      </c>
      <c r="C2294" s="51" t="s">
        <v>82</v>
      </c>
      <c r="D2294" s="51" t="n">
        <v>0</v>
      </c>
    </row>
    <row r="2295" customFormat="false" ht="15" hidden="true" customHeight="false" outlineLevel="0" collapsed="false">
      <c r="A2295" s="51" t="s">
        <v>161</v>
      </c>
      <c r="B2295" s="55" t="n">
        <v>44377</v>
      </c>
      <c r="C2295" s="51" t="s">
        <v>82</v>
      </c>
      <c r="D2295" s="51" t="n">
        <v>0</v>
      </c>
    </row>
    <row r="2296" customFormat="false" ht="15" hidden="true" customHeight="false" outlineLevel="0" collapsed="false">
      <c r="A2296" s="51" t="s">
        <v>166</v>
      </c>
      <c r="B2296" s="55" t="n">
        <v>44377</v>
      </c>
      <c r="C2296" s="51" t="s">
        <v>82</v>
      </c>
      <c r="D2296" s="51" t="n">
        <v>0</v>
      </c>
    </row>
    <row r="2297" customFormat="false" ht="15" hidden="true" customHeight="false" outlineLevel="0" collapsed="false">
      <c r="A2297" s="51" t="s">
        <v>171</v>
      </c>
      <c r="B2297" s="55" t="n">
        <v>44377</v>
      </c>
      <c r="C2297" s="51" t="s">
        <v>82</v>
      </c>
      <c r="D2297" s="51" t="n">
        <v>0</v>
      </c>
    </row>
    <row r="2298" customFormat="false" ht="15" hidden="true" customHeight="false" outlineLevel="0" collapsed="false">
      <c r="A2298" s="51" t="s">
        <v>176</v>
      </c>
      <c r="B2298" s="55" t="n">
        <v>44377</v>
      </c>
      <c r="C2298" s="51" t="s">
        <v>82</v>
      </c>
      <c r="D2298" s="51" t="n">
        <v>0</v>
      </c>
    </row>
    <row r="2299" customFormat="false" ht="15" hidden="true" customHeight="false" outlineLevel="0" collapsed="false">
      <c r="A2299" s="51" t="s">
        <v>181</v>
      </c>
      <c r="B2299" s="55" t="n">
        <v>44377</v>
      </c>
      <c r="C2299" s="51" t="s">
        <v>82</v>
      </c>
      <c r="D2299" s="51" t="n">
        <v>0</v>
      </c>
    </row>
    <row r="2300" customFormat="false" ht="15" hidden="true" customHeight="false" outlineLevel="0" collapsed="false">
      <c r="A2300" s="51" t="s">
        <v>186</v>
      </c>
      <c r="B2300" s="55" t="n">
        <v>44377</v>
      </c>
      <c r="C2300" s="51" t="s">
        <v>82</v>
      </c>
      <c r="D2300" s="51" t="n">
        <v>0</v>
      </c>
    </row>
    <row r="2301" customFormat="false" ht="15" hidden="true" customHeight="false" outlineLevel="0" collapsed="false">
      <c r="A2301" s="51" t="s">
        <v>191</v>
      </c>
      <c r="B2301" s="55" t="n">
        <v>44377</v>
      </c>
      <c r="C2301" s="51" t="s">
        <v>82</v>
      </c>
      <c r="D2301" s="51" t="n">
        <v>0</v>
      </c>
    </row>
    <row r="2302" customFormat="false" ht="15" hidden="true" customHeight="false" outlineLevel="0" collapsed="false">
      <c r="A2302" s="51" t="s">
        <v>196</v>
      </c>
      <c r="B2302" s="55" t="n">
        <v>44377</v>
      </c>
      <c r="C2302" s="51" t="s">
        <v>82</v>
      </c>
      <c r="D2302" s="51" t="n">
        <v>4125000</v>
      </c>
    </row>
    <row r="2303" customFormat="false" ht="15" hidden="true" customHeight="false" outlineLevel="0" collapsed="false">
      <c r="A2303" s="51" t="s">
        <v>201</v>
      </c>
      <c r="B2303" s="55" t="n">
        <v>44377</v>
      </c>
      <c r="C2303" s="51" t="s">
        <v>82</v>
      </c>
      <c r="D2303" s="51" t="n">
        <v>630924.61</v>
      </c>
    </row>
    <row r="2304" customFormat="false" ht="15" hidden="true" customHeight="false" outlineLevel="0" collapsed="false">
      <c r="A2304" s="51" t="s">
        <v>206</v>
      </c>
      <c r="B2304" s="55" t="n">
        <v>44377</v>
      </c>
      <c r="C2304" s="51" t="s">
        <v>82</v>
      </c>
      <c r="D2304" s="51" t="n">
        <v>3788001.31</v>
      </c>
    </row>
    <row r="2305" customFormat="false" ht="15" hidden="true" customHeight="false" outlineLevel="0" collapsed="false">
      <c r="A2305" s="51" t="s">
        <v>210</v>
      </c>
      <c r="B2305" s="55" t="n">
        <v>44377</v>
      </c>
      <c r="C2305" s="51" t="s">
        <v>82</v>
      </c>
      <c r="D2305" s="51" t="n">
        <v>110000</v>
      </c>
    </row>
    <row r="2306" customFormat="false" ht="15" hidden="true" customHeight="false" outlineLevel="0" collapsed="false">
      <c r="A2306" s="51" t="s">
        <v>215</v>
      </c>
      <c r="B2306" s="55" t="n">
        <v>44377</v>
      </c>
      <c r="C2306" s="51" t="s">
        <v>82</v>
      </c>
      <c r="D2306" s="51" t="n">
        <v>750000</v>
      </c>
    </row>
    <row r="2307" customFormat="false" ht="15" hidden="true" customHeight="false" outlineLevel="0" collapsed="false">
      <c r="A2307" s="51" t="s">
        <v>790</v>
      </c>
      <c r="B2307" s="55" t="n">
        <v>44377</v>
      </c>
      <c r="C2307" s="51" t="s">
        <v>82</v>
      </c>
      <c r="D2307" s="51" t="n">
        <v>0</v>
      </c>
    </row>
    <row r="2308" customFormat="false" ht="15" hidden="true" customHeight="false" outlineLevel="0" collapsed="false">
      <c r="A2308" s="51" t="s">
        <v>225</v>
      </c>
      <c r="B2308" s="55" t="n">
        <v>44377</v>
      </c>
      <c r="C2308" s="51" t="s">
        <v>82</v>
      </c>
      <c r="D2308" s="51" t="n">
        <v>0</v>
      </c>
    </row>
    <row r="2309" customFormat="false" ht="15" hidden="true" customHeight="false" outlineLevel="0" collapsed="false">
      <c r="A2309" s="51" t="s">
        <v>230</v>
      </c>
      <c r="B2309" s="55" t="n">
        <v>44377</v>
      </c>
      <c r="C2309" s="51" t="s">
        <v>82</v>
      </c>
      <c r="D2309" s="51" t="n">
        <v>0</v>
      </c>
    </row>
    <row r="2310" customFormat="false" ht="15" hidden="true" customHeight="false" outlineLevel="0" collapsed="false">
      <c r="A2310" s="51" t="s">
        <v>235</v>
      </c>
      <c r="B2310" s="55" t="n">
        <v>44377</v>
      </c>
      <c r="C2310" s="51" t="s">
        <v>82</v>
      </c>
      <c r="D2310" s="51" t="n">
        <v>0</v>
      </c>
    </row>
    <row r="2311" customFormat="false" ht="15" hidden="true" customHeight="false" outlineLevel="0" collapsed="false">
      <c r="A2311" s="51" t="s">
        <v>240</v>
      </c>
      <c r="B2311" s="55" t="n">
        <v>44377</v>
      </c>
      <c r="C2311" s="51" t="s">
        <v>82</v>
      </c>
      <c r="D2311" s="51" t="n">
        <v>0</v>
      </c>
    </row>
    <row r="2312" customFormat="false" ht="15" hidden="true" customHeight="false" outlineLevel="0" collapsed="false">
      <c r="A2312" s="51" t="s">
        <v>246</v>
      </c>
      <c r="B2312" s="55" t="n">
        <v>44377</v>
      </c>
      <c r="C2312" s="51" t="s">
        <v>82</v>
      </c>
      <c r="D2312" s="51" t="n">
        <v>0</v>
      </c>
    </row>
    <row r="2313" customFormat="false" ht="15" hidden="true" customHeight="false" outlineLevel="0" collapsed="false">
      <c r="A2313" s="51" t="s">
        <v>252</v>
      </c>
      <c r="B2313" s="55" t="n">
        <v>44377</v>
      </c>
      <c r="C2313" s="51" t="s">
        <v>82</v>
      </c>
      <c r="D2313" s="51" t="n">
        <v>0</v>
      </c>
    </row>
    <row r="2314" customFormat="false" ht="15" hidden="true" customHeight="false" outlineLevel="0" collapsed="false">
      <c r="A2314" s="51" t="s">
        <v>257</v>
      </c>
      <c r="B2314" s="55" t="n">
        <v>44377</v>
      </c>
      <c r="C2314" s="51" t="s">
        <v>82</v>
      </c>
      <c r="D2314" s="51" t="n">
        <v>2715649</v>
      </c>
    </row>
    <row r="2315" customFormat="false" ht="15" hidden="true" customHeight="false" outlineLevel="0" collapsed="false">
      <c r="A2315" s="51" t="s">
        <v>262</v>
      </c>
      <c r="B2315" s="55" t="n">
        <v>44377</v>
      </c>
      <c r="C2315" s="51" t="s">
        <v>82</v>
      </c>
      <c r="D2315" s="51" t="n">
        <v>0</v>
      </c>
    </row>
    <row r="2316" customFormat="false" ht="15" hidden="true" customHeight="false" outlineLevel="0" collapsed="false">
      <c r="A2316" s="51" t="s">
        <v>267</v>
      </c>
      <c r="B2316" s="55" t="n">
        <v>44377</v>
      </c>
      <c r="C2316" s="51" t="s">
        <v>82</v>
      </c>
      <c r="D2316" s="51" t="n">
        <v>0</v>
      </c>
    </row>
    <row r="2317" customFormat="false" ht="15" hidden="true" customHeight="false" outlineLevel="0" collapsed="false">
      <c r="A2317" s="51" t="s">
        <v>272</v>
      </c>
      <c r="B2317" s="55" t="n">
        <v>44377</v>
      </c>
      <c r="C2317" s="51" t="s">
        <v>82</v>
      </c>
      <c r="D2317" s="51" t="n">
        <v>0</v>
      </c>
    </row>
    <row r="2318" customFormat="false" ht="15" hidden="true" customHeight="false" outlineLevel="0" collapsed="false">
      <c r="A2318" s="51" t="s">
        <v>277</v>
      </c>
      <c r="B2318" s="55" t="n">
        <v>44377</v>
      </c>
      <c r="C2318" s="51" t="s">
        <v>82</v>
      </c>
      <c r="D2318" s="51" t="n">
        <v>0</v>
      </c>
    </row>
    <row r="2319" customFormat="false" ht="15" hidden="true" customHeight="false" outlineLevel="0" collapsed="false">
      <c r="A2319" s="51" t="s">
        <v>282</v>
      </c>
      <c r="B2319" s="55" t="n">
        <v>44377</v>
      </c>
      <c r="C2319" s="51" t="s">
        <v>82</v>
      </c>
      <c r="D2319" s="51" t="n">
        <v>0</v>
      </c>
    </row>
    <row r="2320" customFormat="false" ht="15" hidden="true" customHeight="false" outlineLevel="0" collapsed="false">
      <c r="A2320" s="51" t="s">
        <v>287</v>
      </c>
      <c r="B2320" s="55" t="n">
        <v>44377</v>
      </c>
      <c r="C2320" s="51" t="s">
        <v>82</v>
      </c>
      <c r="D2320" s="51" t="n">
        <v>0</v>
      </c>
    </row>
    <row r="2321" customFormat="false" ht="15" hidden="true" customHeight="false" outlineLevel="0" collapsed="false">
      <c r="A2321" s="51" t="s">
        <v>292</v>
      </c>
      <c r="B2321" s="55" t="n">
        <v>44377</v>
      </c>
      <c r="C2321" s="51" t="s">
        <v>82</v>
      </c>
      <c r="D2321" s="51" t="n">
        <v>0</v>
      </c>
    </row>
    <row r="2322" customFormat="false" ht="15" hidden="true" customHeight="false" outlineLevel="0" collapsed="false">
      <c r="A2322" s="51" t="s">
        <v>297</v>
      </c>
      <c r="B2322" s="55" t="n">
        <v>44377</v>
      </c>
      <c r="C2322" s="51" t="s">
        <v>82</v>
      </c>
      <c r="D2322" s="51" t="n">
        <v>0</v>
      </c>
    </row>
    <row r="2323" customFormat="false" ht="15" hidden="true" customHeight="false" outlineLevel="0" collapsed="false">
      <c r="A2323" s="51" t="s">
        <v>302</v>
      </c>
      <c r="B2323" s="55" t="n">
        <v>44377</v>
      </c>
      <c r="C2323" s="51" t="s">
        <v>82</v>
      </c>
      <c r="D2323" s="51" t="n">
        <v>0</v>
      </c>
    </row>
    <row r="2324" customFormat="false" ht="15" hidden="true" customHeight="false" outlineLevel="0" collapsed="false">
      <c r="A2324" s="51" t="s">
        <v>307</v>
      </c>
      <c r="B2324" s="55" t="n">
        <v>44377</v>
      </c>
      <c r="C2324" s="51" t="s">
        <v>82</v>
      </c>
      <c r="D2324" s="51" t="n">
        <v>0</v>
      </c>
    </row>
    <row r="2325" customFormat="false" ht="15" hidden="true" customHeight="false" outlineLevel="0" collapsed="false">
      <c r="A2325" s="51" t="s">
        <v>311</v>
      </c>
      <c r="B2325" s="55" t="n">
        <v>44377</v>
      </c>
      <c r="C2325" s="51" t="s">
        <v>82</v>
      </c>
      <c r="D2325" s="51" t="n">
        <v>0</v>
      </c>
    </row>
    <row r="2326" customFormat="false" ht="15" hidden="true" customHeight="false" outlineLevel="0" collapsed="false">
      <c r="A2326" s="51" t="s">
        <v>317</v>
      </c>
      <c r="B2326" s="55" t="n">
        <v>44377</v>
      </c>
      <c r="C2326" s="51" t="s">
        <v>82</v>
      </c>
      <c r="D2326" s="51" t="n">
        <v>0</v>
      </c>
    </row>
    <row r="2327" customFormat="false" ht="15" hidden="true" customHeight="false" outlineLevel="0" collapsed="false">
      <c r="A2327" s="51" t="s">
        <v>322</v>
      </c>
      <c r="B2327" s="55" t="n">
        <v>44377</v>
      </c>
      <c r="C2327" s="51" t="s">
        <v>82</v>
      </c>
      <c r="D2327" s="51" t="n">
        <v>0</v>
      </c>
    </row>
    <row r="2328" customFormat="false" ht="15" hidden="true" customHeight="false" outlineLevel="0" collapsed="false">
      <c r="A2328" s="51" t="s">
        <v>327</v>
      </c>
      <c r="B2328" s="55" t="n">
        <v>44377</v>
      </c>
      <c r="C2328" s="51" t="s">
        <v>82</v>
      </c>
      <c r="D2328" s="51" t="n">
        <v>0</v>
      </c>
    </row>
    <row r="2329" customFormat="false" ht="15" hidden="true" customHeight="false" outlineLevel="0" collapsed="false">
      <c r="A2329" s="51" t="s">
        <v>332</v>
      </c>
      <c r="B2329" s="55" t="n">
        <v>44377</v>
      </c>
      <c r="C2329" s="51" t="s">
        <v>82</v>
      </c>
      <c r="D2329" s="51" t="n">
        <v>0</v>
      </c>
    </row>
    <row r="2330" customFormat="false" ht="15" hidden="true" customHeight="false" outlineLevel="0" collapsed="false">
      <c r="A2330" s="51" t="s">
        <v>339</v>
      </c>
      <c r="B2330" s="55" t="n">
        <v>44377</v>
      </c>
      <c r="C2330" s="51" t="s">
        <v>82</v>
      </c>
      <c r="D2330" s="51" t="n">
        <v>0</v>
      </c>
    </row>
    <row r="2331" customFormat="false" ht="15" hidden="true" customHeight="false" outlineLevel="0" collapsed="false">
      <c r="A2331" s="51" t="s">
        <v>344</v>
      </c>
      <c r="B2331" s="55" t="n">
        <v>44377</v>
      </c>
      <c r="C2331" s="51" t="s">
        <v>82</v>
      </c>
      <c r="D2331" s="51" t="n">
        <v>0</v>
      </c>
    </row>
    <row r="2332" customFormat="false" ht="15" hidden="true" customHeight="false" outlineLevel="0" collapsed="false">
      <c r="A2332" s="51" t="s">
        <v>349</v>
      </c>
      <c r="B2332" s="55" t="n">
        <v>44377</v>
      </c>
      <c r="C2332" s="51" t="s">
        <v>82</v>
      </c>
      <c r="D2332" s="51" t="n">
        <v>0</v>
      </c>
    </row>
    <row r="2333" customFormat="false" ht="15" hidden="true" customHeight="false" outlineLevel="0" collapsed="false">
      <c r="A2333" s="51" t="s">
        <v>354</v>
      </c>
      <c r="B2333" s="55" t="n">
        <v>44377</v>
      </c>
      <c r="C2333" s="51" t="s">
        <v>82</v>
      </c>
      <c r="D2333" s="51" t="n">
        <v>0</v>
      </c>
    </row>
    <row r="2334" customFormat="false" ht="15" hidden="true" customHeight="false" outlineLevel="0" collapsed="false">
      <c r="A2334" s="51" t="s">
        <v>359</v>
      </c>
      <c r="B2334" s="55" t="n">
        <v>44377</v>
      </c>
      <c r="C2334" s="51" t="s">
        <v>82</v>
      </c>
      <c r="D2334" s="51" t="n">
        <v>0</v>
      </c>
    </row>
    <row r="2335" customFormat="false" ht="15" hidden="true" customHeight="false" outlineLevel="0" collapsed="false">
      <c r="A2335" s="51" t="s">
        <v>364</v>
      </c>
      <c r="B2335" s="55" t="n">
        <v>44377</v>
      </c>
      <c r="C2335" s="51" t="s">
        <v>82</v>
      </c>
      <c r="D2335" s="51" t="n">
        <v>0</v>
      </c>
    </row>
    <row r="2336" customFormat="false" ht="15" hidden="true" customHeight="false" outlineLevel="0" collapsed="false">
      <c r="A2336" s="51" t="s">
        <v>369</v>
      </c>
      <c r="B2336" s="55" t="n">
        <v>44377</v>
      </c>
      <c r="C2336" s="51" t="s">
        <v>82</v>
      </c>
      <c r="D2336" s="51" t="n">
        <v>0</v>
      </c>
    </row>
    <row r="2337" customFormat="false" ht="15" hidden="true" customHeight="false" outlineLevel="0" collapsed="false">
      <c r="A2337" s="51" t="s">
        <v>374</v>
      </c>
      <c r="B2337" s="55" t="n">
        <v>44377</v>
      </c>
      <c r="C2337" s="51" t="s">
        <v>82</v>
      </c>
      <c r="D2337" s="51" t="n">
        <v>0</v>
      </c>
    </row>
    <row r="2338" customFormat="false" ht="15" hidden="true" customHeight="false" outlineLevel="0" collapsed="false">
      <c r="A2338" s="51" t="s">
        <v>379</v>
      </c>
      <c r="B2338" s="55" t="n">
        <v>44377</v>
      </c>
      <c r="C2338" s="51" t="s">
        <v>82</v>
      </c>
      <c r="D2338" s="51" t="n">
        <v>0</v>
      </c>
    </row>
    <row r="2339" customFormat="false" ht="15" hidden="true" customHeight="false" outlineLevel="0" collapsed="false">
      <c r="A2339" s="51" t="s">
        <v>384</v>
      </c>
      <c r="B2339" s="55" t="n">
        <v>44377</v>
      </c>
      <c r="C2339" s="51" t="s">
        <v>82</v>
      </c>
      <c r="D2339" s="51" t="n">
        <v>0</v>
      </c>
    </row>
    <row r="2340" customFormat="false" ht="15" hidden="true" customHeight="false" outlineLevel="0" collapsed="false">
      <c r="A2340" s="51" t="s">
        <v>389</v>
      </c>
      <c r="B2340" s="55" t="n">
        <v>44377</v>
      </c>
      <c r="C2340" s="51" t="s">
        <v>82</v>
      </c>
      <c r="D2340" s="51" t="n">
        <v>0</v>
      </c>
    </row>
    <row r="2341" customFormat="false" ht="15" hidden="true" customHeight="false" outlineLevel="0" collapsed="false">
      <c r="A2341" s="51" t="s">
        <v>394</v>
      </c>
      <c r="B2341" s="55" t="n">
        <v>44377</v>
      </c>
      <c r="C2341" s="51" t="s">
        <v>82</v>
      </c>
      <c r="D2341" s="51" t="n">
        <v>0</v>
      </c>
    </row>
    <row r="2342" customFormat="false" ht="15" hidden="true" customHeight="false" outlineLevel="0" collapsed="false">
      <c r="A2342" s="51" t="s">
        <v>399</v>
      </c>
      <c r="B2342" s="55" t="n">
        <v>44377</v>
      </c>
      <c r="C2342" s="51" t="s">
        <v>82</v>
      </c>
      <c r="D2342" s="51" t="n">
        <v>0</v>
      </c>
    </row>
    <row r="2343" customFormat="false" ht="15" hidden="true" customHeight="false" outlineLevel="0" collapsed="false">
      <c r="A2343" s="51" t="s">
        <v>404</v>
      </c>
      <c r="B2343" s="55" t="n">
        <v>44377</v>
      </c>
      <c r="C2343" s="51" t="s">
        <v>82</v>
      </c>
      <c r="D2343" s="51" t="n">
        <v>0</v>
      </c>
    </row>
    <row r="2344" customFormat="false" ht="15" hidden="true" customHeight="false" outlineLevel="0" collapsed="false">
      <c r="A2344" s="51" t="s">
        <v>409</v>
      </c>
      <c r="B2344" s="55" t="n">
        <v>44377</v>
      </c>
      <c r="C2344" s="51" t="s">
        <v>82</v>
      </c>
      <c r="D2344" s="51" t="n">
        <v>0</v>
      </c>
    </row>
    <row r="2345" customFormat="false" ht="15" hidden="true" customHeight="false" outlineLevel="0" collapsed="false">
      <c r="A2345" s="51" t="s">
        <v>414</v>
      </c>
      <c r="B2345" s="55" t="n">
        <v>44377</v>
      </c>
      <c r="C2345" s="51" t="s">
        <v>82</v>
      </c>
      <c r="D2345" s="51" t="n">
        <v>0</v>
      </c>
    </row>
    <row r="2346" customFormat="false" ht="15" hidden="true" customHeight="false" outlineLevel="0" collapsed="false">
      <c r="A2346" s="51" t="s">
        <v>419</v>
      </c>
      <c r="B2346" s="55" t="n">
        <v>44377</v>
      </c>
      <c r="C2346" s="51" t="s">
        <v>82</v>
      </c>
      <c r="D2346" s="51" t="n">
        <v>0</v>
      </c>
    </row>
    <row r="2347" customFormat="false" ht="15" hidden="true" customHeight="false" outlineLevel="0" collapsed="false">
      <c r="A2347" s="51" t="s">
        <v>424</v>
      </c>
      <c r="B2347" s="55" t="n">
        <v>44377</v>
      </c>
      <c r="C2347" s="51" t="s">
        <v>82</v>
      </c>
      <c r="D2347" s="51" t="n">
        <v>0</v>
      </c>
    </row>
    <row r="2348" customFormat="false" ht="15" hidden="true" customHeight="false" outlineLevel="0" collapsed="false">
      <c r="A2348" s="51" t="s">
        <v>429</v>
      </c>
      <c r="B2348" s="55" t="n">
        <v>44377</v>
      </c>
      <c r="C2348" s="51" t="s">
        <v>82</v>
      </c>
      <c r="D2348" s="51" t="n">
        <v>0</v>
      </c>
    </row>
    <row r="2349" customFormat="false" ht="15" hidden="true" customHeight="false" outlineLevel="0" collapsed="false">
      <c r="A2349" s="51" t="s">
        <v>434</v>
      </c>
      <c r="B2349" s="55" t="n">
        <v>44377</v>
      </c>
      <c r="C2349" s="51" t="s">
        <v>82</v>
      </c>
      <c r="D2349" s="51" t="n">
        <v>0</v>
      </c>
    </row>
    <row r="2350" customFormat="false" ht="15" hidden="true" customHeight="false" outlineLevel="0" collapsed="false">
      <c r="A2350" s="51" t="s">
        <v>438</v>
      </c>
      <c r="B2350" s="55" t="n">
        <v>44377</v>
      </c>
      <c r="C2350" s="51" t="s">
        <v>82</v>
      </c>
      <c r="D2350" s="51" t="n">
        <v>0</v>
      </c>
    </row>
    <row r="2351" customFormat="false" ht="15" hidden="true" customHeight="false" outlineLevel="0" collapsed="false">
      <c r="A2351" s="51" t="s">
        <v>443</v>
      </c>
      <c r="B2351" s="55" t="n">
        <v>44377</v>
      </c>
      <c r="C2351" s="51" t="s">
        <v>82</v>
      </c>
      <c r="D2351" s="51" t="n">
        <v>0</v>
      </c>
    </row>
    <row r="2352" customFormat="false" ht="15" hidden="true" customHeight="false" outlineLevel="0" collapsed="false">
      <c r="A2352" s="51" t="s">
        <v>448</v>
      </c>
      <c r="B2352" s="55" t="n">
        <v>44377</v>
      </c>
      <c r="C2352" s="51" t="s">
        <v>82</v>
      </c>
      <c r="D2352" s="51" t="n">
        <v>0</v>
      </c>
    </row>
    <row r="2353" customFormat="false" ht="15" hidden="true" customHeight="false" outlineLevel="0" collapsed="false">
      <c r="A2353" s="51" t="s">
        <v>453</v>
      </c>
      <c r="B2353" s="55" t="n">
        <v>44377</v>
      </c>
      <c r="C2353" s="51" t="s">
        <v>82</v>
      </c>
      <c r="D2353" s="51" t="n">
        <v>0</v>
      </c>
    </row>
    <row r="2354" customFormat="false" ht="15" hidden="true" customHeight="false" outlineLevel="0" collapsed="false">
      <c r="A2354" s="51" t="s">
        <v>458</v>
      </c>
      <c r="B2354" s="55" t="n">
        <v>44377</v>
      </c>
      <c r="C2354" s="51" t="s">
        <v>82</v>
      </c>
      <c r="D2354" s="51" t="n">
        <v>0</v>
      </c>
    </row>
    <row r="2355" customFormat="false" ht="15" hidden="true" customHeight="false" outlineLevel="0" collapsed="false">
      <c r="A2355" s="51" t="s">
        <v>473</v>
      </c>
      <c r="B2355" s="55" t="n">
        <v>44377</v>
      </c>
      <c r="C2355" s="51" t="s">
        <v>82</v>
      </c>
      <c r="D2355" s="51" t="n">
        <v>0</v>
      </c>
    </row>
    <row r="2356" customFormat="false" ht="15" hidden="true" customHeight="false" outlineLevel="0" collapsed="false">
      <c r="A2356" s="51" t="s">
        <v>479</v>
      </c>
      <c r="B2356" s="55" t="n">
        <v>44377</v>
      </c>
      <c r="C2356" s="51" t="s">
        <v>82</v>
      </c>
      <c r="D2356" s="51" t="n">
        <v>0</v>
      </c>
    </row>
    <row r="2357" customFormat="false" ht="15" hidden="true" customHeight="false" outlineLevel="0" collapsed="false">
      <c r="A2357" s="51" t="s">
        <v>484</v>
      </c>
      <c r="B2357" s="55" t="n">
        <v>44377</v>
      </c>
      <c r="C2357" s="51" t="s">
        <v>82</v>
      </c>
      <c r="D2357" s="51" t="n">
        <v>0</v>
      </c>
    </row>
    <row r="2358" customFormat="false" ht="15" hidden="true" customHeight="false" outlineLevel="0" collapsed="false">
      <c r="A2358" s="51" t="s">
        <v>489</v>
      </c>
      <c r="B2358" s="55" t="n">
        <v>44377</v>
      </c>
      <c r="C2358" s="51" t="s">
        <v>82</v>
      </c>
      <c r="D2358" s="51" t="n">
        <v>0</v>
      </c>
    </row>
    <row r="2359" customFormat="false" ht="15" hidden="true" customHeight="false" outlineLevel="0" collapsed="false">
      <c r="A2359" s="51" t="s">
        <v>494</v>
      </c>
      <c r="B2359" s="55" t="n">
        <v>44377</v>
      </c>
      <c r="C2359" s="51" t="s">
        <v>82</v>
      </c>
      <c r="D2359" s="51" t="n">
        <v>0</v>
      </c>
    </row>
    <row r="2360" customFormat="false" ht="15" hidden="true" customHeight="false" outlineLevel="0" collapsed="false">
      <c r="A2360" s="51" t="s">
        <v>499</v>
      </c>
      <c r="B2360" s="55" t="n">
        <v>44377</v>
      </c>
      <c r="C2360" s="51" t="s">
        <v>82</v>
      </c>
      <c r="D2360" s="51" t="n">
        <v>0</v>
      </c>
    </row>
    <row r="2361" customFormat="false" ht="15" hidden="true" customHeight="false" outlineLevel="0" collapsed="false">
      <c r="A2361" s="51" t="s">
        <v>504</v>
      </c>
      <c r="B2361" s="55" t="n">
        <v>44377</v>
      </c>
      <c r="C2361" s="51" t="s">
        <v>82</v>
      </c>
      <c r="D2361" s="51" t="n">
        <v>0</v>
      </c>
    </row>
    <row r="2362" customFormat="false" ht="15" hidden="true" customHeight="false" outlineLevel="0" collapsed="false">
      <c r="A2362" s="51" t="s">
        <v>509</v>
      </c>
      <c r="B2362" s="55" t="n">
        <v>44377</v>
      </c>
      <c r="C2362" s="51" t="s">
        <v>82</v>
      </c>
      <c r="D2362" s="51" t="n">
        <v>0</v>
      </c>
    </row>
    <row r="2363" customFormat="false" ht="15" hidden="true" customHeight="false" outlineLevel="0" collapsed="false">
      <c r="A2363" s="51" t="s">
        <v>515</v>
      </c>
      <c r="B2363" s="55" t="n">
        <v>44377</v>
      </c>
      <c r="C2363" s="51" t="s">
        <v>82</v>
      </c>
      <c r="D2363" s="51" t="n">
        <v>0</v>
      </c>
    </row>
    <row r="2364" customFormat="false" ht="15" hidden="true" customHeight="false" outlineLevel="0" collapsed="false">
      <c r="A2364" s="51" t="s">
        <v>520</v>
      </c>
      <c r="B2364" s="55" t="n">
        <v>44377</v>
      </c>
      <c r="C2364" s="51" t="s">
        <v>82</v>
      </c>
      <c r="D2364" s="51" t="n">
        <v>0</v>
      </c>
    </row>
    <row r="2365" customFormat="false" ht="15" hidden="true" customHeight="false" outlineLevel="0" collapsed="false">
      <c r="A2365" s="51" t="s">
        <v>525</v>
      </c>
      <c r="B2365" s="55" t="n">
        <v>44377</v>
      </c>
      <c r="C2365" s="51" t="s">
        <v>82</v>
      </c>
      <c r="D2365" s="51" t="n">
        <v>0</v>
      </c>
    </row>
    <row r="2366" customFormat="false" ht="15" hidden="true" customHeight="false" outlineLevel="0" collapsed="false">
      <c r="A2366" s="51" t="s">
        <v>531</v>
      </c>
      <c r="B2366" s="55" t="n">
        <v>44377</v>
      </c>
      <c r="C2366" s="51" t="s">
        <v>82</v>
      </c>
      <c r="D2366" s="51" t="n">
        <v>0</v>
      </c>
    </row>
    <row r="2367" customFormat="false" ht="15" hidden="true" customHeight="false" outlineLevel="0" collapsed="false">
      <c r="A2367" s="51" t="s">
        <v>536</v>
      </c>
      <c r="B2367" s="55" t="n">
        <v>44377</v>
      </c>
      <c r="C2367" s="51" t="s">
        <v>82</v>
      </c>
      <c r="D2367" s="51" t="n">
        <v>0</v>
      </c>
    </row>
    <row r="2368" customFormat="false" ht="15" hidden="true" customHeight="false" outlineLevel="0" collapsed="false">
      <c r="A2368" s="51" t="s">
        <v>541</v>
      </c>
      <c r="B2368" s="55" t="n">
        <v>44377</v>
      </c>
      <c r="C2368" s="51" t="s">
        <v>82</v>
      </c>
      <c r="D2368" s="51" t="n">
        <v>0</v>
      </c>
    </row>
    <row r="2369" customFormat="false" ht="15" hidden="true" customHeight="false" outlineLevel="0" collapsed="false">
      <c r="A2369" s="51" t="s">
        <v>549</v>
      </c>
      <c r="B2369" s="55" t="n">
        <v>44377</v>
      </c>
      <c r="C2369" s="51" t="s">
        <v>82</v>
      </c>
      <c r="D2369" s="51" t="n">
        <v>0</v>
      </c>
    </row>
    <row r="2370" customFormat="false" ht="15" hidden="true" customHeight="false" outlineLevel="0" collapsed="false">
      <c r="A2370" s="51" t="s">
        <v>554</v>
      </c>
      <c r="B2370" s="55" t="n">
        <v>44377</v>
      </c>
      <c r="C2370" s="51" t="s">
        <v>82</v>
      </c>
      <c r="D2370" s="51" t="n">
        <v>0</v>
      </c>
    </row>
    <row r="2371" customFormat="false" ht="15" hidden="true" customHeight="false" outlineLevel="0" collapsed="false">
      <c r="A2371" s="51" t="s">
        <v>559</v>
      </c>
      <c r="B2371" s="55" t="n">
        <v>44377</v>
      </c>
      <c r="C2371" s="51" t="s">
        <v>82</v>
      </c>
      <c r="D2371" s="51" t="n">
        <v>0</v>
      </c>
    </row>
    <row r="2372" customFormat="false" ht="15" hidden="true" customHeight="false" outlineLevel="0" collapsed="false">
      <c r="A2372" s="51" t="s">
        <v>564</v>
      </c>
      <c r="B2372" s="55" t="n">
        <v>44377</v>
      </c>
      <c r="C2372" s="51" t="s">
        <v>82</v>
      </c>
      <c r="D2372" s="51" t="n">
        <v>0</v>
      </c>
    </row>
    <row r="2373" customFormat="false" ht="15" hidden="true" customHeight="false" outlineLevel="0" collapsed="false">
      <c r="A2373" s="51" t="s">
        <v>569</v>
      </c>
      <c r="B2373" s="55" t="n">
        <v>44377</v>
      </c>
      <c r="C2373" s="51" t="s">
        <v>82</v>
      </c>
      <c r="D2373" s="51" t="n">
        <v>0</v>
      </c>
    </row>
    <row r="2374" customFormat="false" ht="15" hidden="true" customHeight="false" outlineLevel="0" collapsed="false">
      <c r="A2374" s="51" t="s">
        <v>574</v>
      </c>
      <c r="B2374" s="55" t="n">
        <v>44377</v>
      </c>
      <c r="C2374" s="51" t="s">
        <v>82</v>
      </c>
      <c r="D2374" s="51" t="n">
        <v>0</v>
      </c>
    </row>
    <row r="2375" customFormat="false" ht="15" hidden="true" customHeight="false" outlineLevel="0" collapsed="false">
      <c r="A2375" s="51" t="s">
        <v>579</v>
      </c>
      <c r="B2375" s="55" t="n">
        <v>44377</v>
      </c>
      <c r="C2375" s="51" t="s">
        <v>82</v>
      </c>
      <c r="D2375" s="51" t="n">
        <v>0</v>
      </c>
    </row>
    <row r="2376" customFormat="false" ht="15" hidden="true" customHeight="false" outlineLevel="0" collapsed="false">
      <c r="A2376" s="51" t="s">
        <v>584</v>
      </c>
      <c r="B2376" s="55" t="n">
        <v>44377</v>
      </c>
      <c r="C2376" s="51" t="s">
        <v>82</v>
      </c>
      <c r="D2376" s="51" t="n">
        <v>0</v>
      </c>
    </row>
    <row r="2377" customFormat="false" ht="15" hidden="true" customHeight="false" outlineLevel="0" collapsed="false">
      <c r="A2377" s="51" t="s">
        <v>589</v>
      </c>
      <c r="B2377" s="55" t="n">
        <v>44377</v>
      </c>
      <c r="C2377" s="51" t="s">
        <v>82</v>
      </c>
      <c r="D2377" s="51" t="n">
        <v>0</v>
      </c>
    </row>
    <row r="2378" customFormat="false" ht="15" hidden="true" customHeight="false" outlineLevel="0" collapsed="false">
      <c r="A2378" s="51" t="s">
        <v>756</v>
      </c>
      <c r="B2378" s="55" t="n">
        <v>44377</v>
      </c>
      <c r="C2378" s="51" t="s">
        <v>82</v>
      </c>
      <c r="D2378" s="51" t="n">
        <v>0</v>
      </c>
    </row>
    <row r="2379" customFormat="false" ht="15" hidden="true" customHeight="false" outlineLevel="0" collapsed="false">
      <c r="A2379" s="51" t="s">
        <v>594</v>
      </c>
      <c r="B2379" s="55" t="n">
        <v>44377</v>
      </c>
      <c r="C2379" s="51" t="s">
        <v>82</v>
      </c>
      <c r="D2379" s="51" t="n">
        <v>0</v>
      </c>
    </row>
    <row r="2380" customFormat="false" ht="15" hidden="true" customHeight="false" outlineLevel="0" collapsed="false">
      <c r="A2380" s="51" t="s">
        <v>761</v>
      </c>
      <c r="B2380" s="55" t="n">
        <v>44377</v>
      </c>
      <c r="C2380" s="51" t="s">
        <v>82</v>
      </c>
      <c r="D2380" s="51" t="n">
        <v>0</v>
      </c>
    </row>
    <row r="2381" customFormat="false" ht="15" hidden="true" customHeight="false" outlineLevel="0" collapsed="false">
      <c r="A2381" s="51" t="s">
        <v>599</v>
      </c>
      <c r="B2381" s="55" t="n">
        <v>44377</v>
      </c>
      <c r="C2381" s="51" t="s">
        <v>82</v>
      </c>
      <c r="D2381" s="51" t="n">
        <v>0</v>
      </c>
    </row>
    <row r="2382" customFormat="false" ht="15" hidden="true" customHeight="false" outlineLevel="0" collapsed="false">
      <c r="A2382" s="51" t="s">
        <v>604</v>
      </c>
      <c r="B2382" s="55" t="n">
        <v>44377</v>
      </c>
      <c r="C2382" s="51" t="s">
        <v>82</v>
      </c>
      <c r="D2382" s="51" t="n">
        <v>0</v>
      </c>
    </row>
    <row r="2383" customFormat="false" ht="15" hidden="true" customHeight="false" outlineLevel="0" collapsed="false">
      <c r="A2383" s="51" t="s">
        <v>609</v>
      </c>
      <c r="B2383" s="55" t="n">
        <v>44377</v>
      </c>
      <c r="C2383" s="51" t="s">
        <v>82</v>
      </c>
      <c r="D2383" s="51" t="n">
        <v>0</v>
      </c>
    </row>
    <row r="2384" customFormat="false" ht="15" hidden="true" customHeight="false" outlineLevel="0" collapsed="false">
      <c r="A2384" s="51" t="s">
        <v>614</v>
      </c>
      <c r="B2384" s="55" t="n">
        <v>44377</v>
      </c>
      <c r="C2384" s="51" t="s">
        <v>82</v>
      </c>
      <c r="D2384" s="51" t="n">
        <v>0</v>
      </c>
    </row>
    <row r="2385" customFormat="false" ht="15" hidden="true" customHeight="false" outlineLevel="0" collapsed="false">
      <c r="A2385" s="51" t="s">
        <v>619</v>
      </c>
      <c r="B2385" s="55" t="n">
        <v>44377</v>
      </c>
      <c r="C2385" s="51" t="s">
        <v>82</v>
      </c>
      <c r="D2385" s="51" t="n">
        <v>0</v>
      </c>
    </row>
    <row r="2386" customFormat="false" ht="15" hidden="true" customHeight="false" outlineLevel="0" collapsed="false">
      <c r="A2386" s="51" t="s">
        <v>624</v>
      </c>
      <c r="B2386" s="55" t="n">
        <v>44377</v>
      </c>
      <c r="C2386" s="51" t="s">
        <v>82</v>
      </c>
      <c r="D2386" s="51" t="n">
        <v>0</v>
      </c>
    </row>
    <row r="2387" customFormat="false" ht="15" hidden="true" customHeight="false" outlineLevel="0" collapsed="false">
      <c r="A2387" s="51" t="s">
        <v>629</v>
      </c>
      <c r="B2387" s="55" t="n">
        <v>44377</v>
      </c>
      <c r="C2387" s="51" t="s">
        <v>82</v>
      </c>
      <c r="D2387" s="51" t="n">
        <v>0</v>
      </c>
    </row>
    <row r="2388" customFormat="false" ht="15" hidden="true" customHeight="false" outlineLevel="0" collapsed="false">
      <c r="A2388" s="51" t="s">
        <v>633</v>
      </c>
      <c r="B2388" s="55" t="n">
        <v>44377</v>
      </c>
      <c r="C2388" s="51" t="s">
        <v>82</v>
      </c>
      <c r="D2388" s="51" t="n">
        <v>0</v>
      </c>
    </row>
    <row r="2389" customFormat="false" ht="15" hidden="true" customHeight="false" outlineLevel="0" collapsed="false">
      <c r="A2389" s="51" t="s">
        <v>638</v>
      </c>
      <c r="B2389" s="55" t="n">
        <v>44377</v>
      </c>
      <c r="C2389" s="51" t="s">
        <v>82</v>
      </c>
      <c r="D2389" s="51" t="n">
        <v>0</v>
      </c>
    </row>
    <row r="2390" customFormat="false" ht="15" hidden="true" customHeight="false" outlineLevel="0" collapsed="false">
      <c r="A2390" s="51" t="s">
        <v>642</v>
      </c>
      <c r="B2390" s="55" t="n">
        <v>44377</v>
      </c>
      <c r="C2390" s="51" t="s">
        <v>82</v>
      </c>
      <c r="D2390" s="51" t="n">
        <v>0</v>
      </c>
    </row>
    <row r="2391" customFormat="false" ht="15" hidden="true" customHeight="false" outlineLevel="0" collapsed="false">
      <c r="A2391" s="51" t="s">
        <v>646</v>
      </c>
      <c r="B2391" s="55" t="n">
        <v>44377</v>
      </c>
      <c r="C2391" s="51" t="s">
        <v>82</v>
      </c>
      <c r="D2391" s="51" t="n">
        <v>0</v>
      </c>
    </row>
    <row r="2392" customFormat="false" ht="15" hidden="true" customHeight="false" outlineLevel="0" collapsed="false">
      <c r="A2392" s="51" t="s">
        <v>651</v>
      </c>
      <c r="B2392" s="55" t="n">
        <v>44377</v>
      </c>
      <c r="C2392" s="51" t="s">
        <v>82</v>
      </c>
      <c r="D2392" s="51" t="n">
        <v>0</v>
      </c>
    </row>
    <row r="2393" customFormat="false" ht="15" hidden="true" customHeight="false" outlineLevel="0" collapsed="false">
      <c r="A2393" s="51" t="s">
        <v>656</v>
      </c>
      <c r="B2393" s="55" t="n">
        <v>44377</v>
      </c>
      <c r="C2393" s="51" t="s">
        <v>82</v>
      </c>
      <c r="D2393" s="51" t="n">
        <v>0</v>
      </c>
    </row>
    <row r="2394" customFormat="false" ht="15" hidden="true" customHeight="false" outlineLevel="0" collapsed="false">
      <c r="A2394" s="51" t="s">
        <v>661</v>
      </c>
      <c r="B2394" s="55" t="n">
        <v>44377</v>
      </c>
      <c r="C2394" s="51" t="s">
        <v>82</v>
      </c>
      <c r="D2394" s="51" t="n">
        <v>0</v>
      </c>
    </row>
    <row r="2395" customFormat="false" ht="15" hidden="true" customHeight="false" outlineLevel="0" collapsed="false">
      <c r="A2395" s="51" t="s">
        <v>666</v>
      </c>
      <c r="B2395" s="55" t="n">
        <v>44377</v>
      </c>
      <c r="C2395" s="51" t="s">
        <v>82</v>
      </c>
      <c r="D2395" s="51" t="n">
        <v>0</v>
      </c>
    </row>
    <row r="2396" customFormat="false" ht="15" hidden="true" customHeight="false" outlineLevel="0" collapsed="false">
      <c r="A2396" s="51" t="s">
        <v>671</v>
      </c>
      <c r="B2396" s="55" t="n">
        <v>44377</v>
      </c>
      <c r="C2396" s="51" t="s">
        <v>82</v>
      </c>
      <c r="D2396" s="51" t="n">
        <v>0</v>
      </c>
    </row>
    <row r="2397" customFormat="false" ht="15" hidden="true" customHeight="false" outlineLevel="0" collapsed="false">
      <c r="A2397" s="51" t="s">
        <v>676</v>
      </c>
      <c r="B2397" s="55" t="n">
        <v>44377</v>
      </c>
      <c r="C2397" s="51" t="s">
        <v>82</v>
      </c>
      <c r="D2397" s="51" t="n">
        <v>0</v>
      </c>
    </row>
    <row r="2398" customFormat="false" ht="15" hidden="true" customHeight="false" outlineLevel="0" collapsed="false">
      <c r="A2398" s="51" t="s">
        <v>681</v>
      </c>
      <c r="B2398" s="55" t="n">
        <v>44377</v>
      </c>
      <c r="C2398" s="51" t="s">
        <v>82</v>
      </c>
      <c r="D2398" s="51" t="n">
        <v>0</v>
      </c>
    </row>
    <row r="2399" customFormat="false" ht="15" hidden="true" customHeight="false" outlineLevel="0" collapsed="false">
      <c r="A2399" s="51" t="s">
        <v>686</v>
      </c>
      <c r="B2399" s="55" t="n">
        <v>44377</v>
      </c>
      <c r="C2399" s="51" t="s">
        <v>82</v>
      </c>
      <c r="D2399" s="51" t="n">
        <v>0</v>
      </c>
    </row>
    <row r="2400" customFormat="false" ht="15" hidden="true" customHeight="false" outlineLevel="0" collapsed="false">
      <c r="A2400" s="51" t="s">
        <v>691</v>
      </c>
      <c r="B2400" s="55" t="n">
        <v>44377</v>
      </c>
      <c r="C2400" s="51" t="s">
        <v>82</v>
      </c>
      <c r="D2400" s="51" t="n">
        <v>0</v>
      </c>
    </row>
    <row r="2401" customFormat="false" ht="15" hidden="true" customHeight="false" outlineLevel="0" collapsed="false">
      <c r="A2401" s="51" t="s">
        <v>696</v>
      </c>
      <c r="B2401" s="55" t="n">
        <v>44377</v>
      </c>
      <c r="C2401" s="51" t="s">
        <v>82</v>
      </c>
      <c r="D2401" s="51" t="n">
        <v>0</v>
      </c>
    </row>
    <row r="2402" customFormat="false" ht="15" hidden="true" customHeight="false" outlineLevel="0" collapsed="false">
      <c r="A2402" s="51" t="s">
        <v>701</v>
      </c>
      <c r="B2402" s="55" t="n">
        <v>44377</v>
      </c>
      <c r="C2402" s="51" t="s">
        <v>82</v>
      </c>
      <c r="D2402" s="51" t="n">
        <v>0</v>
      </c>
    </row>
    <row r="2403" customFormat="false" ht="15" hidden="true" customHeight="false" outlineLevel="0" collapsed="false">
      <c r="A2403" s="51" t="s">
        <v>707</v>
      </c>
      <c r="B2403" s="55" t="n">
        <v>44377</v>
      </c>
      <c r="C2403" s="51" t="s">
        <v>82</v>
      </c>
      <c r="D2403" s="51" t="n">
        <v>0</v>
      </c>
    </row>
    <row r="2404" customFormat="false" ht="15" hidden="true" customHeight="false" outlineLevel="0" collapsed="false">
      <c r="A2404" s="51" t="s">
        <v>712</v>
      </c>
      <c r="B2404" s="55" t="n">
        <v>44377</v>
      </c>
      <c r="C2404" s="51" t="s">
        <v>82</v>
      </c>
      <c r="D2404" s="51" t="n">
        <v>0</v>
      </c>
    </row>
    <row r="2405" customFormat="false" ht="15" hidden="true" customHeight="false" outlineLevel="0" collapsed="false">
      <c r="A2405" s="51" t="s">
        <v>717</v>
      </c>
      <c r="B2405" s="55" t="n">
        <v>44377</v>
      </c>
      <c r="C2405" s="51" t="s">
        <v>82</v>
      </c>
      <c r="D2405" s="51" t="n">
        <v>0</v>
      </c>
    </row>
    <row r="2406" customFormat="false" ht="15" hidden="true" customHeight="false" outlineLevel="0" collapsed="false">
      <c r="A2406" s="51" t="s">
        <v>767</v>
      </c>
      <c r="B2406" s="55" t="n">
        <v>44377</v>
      </c>
      <c r="C2406" s="51" t="s">
        <v>82</v>
      </c>
      <c r="D2406" s="51" t="n">
        <v>0</v>
      </c>
    </row>
    <row r="2407" customFormat="false" ht="15" hidden="true" customHeight="false" outlineLevel="0" collapsed="false">
      <c r="A2407" s="51" t="s">
        <v>722</v>
      </c>
      <c r="B2407" s="55" t="n">
        <v>44377</v>
      </c>
      <c r="C2407" s="51" t="s">
        <v>82</v>
      </c>
      <c r="D2407" s="51" t="n">
        <v>0</v>
      </c>
    </row>
    <row r="2408" customFormat="false" ht="15" hidden="true" customHeight="false" outlineLevel="0" collapsed="false">
      <c r="A2408" s="51" t="s">
        <v>727</v>
      </c>
      <c r="B2408" s="55" t="n">
        <v>44377</v>
      </c>
      <c r="C2408" s="51" t="s">
        <v>82</v>
      </c>
      <c r="D2408" s="51" t="n">
        <v>0</v>
      </c>
    </row>
    <row r="2409" customFormat="false" ht="15" hidden="true" customHeight="false" outlineLevel="0" collapsed="false">
      <c r="A2409" s="51" t="s">
        <v>732</v>
      </c>
      <c r="B2409" s="55" t="n">
        <v>44377</v>
      </c>
      <c r="C2409" s="51" t="s">
        <v>82</v>
      </c>
      <c r="D2409" s="51" t="n">
        <v>0</v>
      </c>
    </row>
    <row r="2410" customFormat="false" ht="15" hidden="true" customHeight="false" outlineLevel="0" collapsed="false">
      <c r="A2410" s="51" t="s">
        <v>736</v>
      </c>
      <c r="B2410" s="55" t="n">
        <v>44377</v>
      </c>
      <c r="C2410" s="51" t="s">
        <v>82</v>
      </c>
      <c r="D2410" s="51" t="n">
        <v>0</v>
      </c>
    </row>
    <row r="2411" customFormat="false" ht="15" hidden="true" customHeight="false" outlineLevel="0" collapsed="false">
      <c r="A2411" s="51" t="s">
        <v>741</v>
      </c>
      <c r="B2411" s="55" t="n">
        <v>44377</v>
      </c>
      <c r="C2411" s="51" t="s">
        <v>82</v>
      </c>
      <c r="D2411" s="51" t="n">
        <v>0</v>
      </c>
    </row>
    <row r="2412" customFormat="false" ht="15" hidden="true" customHeight="false" outlineLevel="0" collapsed="false">
      <c r="A2412" s="51" t="s">
        <v>746</v>
      </c>
      <c r="B2412" s="55" t="n">
        <v>44377</v>
      </c>
      <c r="C2412" s="51" t="s">
        <v>82</v>
      </c>
      <c r="D2412" s="51" t="n">
        <v>0</v>
      </c>
    </row>
    <row r="2413" customFormat="false" ht="15" hidden="true" customHeight="false" outlineLevel="0" collapsed="false">
      <c r="A2413" s="51" t="s">
        <v>751</v>
      </c>
      <c r="B2413" s="55" t="n">
        <v>44377</v>
      </c>
      <c r="C2413" s="51" t="s">
        <v>82</v>
      </c>
      <c r="D2413" s="51" t="n">
        <v>0</v>
      </c>
    </row>
    <row r="2414" customFormat="false" ht="15" hidden="false" customHeight="false" outlineLevel="0" collapsed="false">
      <c r="A2414" s="51" t="s">
        <v>781</v>
      </c>
      <c r="B2414" s="55" t="n">
        <v>44377</v>
      </c>
      <c r="C2414" s="51" t="s">
        <v>73</v>
      </c>
      <c r="D2414" s="51" t="n">
        <v>0</v>
      </c>
    </row>
    <row r="2415" customFormat="false" ht="15" hidden="true" customHeight="false" outlineLevel="0" collapsed="false">
      <c r="A2415" s="51" t="s">
        <v>783</v>
      </c>
      <c r="B2415" s="55" t="n">
        <v>44377</v>
      </c>
      <c r="C2415" s="51" t="s">
        <v>73</v>
      </c>
      <c r="D2415" s="51" t="n">
        <v>0</v>
      </c>
    </row>
    <row r="2416" customFormat="false" ht="15" hidden="true" customHeight="false" outlineLevel="0" collapsed="false">
      <c r="A2416" s="51" t="s">
        <v>96</v>
      </c>
      <c r="B2416" s="55" t="n">
        <v>44377</v>
      </c>
      <c r="C2416" s="51" t="s">
        <v>73</v>
      </c>
      <c r="D2416" s="51" t="n">
        <v>0</v>
      </c>
    </row>
    <row r="2417" customFormat="false" ht="15" hidden="true" customHeight="false" outlineLevel="0" collapsed="false">
      <c r="A2417" s="51" t="s">
        <v>101</v>
      </c>
      <c r="B2417" s="55" t="n">
        <v>44377</v>
      </c>
      <c r="C2417" s="51" t="s">
        <v>73</v>
      </c>
      <c r="D2417" s="51" t="n">
        <v>0</v>
      </c>
    </row>
    <row r="2418" customFormat="false" ht="15" hidden="true" customHeight="false" outlineLevel="0" collapsed="false">
      <c r="A2418" s="51" t="s">
        <v>106</v>
      </c>
      <c r="B2418" s="55" t="n">
        <v>44377</v>
      </c>
      <c r="C2418" s="51" t="s">
        <v>73</v>
      </c>
      <c r="D2418" s="51" t="n">
        <v>0</v>
      </c>
    </row>
    <row r="2419" customFormat="false" ht="15" hidden="true" customHeight="false" outlineLevel="0" collapsed="false">
      <c r="A2419" s="51" t="s">
        <v>110</v>
      </c>
      <c r="B2419" s="55" t="n">
        <v>44377</v>
      </c>
      <c r="C2419" s="51" t="s">
        <v>73</v>
      </c>
      <c r="D2419" s="51" t="n">
        <v>0</v>
      </c>
    </row>
    <row r="2420" customFormat="false" ht="15" hidden="true" customHeight="false" outlineLevel="0" collapsed="false">
      <c r="A2420" s="51" t="s">
        <v>115</v>
      </c>
      <c r="B2420" s="55" t="n">
        <v>44377</v>
      </c>
      <c r="C2420" s="51" t="s">
        <v>73</v>
      </c>
      <c r="D2420" s="51" t="n">
        <v>0</v>
      </c>
    </row>
    <row r="2421" customFormat="false" ht="15" hidden="true" customHeight="false" outlineLevel="0" collapsed="false">
      <c r="A2421" s="51" t="s">
        <v>120</v>
      </c>
      <c r="B2421" s="55" t="n">
        <v>44377</v>
      </c>
      <c r="C2421" s="51" t="s">
        <v>73</v>
      </c>
      <c r="D2421" s="51" t="n">
        <v>0</v>
      </c>
    </row>
    <row r="2422" customFormat="false" ht="15" hidden="true" customHeight="false" outlineLevel="0" collapsed="false">
      <c r="A2422" s="51" t="s">
        <v>124</v>
      </c>
      <c r="B2422" s="55" t="n">
        <v>44377</v>
      </c>
      <c r="C2422" s="51" t="s">
        <v>73</v>
      </c>
      <c r="D2422" s="51" t="n">
        <v>0</v>
      </c>
    </row>
    <row r="2423" customFormat="false" ht="15" hidden="true" customHeight="false" outlineLevel="0" collapsed="false">
      <c r="A2423" s="51" t="s">
        <v>129</v>
      </c>
      <c r="B2423" s="55" t="n">
        <v>44377</v>
      </c>
      <c r="C2423" s="51" t="s">
        <v>73</v>
      </c>
      <c r="D2423" s="51" t="n">
        <v>0</v>
      </c>
    </row>
    <row r="2424" customFormat="false" ht="15" hidden="true" customHeight="false" outlineLevel="0" collapsed="false">
      <c r="A2424" s="51" t="s">
        <v>134</v>
      </c>
      <c r="B2424" s="55" t="n">
        <v>44377</v>
      </c>
      <c r="C2424" s="51" t="s">
        <v>73</v>
      </c>
      <c r="D2424" s="51" t="n">
        <v>0</v>
      </c>
    </row>
    <row r="2425" customFormat="false" ht="15" hidden="true" customHeight="false" outlineLevel="0" collapsed="false">
      <c r="A2425" s="51" t="s">
        <v>141</v>
      </c>
      <c r="B2425" s="55" t="n">
        <v>44377</v>
      </c>
      <c r="C2425" s="51" t="s">
        <v>73</v>
      </c>
      <c r="D2425" s="51" t="n">
        <v>0</v>
      </c>
    </row>
    <row r="2426" customFormat="false" ht="15" hidden="true" customHeight="false" outlineLevel="0" collapsed="false">
      <c r="A2426" s="51" t="s">
        <v>146</v>
      </c>
      <c r="B2426" s="55" t="n">
        <v>44377</v>
      </c>
      <c r="C2426" s="51" t="s">
        <v>73</v>
      </c>
      <c r="D2426" s="51" t="n">
        <v>0</v>
      </c>
    </row>
    <row r="2427" customFormat="false" ht="15" hidden="true" customHeight="false" outlineLevel="0" collapsed="false">
      <c r="A2427" s="51" t="s">
        <v>151</v>
      </c>
      <c r="B2427" s="55" t="n">
        <v>44377</v>
      </c>
      <c r="C2427" s="51" t="s">
        <v>73</v>
      </c>
      <c r="D2427" s="51" t="n">
        <v>0</v>
      </c>
    </row>
    <row r="2428" customFormat="false" ht="15" hidden="true" customHeight="false" outlineLevel="0" collapsed="false">
      <c r="A2428" s="51" t="s">
        <v>156</v>
      </c>
      <c r="B2428" s="55" t="n">
        <v>44377</v>
      </c>
      <c r="C2428" s="51" t="s">
        <v>73</v>
      </c>
      <c r="D2428" s="51" t="n">
        <v>0</v>
      </c>
    </row>
    <row r="2429" customFormat="false" ht="15" hidden="true" customHeight="false" outlineLevel="0" collapsed="false">
      <c r="A2429" s="51" t="s">
        <v>161</v>
      </c>
      <c r="B2429" s="55" t="n">
        <v>44377</v>
      </c>
      <c r="C2429" s="51" t="s">
        <v>73</v>
      </c>
      <c r="D2429" s="51" t="n">
        <v>0</v>
      </c>
    </row>
    <row r="2430" customFormat="false" ht="15" hidden="true" customHeight="false" outlineLevel="0" collapsed="false">
      <c r="A2430" s="51" t="s">
        <v>166</v>
      </c>
      <c r="B2430" s="55" t="n">
        <v>44377</v>
      </c>
      <c r="C2430" s="51" t="s">
        <v>73</v>
      </c>
      <c r="D2430" s="51" t="n">
        <v>0</v>
      </c>
    </row>
    <row r="2431" customFormat="false" ht="15" hidden="true" customHeight="false" outlineLevel="0" collapsed="false">
      <c r="A2431" s="51" t="s">
        <v>171</v>
      </c>
      <c r="B2431" s="55" t="n">
        <v>44377</v>
      </c>
      <c r="C2431" s="51" t="s">
        <v>73</v>
      </c>
      <c r="D2431" s="51" t="n">
        <v>0</v>
      </c>
    </row>
    <row r="2432" customFormat="false" ht="15" hidden="true" customHeight="false" outlineLevel="0" collapsed="false">
      <c r="A2432" s="51" t="s">
        <v>176</v>
      </c>
      <c r="B2432" s="55" t="n">
        <v>44377</v>
      </c>
      <c r="C2432" s="51" t="s">
        <v>73</v>
      </c>
      <c r="D2432" s="51" t="n">
        <v>0</v>
      </c>
    </row>
    <row r="2433" customFormat="false" ht="15" hidden="true" customHeight="false" outlineLevel="0" collapsed="false">
      <c r="A2433" s="51" t="s">
        <v>181</v>
      </c>
      <c r="B2433" s="55" t="n">
        <v>44377</v>
      </c>
      <c r="C2433" s="51" t="s">
        <v>73</v>
      </c>
      <c r="D2433" s="51" t="n">
        <v>0</v>
      </c>
    </row>
    <row r="2434" customFormat="false" ht="15" hidden="true" customHeight="false" outlineLevel="0" collapsed="false">
      <c r="A2434" s="51" t="s">
        <v>186</v>
      </c>
      <c r="B2434" s="55" t="n">
        <v>44377</v>
      </c>
      <c r="C2434" s="51" t="s">
        <v>73</v>
      </c>
      <c r="D2434" s="51" t="n">
        <v>0</v>
      </c>
    </row>
    <row r="2435" customFormat="false" ht="15" hidden="true" customHeight="false" outlineLevel="0" collapsed="false">
      <c r="A2435" s="51" t="s">
        <v>191</v>
      </c>
      <c r="B2435" s="55" t="n">
        <v>44377</v>
      </c>
      <c r="C2435" s="51" t="s">
        <v>73</v>
      </c>
      <c r="D2435" s="51" t="n">
        <v>0</v>
      </c>
    </row>
    <row r="2436" customFormat="false" ht="15" hidden="true" customHeight="false" outlineLevel="0" collapsed="false">
      <c r="A2436" s="51" t="s">
        <v>196</v>
      </c>
      <c r="B2436" s="55" t="n">
        <v>44377</v>
      </c>
      <c r="C2436" s="51" t="s">
        <v>73</v>
      </c>
      <c r="D2436" s="51" t="n">
        <v>0</v>
      </c>
    </row>
    <row r="2437" customFormat="false" ht="15" hidden="true" customHeight="false" outlineLevel="0" collapsed="false">
      <c r="A2437" s="51" t="s">
        <v>201</v>
      </c>
      <c r="B2437" s="55" t="n">
        <v>44377</v>
      </c>
      <c r="C2437" s="51" t="s">
        <v>73</v>
      </c>
      <c r="D2437" s="51" t="n">
        <v>0</v>
      </c>
    </row>
    <row r="2438" customFormat="false" ht="15" hidden="true" customHeight="false" outlineLevel="0" collapsed="false">
      <c r="A2438" s="51" t="s">
        <v>206</v>
      </c>
      <c r="B2438" s="55" t="n">
        <v>44377</v>
      </c>
      <c r="C2438" s="51" t="s">
        <v>73</v>
      </c>
      <c r="D2438" s="51" t="n">
        <v>0</v>
      </c>
    </row>
    <row r="2439" customFormat="false" ht="15" hidden="true" customHeight="false" outlineLevel="0" collapsed="false">
      <c r="A2439" s="51" t="s">
        <v>210</v>
      </c>
      <c r="B2439" s="55" t="n">
        <v>44377</v>
      </c>
      <c r="C2439" s="51" t="s">
        <v>73</v>
      </c>
      <c r="D2439" s="51" t="n">
        <v>0</v>
      </c>
    </row>
    <row r="2440" customFormat="false" ht="15" hidden="true" customHeight="false" outlineLevel="0" collapsed="false">
      <c r="A2440" s="51" t="s">
        <v>215</v>
      </c>
      <c r="B2440" s="55" t="n">
        <v>44377</v>
      </c>
      <c r="C2440" s="51" t="s">
        <v>73</v>
      </c>
      <c r="D2440" s="51" t="n">
        <v>0</v>
      </c>
    </row>
    <row r="2441" customFormat="false" ht="15" hidden="true" customHeight="false" outlineLevel="0" collapsed="false">
      <c r="A2441" s="51" t="s">
        <v>790</v>
      </c>
      <c r="B2441" s="55" t="n">
        <v>44377</v>
      </c>
      <c r="C2441" s="51" t="s">
        <v>73</v>
      </c>
      <c r="D2441" s="51" t="n">
        <v>0</v>
      </c>
    </row>
    <row r="2442" customFormat="false" ht="15" hidden="true" customHeight="false" outlineLevel="0" collapsed="false">
      <c r="A2442" s="51" t="s">
        <v>225</v>
      </c>
      <c r="B2442" s="55" t="n">
        <v>44377</v>
      </c>
      <c r="C2442" s="51" t="s">
        <v>73</v>
      </c>
      <c r="D2442" s="51" t="n">
        <v>0</v>
      </c>
    </row>
    <row r="2443" customFormat="false" ht="15" hidden="true" customHeight="false" outlineLevel="0" collapsed="false">
      <c r="A2443" s="51" t="s">
        <v>230</v>
      </c>
      <c r="B2443" s="55" t="n">
        <v>44377</v>
      </c>
      <c r="C2443" s="51" t="s">
        <v>73</v>
      </c>
      <c r="D2443" s="51" t="n">
        <v>0</v>
      </c>
    </row>
    <row r="2444" customFormat="false" ht="15" hidden="true" customHeight="false" outlineLevel="0" collapsed="false">
      <c r="A2444" s="51" t="s">
        <v>235</v>
      </c>
      <c r="B2444" s="55" t="n">
        <v>44377</v>
      </c>
      <c r="C2444" s="51" t="s">
        <v>73</v>
      </c>
      <c r="D2444" s="51" t="n">
        <v>0</v>
      </c>
    </row>
    <row r="2445" customFormat="false" ht="15" hidden="true" customHeight="false" outlineLevel="0" collapsed="false">
      <c r="A2445" s="51" t="s">
        <v>240</v>
      </c>
      <c r="B2445" s="55" t="n">
        <v>44377</v>
      </c>
      <c r="C2445" s="51" t="s">
        <v>73</v>
      </c>
      <c r="D2445" s="51" t="n">
        <v>0</v>
      </c>
    </row>
    <row r="2446" customFormat="false" ht="15" hidden="true" customHeight="false" outlineLevel="0" collapsed="false">
      <c r="A2446" s="51" t="s">
        <v>246</v>
      </c>
      <c r="B2446" s="55" t="n">
        <v>44377</v>
      </c>
      <c r="C2446" s="51" t="s">
        <v>73</v>
      </c>
      <c r="D2446" s="51" t="n">
        <v>0</v>
      </c>
    </row>
    <row r="2447" customFormat="false" ht="15" hidden="true" customHeight="false" outlineLevel="0" collapsed="false">
      <c r="A2447" s="51" t="s">
        <v>252</v>
      </c>
      <c r="B2447" s="55" t="n">
        <v>44377</v>
      </c>
      <c r="C2447" s="51" t="s">
        <v>73</v>
      </c>
      <c r="D2447" s="51" t="n">
        <v>0</v>
      </c>
    </row>
    <row r="2448" customFormat="false" ht="15" hidden="true" customHeight="false" outlineLevel="0" collapsed="false">
      <c r="A2448" s="51" t="s">
        <v>257</v>
      </c>
      <c r="B2448" s="55" t="n">
        <v>44377</v>
      </c>
      <c r="C2448" s="51" t="s">
        <v>73</v>
      </c>
      <c r="D2448" s="51" t="n">
        <v>0</v>
      </c>
    </row>
    <row r="2449" customFormat="false" ht="15" hidden="true" customHeight="false" outlineLevel="0" collapsed="false">
      <c r="A2449" s="51" t="s">
        <v>262</v>
      </c>
      <c r="B2449" s="55" t="n">
        <v>44377</v>
      </c>
      <c r="C2449" s="51" t="s">
        <v>73</v>
      </c>
      <c r="D2449" s="51" t="n">
        <v>0</v>
      </c>
    </row>
    <row r="2450" customFormat="false" ht="15" hidden="true" customHeight="false" outlineLevel="0" collapsed="false">
      <c r="A2450" s="51" t="s">
        <v>267</v>
      </c>
      <c r="B2450" s="55" t="n">
        <v>44377</v>
      </c>
      <c r="C2450" s="51" t="s">
        <v>73</v>
      </c>
      <c r="D2450" s="51" t="n">
        <v>0</v>
      </c>
    </row>
    <row r="2451" customFormat="false" ht="15" hidden="true" customHeight="false" outlineLevel="0" collapsed="false">
      <c r="A2451" s="51" t="s">
        <v>272</v>
      </c>
      <c r="B2451" s="55" t="n">
        <v>44377</v>
      </c>
      <c r="C2451" s="51" t="s">
        <v>73</v>
      </c>
      <c r="D2451" s="51" t="n">
        <v>0</v>
      </c>
    </row>
    <row r="2452" customFormat="false" ht="15" hidden="true" customHeight="false" outlineLevel="0" collapsed="false">
      <c r="A2452" s="51" t="s">
        <v>277</v>
      </c>
      <c r="B2452" s="55" t="n">
        <v>44377</v>
      </c>
      <c r="C2452" s="51" t="s">
        <v>73</v>
      </c>
      <c r="D2452" s="51" t="n">
        <v>0</v>
      </c>
    </row>
    <row r="2453" customFormat="false" ht="15" hidden="true" customHeight="false" outlineLevel="0" collapsed="false">
      <c r="A2453" s="51" t="s">
        <v>282</v>
      </c>
      <c r="B2453" s="55" t="n">
        <v>44377</v>
      </c>
      <c r="C2453" s="51" t="s">
        <v>73</v>
      </c>
      <c r="D2453" s="51" t="n">
        <v>0</v>
      </c>
    </row>
    <row r="2454" customFormat="false" ht="15" hidden="true" customHeight="false" outlineLevel="0" collapsed="false">
      <c r="A2454" s="51" t="s">
        <v>287</v>
      </c>
      <c r="B2454" s="55" t="n">
        <v>44377</v>
      </c>
      <c r="C2454" s="51" t="s">
        <v>73</v>
      </c>
      <c r="D2454" s="51" t="n">
        <v>0</v>
      </c>
    </row>
    <row r="2455" customFormat="false" ht="15" hidden="true" customHeight="false" outlineLevel="0" collapsed="false">
      <c r="A2455" s="51" t="s">
        <v>292</v>
      </c>
      <c r="B2455" s="55" t="n">
        <v>44377</v>
      </c>
      <c r="C2455" s="51" t="s">
        <v>73</v>
      </c>
      <c r="D2455" s="51" t="n">
        <v>0</v>
      </c>
    </row>
    <row r="2456" customFormat="false" ht="15" hidden="true" customHeight="false" outlineLevel="0" collapsed="false">
      <c r="A2456" s="51" t="s">
        <v>297</v>
      </c>
      <c r="B2456" s="55" t="n">
        <v>44377</v>
      </c>
      <c r="C2456" s="51" t="s">
        <v>73</v>
      </c>
      <c r="D2456" s="51" t="n">
        <v>0</v>
      </c>
    </row>
    <row r="2457" customFormat="false" ht="15" hidden="true" customHeight="false" outlineLevel="0" collapsed="false">
      <c r="A2457" s="51" t="s">
        <v>302</v>
      </c>
      <c r="B2457" s="55" t="n">
        <v>44377</v>
      </c>
      <c r="C2457" s="51" t="s">
        <v>73</v>
      </c>
      <c r="D2457" s="51" t="n">
        <v>0</v>
      </c>
    </row>
    <row r="2458" customFormat="false" ht="15" hidden="true" customHeight="false" outlineLevel="0" collapsed="false">
      <c r="A2458" s="51" t="s">
        <v>307</v>
      </c>
      <c r="B2458" s="55" t="n">
        <v>44377</v>
      </c>
      <c r="C2458" s="51" t="s">
        <v>73</v>
      </c>
      <c r="D2458" s="51" t="n">
        <v>0</v>
      </c>
    </row>
    <row r="2459" customFormat="false" ht="15" hidden="true" customHeight="false" outlineLevel="0" collapsed="false">
      <c r="A2459" s="51" t="s">
        <v>311</v>
      </c>
      <c r="B2459" s="55" t="n">
        <v>44377</v>
      </c>
      <c r="C2459" s="51" t="s">
        <v>73</v>
      </c>
      <c r="D2459" s="51" t="n">
        <v>0</v>
      </c>
    </row>
    <row r="2460" customFormat="false" ht="15" hidden="true" customHeight="false" outlineLevel="0" collapsed="false">
      <c r="A2460" s="51" t="s">
        <v>317</v>
      </c>
      <c r="B2460" s="55" t="n">
        <v>44377</v>
      </c>
      <c r="C2460" s="51" t="s">
        <v>73</v>
      </c>
      <c r="D2460" s="51" t="n">
        <v>0</v>
      </c>
    </row>
    <row r="2461" customFormat="false" ht="15" hidden="true" customHeight="false" outlineLevel="0" collapsed="false">
      <c r="A2461" s="51" t="s">
        <v>322</v>
      </c>
      <c r="B2461" s="55" t="n">
        <v>44377</v>
      </c>
      <c r="C2461" s="51" t="s">
        <v>73</v>
      </c>
      <c r="D2461" s="51" t="n">
        <v>0</v>
      </c>
    </row>
    <row r="2462" customFormat="false" ht="15" hidden="true" customHeight="false" outlineLevel="0" collapsed="false">
      <c r="A2462" s="51" t="s">
        <v>327</v>
      </c>
      <c r="B2462" s="55" t="n">
        <v>44377</v>
      </c>
      <c r="C2462" s="51" t="s">
        <v>73</v>
      </c>
      <c r="D2462" s="51" t="n">
        <v>0</v>
      </c>
    </row>
    <row r="2463" customFormat="false" ht="15" hidden="true" customHeight="false" outlineLevel="0" collapsed="false">
      <c r="A2463" s="51" t="s">
        <v>332</v>
      </c>
      <c r="B2463" s="55" t="n">
        <v>44377</v>
      </c>
      <c r="C2463" s="51" t="s">
        <v>73</v>
      </c>
      <c r="D2463" s="51" t="n">
        <v>0</v>
      </c>
    </row>
    <row r="2464" customFormat="false" ht="15" hidden="true" customHeight="false" outlineLevel="0" collapsed="false">
      <c r="A2464" s="51" t="s">
        <v>339</v>
      </c>
      <c r="B2464" s="55" t="n">
        <v>44377</v>
      </c>
      <c r="C2464" s="51" t="s">
        <v>73</v>
      </c>
      <c r="D2464" s="51" t="n">
        <v>0</v>
      </c>
    </row>
    <row r="2465" customFormat="false" ht="15" hidden="true" customHeight="false" outlineLevel="0" collapsed="false">
      <c r="A2465" s="51" t="s">
        <v>344</v>
      </c>
      <c r="B2465" s="55" t="n">
        <v>44377</v>
      </c>
      <c r="C2465" s="51" t="s">
        <v>73</v>
      </c>
      <c r="D2465" s="51" t="n">
        <v>0</v>
      </c>
    </row>
    <row r="2466" customFormat="false" ht="15" hidden="true" customHeight="false" outlineLevel="0" collapsed="false">
      <c r="A2466" s="51" t="s">
        <v>349</v>
      </c>
      <c r="B2466" s="55" t="n">
        <v>44377</v>
      </c>
      <c r="C2466" s="51" t="s">
        <v>73</v>
      </c>
      <c r="D2466" s="51" t="n">
        <v>0</v>
      </c>
    </row>
    <row r="2467" customFormat="false" ht="15" hidden="true" customHeight="false" outlineLevel="0" collapsed="false">
      <c r="A2467" s="51" t="s">
        <v>354</v>
      </c>
      <c r="B2467" s="55" t="n">
        <v>44377</v>
      </c>
      <c r="C2467" s="51" t="s">
        <v>73</v>
      </c>
      <c r="D2467" s="51" t="n">
        <v>0</v>
      </c>
    </row>
    <row r="2468" customFormat="false" ht="15" hidden="true" customHeight="false" outlineLevel="0" collapsed="false">
      <c r="A2468" s="51" t="s">
        <v>359</v>
      </c>
      <c r="B2468" s="55" t="n">
        <v>44377</v>
      </c>
      <c r="C2468" s="51" t="s">
        <v>73</v>
      </c>
      <c r="D2468" s="51" t="n">
        <v>0</v>
      </c>
    </row>
    <row r="2469" customFormat="false" ht="15" hidden="true" customHeight="false" outlineLevel="0" collapsed="false">
      <c r="A2469" s="51" t="s">
        <v>364</v>
      </c>
      <c r="B2469" s="55" t="n">
        <v>44377</v>
      </c>
      <c r="C2469" s="51" t="s">
        <v>73</v>
      </c>
      <c r="D2469" s="51" t="n">
        <v>0</v>
      </c>
    </row>
    <row r="2470" customFormat="false" ht="15" hidden="true" customHeight="false" outlineLevel="0" collapsed="false">
      <c r="A2470" s="51" t="s">
        <v>369</v>
      </c>
      <c r="B2470" s="55" t="n">
        <v>44377</v>
      </c>
      <c r="C2470" s="51" t="s">
        <v>73</v>
      </c>
      <c r="D2470" s="51" t="n">
        <v>0</v>
      </c>
    </row>
    <row r="2471" customFormat="false" ht="15" hidden="true" customHeight="false" outlineLevel="0" collapsed="false">
      <c r="A2471" s="51" t="s">
        <v>374</v>
      </c>
      <c r="B2471" s="55" t="n">
        <v>44377</v>
      </c>
      <c r="C2471" s="51" t="s">
        <v>73</v>
      </c>
      <c r="D2471" s="51" t="n">
        <v>0</v>
      </c>
    </row>
    <row r="2472" customFormat="false" ht="15" hidden="true" customHeight="false" outlineLevel="0" collapsed="false">
      <c r="A2472" s="51" t="s">
        <v>379</v>
      </c>
      <c r="B2472" s="55" t="n">
        <v>44377</v>
      </c>
      <c r="C2472" s="51" t="s">
        <v>73</v>
      </c>
      <c r="D2472" s="51" t="n">
        <v>0</v>
      </c>
    </row>
    <row r="2473" customFormat="false" ht="15" hidden="true" customHeight="false" outlineLevel="0" collapsed="false">
      <c r="A2473" s="51" t="s">
        <v>384</v>
      </c>
      <c r="B2473" s="55" t="n">
        <v>44377</v>
      </c>
      <c r="C2473" s="51" t="s">
        <v>73</v>
      </c>
      <c r="D2473" s="51" t="n">
        <v>0</v>
      </c>
    </row>
    <row r="2474" customFormat="false" ht="15" hidden="true" customHeight="false" outlineLevel="0" collapsed="false">
      <c r="A2474" s="51" t="s">
        <v>389</v>
      </c>
      <c r="B2474" s="55" t="n">
        <v>44377</v>
      </c>
      <c r="C2474" s="51" t="s">
        <v>73</v>
      </c>
      <c r="D2474" s="51" t="n">
        <v>0</v>
      </c>
    </row>
    <row r="2475" customFormat="false" ht="15" hidden="true" customHeight="false" outlineLevel="0" collapsed="false">
      <c r="A2475" s="51" t="s">
        <v>394</v>
      </c>
      <c r="B2475" s="55" t="n">
        <v>44377</v>
      </c>
      <c r="C2475" s="51" t="s">
        <v>73</v>
      </c>
      <c r="D2475" s="51" t="n">
        <v>0</v>
      </c>
    </row>
    <row r="2476" customFormat="false" ht="15" hidden="true" customHeight="false" outlineLevel="0" collapsed="false">
      <c r="A2476" s="51" t="s">
        <v>399</v>
      </c>
      <c r="B2476" s="55" t="n">
        <v>44377</v>
      </c>
      <c r="C2476" s="51" t="s">
        <v>73</v>
      </c>
      <c r="D2476" s="51" t="n">
        <v>0</v>
      </c>
    </row>
    <row r="2477" customFormat="false" ht="15" hidden="true" customHeight="false" outlineLevel="0" collapsed="false">
      <c r="A2477" s="51" t="s">
        <v>404</v>
      </c>
      <c r="B2477" s="55" t="n">
        <v>44377</v>
      </c>
      <c r="C2477" s="51" t="s">
        <v>73</v>
      </c>
      <c r="D2477" s="51" t="n">
        <v>0</v>
      </c>
    </row>
    <row r="2478" customFormat="false" ht="15" hidden="true" customHeight="false" outlineLevel="0" collapsed="false">
      <c r="A2478" s="51" t="s">
        <v>409</v>
      </c>
      <c r="B2478" s="55" t="n">
        <v>44377</v>
      </c>
      <c r="C2478" s="51" t="s">
        <v>73</v>
      </c>
      <c r="D2478" s="51" t="n">
        <v>0</v>
      </c>
    </row>
    <row r="2479" customFormat="false" ht="15" hidden="true" customHeight="false" outlineLevel="0" collapsed="false">
      <c r="A2479" s="51" t="s">
        <v>414</v>
      </c>
      <c r="B2479" s="55" t="n">
        <v>44377</v>
      </c>
      <c r="C2479" s="51" t="s">
        <v>73</v>
      </c>
      <c r="D2479" s="51" t="n">
        <v>0</v>
      </c>
    </row>
    <row r="2480" customFormat="false" ht="15" hidden="true" customHeight="false" outlineLevel="0" collapsed="false">
      <c r="A2480" s="51" t="s">
        <v>419</v>
      </c>
      <c r="B2480" s="55" t="n">
        <v>44377</v>
      </c>
      <c r="C2480" s="51" t="s">
        <v>73</v>
      </c>
      <c r="D2480" s="51" t="n">
        <v>0</v>
      </c>
    </row>
    <row r="2481" customFormat="false" ht="15" hidden="true" customHeight="false" outlineLevel="0" collapsed="false">
      <c r="A2481" s="51" t="s">
        <v>424</v>
      </c>
      <c r="B2481" s="55" t="n">
        <v>44377</v>
      </c>
      <c r="C2481" s="51" t="s">
        <v>73</v>
      </c>
      <c r="D2481" s="51" t="n">
        <v>0</v>
      </c>
    </row>
    <row r="2482" customFormat="false" ht="15" hidden="true" customHeight="false" outlineLevel="0" collapsed="false">
      <c r="A2482" s="51" t="s">
        <v>429</v>
      </c>
      <c r="B2482" s="55" t="n">
        <v>44377</v>
      </c>
      <c r="C2482" s="51" t="s">
        <v>73</v>
      </c>
      <c r="D2482" s="51" t="n">
        <v>0</v>
      </c>
    </row>
    <row r="2483" customFormat="false" ht="15" hidden="true" customHeight="false" outlineLevel="0" collapsed="false">
      <c r="A2483" s="51" t="s">
        <v>434</v>
      </c>
      <c r="B2483" s="55" t="n">
        <v>44377</v>
      </c>
      <c r="C2483" s="51" t="s">
        <v>73</v>
      </c>
      <c r="D2483" s="51" t="n">
        <v>0</v>
      </c>
    </row>
    <row r="2484" customFormat="false" ht="15" hidden="true" customHeight="false" outlineLevel="0" collapsed="false">
      <c r="A2484" s="51" t="s">
        <v>438</v>
      </c>
      <c r="B2484" s="55" t="n">
        <v>44377</v>
      </c>
      <c r="C2484" s="51" t="s">
        <v>73</v>
      </c>
      <c r="D2484" s="51" t="n">
        <v>0</v>
      </c>
    </row>
    <row r="2485" customFormat="false" ht="15" hidden="true" customHeight="false" outlineLevel="0" collapsed="false">
      <c r="A2485" s="51" t="s">
        <v>443</v>
      </c>
      <c r="B2485" s="55" t="n">
        <v>44377</v>
      </c>
      <c r="C2485" s="51" t="s">
        <v>73</v>
      </c>
      <c r="D2485" s="51" t="n">
        <v>0</v>
      </c>
    </row>
    <row r="2486" customFormat="false" ht="15" hidden="true" customHeight="false" outlineLevel="0" collapsed="false">
      <c r="A2486" s="51" t="s">
        <v>448</v>
      </c>
      <c r="B2486" s="55" t="n">
        <v>44377</v>
      </c>
      <c r="C2486" s="51" t="s">
        <v>73</v>
      </c>
      <c r="D2486" s="51" t="n">
        <v>0</v>
      </c>
    </row>
    <row r="2487" customFormat="false" ht="15" hidden="true" customHeight="false" outlineLevel="0" collapsed="false">
      <c r="A2487" s="51" t="s">
        <v>453</v>
      </c>
      <c r="B2487" s="55" t="n">
        <v>44377</v>
      </c>
      <c r="C2487" s="51" t="s">
        <v>73</v>
      </c>
      <c r="D2487" s="51" t="n">
        <v>0</v>
      </c>
    </row>
    <row r="2488" customFormat="false" ht="15" hidden="true" customHeight="false" outlineLevel="0" collapsed="false">
      <c r="A2488" s="51" t="s">
        <v>458</v>
      </c>
      <c r="B2488" s="55" t="n">
        <v>44377</v>
      </c>
      <c r="C2488" s="51" t="s">
        <v>73</v>
      </c>
      <c r="D2488" s="51" t="n">
        <v>0</v>
      </c>
    </row>
    <row r="2489" customFormat="false" ht="15" hidden="true" customHeight="false" outlineLevel="0" collapsed="false">
      <c r="A2489" s="51" t="s">
        <v>473</v>
      </c>
      <c r="B2489" s="55" t="n">
        <v>44377</v>
      </c>
      <c r="C2489" s="51" t="s">
        <v>73</v>
      </c>
      <c r="D2489" s="51" t="n">
        <v>0</v>
      </c>
    </row>
    <row r="2490" customFormat="false" ht="15" hidden="true" customHeight="false" outlineLevel="0" collapsed="false">
      <c r="A2490" s="51" t="s">
        <v>479</v>
      </c>
      <c r="B2490" s="55" t="n">
        <v>44377</v>
      </c>
      <c r="C2490" s="51" t="s">
        <v>73</v>
      </c>
      <c r="D2490" s="51" t="n">
        <v>0</v>
      </c>
    </row>
    <row r="2491" customFormat="false" ht="15" hidden="true" customHeight="false" outlineLevel="0" collapsed="false">
      <c r="A2491" s="51" t="s">
        <v>484</v>
      </c>
      <c r="B2491" s="55" t="n">
        <v>44377</v>
      </c>
      <c r="C2491" s="51" t="s">
        <v>73</v>
      </c>
      <c r="D2491" s="51" t="n">
        <v>0</v>
      </c>
    </row>
    <row r="2492" customFormat="false" ht="15" hidden="true" customHeight="false" outlineLevel="0" collapsed="false">
      <c r="A2492" s="51" t="s">
        <v>489</v>
      </c>
      <c r="B2492" s="55" t="n">
        <v>44377</v>
      </c>
      <c r="C2492" s="51" t="s">
        <v>73</v>
      </c>
      <c r="D2492" s="51" t="n">
        <v>0</v>
      </c>
    </row>
    <row r="2493" customFormat="false" ht="15" hidden="true" customHeight="false" outlineLevel="0" collapsed="false">
      <c r="A2493" s="51" t="s">
        <v>494</v>
      </c>
      <c r="B2493" s="55" t="n">
        <v>44377</v>
      </c>
      <c r="C2493" s="51" t="s">
        <v>73</v>
      </c>
      <c r="D2493" s="51" t="n">
        <v>0</v>
      </c>
    </row>
    <row r="2494" customFormat="false" ht="15" hidden="true" customHeight="false" outlineLevel="0" collapsed="false">
      <c r="A2494" s="51" t="s">
        <v>499</v>
      </c>
      <c r="B2494" s="55" t="n">
        <v>44377</v>
      </c>
      <c r="C2494" s="51" t="s">
        <v>73</v>
      </c>
      <c r="D2494" s="51" t="n">
        <v>0</v>
      </c>
    </row>
    <row r="2495" customFormat="false" ht="15" hidden="true" customHeight="false" outlineLevel="0" collapsed="false">
      <c r="A2495" s="51" t="s">
        <v>504</v>
      </c>
      <c r="B2495" s="55" t="n">
        <v>44377</v>
      </c>
      <c r="C2495" s="51" t="s">
        <v>73</v>
      </c>
      <c r="D2495" s="51" t="n">
        <v>0</v>
      </c>
    </row>
    <row r="2496" customFormat="false" ht="15" hidden="true" customHeight="false" outlineLevel="0" collapsed="false">
      <c r="A2496" s="51" t="s">
        <v>509</v>
      </c>
      <c r="B2496" s="55" t="n">
        <v>44377</v>
      </c>
      <c r="C2496" s="51" t="s">
        <v>73</v>
      </c>
      <c r="D2496" s="51" t="n">
        <v>0</v>
      </c>
    </row>
    <row r="2497" customFormat="false" ht="15" hidden="true" customHeight="false" outlineLevel="0" collapsed="false">
      <c r="A2497" s="51" t="s">
        <v>515</v>
      </c>
      <c r="B2497" s="55" t="n">
        <v>44377</v>
      </c>
      <c r="C2497" s="51" t="s">
        <v>73</v>
      </c>
      <c r="D2497" s="51" t="n">
        <v>0</v>
      </c>
    </row>
    <row r="2498" customFormat="false" ht="15" hidden="true" customHeight="false" outlineLevel="0" collapsed="false">
      <c r="A2498" s="51" t="s">
        <v>520</v>
      </c>
      <c r="B2498" s="55" t="n">
        <v>44377</v>
      </c>
      <c r="C2498" s="51" t="s">
        <v>73</v>
      </c>
      <c r="D2498" s="51" t="n">
        <v>0</v>
      </c>
    </row>
    <row r="2499" customFormat="false" ht="15" hidden="true" customHeight="false" outlineLevel="0" collapsed="false">
      <c r="A2499" s="51" t="s">
        <v>525</v>
      </c>
      <c r="B2499" s="55" t="n">
        <v>44377</v>
      </c>
      <c r="C2499" s="51" t="s">
        <v>73</v>
      </c>
      <c r="D2499" s="51" t="n">
        <v>0</v>
      </c>
    </row>
    <row r="2500" customFormat="false" ht="15" hidden="true" customHeight="false" outlineLevel="0" collapsed="false">
      <c r="A2500" s="51" t="s">
        <v>531</v>
      </c>
      <c r="B2500" s="55" t="n">
        <v>44377</v>
      </c>
      <c r="C2500" s="51" t="s">
        <v>73</v>
      </c>
      <c r="D2500" s="51" t="n">
        <v>0</v>
      </c>
    </row>
    <row r="2501" customFormat="false" ht="15" hidden="true" customHeight="false" outlineLevel="0" collapsed="false">
      <c r="A2501" s="51" t="s">
        <v>536</v>
      </c>
      <c r="B2501" s="55" t="n">
        <v>44377</v>
      </c>
      <c r="C2501" s="51" t="s">
        <v>73</v>
      </c>
      <c r="D2501" s="51" t="n">
        <v>0</v>
      </c>
    </row>
    <row r="2502" customFormat="false" ht="15" hidden="true" customHeight="false" outlineLevel="0" collapsed="false">
      <c r="A2502" s="51" t="s">
        <v>541</v>
      </c>
      <c r="B2502" s="55" t="n">
        <v>44377</v>
      </c>
      <c r="C2502" s="51" t="s">
        <v>73</v>
      </c>
      <c r="D2502" s="51" t="n">
        <v>0</v>
      </c>
    </row>
    <row r="2503" customFormat="false" ht="15" hidden="true" customHeight="false" outlineLevel="0" collapsed="false">
      <c r="A2503" s="51" t="s">
        <v>549</v>
      </c>
      <c r="B2503" s="55" t="n">
        <v>44377</v>
      </c>
      <c r="C2503" s="51" t="s">
        <v>73</v>
      </c>
      <c r="D2503" s="51" t="n">
        <v>0</v>
      </c>
    </row>
    <row r="2504" customFormat="false" ht="15" hidden="true" customHeight="false" outlineLevel="0" collapsed="false">
      <c r="A2504" s="51" t="s">
        <v>554</v>
      </c>
      <c r="B2504" s="55" t="n">
        <v>44377</v>
      </c>
      <c r="C2504" s="51" t="s">
        <v>73</v>
      </c>
      <c r="D2504" s="51" t="n">
        <v>0</v>
      </c>
    </row>
    <row r="2505" customFormat="false" ht="15" hidden="true" customHeight="false" outlineLevel="0" collapsed="false">
      <c r="A2505" s="51" t="s">
        <v>559</v>
      </c>
      <c r="B2505" s="55" t="n">
        <v>44377</v>
      </c>
      <c r="C2505" s="51" t="s">
        <v>73</v>
      </c>
      <c r="D2505" s="51" t="n">
        <v>0</v>
      </c>
    </row>
    <row r="2506" customFormat="false" ht="15" hidden="true" customHeight="false" outlineLevel="0" collapsed="false">
      <c r="A2506" s="51" t="s">
        <v>564</v>
      </c>
      <c r="B2506" s="55" t="n">
        <v>44377</v>
      </c>
      <c r="C2506" s="51" t="s">
        <v>73</v>
      </c>
      <c r="D2506" s="51" t="n">
        <v>0</v>
      </c>
    </row>
    <row r="2507" customFormat="false" ht="15" hidden="true" customHeight="false" outlineLevel="0" collapsed="false">
      <c r="A2507" s="51" t="s">
        <v>569</v>
      </c>
      <c r="B2507" s="55" t="n">
        <v>44377</v>
      </c>
      <c r="C2507" s="51" t="s">
        <v>73</v>
      </c>
      <c r="D2507" s="51" t="n">
        <v>0</v>
      </c>
    </row>
    <row r="2508" customFormat="false" ht="15" hidden="true" customHeight="false" outlineLevel="0" collapsed="false">
      <c r="A2508" s="51" t="s">
        <v>574</v>
      </c>
      <c r="B2508" s="55" t="n">
        <v>44377</v>
      </c>
      <c r="C2508" s="51" t="s">
        <v>73</v>
      </c>
      <c r="D2508" s="51" t="n">
        <v>0</v>
      </c>
    </row>
    <row r="2509" customFormat="false" ht="15" hidden="true" customHeight="false" outlineLevel="0" collapsed="false">
      <c r="A2509" s="51" t="s">
        <v>579</v>
      </c>
      <c r="B2509" s="55" t="n">
        <v>44377</v>
      </c>
      <c r="C2509" s="51" t="s">
        <v>73</v>
      </c>
      <c r="D2509" s="51" t="n">
        <v>0</v>
      </c>
    </row>
    <row r="2510" customFormat="false" ht="15" hidden="true" customHeight="false" outlineLevel="0" collapsed="false">
      <c r="A2510" s="51" t="s">
        <v>584</v>
      </c>
      <c r="B2510" s="55" t="n">
        <v>44377</v>
      </c>
      <c r="C2510" s="51" t="s">
        <v>73</v>
      </c>
      <c r="D2510" s="51" t="n">
        <v>0</v>
      </c>
    </row>
    <row r="2511" customFormat="false" ht="15" hidden="true" customHeight="false" outlineLevel="0" collapsed="false">
      <c r="A2511" s="51" t="s">
        <v>589</v>
      </c>
      <c r="B2511" s="55" t="n">
        <v>44377</v>
      </c>
      <c r="C2511" s="51" t="s">
        <v>73</v>
      </c>
      <c r="D2511" s="51" t="n">
        <v>0</v>
      </c>
    </row>
    <row r="2512" customFormat="false" ht="15" hidden="true" customHeight="false" outlineLevel="0" collapsed="false">
      <c r="A2512" s="51" t="s">
        <v>756</v>
      </c>
      <c r="B2512" s="55" t="n">
        <v>44377</v>
      </c>
      <c r="C2512" s="51" t="s">
        <v>73</v>
      </c>
      <c r="D2512" s="51" t="n">
        <v>0</v>
      </c>
    </row>
    <row r="2513" customFormat="false" ht="15" hidden="true" customHeight="false" outlineLevel="0" collapsed="false">
      <c r="A2513" s="51" t="s">
        <v>594</v>
      </c>
      <c r="B2513" s="55" t="n">
        <v>44377</v>
      </c>
      <c r="C2513" s="51" t="s">
        <v>73</v>
      </c>
      <c r="D2513" s="51" t="n">
        <v>0</v>
      </c>
    </row>
    <row r="2514" customFormat="false" ht="15" hidden="true" customHeight="false" outlineLevel="0" collapsed="false">
      <c r="A2514" s="51" t="s">
        <v>761</v>
      </c>
      <c r="B2514" s="55" t="n">
        <v>44377</v>
      </c>
      <c r="C2514" s="51" t="s">
        <v>73</v>
      </c>
      <c r="D2514" s="51" t="n">
        <v>0</v>
      </c>
    </row>
    <row r="2515" customFormat="false" ht="15" hidden="true" customHeight="false" outlineLevel="0" collapsed="false">
      <c r="A2515" s="51" t="s">
        <v>599</v>
      </c>
      <c r="B2515" s="55" t="n">
        <v>44377</v>
      </c>
      <c r="C2515" s="51" t="s">
        <v>73</v>
      </c>
      <c r="D2515" s="51" t="n">
        <v>0</v>
      </c>
    </row>
    <row r="2516" customFormat="false" ht="15" hidden="true" customHeight="false" outlineLevel="0" collapsed="false">
      <c r="A2516" s="51" t="s">
        <v>604</v>
      </c>
      <c r="B2516" s="55" t="n">
        <v>44377</v>
      </c>
      <c r="C2516" s="51" t="s">
        <v>73</v>
      </c>
      <c r="D2516" s="51" t="n">
        <v>0</v>
      </c>
    </row>
    <row r="2517" customFormat="false" ht="15" hidden="true" customHeight="false" outlineLevel="0" collapsed="false">
      <c r="A2517" s="51" t="s">
        <v>609</v>
      </c>
      <c r="B2517" s="55" t="n">
        <v>44377</v>
      </c>
      <c r="C2517" s="51" t="s">
        <v>73</v>
      </c>
      <c r="D2517" s="51" t="n">
        <v>0</v>
      </c>
    </row>
    <row r="2518" customFormat="false" ht="15" hidden="true" customHeight="false" outlineLevel="0" collapsed="false">
      <c r="A2518" s="51" t="s">
        <v>614</v>
      </c>
      <c r="B2518" s="55" t="n">
        <v>44377</v>
      </c>
      <c r="C2518" s="51" t="s">
        <v>73</v>
      </c>
      <c r="D2518" s="51" t="n">
        <v>0</v>
      </c>
    </row>
    <row r="2519" customFormat="false" ht="15" hidden="true" customHeight="false" outlineLevel="0" collapsed="false">
      <c r="A2519" s="51" t="s">
        <v>619</v>
      </c>
      <c r="B2519" s="55" t="n">
        <v>44377</v>
      </c>
      <c r="C2519" s="51" t="s">
        <v>73</v>
      </c>
      <c r="D2519" s="51" t="n">
        <v>0</v>
      </c>
    </row>
    <row r="2520" customFormat="false" ht="15" hidden="true" customHeight="false" outlineLevel="0" collapsed="false">
      <c r="A2520" s="51" t="s">
        <v>624</v>
      </c>
      <c r="B2520" s="55" t="n">
        <v>44377</v>
      </c>
      <c r="C2520" s="51" t="s">
        <v>73</v>
      </c>
      <c r="D2520" s="51" t="n">
        <v>0</v>
      </c>
    </row>
    <row r="2521" customFormat="false" ht="15" hidden="true" customHeight="false" outlineLevel="0" collapsed="false">
      <c r="A2521" s="51" t="s">
        <v>629</v>
      </c>
      <c r="B2521" s="55" t="n">
        <v>44377</v>
      </c>
      <c r="C2521" s="51" t="s">
        <v>73</v>
      </c>
      <c r="D2521" s="51" t="n">
        <v>0</v>
      </c>
    </row>
    <row r="2522" customFormat="false" ht="15" hidden="true" customHeight="false" outlineLevel="0" collapsed="false">
      <c r="A2522" s="51" t="s">
        <v>633</v>
      </c>
      <c r="B2522" s="55" t="n">
        <v>44377</v>
      </c>
      <c r="C2522" s="51" t="s">
        <v>73</v>
      </c>
      <c r="D2522" s="51" t="n">
        <v>0</v>
      </c>
    </row>
    <row r="2523" customFormat="false" ht="15" hidden="true" customHeight="false" outlineLevel="0" collapsed="false">
      <c r="A2523" s="51" t="s">
        <v>638</v>
      </c>
      <c r="B2523" s="55" t="n">
        <v>44377</v>
      </c>
      <c r="C2523" s="51" t="s">
        <v>73</v>
      </c>
      <c r="D2523" s="51" t="n">
        <v>0</v>
      </c>
    </row>
    <row r="2524" customFormat="false" ht="15" hidden="true" customHeight="false" outlineLevel="0" collapsed="false">
      <c r="A2524" s="51" t="s">
        <v>642</v>
      </c>
      <c r="B2524" s="55" t="n">
        <v>44377</v>
      </c>
      <c r="C2524" s="51" t="s">
        <v>73</v>
      </c>
      <c r="D2524" s="51" t="n">
        <v>0</v>
      </c>
    </row>
    <row r="2525" customFormat="false" ht="15" hidden="true" customHeight="false" outlineLevel="0" collapsed="false">
      <c r="A2525" s="51" t="s">
        <v>646</v>
      </c>
      <c r="B2525" s="55" t="n">
        <v>44377</v>
      </c>
      <c r="C2525" s="51" t="s">
        <v>73</v>
      </c>
      <c r="D2525" s="51" t="n">
        <v>0</v>
      </c>
    </row>
    <row r="2526" customFormat="false" ht="15" hidden="true" customHeight="false" outlineLevel="0" collapsed="false">
      <c r="A2526" s="51" t="s">
        <v>651</v>
      </c>
      <c r="B2526" s="55" t="n">
        <v>44377</v>
      </c>
      <c r="C2526" s="51" t="s">
        <v>73</v>
      </c>
      <c r="D2526" s="51" t="n">
        <v>0</v>
      </c>
    </row>
    <row r="2527" customFormat="false" ht="15" hidden="true" customHeight="false" outlineLevel="0" collapsed="false">
      <c r="A2527" s="51" t="s">
        <v>656</v>
      </c>
      <c r="B2527" s="55" t="n">
        <v>44377</v>
      </c>
      <c r="C2527" s="51" t="s">
        <v>73</v>
      </c>
      <c r="D2527" s="51" t="n">
        <v>0</v>
      </c>
    </row>
    <row r="2528" customFormat="false" ht="15" hidden="true" customHeight="false" outlineLevel="0" collapsed="false">
      <c r="A2528" s="51" t="s">
        <v>661</v>
      </c>
      <c r="B2528" s="55" t="n">
        <v>44377</v>
      </c>
      <c r="C2528" s="51" t="s">
        <v>73</v>
      </c>
      <c r="D2528" s="51" t="n">
        <v>0</v>
      </c>
    </row>
    <row r="2529" customFormat="false" ht="15" hidden="true" customHeight="false" outlineLevel="0" collapsed="false">
      <c r="A2529" s="51" t="s">
        <v>666</v>
      </c>
      <c r="B2529" s="55" t="n">
        <v>44377</v>
      </c>
      <c r="C2529" s="51" t="s">
        <v>73</v>
      </c>
      <c r="D2529" s="51" t="n">
        <v>0</v>
      </c>
    </row>
    <row r="2530" customFormat="false" ht="15" hidden="true" customHeight="false" outlineLevel="0" collapsed="false">
      <c r="A2530" s="51" t="s">
        <v>671</v>
      </c>
      <c r="B2530" s="55" t="n">
        <v>44377</v>
      </c>
      <c r="C2530" s="51" t="s">
        <v>73</v>
      </c>
      <c r="D2530" s="51" t="n">
        <v>0</v>
      </c>
    </row>
    <row r="2531" customFormat="false" ht="15" hidden="true" customHeight="false" outlineLevel="0" collapsed="false">
      <c r="A2531" s="51" t="s">
        <v>676</v>
      </c>
      <c r="B2531" s="55" t="n">
        <v>44377</v>
      </c>
      <c r="C2531" s="51" t="s">
        <v>73</v>
      </c>
      <c r="D2531" s="51" t="n">
        <v>0</v>
      </c>
    </row>
    <row r="2532" customFormat="false" ht="15" hidden="true" customHeight="false" outlineLevel="0" collapsed="false">
      <c r="A2532" s="51" t="s">
        <v>681</v>
      </c>
      <c r="B2532" s="55" t="n">
        <v>44377</v>
      </c>
      <c r="C2532" s="51" t="s">
        <v>73</v>
      </c>
      <c r="D2532" s="51" t="n">
        <v>0</v>
      </c>
    </row>
    <row r="2533" customFormat="false" ht="15" hidden="true" customHeight="false" outlineLevel="0" collapsed="false">
      <c r="A2533" s="51" t="s">
        <v>686</v>
      </c>
      <c r="B2533" s="55" t="n">
        <v>44377</v>
      </c>
      <c r="C2533" s="51" t="s">
        <v>73</v>
      </c>
      <c r="D2533" s="51" t="n">
        <v>0</v>
      </c>
    </row>
    <row r="2534" customFormat="false" ht="15" hidden="true" customHeight="false" outlineLevel="0" collapsed="false">
      <c r="A2534" s="51" t="s">
        <v>691</v>
      </c>
      <c r="B2534" s="55" t="n">
        <v>44377</v>
      </c>
      <c r="C2534" s="51" t="s">
        <v>73</v>
      </c>
      <c r="D2534" s="51" t="n">
        <v>0</v>
      </c>
    </row>
    <row r="2535" customFormat="false" ht="15" hidden="true" customHeight="false" outlineLevel="0" collapsed="false">
      <c r="A2535" s="51" t="s">
        <v>696</v>
      </c>
      <c r="B2535" s="55" t="n">
        <v>44377</v>
      </c>
      <c r="C2535" s="51" t="s">
        <v>73</v>
      </c>
      <c r="D2535" s="51" t="n">
        <v>0</v>
      </c>
    </row>
    <row r="2536" customFormat="false" ht="15" hidden="true" customHeight="false" outlineLevel="0" collapsed="false">
      <c r="A2536" s="51" t="s">
        <v>701</v>
      </c>
      <c r="B2536" s="55" t="n">
        <v>44377</v>
      </c>
      <c r="C2536" s="51" t="s">
        <v>73</v>
      </c>
      <c r="D2536" s="51" t="n">
        <v>0</v>
      </c>
    </row>
    <row r="2537" customFormat="false" ht="15" hidden="true" customHeight="false" outlineLevel="0" collapsed="false">
      <c r="A2537" s="51" t="s">
        <v>707</v>
      </c>
      <c r="B2537" s="55" t="n">
        <v>44377</v>
      </c>
      <c r="C2537" s="51" t="s">
        <v>73</v>
      </c>
      <c r="D2537" s="51" t="n">
        <v>0</v>
      </c>
    </row>
    <row r="2538" customFormat="false" ht="15" hidden="true" customHeight="false" outlineLevel="0" collapsed="false">
      <c r="A2538" s="51" t="s">
        <v>712</v>
      </c>
      <c r="B2538" s="55" t="n">
        <v>44377</v>
      </c>
      <c r="C2538" s="51" t="s">
        <v>73</v>
      </c>
      <c r="D2538" s="51" t="n">
        <v>0</v>
      </c>
    </row>
    <row r="2539" customFormat="false" ht="15" hidden="true" customHeight="false" outlineLevel="0" collapsed="false">
      <c r="A2539" s="51" t="s">
        <v>717</v>
      </c>
      <c r="B2539" s="55" t="n">
        <v>44377</v>
      </c>
      <c r="C2539" s="51" t="s">
        <v>73</v>
      </c>
      <c r="D2539" s="51" t="n">
        <v>0</v>
      </c>
    </row>
    <row r="2540" customFormat="false" ht="15" hidden="true" customHeight="false" outlineLevel="0" collapsed="false">
      <c r="A2540" s="51" t="s">
        <v>767</v>
      </c>
      <c r="B2540" s="55" t="n">
        <v>44377</v>
      </c>
      <c r="C2540" s="51" t="s">
        <v>73</v>
      </c>
      <c r="D2540" s="51" t="n">
        <v>0</v>
      </c>
    </row>
    <row r="2541" customFormat="false" ht="15" hidden="true" customHeight="false" outlineLevel="0" collapsed="false">
      <c r="A2541" s="51" t="s">
        <v>722</v>
      </c>
      <c r="B2541" s="55" t="n">
        <v>44377</v>
      </c>
      <c r="C2541" s="51" t="s">
        <v>73</v>
      </c>
      <c r="D2541" s="51" t="n">
        <v>0</v>
      </c>
    </row>
    <row r="2542" customFormat="false" ht="15" hidden="true" customHeight="false" outlineLevel="0" collapsed="false">
      <c r="A2542" s="51" t="s">
        <v>727</v>
      </c>
      <c r="B2542" s="55" t="n">
        <v>44377</v>
      </c>
      <c r="C2542" s="51" t="s">
        <v>73</v>
      </c>
      <c r="D2542" s="51" t="n">
        <v>0</v>
      </c>
    </row>
    <row r="2543" customFormat="false" ht="15" hidden="true" customHeight="false" outlineLevel="0" collapsed="false">
      <c r="A2543" s="51" t="s">
        <v>732</v>
      </c>
      <c r="B2543" s="55" t="n">
        <v>44377</v>
      </c>
      <c r="C2543" s="51" t="s">
        <v>73</v>
      </c>
      <c r="D2543" s="51" t="n">
        <v>0</v>
      </c>
    </row>
    <row r="2544" customFormat="false" ht="15" hidden="true" customHeight="false" outlineLevel="0" collapsed="false">
      <c r="A2544" s="51" t="s">
        <v>736</v>
      </c>
      <c r="B2544" s="55" t="n">
        <v>44377</v>
      </c>
      <c r="C2544" s="51" t="s">
        <v>73</v>
      </c>
      <c r="D2544" s="51" t="n">
        <v>0</v>
      </c>
    </row>
    <row r="2545" customFormat="false" ht="15" hidden="true" customHeight="false" outlineLevel="0" collapsed="false">
      <c r="A2545" s="51" t="s">
        <v>741</v>
      </c>
      <c r="B2545" s="55" t="n">
        <v>44377</v>
      </c>
      <c r="C2545" s="51" t="s">
        <v>73</v>
      </c>
      <c r="D2545" s="51" t="n">
        <v>0</v>
      </c>
    </row>
    <row r="2546" customFormat="false" ht="15" hidden="true" customHeight="false" outlineLevel="0" collapsed="false">
      <c r="A2546" s="51" t="s">
        <v>746</v>
      </c>
      <c r="B2546" s="55" t="n">
        <v>44377</v>
      </c>
      <c r="C2546" s="51" t="s">
        <v>73</v>
      </c>
      <c r="D2546" s="51" t="n">
        <v>0</v>
      </c>
    </row>
    <row r="2547" customFormat="false" ht="15" hidden="true" customHeight="false" outlineLevel="0" collapsed="false">
      <c r="A2547" s="51" t="s">
        <v>751</v>
      </c>
      <c r="B2547" s="55" t="n">
        <v>44377</v>
      </c>
      <c r="C2547" s="51" t="s">
        <v>73</v>
      </c>
      <c r="D2547" s="51" t="n">
        <v>0</v>
      </c>
    </row>
    <row r="2548" customFormat="false" ht="15" hidden="false" customHeight="false" outlineLevel="0" collapsed="false">
      <c r="A2548" s="51" t="s">
        <v>781</v>
      </c>
      <c r="B2548" s="55" t="n">
        <v>44377</v>
      </c>
      <c r="C2548" s="51" t="s">
        <v>791</v>
      </c>
      <c r="D2548" s="51" t="n">
        <v>0</v>
      </c>
    </row>
    <row r="2549" customFormat="false" ht="15" hidden="true" customHeight="false" outlineLevel="0" collapsed="false">
      <c r="A2549" s="51" t="s">
        <v>783</v>
      </c>
      <c r="B2549" s="55" t="n">
        <v>44377</v>
      </c>
      <c r="C2549" s="51" t="s">
        <v>791</v>
      </c>
      <c r="D2549" s="51" t="n">
        <v>0</v>
      </c>
    </row>
    <row r="2550" customFormat="false" ht="15" hidden="true" customHeight="false" outlineLevel="0" collapsed="false">
      <c r="A2550" s="51" t="s">
        <v>96</v>
      </c>
      <c r="B2550" s="55" t="n">
        <v>44377</v>
      </c>
      <c r="C2550" s="51" t="s">
        <v>791</v>
      </c>
      <c r="D2550" s="51" t="n">
        <v>0</v>
      </c>
    </row>
    <row r="2551" customFormat="false" ht="15" hidden="true" customHeight="false" outlineLevel="0" collapsed="false">
      <c r="A2551" s="51" t="s">
        <v>101</v>
      </c>
      <c r="B2551" s="55" t="n">
        <v>44377</v>
      </c>
      <c r="C2551" s="51" t="s">
        <v>791</v>
      </c>
      <c r="D2551" s="51" t="n">
        <v>0</v>
      </c>
    </row>
    <row r="2552" customFormat="false" ht="15" hidden="true" customHeight="false" outlineLevel="0" collapsed="false">
      <c r="A2552" s="51" t="s">
        <v>106</v>
      </c>
      <c r="B2552" s="55" t="n">
        <v>44377</v>
      </c>
      <c r="C2552" s="51" t="s">
        <v>791</v>
      </c>
      <c r="D2552" s="51" t="n">
        <v>0</v>
      </c>
    </row>
    <row r="2553" customFormat="false" ht="15" hidden="true" customHeight="false" outlineLevel="0" collapsed="false">
      <c r="A2553" s="51" t="s">
        <v>110</v>
      </c>
      <c r="B2553" s="55" t="n">
        <v>44377</v>
      </c>
      <c r="C2553" s="51" t="s">
        <v>791</v>
      </c>
      <c r="D2553" s="51" t="n">
        <v>0</v>
      </c>
    </row>
    <row r="2554" customFormat="false" ht="15" hidden="true" customHeight="false" outlineLevel="0" collapsed="false">
      <c r="A2554" s="51" t="s">
        <v>115</v>
      </c>
      <c r="B2554" s="55" t="n">
        <v>44377</v>
      </c>
      <c r="C2554" s="51" t="s">
        <v>791</v>
      </c>
      <c r="D2554" s="51" t="n">
        <v>0</v>
      </c>
    </row>
    <row r="2555" customFormat="false" ht="15" hidden="true" customHeight="false" outlineLevel="0" collapsed="false">
      <c r="A2555" s="51" t="s">
        <v>120</v>
      </c>
      <c r="B2555" s="55" t="n">
        <v>44377</v>
      </c>
      <c r="C2555" s="51" t="s">
        <v>791</v>
      </c>
      <c r="D2555" s="51" t="n">
        <v>0</v>
      </c>
    </row>
    <row r="2556" customFormat="false" ht="15" hidden="true" customHeight="false" outlineLevel="0" collapsed="false">
      <c r="A2556" s="51" t="s">
        <v>124</v>
      </c>
      <c r="B2556" s="55" t="n">
        <v>44377</v>
      </c>
      <c r="C2556" s="51" t="s">
        <v>791</v>
      </c>
      <c r="D2556" s="51" t="n">
        <v>0</v>
      </c>
    </row>
    <row r="2557" customFormat="false" ht="15" hidden="true" customHeight="false" outlineLevel="0" collapsed="false">
      <c r="A2557" s="51" t="s">
        <v>129</v>
      </c>
      <c r="B2557" s="55" t="n">
        <v>44377</v>
      </c>
      <c r="C2557" s="51" t="s">
        <v>791</v>
      </c>
      <c r="D2557" s="51" t="n">
        <v>0</v>
      </c>
    </row>
    <row r="2558" customFormat="false" ht="15" hidden="true" customHeight="false" outlineLevel="0" collapsed="false">
      <c r="A2558" s="51" t="s">
        <v>134</v>
      </c>
      <c r="B2558" s="55" t="n">
        <v>44377</v>
      </c>
      <c r="C2558" s="51" t="s">
        <v>791</v>
      </c>
      <c r="D2558" s="51" t="n">
        <v>0</v>
      </c>
    </row>
    <row r="2559" customFormat="false" ht="15" hidden="true" customHeight="false" outlineLevel="0" collapsed="false">
      <c r="A2559" s="51" t="s">
        <v>141</v>
      </c>
      <c r="B2559" s="55" t="n">
        <v>44377</v>
      </c>
      <c r="C2559" s="51" t="s">
        <v>791</v>
      </c>
      <c r="D2559" s="51" t="n">
        <v>0</v>
      </c>
    </row>
    <row r="2560" customFormat="false" ht="15" hidden="true" customHeight="false" outlineLevel="0" collapsed="false">
      <c r="A2560" s="51" t="s">
        <v>146</v>
      </c>
      <c r="B2560" s="55" t="n">
        <v>44377</v>
      </c>
      <c r="C2560" s="51" t="s">
        <v>791</v>
      </c>
      <c r="D2560" s="51" t="n">
        <v>0</v>
      </c>
    </row>
    <row r="2561" customFormat="false" ht="15" hidden="true" customHeight="false" outlineLevel="0" collapsed="false">
      <c r="A2561" s="51" t="s">
        <v>151</v>
      </c>
      <c r="B2561" s="55" t="n">
        <v>44377</v>
      </c>
      <c r="C2561" s="51" t="s">
        <v>791</v>
      </c>
      <c r="D2561" s="51" t="n">
        <v>0</v>
      </c>
    </row>
    <row r="2562" customFormat="false" ht="15" hidden="true" customHeight="false" outlineLevel="0" collapsed="false">
      <c r="A2562" s="51" t="s">
        <v>156</v>
      </c>
      <c r="B2562" s="55" t="n">
        <v>44377</v>
      </c>
      <c r="C2562" s="51" t="s">
        <v>791</v>
      </c>
      <c r="D2562" s="51" t="n">
        <v>0</v>
      </c>
    </row>
    <row r="2563" customFormat="false" ht="15" hidden="true" customHeight="false" outlineLevel="0" collapsed="false">
      <c r="A2563" s="51" t="s">
        <v>161</v>
      </c>
      <c r="B2563" s="55" t="n">
        <v>44377</v>
      </c>
      <c r="C2563" s="51" t="s">
        <v>791</v>
      </c>
      <c r="D2563" s="51" t="n">
        <v>0</v>
      </c>
    </row>
    <row r="2564" customFormat="false" ht="15" hidden="true" customHeight="false" outlineLevel="0" collapsed="false">
      <c r="A2564" s="51" t="s">
        <v>166</v>
      </c>
      <c r="B2564" s="55" t="n">
        <v>44377</v>
      </c>
      <c r="C2564" s="51" t="s">
        <v>791</v>
      </c>
      <c r="D2564" s="51" t="n">
        <v>0</v>
      </c>
    </row>
    <row r="2565" customFormat="false" ht="15" hidden="true" customHeight="false" outlineLevel="0" collapsed="false">
      <c r="A2565" s="51" t="s">
        <v>171</v>
      </c>
      <c r="B2565" s="55" t="n">
        <v>44377</v>
      </c>
      <c r="C2565" s="51" t="s">
        <v>791</v>
      </c>
      <c r="D2565" s="51" t="n">
        <v>0</v>
      </c>
    </row>
    <row r="2566" customFormat="false" ht="15" hidden="true" customHeight="false" outlineLevel="0" collapsed="false">
      <c r="A2566" s="51" t="s">
        <v>176</v>
      </c>
      <c r="B2566" s="55" t="n">
        <v>44377</v>
      </c>
      <c r="C2566" s="51" t="s">
        <v>791</v>
      </c>
      <c r="D2566" s="51" t="n">
        <v>0</v>
      </c>
    </row>
    <row r="2567" customFormat="false" ht="15" hidden="true" customHeight="false" outlineLevel="0" collapsed="false">
      <c r="A2567" s="51" t="s">
        <v>181</v>
      </c>
      <c r="B2567" s="55" t="n">
        <v>44377</v>
      </c>
      <c r="C2567" s="51" t="s">
        <v>791</v>
      </c>
      <c r="D2567" s="51" t="n">
        <v>0</v>
      </c>
    </row>
    <row r="2568" customFormat="false" ht="15" hidden="true" customHeight="false" outlineLevel="0" collapsed="false">
      <c r="A2568" s="51" t="s">
        <v>186</v>
      </c>
      <c r="B2568" s="55" t="n">
        <v>44377</v>
      </c>
      <c r="C2568" s="51" t="s">
        <v>791</v>
      </c>
      <c r="D2568" s="51" t="n">
        <v>0</v>
      </c>
    </row>
    <row r="2569" customFormat="false" ht="15" hidden="true" customHeight="false" outlineLevel="0" collapsed="false">
      <c r="A2569" s="51" t="s">
        <v>191</v>
      </c>
      <c r="B2569" s="55" t="n">
        <v>44377</v>
      </c>
      <c r="C2569" s="51" t="s">
        <v>791</v>
      </c>
      <c r="D2569" s="51" t="n">
        <v>0</v>
      </c>
    </row>
    <row r="2570" customFormat="false" ht="15" hidden="true" customHeight="false" outlineLevel="0" collapsed="false">
      <c r="A2570" s="51" t="s">
        <v>196</v>
      </c>
      <c r="B2570" s="55" t="n">
        <v>44377</v>
      </c>
      <c r="C2570" s="51" t="s">
        <v>791</v>
      </c>
      <c r="D2570" s="51" t="n">
        <v>4125000</v>
      </c>
    </row>
    <row r="2571" customFormat="false" ht="15" hidden="true" customHeight="false" outlineLevel="0" collapsed="false">
      <c r="A2571" s="51" t="s">
        <v>201</v>
      </c>
      <c r="B2571" s="55" t="n">
        <v>44377</v>
      </c>
      <c r="C2571" s="51" t="s">
        <v>791</v>
      </c>
      <c r="D2571" s="51" t="n">
        <v>630924.61</v>
      </c>
    </row>
    <row r="2572" customFormat="false" ht="15" hidden="true" customHeight="false" outlineLevel="0" collapsed="false">
      <c r="A2572" s="51" t="s">
        <v>206</v>
      </c>
      <c r="B2572" s="55" t="n">
        <v>44377</v>
      </c>
      <c r="C2572" s="51" t="s">
        <v>791</v>
      </c>
      <c r="D2572" s="51" t="n">
        <v>3788001.31</v>
      </c>
    </row>
    <row r="2573" customFormat="false" ht="15" hidden="true" customHeight="false" outlineLevel="0" collapsed="false">
      <c r="A2573" s="51" t="s">
        <v>210</v>
      </c>
      <c r="B2573" s="55" t="n">
        <v>44377</v>
      </c>
      <c r="C2573" s="51" t="s">
        <v>791</v>
      </c>
      <c r="D2573" s="51" t="n">
        <v>110000</v>
      </c>
    </row>
    <row r="2574" customFormat="false" ht="15" hidden="true" customHeight="false" outlineLevel="0" collapsed="false">
      <c r="A2574" s="51" t="s">
        <v>215</v>
      </c>
      <c r="B2574" s="55" t="n">
        <v>44377</v>
      </c>
      <c r="C2574" s="51" t="s">
        <v>791</v>
      </c>
      <c r="D2574" s="51" t="n">
        <v>750000</v>
      </c>
    </row>
    <row r="2575" customFormat="false" ht="15" hidden="true" customHeight="false" outlineLevel="0" collapsed="false">
      <c r="A2575" s="51" t="s">
        <v>790</v>
      </c>
      <c r="B2575" s="55" t="n">
        <v>44377</v>
      </c>
      <c r="C2575" s="51" t="s">
        <v>791</v>
      </c>
      <c r="D2575" s="51" t="n">
        <v>0</v>
      </c>
    </row>
    <row r="2576" customFormat="false" ht="15" hidden="true" customHeight="false" outlineLevel="0" collapsed="false">
      <c r="A2576" s="51" t="s">
        <v>225</v>
      </c>
      <c r="B2576" s="55" t="n">
        <v>44377</v>
      </c>
      <c r="C2576" s="51" t="s">
        <v>791</v>
      </c>
      <c r="D2576" s="51" t="n">
        <v>0</v>
      </c>
    </row>
    <row r="2577" customFormat="false" ht="15" hidden="true" customHeight="false" outlineLevel="0" collapsed="false">
      <c r="A2577" s="51" t="s">
        <v>230</v>
      </c>
      <c r="B2577" s="55" t="n">
        <v>44377</v>
      </c>
      <c r="C2577" s="51" t="s">
        <v>791</v>
      </c>
      <c r="D2577" s="51" t="n">
        <v>0</v>
      </c>
    </row>
    <row r="2578" customFormat="false" ht="15" hidden="true" customHeight="false" outlineLevel="0" collapsed="false">
      <c r="A2578" s="51" t="s">
        <v>235</v>
      </c>
      <c r="B2578" s="55" t="n">
        <v>44377</v>
      </c>
      <c r="C2578" s="51" t="s">
        <v>791</v>
      </c>
      <c r="D2578" s="51" t="n">
        <v>0</v>
      </c>
    </row>
    <row r="2579" customFormat="false" ht="15" hidden="true" customHeight="false" outlineLevel="0" collapsed="false">
      <c r="A2579" s="51" t="s">
        <v>240</v>
      </c>
      <c r="B2579" s="55" t="n">
        <v>44377</v>
      </c>
      <c r="C2579" s="51" t="s">
        <v>791</v>
      </c>
      <c r="D2579" s="51" t="n">
        <v>0</v>
      </c>
    </row>
    <row r="2580" customFormat="false" ht="15" hidden="true" customHeight="false" outlineLevel="0" collapsed="false">
      <c r="A2580" s="51" t="s">
        <v>246</v>
      </c>
      <c r="B2580" s="55" t="n">
        <v>44377</v>
      </c>
      <c r="C2580" s="51" t="s">
        <v>791</v>
      </c>
      <c r="D2580" s="51" t="n">
        <v>0</v>
      </c>
    </row>
    <row r="2581" customFormat="false" ht="15" hidden="true" customHeight="false" outlineLevel="0" collapsed="false">
      <c r="A2581" s="51" t="s">
        <v>252</v>
      </c>
      <c r="B2581" s="55" t="n">
        <v>44377</v>
      </c>
      <c r="C2581" s="51" t="s">
        <v>791</v>
      </c>
      <c r="D2581" s="51" t="n">
        <v>0</v>
      </c>
    </row>
    <row r="2582" customFormat="false" ht="15" hidden="true" customHeight="false" outlineLevel="0" collapsed="false">
      <c r="A2582" s="51" t="s">
        <v>257</v>
      </c>
      <c r="B2582" s="55" t="n">
        <v>44377</v>
      </c>
      <c r="C2582" s="51" t="s">
        <v>791</v>
      </c>
      <c r="D2582" s="51" t="n">
        <v>2715649</v>
      </c>
    </row>
    <row r="2583" customFormat="false" ht="15" hidden="true" customHeight="false" outlineLevel="0" collapsed="false">
      <c r="A2583" s="51" t="s">
        <v>262</v>
      </c>
      <c r="B2583" s="55" t="n">
        <v>44377</v>
      </c>
      <c r="C2583" s="51" t="s">
        <v>791</v>
      </c>
      <c r="D2583" s="51" t="n">
        <v>0</v>
      </c>
    </row>
    <row r="2584" customFormat="false" ht="15" hidden="true" customHeight="false" outlineLevel="0" collapsed="false">
      <c r="A2584" s="51" t="s">
        <v>267</v>
      </c>
      <c r="B2584" s="55" t="n">
        <v>44377</v>
      </c>
      <c r="C2584" s="51" t="s">
        <v>791</v>
      </c>
      <c r="D2584" s="51" t="n">
        <v>0</v>
      </c>
    </row>
    <row r="2585" customFormat="false" ht="15" hidden="true" customHeight="false" outlineLevel="0" collapsed="false">
      <c r="A2585" s="51" t="s">
        <v>272</v>
      </c>
      <c r="B2585" s="55" t="n">
        <v>44377</v>
      </c>
      <c r="C2585" s="51" t="s">
        <v>791</v>
      </c>
      <c r="D2585" s="51" t="n">
        <v>0</v>
      </c>
    </row>
    <row r="2586" customFormat="false" ht="15" hidden="true" customHeight="false" outlineLevel="0" collapsed="false">
      <c r="A2586" s="51" t="s">
        <v>277</v>
      </c>
      <c r="B2586" s="55" t="n">
        <v>44377</v>
      </c>
      <c r="C2586" s="51" t="s">
        <v>791</v>
      </c>
      <c r="D2586" s="51" t="n">
        <v>0</v>
      </c>
    </row>
    <row r="2587" customFormat="false" ht="15" hidden="true" customHeight="false" outlineLevel="0" collapsed="false">
      <c r="A2587" s="51" t="s">
        <v>282</v>
      </c>
      <c r="B2587" s="55" t="n">
        <v>44377</v>
      </c>
      <c r="C2587" s="51" t="s">
        <v>791</v>
      </c>
      <c r="D2587" s="51" t="n">
        <v>0</v>
      </c>
    </row>
    <row r="2588" customFormat="false" ht="15" hidden="true" customHeight="false" outlineLevel="0" collapsed="false">
      <c r="A2588" s="51" t="s">
        <v>287</v>
      </c>
      <c r="B2588" s="55" t="n">
        <v>44377</v>
      </c>
      <c r="C2588" s="51" t="s">
        <v>791</v>
      </c>
      <c r="D2588" s="51" t="n">
        <v>0</v>
      </c>
    </row>
    <row r="2589" customFormat="false" ht="15" hidden="true" customHeight="false" outlineLevel="0" collapsed="false">
      <c r="A2589" s="51" t="s">
        <v>292</v>
      </c>
      <c r="B2589" s="55" t="n">
        <v>44377</v>
      </c>
      <c r="C2589" s="51" t="s">
        <v>791</v>
      </c>
      <c r="D2589" s="51" t="n">
        <v>0</v>
      </c>
    </row>
    <row r="2590" customFormat="false" ht="15" hidden="true" customHeight="false" outlineLevel="0" collapsed="false">
      <c r="A2590" s="51" t="s">
        <v>297</v>
      </c>
      <c r="B2590" s="55" t="n">
        <v>44377</v>
      </c>
      <c r="C2590" s="51" t="s">
        <v>791</v>
      </c>
      <c r="D2590" s="51" t="n">
        <v>0</v>
      </c>
    </row>
    <row r="2591" customFormat="false" ht="15" hidden="true" customHeight="false" outlineLevel="0" collapsed="false">
      <c r="A2591" s="51" t="s">
        <v>302</v>
      </c>
      <c r="B2591" s="55" t="n">
        <v>44377</v>
      </c>
      <c r="C2591" s="51" t="s">
        <v>791</v>
      </c>
      <c r="D2591" s="51" t="n">
        <v>0</v>
      </c>
    </row>
    <row r="2592" customFormat="false" ht="15" hidden="true" customHeight="false" outlineLevel="0" collapsed="false">
      <c r="A2592" s="51" t="s">
        <v>307</v>
      </c>
      <c r="B2592" s="55" t="n">
        <v>44377</v>
      </c>
      <c r="C2592" s="51" t="s">
        <v>791</v>
      </c>
      <c r="D2592" s="51" t="n">
        <v>0</v>
      </c>
    </row>
    <row r="2593" customFormat="false" ht="15" hidden="true" customHeight="false" outlineLevel="0" collapsed="false">
      <c r="A2593" s="51" t="s">
        <v>311</v>
      </c>
      <c r="B2593" s="55" t="n">
        <v>44377</v>
      </c>
      <c r="C2593" s="51" t="s">
        <v>791</v>
      </c>
      <c r="D2593" s="51" t="n">
        <v>0</v>
      </c>
    </row>
    <row r="2594" customFormat="false" ht="15" hidden="true" customHeight="false" outlineLevel="0" collapsed="false">
      <c r="A2594" s="51" t="s">
        <v>317</v>
      </c>
      <c r="B2594" s="55" t="n">
        <v>44377</v>
      </c>
      <c r="C2594" s="51" t="s">
        <v>791</v>
      </c>
      <c r="D2594" s="51" t="n">
        <v>0</v>
      </c>
    </row>
    <row r="2595" customFormat="false" ht="15" hidden="true" customHeight="false" outlineLevel="0" collapsed="false">
      <c r="A2595" s="51" t="s">
        <v>322</v>
      </c>
      <c r="B2595" s="55" t="n">
        <v>44377</v>
      </c>
      <c r="C2595" s="51" t="s">
        <v>791</v>
      </c>
      <c r="D2595" s="51" t="n">
        <v>0</v>
      </c>
    </row>
    <row r="2596" customFormat="false" ht="15" hidden="true" customHeight="false" outlineLevel="0" collapsed="false">
      <c r="A2596" s="51" t="s">
        <v>327</v>
      </c>
      <c r="B2596" s="55" t="n">
        <v>44377</v>
      </c>
      <c r="C2596" s="51" t="s">
        <v>791</v>
      </c>
      <c r="D2596" s="51" t="n">
        <v>0</v>
      </c>
    </row>
    <row r="2597" customFormat="false" ht="15" hidden="true" customHeight="false" outlineLevel="0" collapsed="false">
      <c r="A2597" s="51" t="s">
        <v>332</v>
      </c>
      <c r="B2597" s="55" t="n">
        <v>44377</v>
      </c>
      <c r="C2597" s="51" t="s">
        <v>791</v>
      </c>
      <c r="D2597" s="51" t="n">
        <v>0</v>
      </c>
    </row>
    <row r="2598" customFormat="false" ht="15" hidden="true" customHeight="false" outlineLevel="0" collapsed="false">
      <c r="A2598" s="51" t="s">
        <v>339</v>
      </c>
      <c r="B2598" s="55" t="n">
        <v>44377</v>
      </c>
      <c r="C2598" s="51" t="s">
        <v>791</v>
      </c>
      <c r="D2598" s="51" t="n">
        <v>0</v>
      </c>
    </row>
    <row r="2599" customFormat="false" ht="15" hidden="true" customHeight="false" outlineLevel="0" collapsed="false">
      <c r="A2599" s="51" t="s">
        <v>344</v>
      </c>
      <c r="B2599" s="55" t="n">
        <v>44377</v>
      </c>
      <c r="C2599" s="51" t="s">
        <v>791</v>
      </c>
      <c r="D2599" s="51" t="n">
        <v>0</v>
      </c>
    </row>
    <row r="2600" customFormat="false" ht="15" hidden="true" customHeight="false" outlineLevel="0" collapsed="false">
      <c r="A2600" s="51" t="s">
        <v>349</v>
      </c>
      <c r="B2600" s="55" t="n">
        <v>44377</v>
      </c>
      <c r="C2600" s="51" t="s">
        <v>791</v>
      </c>
      <c r="D2600" s="51" t="n">
        <v>0</v>
      </c>
    </row>
    <row r="2601" customFormat="false" ht="15" hidden="true" customHeight="false" outlineLevel="0" collapsed="false">
      <c r="A2601" s="51" t="s">
        <v>354</v>
      </c>
      <c r="B2601" s="55" t="n">
        <v>44377</v>
      </c>
      <c r="C2601" s="51" t="s">
        <v>791</v>
      </c>
      <c r="D2601" s="51" t="n">
        <v>0</v>
      </c>
    </row>
    <row r="2602" customFormat="false" ht="15" hidden="true" customHeight="false" outlineLevel="0" collapsed="false">
      <c r="A2602" s="51" t="s">
        <v>359</v>
      </c>
      <c r="B2602" s="55" t="n">
        <v>44377</v>
      </c>
      <c r="C2602" s="51" t="s">
        <v>791</v>
      </c>
      <c r="D2602" s="51" t="n">
        <v>0</v>
      </c>
    </row>
    <row r="2603" customFormat="false" ht="15" hidden="true" customHeight="false" outlineLevel="0" collapsed="false">
      <c r="A2603" s="51" t="s">
        <v>364</v>
      </c>
      <c r="B2603" s="55" t="n">
        <v>44377</v>
      </c>
      <c r="C2603" s="51" t="s">
        <v>791</v>
      </c>
      <c r="D2603" s="51" t="n">
        <v>0</v>
      </c>
    </row>
    <row r="2604" customFormat="false" ht="15" hidden="true" customHeight="false" outlineLevel="0" collapsed="false">
      <c r="A2604" s="51" t="s">
        <v>369</v>
      </c>
      <c r="B2604" s="55" t="n">
        <v>44377</v>
      </c>
      <c r="C2604" s="51" t="s">
        <v>791</v>
      </c>
      <c r="D2604" s="51" t="n">
        <v>0</v>
      </c>
    </row>
    <row r="2605" customFormat="false" ht="15" hidden="true" customHeight="false" outlineLevel="0" collapsed="false">
      <c r="A2605" s="51" t="s">
        <v>374</v>
      </c>
      <c r="B2605" s="55" t="n">
        <v>44377</v>
      </c>
      <c r="C2605" s="51" t="s">
        <v>791</v>
      </c>
      <c r="D2605" s="51" t="n">
        <v>0</v>
      </c>
    </row>
    <row r="2606" customFormat="false" ht="15" hidden="true" customHeight="false" outlineLevel="0" collapsed="false">
      <c r="A2606" s="51" t="s">
        <v>379</v>
      </c>
      <c r="B2606" s="55" t="n">
        <v>44377</v>
      </c>
      <c r="C2606" s="51" t="s">
        <v>791</v>
      </c>
      <c r="D2606" s="51" t="n">
        <v>0</v>
      </c>
    </row>
    <row r="2607" customFormat="false" ht="15" hidden="true" customHeight="false" outlineLevel="0" collapsed="false">
      <c r="A2607" s="51" t="s">
        <v>384</v>
      </c>
      <c r="B2607" s="55" t="n">
        <v>44377</v>
      </c>
      <c r="C2607" s="51" t="s">
        <v>791</v>
      </c>
      <c r="D2607" s="51" t="n">
        <v>0</v>
      </c>
    </row>
    <row r="2608" customFormat="false" ht="15" hidden="true" customHeight="false" outlineLevel="0" collapsed="false">
      <c r="A2608" s="51" t="s">
        <v>389</v>
      </c>
      <c r="B2608" s="55" t="n">
        <v>44377</v>
      </c>
      <c r="C2608" s="51" t="s">
        <v>791</v>
      </c>
      <c r="D2608" s="51" t="n">
        <v>0</v>
      </c>
    </row>
    <row r="2609" customFormat="false" ht="15" hidden="true" customHeight="false" outlineLevel="0" collapsed="false">
      <c r="A2609" s="51" t="s">
        <v>394</v>
      </c>
      <c r="B2609" s="55" t="n">
        <v>44377</v>
      </c>
      <c r="C2609" s="51" t="s">
        <v>791</v>
      </c>
      <c r="D2609" s="51" t="n">
        <v>0</v>
      </c>
    </row>
    <row r="2610" customFormat="false" ht="15" hidden="true" customHeight="false" outlineLevel="0" collapsed="false">
      <c r="A2610" s="51" t="s">
        <v>399</v>
      </c>
      <c r="B2610" s="55" t="n">
        <v>44377</v>
      </c>
      <c r="C2610" s="51" t="s">
        <v>791</v>
      </c>
      <c r="D2610" s="51" t="n">
        <v>0</v>
      </c>
    </row>
    <row r="2611" customFormat="false" ht="15" hidden="true" customHeight="false" outlineLevel="0" collapsed="false">
      <c r="A2611" s="51" t="s">
        <v>404</v>
      </c>
      <c r="B2611" s="55" t="n">
        <v>44377</v>
      </c>
      <c r="C2611" s="51" t="s">
        <v>791</v>
      </c>
      <c r="D2611" s="51" t="n">
        <v>0</v>
      </c>
    </row>
    <row r="2612" customFormat="false" ht="15" hidden="true" customHeight="false" outlineLevel="0" collapsed="false">
      <c r="A2612" s="51" t="s">
        <v>409</v>
      </c>
      <c r="B2612" s="55" t="n">
        <v>44377</v>
      </c>
      <c r="C2612" s="51" t="s">
        <v>791</v>
      </c>
      <c r="D2612" s="51" t="n">
        <v>0</v>
      </c>
    </row>
    <row r="2613" customFormat="false" ht="15" hidden="true" customHeight="false" outlineLevel="0" collapsed="false">
      <c r="A2613" s="51" t="s">
        <v>414</v>
      </c>
      <c r="B2613" s="55" t="n">
        <v>44377</v>
      </c>
      <c r="C2613" s="51" t="s">
        <v>791</v>
      </c>
      <c r="D2613" s="51" t="n">
        <v>0</v>
      </c>
    </row>
    <row r="2614" customFormat="false" ht="15" hidden="true" customHeight="false" outlineLevel="0" collapsed="false">
      <c r="A2614" s="51" t="s">
        <v>419</v>
      </c>
      <c r="B2614" s="55" t="n">
        <v>44377</v>
      </c>
      <c r="C2614" s="51" t="s">
        <v>791</v>
      </c>
      <c r="D2614" s="51" t="n">
        <v>0</v>
      </c>
    </row>
    <row r="2615" customFormat="false" ht="15" hidden="true" customHeight="false" outlineLevel="0" collapsed="false">
      <c r="A2615" s="51" t="s">
        <v>424</v>
      </c>
      <c r="B2615" s="55" t="n">
        <v>44377</v>
      </c>
      <c r="C2615" s="51" t="s">
        <v>791</v>
      </c>
      <c r="D2615" s="51" t="n">
        <v>0</v>
      </c>
    </row>
    <row r="2616" customFormat="false" ht="15" hidden="true" customHeight="false" outlineLevel="0" collapsed="false">
      <c r="A2616" s="51" t="s">
        <v>429</v>
      </c>
      <c r="B2616" s="55" t="n">
        <v>44377</v>
      </c>
      <c r="C2616" s="51" t="s">
        <v>791</v>
      </c>
      <c r="D2616" s="51" t="n">
        <v>0</v>
      </c>
    </row>
    <row r="2617" customFormat="false" ht="15" hidden="true" customHeight="false" outlineLevel="0" collapsed="false">
      <c r="A2617" s="51" t="s">
        <v>434</v>
      </c>
      <c r="B2617" s="55" t="n">
        <v>44377</v>
      </c>
      <c r="C2617" s="51" t="s">
        <v>791</v>
      </c>
      <c r="D2617" s="51" t="n">
        <v>0</v>
      </c>
    </row>
    <row r="2618" customFormat="false" ht="15" hidden="true" customHeight="false" outlineLevel="0" collapsed="false">
      <c r="A2618" s="51" t="s">
        <v>438</v>
      </c>
      <c r="B2618" s="55" t="n">
        <v>44377</v>
      </c>
      <c r="C2618" s="51" t="s">
        <v>791</v>
      </c>
      <c r="D2618" s="51" t="n">
        <v>0</v>
      </c>
    </row>
    <row r="2619" customFormat="false" ht="15" hidden="true" customHeight="false" outlineLevel="0" collapsed="false">
      <c r="A2619" s="51" t="s">
        <v>443</v>
      </c>
      <c r="B2619" s="55" t="n">
        <v>44377</v>
      </c>
      <c r="C2619" s="51" t="s">
        <v>791</v>
      </c>
      <c r="D2619" s="51" t="n">
        <v>0</v>
      </c>
    </row>
    <row r="2620" customFormat="false" ht="15" hidden="true" customHeight="false" outlineLevel="0" collapsed="false">
      <c r="A2620" s="51" t="s">
        <v>448</v>
      </c>
      <c r="B2620" s="55" t="n">
        <v>44377</v>
      </c>
      <c r="C2620" s="51" t="s">
        <v>791</v>
      </c>
      <c r="D2620" s="51" t="n">
        <v>0</v>
      </c>
    </row>
    <row r="2621" customFormat="false" ht="15" hidden="true" customHeight="false" outlineLevel="0" collapsed="false">
      <c r="A2621" s="51" t="s">
        <v>453</v>
      </c>
      <c r="B2621" s="55" t="n">
        <v>44377</v>
      </c>
      <c r="C2621" s="51" t="s">
        <v>791</v>
      </c>
      <c r="D2621" s="51" t="n">
        <v>0</v>
      </c>
    </row>
    <row r="2622" customFormat="false" ht="15" hidden="true" customHeight="false" outlineLevel="0" collapsed="false">
      <c r="A2622" s="51" t="s">
        <v>458</v>
      </c>
      <c r="B2622" s="55" t="n">
        <v>44377</v>
      </c>
      <c r="C2622" s="51" t="s">
        <v>791</v>
      </c>
      <c r="D2622" s="51" t="n">
        <v>0</v>
      </c>
    </row>
    <row r="2623" customFormat="false" ht="15" hidden="true" customHeight="false" outlineLevel="0" collapsed="false">
      <c r="A2623" s="51" t="s">
        <v>473</v>
      </c>
      <c r="B2623" s="55" t="n">
        <v>44377</v>
      </c>
      <c r="C2623" s="51" t="s">
        <v>791</v>
      </c>
      <c r="D2623" s="51" t="n">
        <v>0</v>
      </c>
    </row>
    <row r="2624" customFormat="false" ht="15" hidden="true" customHeight="false" outlineLevel="0" collapsed="false">
      <c r="A2624" s="51" t="s">
        <v>479</v>
      </c>
      <c r="B2624" s="55" t="n">
        <v>44377</v>
      </c>
      <c r="C2624" s="51" t="s">
        <v>791</v>
      </c>
      <c r="D2624" s="51" t="n">
        <v>0</v>
      </c>
    </row>
    <row r="2625" customFormat="false" ht="15" hidden="true" customHeight="false" outlineLevel="0" collapsed="false">
      <c r="A2625" s="51" t="s">
        <v>484</v>
      </c>
      <c r="B2625" s="55" t="n">
        <v>44377</v>
      </c>
      <c r="C2625" s="51" t="s">
        <v>791</v>
      </c>
      <c r="D2625" s="51" t="n">
        <v>0</v>
      </c>
    </row>
    <row r="2626" customFormat="false" ht="15" hidden="true" customHeight="false" outlineLevel="0" collapsed="false">
      <c r="A2626" s="51" t="s">
        <v>489</v>
      </c>
      <c r="B2626" s="55" t="n">
        <v>44377</v>
      </c>
      <c r="C2626" s="51" t="s">
        <v>791</v>
      </c>
      <c r="D2626" s="51" t="n">
        <v>0</v>
      </c>
    </row>
    <row r="2627" customFormat="false" ht="15" hidden="true" customHeight="false" outlineLevel="0" collapsed="false">
      <c r="A2627" s="51" t="s">
        <v>494</v>
      </c>
      <c r="B2627" s="55" t="n">
        <v>44377</v>
      </c>
      <c r="C2627" s="51" t="s">
        <v>791</v>
      </c>
      <c r="D2627" s="51" t="n">
        <v>0</v>
      </c>
    </row>
    <row r="2628" customFormat="false" ht="15" hidden="true" customHeight="false" outlineLevel="0" collapsed="false">
      <c r="A2628" s="51" t="s">
        <v>499</v>
      </c>
      <c r="B2628" s="55" t="n">
        <v>44377</v>
      </c>
      <c r="C2628" s="51" t="s">
        <v>791</v>
      </c>
      <c r="D2628" s="51" t="n">
        <v>0</v>
      </c>
    </row>
    <row r="2629" customFormat="false" ht="15" hidden="true" customHeight="false" outlineLevel="0" collapsed="false">
      <c r="A2629" s="51" t="s">
        <v>504</v>
      </c>
      <c r="B2629" s="55" t="n">
        <v>44377</v>
      </c>
      <c r="C2629" s="51" t="s">
        <v>791</v>
      </c>
      <c r="D2629" s="51" t="n">
        <v>0</v>
      </c>
    </row>
    <row r="2630" customFormat="false" ht="15" hidden="true" customHeight="false" outlineLevel="0" collapsed="false">
      <c r="A2630" s="51" t="s">
        <v>509</v>
      </c>
      <c r="B2630" s="55" t="n">
        <v>44377</v>
      </c>
      <c r="C2630" s="51" t="s">
        <v>791</v>
      </c>
      <c r="D2630" s="51" t="n">
        <v>0</v>
      </c>
    </row>
    <row r="2631" customFormat="false" ht="15" hidden="true" customHeight="false" outlineLevel="0" collapsed="false">
      <c r="A2631" s="51" t="s">
        <v>515</v>
      </c>
      <c r="B2631" s="55" t="n">
        <v>44377</v>
      </c>
      <c r="C2631" s="51" t="s">
        <v>791</v>
      </c>
      <c r="D2631" s="51" t="n">
        <v>0</v>
      </c>
    </row>
    <row r="2632" customFormat="false" ht="15" hidden="true" customHeight="false" outlineLevel="0" collapsed="false">
      <c r="A2632" s="51" t="s">
        <v>520</v>
      </c>
      <c r="B2632" s="55" t="n">
        <v>44377</v>
      </c>
      <c r="C2632" s="51" t="s">
        <v>791</v>
      </c>
      <c r="D2632" s="51" t="n">
        <v>0</v>
      </c>
    </row>
    <row r="2633" customFormat="false" ht="15" hidden="true" customHeight="false" outlineLevel="0" collapsed="false">
      <c r="A2633" s="51" t="s">
        <v>525</v>
      </c>
      <c r="B2633" s="55" t="n">
        <v>44377</v>
      </c>
      <c r="C2633" s="51" t="s">
        <v>791</v>
      </c>
      <c r="D2633" s="51" t="n">
        <v>0</v>
      </c>
    </row>
    <row r="2634" customFormat="false" ht="15" hidden="true" customHeight="false" outlineLevel="0" collapsed="false">
      <c r="A2634" s="51" t="s">
        <v>531</v>
      </c>
      <c r="B2634" s="55" t="n">
        <v>44377</v>
      </c>
      <c r="C2634" s="51" t="s">
        <v>791</v>
      </c>
      <c r="D2634" s="51" t="n">
        <v>0</v>
      </c>
    </row>
    <row r="2635" customFormat="false" ht="15" hidden="true" customHeight="false" outlineLevel="0" collapsed="false">
      <c r="A2635" s="51" t="s">
        <v>536</v>
      </c>
      <c r="B2635" s="55" t="n">
        <v>44377</v>
      </c>
      <c r="C2635" s="51" t="s">
        <v>791</v>
      </c>
      <c r="D2635" s="51" t="n">
        <v>0</v>
      </c>
    </row>
    <row r="2636" customFormat="false" ht="15" hidden="true" customHeight="false" outlineLevel="0" collapsed="false">
      <c r="A2636" s="51" t="s">
        <v>541</v>
      </c>
      <c r="B2636" s="55" t="n">
        <v>44377</v>
      </c>
      <c r="C2636" s="51" t="s">
        <v>791</v>
      </c>
      <c r="D2636" s="51" t="n">
        <v>0</v>
      </c>
    </row>
    <row r="2637" customFormat="false" ht="15" hidden="true" customHeight="false" outlineLevel="0" collapsed="false">
      <c r="A2637" s="51" t="s">
        <v>549</v>
      </c>
      <c r="B2637" s="55" t="n">
        <v>44377</v>
      </c>
      <c r="C2637" s="51" t="s">
        <v>791</v>
      </c>
      <c r="D2637" s="51" t="n">
        <v>0</v>
      </c>
    </row>
    <row r="2638" customFormat="false" ht="15" hidden="true" customHeight="false" outlineLevel="0" collapsed="false">
      <c r="A2638" s="51" t="s">
        <v>554</v>
      </c>
      <c r="B2638" s="55" t="n">
        <v>44377</v>
      </c>
      <c r="C2638" s="51" t="s">
        <v>791</v>
      </c>
      <c r="D2638" s="51" t="n">
        <v>0</v>
      </c>
    </row>
    <row r="2639" customFormat="false" ht="15" hidden="true" customHeight="false" outlineLevel="0" collapsed="false">
      <c r="A2639" s="51" t="s">
        <v>559</v>
      </c>
      <c r="B2639" s="55" t="n">
        <v>44377</v>
      </c>
      <c r="C2639" s="51" t="s">
        <v>791</v>
      </c>
      <c r="D2639" s="51" t="n">
        <v>0</v>
      </c>
    </row>
    <row r="2640" customFormat="false" ht="15" hidden="true" customHeight="false" outlineLevel="0" collapsed="false">
      <c r="A2640" s="51" t="s">
        <v>564</v>
      </c>
      <c r="B2640" s="55" t="n">
        <v>44377</v>
      </c>
      <c r="C2640" s="51" t="s">
        <v>791</v>
      </c>
      <c r="D2640" s="51" t="n">
        <v>0</v>
      </c>
    </row>
    <row r="2641" customFormat="false" ht="15" hidden="true" customHeight="false" outlineLevel="0" collapsed="false">
      <c r="A2641" s="51" t="s">
        <v>569</v>
      </c>
      <c r="B2641" s="55" t="n">
        <v>44377</v>
      </c>
      <c r="C2641" s="51" t="s">
        <v>791</v>
      </c>
      <c r="D2641" s="51" t="n">
        <v>0</v>
      </c>
    </row>
    <row r="2642" customFormat="false" ht="15" hidden="true" customHeight="false" outlineLevel="0" collapsed="false">
      <c r="A2642" s="51" t="s">
        <v>574</v>
      </c>
      <c r="B2642" s="55" t="n">
        <v>44377</v>
      </c>
      <c r="C2642" s="51" t="s">
        <v>791</v>
      </c>
      <c r="D2642" s="51" t="n">
        <v>0</v>
      </c>
    </row>
    <row r="2643" customFormat="false" ht="15" hidden="true" customHeight="false" outlineLevel="0" collapsed="false">
      <c r="A2643" s="51" t="s">
        <v>579</v>
      </c>
      <c r="B2643" s="55" t="n">
        <v>44377</v>
      </c>
      <c r="C2643" s="51" t="s">
        <v>791</v>
      </c>
      <c r="D2643" s="51" t="n">
        <v>0</v>
      </c>
    </row>
    <row r="2644" customFormat="false" ht="15" hidden="true" customHeight="false" outlineLevel="0" collapsed="false">
      <c r="A2644" s="51" t="s">
        <v>584</v>
      </c>
      <c r="B2644" s="55" t="n">
        <v>44377</v>
      </c>
      <c r="C2644" s="51" t="s">
        <v>791</v>
      </c>
      <c r="D2644" s="51" t="n">
        <v>0</v>
      </c>
    </row>
    <row r="2645" customFormat="false" ht="15" hidden="true" customHeight="false" outlineLevel="0" collapsed="false">
      <c r="A2645" s="51" t="s">
        <v>589</v>
      </c>
      <c r="B2645" s="55" t="n">
        <v>44377</v>
      </c>
      <c r="C2645" s="51" t="s">
        <v>791</v>
      </c>
      <c r="D2645" s="51" t="n">
        <v>0</v>
      </c>
    </row>
    <row r="2646" customFormat="false" ht="15" hidden="true" customHeight="false" outlineLevel="0" collapsed="false">
      <c r="A2646" s="51" t="s">
        <v>756</v>
      </c>
      <c r="B2646" s="55" t="n">
        <v>44377</v>
      </c>
      <c r="C2646" s="51" t="s">
        <v>791</v>
      </c>
      <c r="D2646" s="51" t="n">
        <v>0</v>
      </c>
    </row>
    <row r="2647" customFormat="false" ht="15" hidden="true" customHeight="false" outlineLevel="0" collapsed="false">
      <c r="A2647" s="51" t="s">
        <v>594</v>
      </c>
      <c r="B2647" s="55" t="n">
        <v>44377</v>
      </c>
      <c r="C2647" s="51" t="s">
        <v>791</v>
      </c>
      <c r="D2647" s="51" t="n">
        <v>0</v>
      </c>
    </row>
    <row r="2648" customFormat="false" ht="15" hidden="true" customHeight="false" outlineLevel="0" collapsed="false">
      <c r="A2648" s="51" t="s">
        <v>761</v>
      </c>
      <c r="B2648" s="55" t="n">
        <v>44377</v>
      </c>
      <c r="C2648" s="51" t="s">
        <v>791</v>
      </c>
      <c r="D2648" s="51" t="n">
        <v>0</v>
      </c>
    </row>
    <row r="2649" customFormat="false" ht="15" hidden="true" customHeight="false" outlineLevel="0" collapsed="false">
      <c r="A2649" s="51" t="s">
        <v>599</v>
      </c>
      <c r="B2649" s="55" t="n">
        <v>44377</v>
      </c>
      <c r="C2649" s="51" t="s">
        <v>791</v>
      </c>
      <c r="D2649" s="51" t="n">
        <v>0</v>
      </c>
    </row>
    <row r="2650" customFormat="false" ht="15" hidden="true" customHeight="false" outlineLevel="0" collapsed="false">
      <c r="A2650" s="51" t="s">
        <v>604</v>
      </c>
      <c r="B2650" s="55" t="n">
        <v>44377</v>
      </c>
      <c r="C2650" s="51" t="s">
        <v>791</v>
      </c>
      <c r="D2650" s="51" t="n">
        <v>0</v>
      </c>
    </row>
    <row r="2651" customFormat="false" ht="15" hidden="true" customHeight="false" outlineLevel="0" collapsed="false">
      <c r="A2651" s="51" t="s">
        <v>609</v>
      </c>
      <c r="B2651" s="55" t="n">
        <v>44377</v>
      </c>
      <c r="C2651" s="51" t="s">
        <v>791</v>
      </c>
      <c r="D2651" s="51" t="n">
        <v>0</v>
      </c>
    </row>
    <row r="2652" customFormat="false" ht="15" hidden="true" customHeight="false" outlineLevel="0" collapsed="false">
      <c r="A2652" s="51" t="s">
        <v>614</v>
      </c>
      <c r="B2652" s="55" t="n">
        <v>44377</v>
      </c>
      <c r="C2652" s="51" t="s">
        <v>791</v>
      </c>
      <c r="D2652" s="51" t="n">
        <v>0</v>
      </c>
    </row>
    <row r="2653" customFormat="false" ht="15" hidden="true" customHeight="false" outlineLevel="0" collapsed="false">
      <c r="A2653" s="51" t="s">
        <v>619</v>
      </c>
      <c r="B2653" s="55" t="n">
        <v>44377</v>
      </c>
      <c r="C2653" s="51" t="s">
        <v>791</v>
      </c>
      <c r="D2653" s="51" t="n">
        <v>0</v>
      </c>
    </row>
    <row r="2654" customFormat="false" ht="15" hidden="true" customHeight="false" outlineLevel="0" collapsed="false">
      <c r="A2654" s="51" t="s">
        <v>624</v>
      </c>
      <c r="B2654" s="55" t="n">
        <v>44377</v>
      </c>
      <c r="C2654" s="51" t="s">
        <v>791</v>
      </c>
      <c r="D2654" s="51" t="n">
        <v>0</v>
      </c>
    </row>
    <row r="2655" customFormat="false" ht="15" hidden="true" customHeight="false" outlineLevel="0" collapsed="false">
      <c r="A2655" s="51" t="s">
        <v>629</v>
      </c>
      <c r="B2655" s="55" t="n">
        <v>44377</v>
      </c>
      <c r="C2655" s="51" t="s">
        <v>791</v>
      </c>
      <c r="D2655" s="51" t="n">
        <v>0</v>
      </c>
    </row>
    <row r="2656" customFormat="false" ht="15" hidden="true" customHeight="false" outlineLevel="0" collapsed="false">
      <c r="A2656" s="51" t="s">
        <v>633</v>
      </c>
      <c r="B2656" s="55" t="n">
        <v>44377</v>
      </c>
      <c r="C2656" s="51" t="s">
        <v>791</v>
      </c>
      <c r="D2656" s="51" t="n">
        <v>0</v>
      </c>
    </row>
    <row r="2657" customFormat="false" ht="15" hidden="true" customHeight="false" outlineLevel="0" collapsed="false">
      <c r="A2657" s="51" t="s">
        <v>638</v>
      </c>
      <c r="B2657" s="55" t="n">
        <v>44377</v>
      </c>
      <c r="C2657" s="51" t="s">
        <v>791</v>
      </c>
      <c r="D2657" s="51" t="n">
        <v>0</v>
      </c>
    </row>
    <row r="2658" customFormat="false" ht="15" hidden="true" customHeight="false" outlineLevel="0" collapsed="false">
      <c r="A2658" s="51" t="s">
        <v>642</v>
      </c>
      <c r="B2658" s="55" t="n">
        <v>44377</v>
      </c>
      <c r="C2658" s="51" t="s">
        <v>791</v>
      </c>
      <c r="D2658" s="51" t="n">
        <v>0</v>
      </c>
    </row>
    <row r="2659" customFormat="false" ht="15" hidden="true" customHeight="false" outlineLevel="0" collapsed="false">
      <c r="A2659" s="51" t="s">
        <v>646</v>
      </c>
      <c r="B2659" s="55" t="n">
        <v>44377</v>
      </c>
      <c r="C2659" s="51" t="s">
        <v>791</v>
      </c>
      <c r="D2659" s="51" t="n">
        <v>0</v>
      </c>
    </row>
    <row r="2660" customFormat="false" ht="15" hidden="true" customHeight="false" outlineLevel="0" collapsed="false">
      <c r="A2660" s="51" t="s">
        <v>651</v>
      </c>
      <c r="B2660" s="55" t="n">
        <v>44377</v>
      </c>
      <c r="C2660" s="51" t="s">
        <v>791</v>
      </c>
      <c r="D2660" s="51" t="n">
        <v>0</v>
      </c>
    </row>
    <row r="2661" customFormat="false" ht="15" hidden="true" customHeight="false" outlineLevel="0" collapsed="false">
      <c r="A2661" s="51" t="s">
        <v>656</v>
      </c>
      <c r="B2661" s="55" t="n">
        <v>44377</v>
      </c>
      <c r="C2661" s="51" t="s">
        <v>791</v>
      </c>
      <c r="D2661" s="51" t="n">
        <v>0</v>
      </c>
    </row>
    <row r="2662" customFormat="false" ht="15" hidden="true" customHeight="false" outlineLevel="0" collapsed="false">
      <c r="A2662" s="51" t="s">
        <v>661</v>
      </c>
      <c r="B2662" s="55" t="n">
        <v>44377</v>
      </c>
      <c r="C2662" s="51" t="s">
        <v>791</v>
      </c>
      <c r="D2662" s="51" t="n">
        <v>0</v>
      </c>
    </row>
    <row r="2663" customFormat="false" ht="15" hidden="true" customHeight="false" outlineLevel="0" collapsed="false">
      <c r="A2663" s="51" t="s">
        <v>666</v>
      </c>
      <c r="B2663" s="55" t="n">
        <v>44377</v>
      </c>
      <c r="C2663" s="51" t="s">
        <v>791</v>
      </c>
      <c r="D2663" s="51" t="n">
        <v>0</v>
      </c>
    </row>
    <row r="2664" customFormat="false" ht="15" hidden="true" customHeight="false" outlineLevel="0" collapsed="false">
      <c r="A2664" s="51" t="s">
        <v>671</v>
      </c>
      <c r="B2664" s="55" t="n">
        <v>44377</v>
      </c>
      <c r="C2664" s="51" t="s">
        <v>791</v>
      </c>
      <c r="D2664" s="51" t="n">
        <v>0</v>
      </c>
    </row>
    <row r="2665" customFormat="false" ht="15" hidden="true" customHeight="false" outlineLevel="0" collapsed="false">
      <c r="A2665" s="51" t="s">
        <v>676</v>
      </c>
      <c r="B2665" s="55" t="n">
        <v>44377</v>
      </c>
      <c r="C2665" s="51" t="s">
        <v>791</v>
      </c>
      <c r="D2665" s="51" t="n">
        <v>0</v>
      </c>
    </row>
    <row r="2666" customFormat="false" ht="15" hidden="true" customHeight="false" outlineLevel="0" collapsed="false">
      <c r="A2666" s="51" t="s">
        <v>681</v>
      </c>
      <c r="B2666" s="55" t="n">
        <v>44377</v>
      </c>
      <c r="C2666" s="51" t="s">
        <v>791</v>
      </c>
      <c r="D2666" s="51" t="n">
        <v>0</v>
      </c>
    </row>
    <row r="2667" customFormat="false" ht="15" hidden="true" customHeight="false" outlineLevel="0" collapsed="false">
      <c r="A2667" s="51" t="s">
        <v>686</v>
      </c>
      <c r="B2667" s="55" t="n">
        <v>44377</v>
      </c>
      <c r="C2667" s="51" t="s">
        <v>791</v>
      </c>
      <c r="D2667" s="51" t="n">
        <v>0</v>
      </c>
    </row>
    <row r="2668" customFormat="false" ht="15" hidden="true" customHeight="false" outlineLevel="0" collapsed="false">
      <c r="A2668" s="51" t="s">
        <v>691</v>
      </c>
      <c r="B2668" s="55" t="n">
        <v>44377</v>
      </c>
      <c r="C2668" s="51" t="s">
        <v>791</v>
      </c>
      <c r="D2668" s="51" t="n">
        <v>0</v>
      </c>
    </row>
    <row r="2669" customFormat="false" ht="15" hidden="true" customHeight="false" outlineLevel="0" collapsed="false">
      <c r="A2669" s="51" t="s">
        <v>696</v>
      </c>
      <c r="B2669" s="55" t="n">
        <v>44377</v>
      </c>
      <c r="C2669" s="51" t="s">
        <v>791</v>
      </c>
      <c r="D2669" s="51" t="n">
        <v>0</v>
      </c>
    </row>
    <row r="2670" customFormat="false" ht="15" hidden="true" customHeight="false" outlineLevel="0" collapsed="false">
      <c r="A2670" s="51" t="s">
        <v>701</v>
      </c>
      <c r="B2670" s="55" t="n">
        <v>44377</v>
      </c>
      <c r="C2670" s="51" t="s">
        <v>791</v>
      </c>
      <c r="D2670" s="51" t="n">
        <v>0</v>
      </c>
    </row>
    <row r="2671" customFormat="false" ht="15" hidden="true" customHeight="false" outlineLevel="0" collapsed="false">
      <c r="A2671" s="51" t="s">
        <v>707</v>
      </c>
      <c r="B2671" s="55" t="n">
        <v>44377</v>
      </c>
      <c r="C2671" s="51" t="s">
        <v>791</v>
      </c>
      <c r="D2671" s="51" t="n">
        <v>0</v>
      </c>
    </row>
    <row r="2672" customFormat="false" ht="15" hidden="true" customHeight="false" outlineLevel="0" collapsed="false">
      <c r="A2672" s="51" t="s">
        <v>712</v>
      </c>
      <c r="B2672" s="55" t="n">
        <v>44377</v>
      </c>
      <c r="C2672" s="51" t="s">
        <v>791</v>
      </c>
      <c r="D2672" s="51" t="n">
        <v>0</v>
      </c>
    </row>
    <row r="2673" customFormat="false" ht="15" hidden="true" customHeight="false" outlineLevel="0" collapsed="false">
      <c r="A2673" s="51" t="s">
        <v>717</v>
      </c>
      <c r="B2673" s="55" t="n">
        <v>44377</v>
      </c>
      <c r="C2673" s="51" t="s">
        <v>791</v>
      </c>
      <c r="D2673" s="51" t="n">
        <v>0</v>
      </c>
    </row>
    <row r="2674" customFormat="false" ht="15" hidden="true" customHeight="false" outlineLevel="0" collapsed="false">
      <c r="A2674" s="51" t="s">
        <v>767</v>
      </c>
      <c r="B2674" s="55" t="n">
        <v>44377</v>
      </c>
      <c r="C2674" s="51" t="s">
        <v>791</v>
      </c>
      <c r="D2674" s="51" t="n">
        <v>0</v>
      </c>
    </row>
    <row r="2675" customFormat="false" ht="15" hidden="true" customHeight="false" outlineLevel="0" collapsed="false">
      <c r="A2675" s="51" t="s">
        <v>722</v>
      </c>
      <c r="B2675" s="55" t="n">
        <v>44377</v>
      </c>
      <c r="C2675" s="51" t="s">
        <v>791</v>
      </c>
      <c r="D2675" s="51" t="n">
        <v>0</v>
      </c>
    </row>
    <row r="2676" customFormat="false" ht="15" hidden="true" customHeight="false" outlineLevel="0" collapsed="false">
      <c r="A2676" s="51" t="s">
        <v>727</v>
      </c>
      <c r="B2676" s="55" t="n">
        <v>44377</v>
      </c>
      <c r="C2676" s="51" t="s">
        <v>791</v>
      </c>
      <c r="D2676" s="51" t="n">
        <v>0</v>
      </c>
    </row>
    <row r="2677" customFormat="false" ht="15" hidden="true" customHeight="false" outlineLevel="0" collapsed="false">
      <c r="A2677" s="51" t="s">
        <v>732</v>
      </c>
      <c r="B2677" s="55" t="n">
        <v>44377</v>
      </c>
      <c r="C2677" s="51" t="s">
        <v>791</v>
      </c>
      <c r="D2677" s="51" t="n">
        <v>0</v>
      </c>
    </row>
    <row r="2678" customFormat="false" ht="15" hidden="true" customHeight="false" outlineLevel="0" collapsed="false">
      <c r="A2678" s="51" t="s">
        <v>736</v>
      </c>
      <c r="B2678" s="55" t="n">
        <v>44377</v>
      </c>
      <c r="C2678" s="51" t="s">
        <v>791</v>
      </c>
      <c r="D2678" s="51" t="n">
        <v>0</v>
      </c>
    </row>
    <row r="2679" customFormat="false" ht="15" hidden="true" customHeight="false" outlineLevel="0" collapsed="false">
      <c r="A2679" s="51" t="s">
        <v>741</v>
      </c>
      <c r="B2679" s="55" t="n">
        <v>44377</v>
      </c>
      <c r="C2679" s="51" t="s">
        <v>791</v>
      </c>
      <c r="D2679" s="51" t="n">
        <v>0</v>
      </c>
    </row>
    <row r="2680" customFormat="false" ht="15" hidden="true" customHeight="false" outlineLevel="0" collapsed="false">
      <c r="A2680" s="51" t="s">
        <v>746</v>
      </c>
      <c r="B2680" s="55" t="n">
        <v>44377</v>
      </c>
      <c r="C2680" s="51" t="s">
        <v>791</v>
      </c>
      <c r="D2680" s="51" t="n">
        <v>0</v>
      </c>
    </row>
    <row r="2681" customFormat="false" ht="15" hidden="true" customHeight="false" outlineLevel="0" collapsed="false">
      <c r="A2681" s="51" t="s">
        <v>751</v>
      </c>
      <c r="B2681" s="55" t="n">
        <v>44377</v>
      </c>
      <c r="C2681" s="51" t="s">
        <v>791</v>
      </c>
      <c r="D2681" s="51" t="n">
        <v>0</v>
      </c>
    </row>
    <row r="2682" customFormat="false" ht="15" hidden="false" customHeight="false" outlineLevel="0" collapsed="false">
      <c r="A2682" s="51" t="s">
        <v>781</v>
      </c>
      <c r="B2682" s="55" t="n">
        <v>44469</v>
      </c>
      <c r="C2682" s="51" t="s">
        <v>782</v>
      </c>
      <c r="D2682" s="51" t="n">
        <v>0</v>
      </c>
    </row>
    <row r="2683" customFormat="false" ht="15" hidden="true" customHeight="false" outlineLevel="0" collapsed="false">
      <c r="A2683" s="51" t="s">
        <v>783</v>
      </c>
      <c r="B2683" s="55" t="n">
        <v>44469</v>
      </c>
      <c r="C2683" s="51" t="s">
        <v>782</v>
      </c>
      <c r="D2683" s="51" t="n">
        <v>0</v>
      </c>
    </row>
    <row r="2684" customFormat="false" ht="15" hidden="true" customHeight="false" outlineLevel="0" collapsed="false">
      <c r="A2684" s="51" t="s">
        <v>96</v>
      </c>
      <c r="B2684" s="55" t="n">
        <v>44469</v>
      </c>
      <c r="C2684" s="51" t="s">
        <v>782</v>
      </c>
      <c r="D2684" s="51" t="n">
        <v>0</v>
      </c>
    </row>
    <row r="2685" customFormat="false" ht="15" hidden="true" customHeight="false" outlineLevel="0" collapsed="false">
      <c r="A2685" s="51" t="s">
        <v>101</v>
      </c>
      <c r="B2685" s="55" t="n">
        <v>44469</v>
      </c>
      <c r="C2685" s="51" t="s">
        <v>782</v>
      </c>
      <c r="D2685" s="51" t="n">
        <v>0</v>
      </c>
    </row>
    <row r="2686" customFormat="false" ht="15" hidden="true" customHeight="false" outlineLevel="0" collapsed="false">
      <c r="A2686" s="51" t="s">
        <v>106</v>
      </c>
      <c r="B2686" s="55" t="n">
        <v>44469</v>
      </c>
      <c r="C2686" s="51" t="s">
        <v>782</v>
      </c>
      <c r="D2686" s="51" t="n">
        <v>0</v>
      </c>
    </row>
    <row r="2687" customFormat="false" ht="15" hidden="true" customHeight="false" outlineLevel="0" collapsed="false">
      <c r="A2687" s="51" t="s">
        <v>110</v>
      </c>
      <c r="B2687" s="55" t="n">
        <v>44469</v>
      </c>
      <c r="C2687" s="51" t="s">
        <v>782</v>
      </c>
      <c r="D2687" s="51" t="n">
        <v>0</v>
      </c>
    </row>
    <row r="2688" customFormat="false" ht="15" hidden="true" customHeight="false" outlineLevel="0" collapsed="false">
      <c r="A2688" s="51" t="s">
        <v>115</v>
      </c>
      <c r="B2688" s="55" t="n">
        <v>44469</v>
      </c>
      <c r="C2688" s="51" t="s">
        <v>782</v>
      </c>
      <c r="D2688" s="51" t="n">
        <v>0</v>
      </c>
    </row>
    <row r="2689" customFormat="false" ht="15" hidden="true" customHeight="false" outlineLevel="0" collapsed="false">
      <c r="A2689" s="51" t="s">
        <v>120</v>
      </c>
      <c r="B2689" s="55" t="n">
        <v>44469</v>
      </c>
      <c r="C2689" s="51" t="s">
        <v>782</v>
      </c>
      <c r="D2689" s="51" t="n">
        <v>0</v>
      </c>
    </row>
    <row r="2690" customFormat="false" ht="15" hidden="true" customHeight="false" outlineLevel="0" collapsed="false">
      <c r="A2690" s="51" t="s">
        <v>124</v>
      </c>
      <c r="B2690" s="55" t="n">
        <v>44469</v>
      </c>
      <c r="C2690" s="51" t="s">
        <v>782</v>
      </c>
      <c r="D2690" s="51" t="n">
        <v>0</v>
      </c>
    </row>
    <row r="2691" customFormat="false" ht="15" hidden="true" customHeight="false" outlineLevel="0" collapsed="false">
      <c r="A2691" s="51" t="s">
        <v>129</v>
      </c>
      <c r="B2691" s="55" t="n">
        <v>44469</v>
      </c>
      <c r="C2691" s="51" t="s">
        <v>782</v>
      </c>
      <c r="D2691" s="51" t="n">
        <v>0</v>
      </c>
    </row>
    <row r="2692" customFormat="false" ht="15" hidden="true" customHeight="false" outlineLevel="0" collapsed="false">
      <c r="A2692" s="51" t="s">
        <v>134</v>
      </c>
      <c r="B2692" s="55" t="n">
        <v>44469</v>
      </c>
      <c r="C2692" s="51" t="s">
        <v>782</v>
      </c>
      <c r="D2692" s="51" t="n">
        <v>0</v>
      </c>
    </row>
    <row r="2693" customFormat="false" ht="15" hidden="true" customHeight="false" outlineLevel="0" collapsed="false">
      <c r="A2693" s="51" t="s">
        <v>141</v>
      </c>
      <c r="B2693" s="55" t="n">
        <v>44469</v>
      </c>
      <c r="C2693" s="51" t="s">
        <v>782</v>
      </c>
      <c r="D2693" s="51" t="n">
        <v>0</v>
      </c>
    </row>
    <row r="2694" customFormat="false" ht="15" hidden="true" customHeight="false" outlineLevel="0" collapsed="false">
      <c r="A2694" s="51" t="s">
        <v>146</v>
      </c>
      <c r="B2694" s="55" t="n">
        <v>44469</v>
      </c>
      <c r="C2694" s="51" t="s">
        <v>782</v>
      </c>
      <c r="D2694" s="51" t="n">
        <v>0</v>
      </c>
    </row>
    <row r="2695" customFormat="false" ht="15" hidden="true" customHeight="false" outlineLevel="0" collapsed="false">
      <c r="A2695" s="51" t="s">
        <v>151</v>
      </c>
      <c r="B2695" s="55" t="n">
        <v>44469</v>
      </c>
      <c r="C2695" s="51" t="s">
        <v>782</v>
      </c>
      <c r="D2695" s="51" t="n">
        <v>0</v>
      </c>
    </row>
    <row r="2696" customFormat="false" ht="15" hidden="true" customHeight="false" outlineLevel="0" collapsed="false">
      <c r="A2696" s="51" t="s">
        <v>156</v>
      </c>
      <c r="B2696" s="55" t="n">
        <v>44469</v>
      </c>
      <c r="C2696" s="51" t="s">
        <v>782</v>
      </c>
      <c r="D2696" s="51" t="n">
        <v>0</v>
      </c>
    </row>
    <row r="2697" customFormat="false" ht="15" hidden="true" customHeight="false" outlineLevel="0" collapsed="false">
      <c r="A2697" s="51" t="s">
        <v>161</v>
      </c>
      <c r="B2697" s="55" t="n">
        <v>44469</v>
      </c>
      <c r="C2697" s="51" t="s">
        <v>782</v>
      </c>
      <c r="D2697" s="51" t="n">
        <v>0</v>
      </c>
    </row>
    <row r="2698" customFormat="false" ht="15" hidden="true" customHeight="false" outlineLevel="0" collapsed="false">
      <c r="A2698" s="51" t="s">
        <v>166</v>
      </c>
      <c r="B2698" s="55" t="n">
        <v>44469</v>
      </c>
      <c r="C2698" s="51" t="s">
        <v>782</v>
      </c>
      <c r="D2698" s="51" t="n">
        <v>0</v>
      </c>
    </row>
    <row r="2699" customFormat="false" ht="15" hidden="true" customHeight="false" outlineLevel="0" collapsed="false">
      <c r="A2699" s="51" t="s">
        <v>171</v>
      </c>
      <c r="B2699" s="55" t="n">
        <v>44469</v>
      </c>
      <c r="C2699" s="51" t="s">
        <v>782</v>
      </c>
      <c r="D2699" s="51" t="n">
        <v>0</v>
      </c>
    </row>
    <row r="2700" customFormat="false" ht="15" hidden="true" customHeight="false" outlineLevel="0" collapsed="false">
      <c r="A2700" s="51" t="s">
        <v>176</v>
      </c>
      <c r="B2700" s="55" t="n">
        <v>44469</v>
      </c>
      <c r="C2700" s="51" t="s">
        <v>782</v>
      </c>
      <c r="D2700" s="51" t="n">
        <v>0</v>
      </c>
    </row>
    <row r="2701" customFormat="false" ht="15" hidden="true" customHeight="false" outlineLevel="0" collapsed="false">
      <c r="A2701" s="51" t="s">
        <v>181</v>
      </c>
      <c r="B2701" s="55" t="n">
        <v>44469</v>
      </c>
      <c r="C2701" s="51" t="s">
        <v>782</v>
      </c>
      <c r="D2701" s="51" t="n">
        <v>0</v>
      </c>
    </row>
    <row r="2702" customFormat="false" ht="15" hidden="true" customHeight="false" outlineLevel="0" collapsed="false">
      <c r="A2702" s="51" t="s">
        <v>186</v>
      </c>
      <c r="B2702" s="55" t="n">
        <v>44469</v>
      </c>
      <c r="C2702" s="51" t="s">
        <v>782</v>
      </c>
      <c r="D2702" s="51" t="n">
        <v>0</v>
      </c>
    </row>
    <row r="2703" customFormat="false" ht="15" hidden="true" customHeight="false" outlineLevel="0" collapsed="false">
      <c r="A2703" s="51" t="s">
        <v>191</v>
      </c>
      <c r="B2703" s="55" t="n">
        <v>44469</v>
      </c>
      <c r="C2703" s="51" t="s">
        <v>782</v>
      </c>
      <c r="D2703" s="51" t="n">
        <v>0</v>
      </c>
    </row>
    <row r="2704" customFormat="false" ht="15" hidden="true" customHeight="false" outlineLevel="0" collapsed="false">
      <c r="A2704" s="51" t="s">
        <v>196</v>
      </c>
      <c r="B2704" s="55" t="n">
        <v>44469</v>
      </c>
      <c r="C2704" s="51" t="s">
        <v>782</v>
      </c>
      <c r="D2704" s="51" t="n">
        <v>0</v>
      </c>
    </row>
    <row r="2705" customFormat="false" ht="15" hidden="true" customHeight="false" outlineLevel="0" collapsed="false">
      <c r="A2705" s="51" t="s">
        <v>201</v>
      </c>
      <c r="B2705" s="55" t="n">
        <v>44469</v>
      </c>
      <c r="C2705" s="51" t="s">
        <v>782</v>
      </c>
      <c r="D2705" s="51" t="n">
        <v>0</v>
      </c>
    </row>
    <row r="2706" customFormat="false" ht="15" hidden="true" customHeight="false" outlineLevel="0" collapsed="false">
      <c r="A2706" s="51" t="s">
        <v>206</v>
      </c>
      <c r="B2706" s="55" t="n">
        <v>44469</v>
      </c>
      <c r="C2706" s="51" t="s">
        <v>782</v>
      </c>
      <c r="D2706" s="51" t="n">
        <v>0</v>
      </c>
    </row>
    <row r="2707" customFormat="false" ht="15" hidden="true" customHeight="false" outlineLevel="0" collapsed="false">
      <c r="A2707" s="51" t="s">
        <v>210</v>
      </c>
      <c r="B2707" s="55" t="n">
        <v>44469</v>
      </c>
      <c r="C2707" s="51" t="s">
        <v>782</v>
      </c>
      <c r="D2707" s="51" t="n">
        <v>0</v>
      </c>
    </row>
    <row r="2708" customFormat="false" ht="15" hidden="true" customHeight="false" outlineLevel="0" collapsed="false">
      <c r="A2708" s="51" t="s">
        <v>215</v>
      </c>
      <c r="B2708" s="55" t="n">
        <v>44469</v>
      </c>
      <c r="C2708" s="51" t="s">
        <v>782</v>
      </c>
      <c r="D2708" s="51" t="n">
        <v>0</v>
      </c>
    </row>
    <row r="2709" customFormat="false" ht="15" hidden="true" customHeight="false" outlineLevel="0" collapsed="false">
      <c r="A2709" s="51" t="s">
        <v>790</v>
      </c>
      <c r="B2709" s="55" t="n">
        <v>44469</v>
      </c>
      <c r="C2709" s="51" t="s">
        <v>782</v>
      </c>
      <c r="D2709" s="51" t="n">
        <v>0</v>
      </c>
    </row>
    <row r="2710" customFormat="false" ht="15" hidden="true" customHeight="false" outlineLevel="0" collapsed="false">
      <c r="A2710" s="51" t="s">
        <v>225</v>
      </c>
      <c r="B2710" s="55" t="n">
        <v>44469</v>
      </c>
      <c r="C2710" s="51" t="s">
        <v>782</v>
      </c>
      <c r="D2710" s="51" t="n">
        <v>192000</v>
      </c>
    </row>
    <row r="2711" customFormat="false" ht="15" hidden="true" customHeight="false" outlineLevel="0" collapsed="false">
      <c r="A2711" s="51" t="s">
        <v>230</v>
      </c>
      <c r="B2711" s="55" t="n">
        <v>44469</v>
      </c>
      <c r="C2711" s="51" t="s">
        <v>782</v>
      </c>
      <c r="D2711" s="51" t="n">
        <v>3515000</v>
      </c>
    </row>
    <row r="2712" customFormat="false" ht="15" hidden="true" customHeight="false" outlineLevel="0" collapsed="false">
      <c r="A2712" s="51" t="s">
        <v>235</v>
      </c>
      <c r="B2712" s="55" t="n">
        <v>44469</v>
      </c>
      <c r="C2712" s="51" t="s">
        <v>782</v>
      </c>
      <c r="D2712" s="51" t="n">
        <v>653000</v>
      </c>
    </row>
    <row r="2713" customFormat="false" ht="15" hidden="true" customHeight="false" outlineLevel="0" collapsed="false">
      <c r="A2713" s="51" t="s">
        <v>240</v>
      </c>
      <c r="B2713" s="55" t="n">
        <v>44469</v>
      </c>
      <c r="C2713" s="51" t="s">
        <v>782</v>
      </c>
      <c r="D2713" s="51" t="n">
        <v>770000</v>
      </c>
    </row>
    <row r="2714" customFormat="false" ht="15" hidden="true" customHeight="false" outlineLevel="0" collapsed="false">
      <c r="A2714" s="51" t="s">
        <v>246</v>
      </c>
      <c r="B2714" s="55" t="n">
        <v>44469</v>
      </c>
      <c r="C2714" s="51" t="s">
        <v>782</v>
      </c>
      <c r="D2714" s="51" t="n">
        <v>0</v>
      </c>
    </row>
    <row r="2715" customFormat="false" ht="15" hidden="true" customHeight="false" outlineLevel="0" collapsed="false">
      <c r="A2715" s="51" t="s">
        <v>252</v>
      </c>
      <c r="B2715" s="55" t="n">
        <v>44469</v>
      </c>
      <c r="C2715" s="51" t="s">
        <v>782</v>
      </c>
      <c r="D2715" s="51" t="n">
        <v>4128000</v>
      </c>
    </row>
    <row r="2716" customFormat="false" ht="15" hidden="true" customHeight="false" outlineLevel="0" collapsed="false">
      <c r="A2716" s="51" t="s">
        <v>257</v>
      </c>
      <c r="B2716" s="55" t="n">
        <v>44469</v>
      </c>
      <c r="C2716" s="51" t="s">
        <v>782</v>
      </c>
      <c r="D2716" s="51" t="n">
        <v>0</v>
      </c>
    </row>
    <row r="2717" customFormat="false" ht="15" hidden="true" customHeight="false" outlineLevel="0" collapsed="false">
      <c r="A2717" s="51" t="s">
        <v>262</v>
      </c>
      <c r="B2717" s="55" t="n">
        <v>44469</v>
      </c>
      <c r="C2717" s="51" t="s">
        <v>782</v>
      </c>
      <c r="D2717" s="51" t="n">
        <v>0</v>
      </c>
    </row>
    <row r="2718" customFormat="false" ht="15" hidden="true" customHeight="false" outlineLevel="0" collapsed="false">
      <c r="A2718" s="51" t="s">
        <v>267</v>
      </c>
      <c r="B2718" s="55" t="n">
        <v>44469</v>
      </c>
      <c r="C2718" s="51" t="s">
        <v>782</v>
      </c>
      <c r="D2718" s="51" t="n">
        <v>0</v>
      </c>
    </row>
    <row r="2719" customFormat="false" ht="15" hidden="true" customHeight="false" outlineLevel="0" collapsed="false">
      <c r="A2719" s="51" t="s">
        <v>272</v>
      </c>
      <c r="B2719" s="55" t="n">
        <v>44469</v>
      </c>
      <c r="C2719" s="51" t="s">
        <v>782</v>
      </c>
      <c r="D2719" s="51" t="n">
        <v>0</v>
      </c>
    </row>
    <row r="2720" customFormat="false" ht="15" hidden="true" customHeight="false" outlineLevel="0" collapsed="false">
      <c r="A2720" s="51" t="s">
        <v>277</v>
      </c>
      <c r="B2720" s="55" t="n">
        <v>44469</v>
      </c>
      <c r="C2720" s="51" t="s">
        <v>782</v>
      </c>
      <c r="D2720" s="51" t="n">
        <v>0</v>
      </c>
    </row>
    <row r="2721" customFormat="false" ht="15" hidden="true" customHeight="false" outlineLevel="0" collapsed="false">
      <c r="A2721" s="51" t="s">
        <v>282</v>
      </c>
      <c r="B2721" s="55" t="n">
        <v>44469</v>
      </c>
      <c r="C2721" s="51" t="s">
        <v>782</v>
      </c>
      <c r="D2721" s="51" t="n">
        <v>0</v>
      </c>
    </row>
    <row r="2722" customFormat="false" ht="15" hidden="true" customHeight="false" outlineLevel="0" collapsed="false">
      <c r="A2722" s="51" t="s">
        <v>287</v>
      </c>
      <c r="B2722" s="55" t="n">
        <v>44469</v>
      </c>
      <c r="C2722" s="51" t="s">
        <v>782</v>
      </c>
      <c r="D2722" s="51" t="n">
        <v>0</v>
      </c>
    </row>
    <row r="2723" customFormat="false" ht="15" hidden="true" customHeight="false" outlineLevel="0" collapsed="false">
      <c r="A2723" s="51" t="s">
        <v>292</v>
      </c>
      <c r="B2723" s="55" t="n">
        <v>44469</v>
      </c>
      <c r="C2723" s="51" t="s">
        <v>782</v>
      </c>
      <c r="D2723" s="51" t="n">
        <v>0</v>
      </c>
    </row>
    <row r="2724" customFormat="false" ht="15" hidden="true" customHeight="false" outlineLevel="0" collapsed="false">
      <c r="A2724" s="51" t="s">
        <v>297</v>
      </c>
      <c r="B2724" s="55" t="n">
        <v>44469</v>
      </c>
      <c r="C2724" s="51" t="s">
        <v>782</v>
      </c>
      <c r="D2724" s="51" t="n">
        <v>0</v>
      </c>
    </row>
    <row r="2725" customFormat="false" ht="15" hidden="true" customHeight="false" outlineLevel="0" collapsed="false">
      <c r="A2725" s="51" t="s">
        <v>302</v>
      </c>
      <c r="B2725" s="55" t="n">
        <v>44469</v>
      </c>
      <c r="C2725" s="51" t="s">
        <v>782</v>
      </c>
      <c r="D2725" s="51" t="n">
        <v>0</v>
      </c>
    </row>
    <row r="2726" customFormat="false" ht="15" hidden="true" customHeight="false" outlineLevel="0" collapsed="false">
      <c r="A2726" s="51" t="s">
        <v>307</v>
      </c>
      <c r="B2726" s="55" t="n">
        <v>44469</v>
      </c>
      <c r="C2726" s="51" t="s">
        <v>782</v>
      </c>
      <c r="D2726" s="51" t="n">
        <v>0</v>
      </c>
    </row>
    <row r="2727" customFormat="false" ht="15" hidden="true" customHeight="false" outlineLevel="0" collapsed="false">
      <c r="A2727" s="51" t="s">
        <v>311</v>
      </c>
      <c r="B2727" s="55" t="n">
        <v>44469</v>
      </c>
      <c r="C2727" s="51" t="s">
        <v>782</v>
      </c>
      <c r="D2727" s="51" t="n">
        <v>0</v>
      </c>
    </row>
    <row r="2728" customFormat="false" ht="15" hidden="true" customHeight="false" outlineLevel="0" collapsed="false">
      <c r="A2728" s="51" t="s">
        <v>317</v>
      </c>
      <c r="B2728" s="55" t="n">
        <v>44469</v>
      </c>
      <c r="C2728" s="51" t="s">
        <v>782</v>
      </c>
      <c r="D2728" s="51" t="n">
        <v>0</v>
      </c>
    </row>
    <row r="2729" customFormat="false" ht="15" hidden="true" customHeight="false" outlineLevel="0" collapsed="false">
      <c r="A2729" s="51" t="s">
        <v>322</v>
      </c>
      <c r="B2729" s="55" t="n">
        <v>44469</v>
      </c>
      <c r="C2729" s="51" t="s">
        <v>782</v>
      </c>
      <c r="D2729" s="51" t="n">
        <v>0</v>
      </c>
    </row>
    <row r="2730" customFormat="false" ht="15" hidden="true" customHeight="false" outlineLevel="0" collapsed="false">
      <c r="A2730" s="51" t="s">
        <v>327</v>
      </c>
      <c r="B2730" s="55" t="n">
        <v>44469</v>
      </c>
      <c r="C2730" s="51" t="s">
        <v>782</v>
      </c>
      <c r="D2730" s="51" t="n">
        <v>0</v>
      </c>
    </row>
    <row r="2731" customFormat="false" ht="15" hidden="true" customHeight="false" outlineLevel="0" collapsed="false">
      <c r="A2731" s="51" t="s">
        <v>332</v>
      </c>
      <c r="B2731" s="55" t="n">
        <v>44469</v>
      </c>
      <c r="C2731" s="51" t="s">
        <v>782</v>
      </c>
      <c r="D2731" s="51" t="n">
        <v>0</v>
      </c>
    </row>
    <row r="2732" customFormat="false" ht="15" hidden="true" customHeight="false" outlineLevel="0" collapsed="false">
      <c r="A2732" s="51" t="s">
        <v>339</v>
      </c>
      <c r="B2732" s="55" t="n">
        <v>44469</v>
      </c>
      <c r="C2732" s="51" t="s">
        <v>782</v>
      </c>
      <c r="D2732" s="51" t="n">
        <v>0</v>
      </c>
    </row>
    <row r="2733" customFormat="false" ht="15" hidden="true" customHeight="false" outlineLevel="0" collapsed="false">
      <c r="A2733" s="51" t="s">
        <v>344</v>
      </c>
      <c r="B2733" s="55" t="n">
        <v>44469</v>
      </c>
      <c r="C2733" s="51" t="s">
        <v>782</v>
      </c>
      <c r="D2733" s="51" t="n">
        <v>0</v>
      </c>
    </row>
    <row r="2734" customFormat="false" ht="15" hidden="true" customHeight="false" outlineLevel="0" collapsed="false">
      <c r="A2734" s="51" t="s">
        <v>349</v>
      </c>
      <c r="B2734" s="55" t="n">
        <v>44469</v>
      </c>
      <c r="C2734" s="51" t="s">
        <v>782</v>
      </c>
      <c r="D2734" s="51" t="n">
        <v>0</v>
      </c>
    </row>
    <row r="2735" customFormat="false" ht="15" hidden="true" customHeight="false" outlineLevel="0" collapsed="false">
      <c r="A2735" s="51" t="s">
        <v>354</v>
      </c>
      <c r="B2735" s="55" t="n">
        <v>44469</v>
      </c>
      <c r="C2735" s="51" t="s">
        <v>782</v>
      </c>
      <c r="D2735" s="51" t="n">
        <v>0</v>
      </c>
    </row>
    <row r="2736" customFormat="false" ht="15" hidden="true" customHeight="false" outlineLevel="0" collapsed="false">
      <c r="A2736" s="51" t="s">
        <v>359</v>
      </c>
      <c r="B2736" s="55" t="n">
        <v>44469</v>
      </c>
      <c r="C2736" s="51" t="s">
        <v>782</v>
      </c>
      <c r="D2736" s="51" t="n">
        <v>0</v>
      </c>
    </row>
    <row r="2737" customFormat="false" ht="15" hidden="true" customHeight="false" outlineLevel="0" collapsed="false">
      <c r="A2737" s="51" t="s">
        <v>364</v>
      </c>
      <c r="B2737" s="55" t="n">
        <v>44469</v>
      </c>
      <c r="C2737" s="51" t="s">
        <v>782</v>
      </c>
      <c r="D2737" s="51" t="n">
        <v>0</v>
      </c>
    </row>
    <row r="2738" customFormat="false" ht="15" hidden="true" customHeight="false" outlineLevel="0" collapsed="false">
      <c r="A2738" s="51" t="s">
        <v>369</v>
      </c>
      <c r="B2738" s="55" t="n">
        <v>44469</v>
      </c>
      <c r="C2738" s="51" t="s">
        <v>782</v>
      </c>
      <c r="D2738" s="51" t="n">
        <v>0</v>
      </c>
    </row>
    <row r="2739" customFormat="false" ht="15" hidden="true" customHeight="false" outlineLevel="0" collapsed="false">
      <c r="A2739" s="51" t="s">
        <v>374</v>
      </c>
      <c r="B2739" s="55" t="n">
        <v>44469</v>
      </c>
      <c r="C2739" s="51" t="s">
        <v>782</v>
      </c>
      <c r="D2739" s="51" t="n">
        <v>0</v>
      </c>
    </row>
    <row r="2740" customFormat="false" ht="15" hidden="true" customHeight="false" outlineLevel="0" collapsed="false">
      <c r="A2740" s="51" t="s">
        <v>379</v>
      </c>
      <c r="B2740" s="55" t="n">
        <v>44469</v>
      </c>
      <c r="C2740" s="51" t="s">
        <v>782</v>
      </c>
      <c r="D2740" s="51" t="n">
        <v>0</v>
      </c>
    </row>
    <row r="2741" customFormat="false" ht="15" hidden="true" customHeight="false" outlineLevel="0" collapsed="false">
      <c r="A2741" s="51" t="s">
        <v>384</v>
      </c>
      <c r="B2741" s="55" t="n">
        <v>44469</v>
      </c>
      <c r="C2741" s="51" t="s">
        <v>782</v>
      </c>
      <c r="D2741" s="51" t="n">
        <v>0</v>
      </c>
    </row>
    <row r="2742" customFormat="false" ht="15" hidden="true" customHeight="false" outlineLevel="0" collapsed="false">
      <c r="A2742" s="51" t="s">
        <v>389</v>
      </c>
      <c r="B2742" s="55" t="n">
        <v>44469</v>
      </c>
      <c r="C2742" s="51" t="s">
        <v>782</v>
      </c>
      <c r="D2742" s="51" t="n">
        <v>0</v>
      </c>
    </row>
    <row r="2743" customFormat="false" ht="15" hidden="true" customHeight="false" outlineLevel="0" collapsed="false">
      <c r="A2743" s="51" t="s">
        <v>394</v>
      </c>
      <c r="B2743" s="55" t="n">
        <v>44469</v>
      </c>
      <c r="C2743" s="51" t="s">
        <v>782</v>
      </c>
      <c r="D2743" s="51" t="n">
        <v>0</v>
      </c>
    </row>
    <row r="2744" customFormat="false" ht="15" hidden="true" customHeight="false" outlineLevel="0" collapsed="false">
      <c r="A2744" s="51" t="s">
        <v>399</v>
      </c>
      <c r="B2744" s="55" t="n">
        <v>44469</v>
      </c>
      <c r="C2744" s="51" t="s">
        <v>782</v>
      </c>
      <c r="D2744" s="51" t="n">
        <v>0</v>
      </c>
    </row>
    <row r="2745" customFormat="false" ht="15" hidden="true" customHeight="false" outlineLevel="0" collapsed="false">
      <c r="A2745" s="51" t="s">
        <v>404</v>
      </c>
      <c r="B2745" s="55" t="n">
        <v>44469</v>
      </c>
      <c r="C2745" s="51" t="s">
        <v>782</v>
      </c>
      <c r="D2745" s="51" t="n">
        <v>0</v>
      </c>
    </row>
    <row r="2746" customFormat="false" ht="15" hidden="true" customHeight="false" outlineLevel="0" collapsed="false">
      <c r="A2746" s="51" t="s">
        <v>409</v>
      </c>
      <c r="B2746" s="55" t="n">
        <v>44469</v>
      </c>
      <c r="C2746" s="51" t="s">
        <v>782</v>
      </c>
      <c r="D2746" s="51" t="n">
        <v>0</v>
      </c>
    </row>
    <row r="2747" customFormat="false" ht="15" hidden="true" customHeight="false" outlineLevel="0" collapsed="false">
      <c r="A2747" s="51" t="s">
        <v>414</v>
      </c>
      <c r="B2747" s="55" t="n">
        <v>44469</v>
      </c>
      <c r="C2747" s="51" t="s">
        <v>782</v>
      </c>
      <c r="D2747" s="51" t="n">
        <v>0</v>
      </c>
    </row>
    <row r="2748" customFormat="false" ht="15" hidden="true" customHeight="false" outlineLevel="0" collapsed="false">
      <c r="A2748" s="51" t="s">
        <v>419</v>
      </c>
      <c r="B2748" s="55" t="n">
        <v>44469</v>
      </c>
      <c r="C2748" s="51" t="s">
        <v>782</v>
      </c>
      <c r="D2748" s="51" t="n">
        <v>0</v>
      </c>
    </row>
    <row r="2749" customFormat="false" ht="15" hidden="true" customHeight="false" outlineLevel="0" collapsed="false">
      <c r="A2749" s="51" t="s">
        <v>424</v>
      </c>
      <c r="B2749" s="55" t="n">
        <v>44469</v>
      </c>
      <c r="C2749" s="51" t="s">
        <v>782</v>
      </c>
      <c r="D2749" s="51" t="n">
        <v>0</v>
      </c>
    </row>
    <row r="2750" customFormat="false" ht="15" hidden="true" customHeight="false" outlineLevel="0" collapsed="false">
      <c r="A2750" s="51" t="s">
        <v>429</v>
      </c>
      <c r="B2750" s="55" t="n">
        <v>44469</v>
      </c>
      <c r="C2750" s="51" t="s">
        <v>782</v>
      </c>
      <c r="D2750" s="51" t="n">
        <v>0</v>
      </c>
    </row>
    <row r="2751" customFormat="false" ht="15" hidden="true" customHeight="false" outlineLevel="0" collapsed="false">
      <c r="A2751" s="51" t="s">
        <v>434</v>
      </c>
      <c r="B2751" s="55" t="n">
        <v>44469</v>
      </c>
      <c r="C2751" s="51" t="s">
        <v>782</v>
      </c>
      <c r="D2751" s="51" t="n">
        <v>0</v>
      </c>
    </row>
    <row r="2752" customFormat="false" ht="15" hidden="true" customHeight="false" outlineLevel="0" collapsed="false">
      <c r="A2752" s="51" t="s">
        <v>438</v>
      </c>
      <c r="B2752" s="55" t="n">
        <v>44469</v>
      </c>
      <c r="C2752" s="51" t="s">
        <v>782</v>
      </c>
      <c r="D2752" s="51" t="n">
        <v>0</v>
      </c>
    </row>
    <row r="2753" customFormat="false" ht="15" hidden="true" customHeight="false" outlineLevel="0" collapsed="false">
      <c r="A2753" s="51" t="s">
        <v>443</v>
      </c>
      <c r="B2753" s="55" t="n">
        <v>44469</v>
      </c>
      <c r="C2753" s="51" t="s">
        <v>782</v>
      </c>
      <c r="D2753" s="51" t="n">
        <v>0</v>
      </c>
    </row>
    <row r="2754" customFormat="false" ht="15" hidden="true" customHeight="false" outlineLevel="0" collapsed="false">
      <c r="A2754" s="51" t="s">
        <v>448</v>
      </c>
      <c r="B2754" s="55" t="n">
        <v>44469</v>
      </c>
      <c r="C2754" s="51" t="s">
        <v>782</v>
      </c>
      <c r="D2754" s="51" t="n">
        <v>0</v>
      </c>
    </row>
    <row r="2755" customFormat="false" ht="15" hidden="true" customHeight="false" outlineLevel="0" collapsed="false">
      <c r="A2755" s="51" t="s">
        <v>453</v>
      </c>
      <c r="B2755" s="55" t="n">
        <v>44469</v>
      </c>
      <c r="C2755" s="51" t="s">
        <v>782</v>
      </c>
      <c r="D2755" s="51" t="n">
        <v>0</v>
      </c>
    </row>
    <row r="2756" customFormat="false" ht="15" hidden="true" customHeight="false" outlineLevel="0" collapsed="false">
      <c r="A2756" s="51" t="s">
        <v>458</v>
      </c>
      <c r="B2756" s="55" t="n">
        <v>44469</v>
      </c>
      <c r="C2756" s="51" t="s">
        <v>782</v>
      </c>
      <c r="D2756" s="51" t="n">
        <v>0</v>
      </c>
    </row>
    <row r="2757" customFormat="false" ht="15" hidden="true" customHeight="false" outlineLevel="0" collapsed="false">
      <c r="A2757" s="51" t="s">
        <v>473</v>
      </c>
      <c r="B2757" s="55" t="n">
        <v>44469</v>
      </c>
      <c r="C2757" s="51" t="s">
        <v>782</v>
      </c>
      <c r="D2757" s="51" t="n">
        <v>0</v>
      </c>
    </row>
    <row r="2758" customFormat="false" ht="15" hidden="true" customHeight="false" outlineLevel="0" collapsed="false">
      <c r="A2758" s="51" t="s">
        <v>479</v>
      </c>
      <c r="B2758" s="55" t="n">
        <v>44469</v>
      </c>
      <c r="C2758" s="51" t="s">
        <v>782</v>
      </c>
      <c r="D2758" s="51" t="n">
        <v>0</v>
      </c>
    </row>
    <row r="2759" customFormat="false" ht="15" hidden="true" customHeight="false" outlineLevel="0" collapsed="false">
      <c r="A2759" s="51" t="s">
        <v>484</v>
      </c>
      <c r="B2759" s="55" t="n">
        <v>44469</v>
      </c>
      <c r="C2759" s="51" t="s">
        <v>782</v>
      </c>
      <c r="D2759" s="51" t="n">
        <v>0</v>
      </c>
    </row>
    <row r="2760" customFormat="false" ht="15" hidden="true" customHeight="false" outlineLevel="0" collapsed="false">
      <c r="A2760" s="51" t="s">
        <v>489</v>
      </c>
      <c r="B2760" s="55" t="n">
        <v>44469</v>
      </c>
      <c r="C2760" s="51" t="s">
        <v>782</v>
      </c>
      <c r="D2760" s="51" t="n">
        <v>0</v>
      </c>
    </row>
    <row r="2761" customFormat="false" ht="15" hidden="true" customHeight="false" outlineLevel="0" collapsed="false">
      <c r="A2761" s="51" t="s">
        <v>494</v>
      </c>
      <c r="B2761" s="55" t="n">
        <v>44469</v>
      </c>
      <c r="C2761" s="51" t="s">
        <v>782</v>
      </c>
      <c r="D2761" s="51" t="n">
        <v>0</v>
      </c>
    </row>
    <row r="2762" customFormat="false" ht="15" hidden="true" customHeight="false" outlineLevel="0" collapsed="false">
      <c r="A2762" s="51" t="s">
        <v>499</v>
      </c>
      <c r="B2762" s="55" t="n">
        <v>44469</v>
      </c>
      <c r="C2762" s="51" t="s">
        <v>782</v>
      </c>
      <c r="D2762" s="51" t="n">
        <v>0</v>
      </c>
    </row>
    <row r="2763" customFormat="false" ht="15" hidden="true" customHeight="false" outlineLevel="0" collapsed="false">
      <c r="A2763" s="51" t="s">
        <v>504</v>
      </c>
      <c r="B2763" s="55" t="n">
        <v>44469</v>
      </c>
      <c r="C2763" s="51" t="s">
        <v>782</v>
      </c>
      <c r="D2763" s="51" t="n">
        <v>0</v>
      </c>
    </row>
    <row r="2764" customFormat="false" ht="15" hidden="true" customHeight="false" outlineLevel="0" collapsed="false">
      <c r="A2764" s="51" t="s">
        <v>509</v>
      </c>
      <c r="B2764" s="55" t="n">
        <v>44469</v>
      </c>
      <c r="C2764" s="51" t="s">
        <v>782</v>
      </c>
      <c r="D2764" s="51" t="n">
        <v>0</v>
      </c>
    </row>
    <row r="2765" customFormat="false" ht="15" hidden="true" customHeight="false" outlineLevel="0" collapsed="false">
      <c r="A2765" s="51" t="s">
        <v>515</v>
      </c>
      <c r="B2765" s="55" t="n">
        <v>44469</v>
      </c>
      <c r="C2765" s="51" t="s">
        <v>782</v>
      </c>
      <c r="D2765" s="51" t="n">
        <v>0</v>
      </c>
    </row>
    <row r="2766" customFormat="false" ht="15" hidden="true" customHeight="false" outlineLevel="0" collapsed="false">
      <c r="A2766" s="51" t="s">
        <v>520</v>
      </c>
      <c r="B2766" s="55" t="n">
        <v>44469</v>
      </c>
      <c r="C2766" s="51" t="s">
        <v>782</v>
      </c>
      <c r="D2766" s="51" t="n">
        <v>0</v>
      </c>
    </row>
    <row r="2767" customFormat="false" ht="15" hidden="true" customHeight="false" outlineLevel="0" collapsed="false">
      <c r="A2767" s="51" t="s">
        <v>525</v>
      </c>
      <c r="B2767" s="55" t="n">
        <v>44469</v>
      </c>
      <c r="C2767" s="51" t="s">
        <v>782</v>
      </c>
      <c r="D2767" s="51" t="n">
        <v>0</v>
      </c>
    </row>
    <row r="2768" customFormat="false" ht="15" hidden="true" customHeight="false" outlineLevel="0" collapsed="false">
      <c r="A2768" s="51" t="s">
        <v>531</v>
      </c>
      <c r="B2768" s="55" t="n">
        <v>44469</v>
      </c>
      <c r="C2768" s="51" t="s">
        <v>782</v>
      </c>
      <c r="D2768" s="51" t="n">
        <v>0</v>
      </c>
    </row>
    <row r="2769" customFormat="false" ht="15" hidden="true" customHeight="false" outlineLevel="0" collapsed="false">
      <c r="A2769" s="51" t="s">
        <v>536</v>
      </c>
      <c r="B2769" s="55" t="n">
        <v>44469</v>
      </c>
      <c r="C2769" s="51" t="s">
        <v>782</v>
      </c>
      <c r="D2769" s="51" t="n">
        <v>0</v>
      </c>
    </row>
    <row r="2770" customFormat="false" ht="15" hidden="true" customHeight="false" outlineLevel="0" collapsed="false">
      <c r="A2770" s="51" t="s">
        <v>541</v>
      </c>
      <c r="B2770" s="55" t="n">
        <v>44469</v>
      </c>
      <c r="C2770" s="51" t="s">
        <v>782</v>
      </c>
      <c r="D2770" s="51" t="n">
        <v>0</v>
      </c>
    </row>
    <row r="2771" customFormat="false" ht="15" hidden="true" customHeight="false" outlineLevel="0" collapsed="false">
      <c r="A2771" s="51" t="s">
        <v>549</v>
      </c>
      <c r="B2771" s="55" t="n">
        <v>44469</v>
      </c>
      <c r="C2771" s="51" t="s">
        <v>782</v>
      </c>
      <c r="D2771" s="51" t="n">
        <v>0</v>
      </c>
    </row>
    <row r="2772" customFormat="false" ht="15" hidden="true" customHeight="false" outlineLevel="0" collapsed="false">
      <c r="A2772" s="51" t="s">
        <v>554</v>
      </c>
      <c r="B2772" s="55" t="n">
        <v>44469</v>
      </c>
      <c r="C2772" s="51" t="s">
        <v>782</v>
      </c>
      <c r="D2772" s="51" t="n">
        <v>0</v>
      </c>
    </row>
    <row r="2773" customFormat="false" ht="15" hidden="true" customHeight="false" outlineLevel="0" collapsed="false">
      <c r="A2773" s="51" t="s">
        <v>559</v>
      </c>
      <c r="B2773" s="55" t="n">
        <v>44469</v>
      </c>
      <c r="C2773" s="51" t="s">
        <v>782</v>
      </c>
      <c r="D2773" s="51" t="n">
        <v>0</v>
      </c>
    </row>
    <row r="2774" customFormat="false" ht="15" hidden="true" customHeight="false" outlineLevel="0" collapsed="false">
      <c r="A2774" s="51" t="s">
        <v>564</v>
      </c>
      <c r="B2774" s="55" t="n">
        <v>44469</v>
      </c>
      <c r="C2774" s="51" t="s">
        <v>782</v>
      </c>
      <c r="D2774" s="51" t="n">
        <v>0</v>
      </c>
    </row>
    <row r="2775" customFormat="false" ht="15" hidden="true" customHeight="false" outlineLevel="0" collapsed="false">
      <c r="A2775" s="51" t="s">
        <v>569</v>
      </c>
      <c r="B2775" s="55" t="n">
        <v>44469</v>
      </c>
      <c r="C2775" s="51" t="s">
        <v>782</v>
      </c>
      <c r="D2775" s="51" t="n">
        <v>0</v>
      </c>
    </row>
    <row r="2776" customFormat="false" ht="15" hidden="true" customHeight="false" outlineLevel="0" collapsed="false">
      <c r="A2776" s="51" t="s">
        <v>574</v>
      </c>
      <c r="B2776" s="55" t="n">
        <v>44469</v>
      </c>
      <c r="C2776" s="51" t="s">
        <v>782</v>
      </c>
      <c r="D2776" s="51" t="n">
        <v>0</v>
      </c>
    </row>
    <row r="2777" customFormat="false" ht="15" hidden="true" customHeight="false" outlineLevel="0" collapsed="false">
      <c r="A2777" s="51" t="s">
        <v>579</v>
      </c>
      <c r="B2777" s="55" t="n">
        <v>44469</v>
      </c>
      <c r="C2777" s="51" t="s">
        <v>782</v>
      </c>
      <c r="D2777" s="51" t="n">
        <v>0</v>
      </c>
    </row>
    <row r="2778" customFormat="false" ht="15" hidden="true" customHeight="false" outlineLevel="0" collapsed="false">
      <c r="A2778" s="51" t="s">
        <v>584</v>
      </c>
      <c r="B2778" s="55" t="n">
        <v>44469</v>
      </c>
      <c r="C2778" s="51" t="s">
        <v>782</v>
      </c>
      <c r="D2778" s="51" t="n">
        <v>0</v>
      </c>
    </row>
    <row r="2779" customFormat="false" ht="15" hidden="true" customHeight="false" outlineLevel="0" collapsed="false">
      <c r="A2779" s="51" t="s">
        <v>589</v>
      </c>
      <c r="B2779" s="55" t="n">
        <v>44469</v>
      </c>
      <c r="C2779" s="51" t="s">
        <v>782</v>
      </c>
      <c r="D2779" s="51" t="n">
        <v>0</v>
      </c>
    </row>
    <row r="2780" customFormat="false" ht="15" hidden="true" customHeight="false" outlineLevel="0" collapsed="false">
      <c r="A2780" s="51" t="s">
        <v>756</v>
      </c>
      <c r="B2780" s="55" t="n">
        <v>44469</v>
      </c>
      <c r="C2780" s="51" t="s">
        <v>782</v>
      </c>
      <c r="D2780" s="51" t="n">
        <v>0</v>
      </c>
    </row>
    <row r="2781" customFormat="false" ht="15" hidden="true" customHeight="false" outlineLevel="0" collapsed="false">
      <c r="A2781" s="51" t="s">
        <v>594</v>
      </c>
      <c r="B2781" s="55" t="n">
        <v>44469</v>
      </c>
      <c r="C2781" s="51" t="s">
        <v>782</v>
      </c>
      <c r="D2781" s="51" t="n">
        <v>0</v>
      </c>
    </row>
    <row r="2782" customFormat="false" ht="15" hidden="true" customHeight="false" outlineLevel="0" collapsed="false">
      <c r="A2782" s="51" t="s">
        <v>761</v>
      </c>
      <c r="B2782" s="55" t="n">
        <v>44469</v>
      </c>
      <c r="C2782" s="51" t="s">
        <v>782</v>
      </c>
      <c r="D2782" s="51" t="n">
        <v>0</v>
      </c>
    </row>
    <row r="2783" customFormat="false" ht="15" hidden="true" customHeight="false" outlineLevel="0" collapsed="false">
      <c r="A2783" s="51" t="s">
        <v>599</v>
      </c>
      <c r="B2783" s="55" t="n">
        <v>44469</v>
      </c>
      <c r="C2783" s="51" t="s">
        <v>782</v>
      </c>
      <c r="D2783" s="51" t="n">
        <v>0</v>
      </c>
    </row>
    <row r="2784" customFormat="false" ht="15" hidden="true" customHeight="false" outlineLevel="0" collapsed="false">
      <c r="A2784" s="51" t="s">
        <v>604</v>
      </c>
      <c r="B2784" s="55" t="n">
        <v>44469</v>
      </c>
      <c r="C2784" s="51" t="s">
        <v>782</v>
      </c>
      <c r="D2784" s="51" t="n">
        <v>0</v>
      </c>
    </row>
    <row r="2785" customFormat="false" ht="15" hidden="true" customHeight="false" outlineLevel="0" collapsed="false">
      <c r="A2785" s="51" t="s">
        <v>609</v>
      </c>
      <c r="B2785" s="55" t="n">
        <v>44469</v>
      </c>
      <c r="C2785" s="51" t="s">
        <v>782</v>
      </c>
      <c r="D2785" s="51" t="n">
        <v>0</v>
      </c>
    </row>
    <row r="2786" customFormat="false" ht="15" hidden="true" customHeight="false" outlineLevel="0" collapsed="false">
      <c r="A2786" s="51" t="s">
        <v>614</v>
      </c>
      <c r="B2786" s="55" t="n">
        <v>44469</v>
      </c>
      <c r="C2786" s="51" t="s">
        <v>782</v>
      </c>
      <c r="D2786" s="51" t="n">
        <v>0</v>
      </c>
    </row>
    <row r="2787" customFormat="false" ht="15" hidden="true" customHeight="false" outlineLevel="0" collapsed="false">
      <c r="A2787" s="51" t="s">
        <v>619</v>
      </c>
      <c r="B2787" s="55" t="n">
        <v>44469</v>
      </c>
      <c r="C2787" s="51" t="s">
        <v>782</v>
      </c>
      <c r="D2787" s="51" t="n">
        <v>0</v>
      </c>
    </row>
    <row r="2788" customFormat="false" ht="15" hidden="true" customHeight="false" outlineLevel="0" collapsed="false">
      <c r="A2788" s="51" t="s">
        <v>624</v>
      </c>
      <c r="B2788" s="55" t="n">
        <v>44469</v>
      </c>
      <c r="C2788" s="51" t="s">
        <v>782</v>
      </c>
      <c r="D2788" s="51" t="n">
        <v>0</v>
      </c>
    </row>
    <row r="2789" customFormat="false" ht="15" hidden="true" customHeight="false" outlineLevel="0" collapsed="false">
      <c r="A2789" s="51" t="s">
        <v>629</v>
      </c>
      <c r="B2789" s="55" t="n">
        <v>44469</v>
      </c>
      <c r="C2789" s="51" t="s">
        <v>782</v>
      </c>
      <c r="D2789" s="51" t="n">
        <v>0</v>
      </c>
    </row>
    <row r="2790" customFormat="false" ht="15" hidden="true" customHeight="false" outlineLevel="0" collapsed="false">
      <c r="A2790" s="51" t="s">
        <v>633</v>
      </c>
      <c r="B2790" s="55" t="n">
        <v>44469</v>
      </c>
      <c r="C2790" s="51" t="s">
        <v>782</v>
      </c>
      <c r="D2790" s="51" t="n">
        <v>0</v>
      </c>
    </row>
    <row r="2791" customFormat="false" ht="15" hidden="true" customHeight="false" outlineLevel="0" collapsed="false">
      <c r="A2791" s="51" t="s">
        <v>638</v>
      </c>
      <c r="B2791" s="55" t="n">
        <v>44469</v>
      </c>
      <c r="C2791" s="51" t="s">
        <v>782</v>
      </c>
      <c r="D2791" s="51" t="n">
        <v>0</v>
      </c>
    </row>
    <row r="2792" customFormat="false" ht="15" hidden="true" customHeight="false" outlineLevel="0" collapsed="false">
      <c r="A2792" s="51" t="s">
        <v>642</v>
      </c>
      <c r="B2792" s="55" t="n">
        <v>44469</v>
      </c>
      <c r="C2792" s="51" t="s">
        <v>782</v>
      </c>
      <c r="D2792" s="51" t="n">
        <v>0</v>
      </c>
    </row>
    <row r="2793" customFormat="false" ht="15" hidden="true" customHeight="false" outlineLevel="0" collapsed="false">
      <c r="A2793" s="51" t="s">
        <v>646</v>
      </c>
      <c r="B2793" s="55" t="n">
        <v>44469</v>
      </c>
      <c r="C2793" s="51" t="s">
        <v>782</v>
      </c>
      <c r="D2793" s="51" t="n">
        <v>0</v>
      </c>
    </row>
    <row r="2794" customFormat="false" ht="15" hidden="true" customHeight="false" outlineLevel="0" collapsed="false">
      <c r="A2794" s="51" t="s">
        <v>651</v>
      </c>
      <c r="B2794" s="55" t="n">
        <v>44469</v>
      </c>
      <c r="C2794" s="51" t="s">
        <v>782</v>
      </c>
      <c r="D2794" s="51" t="n">
        <v>0</v>
      </c>
    </row>
    <row r="2795" customFormat="false" ht="15" hidden="true" customHeight="false" outlineLevel="0" collapsed="false">
      <c r="A2795" s="51" t="s">
        <v>656</v>
      </c>
      <c r="B2795" s="55" t="n">
        <v>44469</v>
      </c>
      <c r="C2795" s="51" t="s">
        <v>782</v>
      </c>
      <c r="D2795" s="51" t="n">
        <v>0</v>
      </c>
    </row>
    <row r="2796" customFormat="false" ht="15" hidden="true" customHeight="false" outlineLevel="0" collapsed="false">
      <c r="A2796" s="51" t="s">
        <v>661</v>
      </c>
      <c r="B2796" s="55" t="n">
        <v>44469</v>
      </c>
      <c r="C2796" s="51" t="s">
        <v>782</v>
      </c>
      <c r="D2796" s="51" t="n">
        <v>0</v>
      </c>
    </row>
    <row r="2797" customFormat="false" ht="15" hidden="true" customHeight="false" outlineLevel="0" collapsed="false">
      <c r="A2797" s="51" t="s">
        <v>666</v>
      </c>
      <c r="B2797" s="55" t="n">
        <v>44469</v>
      </c>
      <c r="C2797" s="51" t="s">
        <v>782</v>
      </c>
      <c r="D2797" s="51" t="n">
        <v>0</v>
      </c>
    </row>
    <row r="2798" customFormat="false" ht="15" hidden="true" customHeight="false" outlineLevel="0" collapsed="false">
      <c r="A2798" s="51" t="s">
        <v>671</v>
      </c>
      <c r="B2798" s="55" t="n">
        <v>44469</v>
      </c>
      <c r="C2798" s="51" t="s">
        <v>782</v>
      </c>
      <c r="D2798" s="51" t="n">
        <v>0</v>
      </c>
    </row>
    <row r="2799" customFormat="false" ht="15" hidden="true" customHeight="false" outlineLevel="0" collapsed="false">
      <c r="A2799" s="51" t="s">
        <v>676</v>
      </c>
      <c r="B2799" s="55" t="n">
        <v>44469</v>
      </c>
      <c r="C2799" s="51" t="s">
        <v>782</v>
      </c>
      <c r="D2799" s="51" t="n">
        <v>0</v>
      </c>
    </row>
    <row r="2800" customFormat="false" ht="15" hidden="true" customHeight="false" outlineLevel="0" collapsed="false">
      <c r="A2800" s="51" t="s">
        <v>681</v>
      </c>
      <c r="B2800" s="55" t="n">
        <v>44469</v>
      </c>
      <c r="C2800" s="51" t="s">
        <v>782</v>
      </c>
      <c r="D2800" s="51" t="n">
        <v>0</v>
      </c>
    </row>
    <row r="2801" customFormat="false" ht="15" hidden="true" customHeight="false" outlineLevel="0" collapsed="false">
      <c r="A2801" s="51" t="s">
        <v>686</v>
      </c>
      <c r="B2801" s="55" t="n">
        <v>44469</v>
      </c>
      <c r="C2801" s="51" t="s">
        <v>782</v>
      </c>
      <c r="D2801" s="51" t="n">
        <v>0</v>
      </c>
    </row>
    <row r="2802" customFormat="false" ht="15" hidden="true" customHeight="false" outlineLevel="0" collapsed="false">
      <c r="A2802" s="51" t="s">
        <v>691</v>
      </c>
      <c r="B2802" s="55" t="n">
        <v>44469</v>
      </c>
      <c r="C2802" s="51" t="s">
        <v>782</v>
      </c>
      <c r="D2802" s="51" t="n">
        <v>0</v>
      </c>
    </row>
    <row r="2803" customFormat="false" ht="15" hidden="true" customHeight="false" outlineLevel="0" collapsed="false">
      <c r="A2803" s="51" t="s">
        <v>696</v>
      </c>
      <c r="B2803" s="55" t="n">
        <v>44469</v>
      </c>
      <c r="C2803" s="51" t="s">
        <v>782</v>
      </c>
      <c r="D2803" s="51" t="n">
        <v>0</v>
      </c>
    </row>
    <row r="2804" customFormat="false" ht="15" hidden="true" customHeight="false" outlineLevel="0" collapsed="false">
      <c r="A2804" s="51" t="s">
        <v>701</v>
      </c>
      <c r="B2804" s="55" t="n">
        <v>44469</v>
      </c>
      <c r="C2804" s="51" t="s">
        <v>782</v>
      </c>
      <c r="D2804" s="51" t="n">
        <v>0</v>
      </c>
    </row>
    <row r="2805" customFormat="false" ht="15" hidden="true" customHeight="false" outlineLevel="0" collapsed="false">
      <c r="A2805" s="51" t="s">
        <v>707</v>
      </c>
      <c r="B2805" s="55" t="n">
        <v>44469</v>
      </c>
      <c r="C2805" s="51" t="s">
        <v>782</v>
      </c>
      <c r="D2805" s="51" t="n">
        <v>0</v>
      </c>
    </row>
    <row r="2806" customFormat="false" ht="15" hidden="true" customHeight="false" outlineLevel="0" collapsed="false">
      <c r="A2806" s="51" t="s">
        <v>712</v>
      </c>
      <c r="B2806" s="55" t="n">
        <v>44469</v>
      </c>
      <c r="C2806" s="51" t="s">
        <v>782</v>
      </c>
      <c r="D2806" s="51" t="n">
        <v>0</v>
      </c>
    </row>
    <row r="2807" customFormat="false" ht="15" hidden="true" customHeight="false" outlineLevel="0" collapsed="false">
      <c r="A2807" s="51" t="s">
        <v>717</v>
      </c>
      <c r="B2807" s="55" t="n">
        <v>44469</v>
      </c>
      <c r="C2807" s="51" t="s">
        <v>782</v>
      </c>
      <c r="D2807" s="51" t="n">
        <v>0</v>
      </c>
    </row>
    <row r="2808" customFormat="false" ht="15" hidden="true" customHeight="false" outlineLevel="0" collapsed="false">
      <c r="A2808" s="51" t="s">
        <v>767</v>
      </c>
      <c r="B2808" s="55" t="n">
        <v>44469</v>
      </c>
      <c r="C2808" s="51" t="s">
        <v>782</v>
      </c>
      <c r="D2808" s="51" t="n">
        <v>0</v>
      </c>
    </row>
    <row r="2809" customFormat="false" ht="15" hidden="true" customHeight="false" outlineLevel="0" collapsed="false">
      <c r="A2809" s="51" t="s">
        <v>722</v>
      </c>
      <c r="B2809" s="55" t="n">
        <v>44469</v>
      </c>
      <c r="C2809" s="51" t="s">
        <v>782</v>
      </c>
      <c r="D2809" s="51" t="n">
        <v>0</v>
      </c>
    </row>
    <row r="2810" customFormat="false" ht="15" hidden="true" customHeight="false" outlineLevel="0" collapsed="false">
      <c r="A2810" s="51" t="s">
        <v>727</v>
      </c>
      <c r="B2810" s="55" t="n">
        <v>44469</v>
      </c>
      <c r="C2810" s="51" t="s">
        <v>782</v>
      </c>
      <c r="D2810" s="51" t="n">
        <v>0</v>
      </c>
    </row>
    <row r="2811" customFormat="false" ht="15" hidden="true" customHeight="false" outlineLevel="0" collapsed="false">
      <c r="A2811" s="51" t="s">
        <v>732</v>
      </c>
      <c r="B2811" s="55" t="n">
        <v>44469</v>
      </c>
      <c r="C2811" s="51" t="s">
        <v>782</v>
      </c>
      <c r="D2811" s="51" t="n">
        <v>0</v>
      </c>
    </row>
    <row r="2812" customFormat="false" ht="15" hidden="true" customHeight="false" outlineLevel="0" collapsed="false">
      <c r="A2812" s="51" t="s">
        <v>736</v>
      </c>
      <c r="B2812" s="55" t="n">
        <v>44469</v>
      </c>
      <c r="C2812" s="51" t="s">
        <v>782</v>
      </c>
      <c r="D2812" s="51" t="n">
        <v>0</v>
      </c>
    </row>
    <row r="2813" customFormat="false" ht="15" hidden="true" customHeight="false" outlineLevel="0" collapsed="false">
      <c r="A2813" s="51" t="s">
        <v>741</v>
      </c>
      <c r="B2813" s="55" t="n">
        <v>44469</v>
      </c>
      <c r="C2813" s="51" t="s">
        <v>782</v>
      </c>
      <c r="D2813" s="51" t="n">
        <v>0</v>
      </c>
    </row>
    <row r="2814" customFormat="false" ht="15" hidden="true" customHeight="false" outlineLevel="0" collapsed="false">
      <c r="A2814" s="51" t="s">
        <v>746</v>
      </c>
      <c r="B2814" s="55" t="n">
        <v>44469</v>
      </c>
      <c r="C2814" s="51" t="s">
        <v>782</v>
      </c>
      <c r="D2814" s="51" t="n">
        <v>0</v>
      </c>
    </row>
    <row r="2815" customFormat="false" ht="15" hidden="true" customHeight="false" outlineLevel="0" collapsed="false">
      <c r="A2815" s="51" t="s">
        <v>751</v>
      </c>
      <c r="B2815" s="55" t="n">
        <v>44469</v>
      </c>
      <c r="C2815" s="51" t="s">
        <v>782</v>
      </c>
      <c r="D2815" s="51" t="n">
        <v>0</v>
      </c>
    </row>
    <row r="2816" customFormat="false" ht="15" hidden="false" customHeight="false" outlineLevel="0" collapsed="false">
      <c r="A2816" s="51" t="s">
        <v>781</v>
      </c>
      <c r="B2816" s="55" t="n">
        <v>44469</v>
      </c>
      <c r="C2816" s="51" t="s">
        <v>82</v>
      </c>
      <c r="D2816" s="51" t="n">
        <v>0</v>
      </c>
    </row>
    <row r="2817" customFormat="false" ht="15" hidden="true" customHeight="false" outlineLevel="0" collapsed="false">
      <c r="A2817" s="51" t="s">
        <v>783</v>
      </c>
      <c r="B2817" s="55" t="n">
        <v>44469</v>
      </c>
      <c r="C2817" s="51" t="s">
        <v>82</v>
      </c>
      <c r="D2817" s="51" t="n">
        <v>0</v>
      </c>
    </row>
    <row r="2818" customFormat="false" ht="15" hidden="true" customHeight="false" outlineLevel="0" collapsed="false">
      <c r="A2818" s="51" t="s">
        <v>96</v>
      </c>
      <c r="B2818" s="55" t="n">
        <v>44469</v>
      </c>
      <c r="C2818" s="51" t="s">
        <v>82</v>
      </c>
      <c r="D2818" s="51" t="n">
        <v>0</v>
      </c>
    </row>
    <row r="2819" customFormat="false" ht="15" hidden="true" customHeight="false" outlineLevel="0" collapsed="false">
      <c r="A2819" s="51" t="s">
        <v>101</v>
      </c>
      <c r="B2819" s="55" t="n">
        <v>44469</v>
      </c>
      <c r="C2819" s="51" t="s">
        <v>82</v>
      </c>
      <c r="D2819" s="51" t="n">
        <v>0</v>
      </c>
    </row>
    <row r="2820" customFormat="false" ht="15" hidden="true" customHeight="false" outlineLevel="0" collapsed="false">
      <c r="A2820" s="51" t="s">
        <v>106</v>
      </c>
      <c r="B2820" s="55" t="n">
        <v>44469</v>
      </c>
      <c r="C2820" s="51" t="s">
        <v>82</v>
      </c>
      <c r="D2820" s="51" t="n">
        <v>0</v>
      </c>
    </row>
    <row r="2821" customFormat="false" ht="15" hidden="true" customHeight="false" outlineLevel="0" collapsed="false">
      <c r="A2821" s="51" t="s">
        <v>110</v>
      </c>
      <c r="B2821" s="55" t="n">
        <v>44469</v>
      </c>
      <c r="C2821" s="51" t="s">
        <v>82</v>
      </c>
      <c r="D2821" s="51" t="n">
        <v>0</v>
      </c>
    </row>
    <row r="2822" customFormat="false" ht="15" hidden="true" customHeight="false" outlineLevel="0" collapsed="false">
      <c r="A2822" s="51" t="s">
        <v>115</v>
      </c>
      <c r="B2822" s="55" t="n">
        <v>44469</v>
      </c>
      <c r="C2822" s="51" t="s">
        <v>82</v>
      </c>
      <c r="D2822" s="51" t="n">
        <v>0</v>
      </c>
    </row>
    <row r="2823" customFormat="false" ht="15" hidden="true" customHeight="false" outlineLevel="0" collapsed="false">
      <c r="A2823" s="51" t="s">
        <v>120</v>
      </c>
      <c r="B2823" s="55" t="n">
        <v>44469</v>
      </c>
      <c r="C2823" s="51" t="s">
        <v>82</v>
      </c>
      <c r="D2823" s="51" t="n">
        <v>0</v>
      </c>
    </row>
    <row r="2824" customFormat="false" ht="15" hidden="true" customHeight="false" outlineLevel="0" collapsed="false">
      <c r="A2824" s="51" t="s">
        <v>124</v>
      </c>
      <c r="B2824" s="55" t="n">
        <v>44469</v>
      </c>
      <c r="C2824" s="51" t="s">
        <v>82</v>
      </c>
      <c r="D2824" s="51" t="n">
        <v>0</v>
      </c>
    </row>
    <row r="2825" customFormat="false" ht="15" hidden="true" customHeight="false" outlineLevel="0" collapsed="false">
      <c r="A2825" s="51" t="s">
        <v>129</v>
      </c>
      <c r="B2825" s="55" t="n">
        <v>44469</v>
      </c>
      <c r="C2825" s="51" t="s">
        <v>82</v>
      </c>
      <c r="D2825" s="51" t="n">
        <v>0</v>
      </c>
    </row>
    <row r="2826" customFormat="false" ht="15" hidden="true" customHeight="false" outlineLevel="0" collapsed="false">
      <c r="A2826" s="51" t="s">
        <v>134</v>
      </c>
      <c r="B2826" s="55" t="n">
        <v>44469</v>
      </c>
      <c r="C2826" s="51" t="s">
        <v>82</v>
      </c>
      <c r="D2826" s="51" t="n">
        <v>0</v>
      </c>
    </row>
    <row r="2827" customFormat="false" ht="15" hidden="true" customHeight="false" outlineLevel="0" collapsed="false">
      <c r="A2827" s="51" t="s">
        <v>141</v>
      </c>
      <c r="B2827" s="55" t="n">
        <v>44469</v>
      </c>
      <c r="C2827" s="51" t="s">
        <v>82</v>
      </c>
      <c r="D2827" s="51" t="n">
        <v>0</v>
      </c>
    </row>
    <row r="2828" customFormat="false" ht="15" hidden="true" customHeight="false" outlineLevel="0" collapsed="false">
      <c r="A2828" s="51" t="s">
        <v>146</v>
      </c>
      <c r="B2828" s="55" t="n">
        <v>44469</v>
      </c>
      <c r="C2828" s="51" t="s">
        <v>82</v>
      </c>
      <c r="D2828" s="51" t="n">
        <v>0</v>
      </c>
    </row>
    <row r="2829" customFormat="false" ht="15" hidden="true" customHeight="false" outlineLevel="0" collapsed="false">
      <c r="A2829" s="51" t="s">
        <v>151</v>
      </c>
      <c r="B2829" s="55" t="n">
        <v>44469</v>
      </c>
      <c r="C2829" s="51" t="s">
        <v>82</v>
      </c>
      <c r="D2829" s="51" t="n">
        <v>0</v>
      </c>
    </row>
    <row r="2830" customFormat="false" ht="15" hidden="true" customHeight="false" outlineLevel="0" collapsed="false">
      <c r="A2830" s="51" t="s">
        <v>156</v>
      </c>
      <c r="B2830" s="55" t="n">
        <v>44469</v>
      </c>
      <c r="C2830" s="51" t="s">
        <v>82</v>
      </c>
      <c r="D2830" s="51" t="n">
        <v>0</v>
      </c>
    </row>
    <row r="2831" customFormat="false" ht="15" hidden="true" customHeight="false" outlineLevel="0" collapsed="false">
      <c r="A2831" s="51" t="s">
        <v>161</v>
      </c>
      <c r="B2831" s="55" t="n">
        <v>44469</v>
      </c>
      <c r="C2831" s="51" t="s">
        <v>82</v>
      </c>
      <c r="D2831" s="51" t="n">
        <v>0</v>
      </c>
    </row>
    <row r="2832" customFormat="false" ht="15" hidden="true" customHeight="false" outlineLevel="0" collapsed="false">
      <c r="A2832" s="51" t="s">
        <v>166</v>
      </c>
      <c r="B2832" s="55" t="n">
        <v>44469</v>
      </c>
      <c r="C2832" s="51" t="s">
        <v>82</v>
      </c>
      <c r="D2832" s="51" t="n">
        <v>0</v>
      </c>
    </row>
    <row r="2833" customFormat="false" ht="15" hidden="true" customHeight="false" outlineLevel="0" collapsed="false">
      <c r="A2833" s="51" t="s">
        <v>171</v>
      </c>
      <c r="B2833" s="55" t="n">
        <v>44469</v>
      </c>
      <c r="C2833" s="51" t="s">
        <v>82</v>
      </c>
      <c r="D2833" s="51" t="n">
        <v>0</v>
      </c>
    </row>
    <row r="2834" customFormat="false" ht="15" hidden="true" customHeight="false" outlineLevel="0" collapsed="false">
      <c r="A2834" s="51" t="s">
        <v>176</v>
      </c>
      <c r="B2834" s="55" t="n">
        <v>44469</v>
      </c>
      <c r="C2834" s="51" t="s">
        <v>82</v>
      </c>
      <c r="D2834" s="51" t="n">
        <v>0</v>
      </c>
    </row>
    <row r="2835" customFormat="false" ht="15" hidden="true" customHeight="false" outlineLevel="0" collapsed="false">
      <c r="A2835" s="51" t="s">
        <v>181</v>
      </c>
      <c r="B2835" s="55" t="n">
        <v>44469</v>
      </c>
      <c r="C2835" s="51" t="s">
        <v>82</v>
      </c>
      <c r="D2835" s="51" t="n">
        <v>0</v>
      </c>
    </row>
    <row r="2836" customFormat="false" ht="15" hidden="true" customHeight="false" outlineLevel="0" collapsed="false">
      <c r="A2836" s="51" t="s">
        <v>186</v>
      </c>
      <c r="B2836" s="55" t="n">
        <v>44469</v>
      </c>
      <c r="C2836" s="51" t="s">
        <v>82</v>
      </c>
      <c r="D2836" s="51" t="n">
        <v>0</v>
      </c>
    </row>
    <row r="2837" customFormat="false" ht="15" hidden="true" customHeight="false" outlineLevel="0" collapsed="false">
      <c r="A2837" s="51" t="s">
        <v>191</v>
      </c>
      <c r="B2837" s="55" t="n">
        <v>44469</v>
      </c>
      <c r="C2837" s="51" t="s">
        <v>82</v>
      </c>
      <c r="D2837" s="51" t="n">
        <v>0</v>
      </c>
    </row>
    <row r="2838" customFormat="false" ht="15" hidden="true" customHeight="false" outlineLevel="0" collapsed="false">
      <c r="A2838" s="51" t="s">
        <v>196</v>
      </c>
      <c r="B2838" s="55" t="n">
        <v>44469</v>
      </c>
      <c r="C2838" s="51" t="s">
        <v>82</v>
      </c>
      <c r="D2838" s="51" t="n">
        <v>0</v>
      </c>
    </row>
    <row r="2839" customFormat="false" ht="15" hidden="true" customHeight="false" outlineLevel="0" collapsed="false">
      <c r="A2839" s="51" t="s">
        <v>201</v>
      </c>
      <c r="B2839" s="55" t="n">
        <v>44469</v>
      </c>
      <c r="C2839" s="51" t="s">
        <v>82</v>
      </c>
      <c r="D2839" s="51" t="n">
        <v>0</v>
      </c>
    </row>
    <row r="2840" customFormat="false" ht="15" hidden="true" customHeight="false" outlineLevel="0" collapsed="false">
      <c r="A2840" s="51" t="s">
        <v>206</v>
      </c>
      <c r="B2840" s="55" t="n">
        <v>44469</v>
      </c>
      <c r="C2840" s="51" t="s">
        <v>82</v>
      </c>
      <c r="D2840" s="51" t="n">
        <v>0</v>
      </c>
    </row>
    <row r="2841" customFormat="false" ht="15" hidden="true" customHeight="false" outlineLevel="0" collapsed="false">
      <c r="A2841" s="51" t="s">
        <v>210</v>
      </c>
      <c r="B2841" s="55" t="n">
        <v>44469</v>
      </c>
      <c r="C2841" s="51" t="s">
        <v>82</v>
      </c>
      <c r="D2841" s="51" t="n">
        <v>0</v>
      </c>
    </row>
    <row r="2842" customFormat="false" ht="15" hidden="true" customHeight="false" outlineLevel="0" collapsed="false">
      <c r="A2842" s="51" t="s">
        <v>215</v>
      </c>
      <c r="B2842" s="55" t="n">
        <v>44469</v>
      </c>
      <c r="C2842" s="51" t="s">
        <v>82</v>
      </c>
      <c r="D2842" s="51" t="n">
        <v>0</v>
      </c>
    </row>
    <row r="2843" customFormat="false" ht="15" hidden="true" customHeight="false" outlineLevel="0" collapsed="false">
      <c r="A2843" s="51" t="s">
        <v>790</v>
      </c>
      <c r="B2843" s="55" t="n">
        <v>44469</v>
      </c>
      <c r="C2843" s="51" t="s">
        <v>82</v>
      </c>
      <c r="D2843" s="51" t="n">
        <v>0</v>
      </c>
    </row>
    <row r="2844" customFormat="false" ht="15" hidden="true" customHeight="false" outlineLevel="0" collapsed="false">
      <c r="A2844" s="51" t="s">
        <v>225</v>
      </c>
      <c r="B2844" s="55" t="n">
        <v>44469</v>
      </c>
      <c r="C2844" s="51" t="s">
        <v>82</v>
      </c>
      <c r="D2844" s="51" t="n">
        <v>192000</v>
      </c>
    </row>
    <row r="2845" customFormat="false" ht="15" hidden="true" customHeight="false" outlineLevel="0" collapsed="false">
      <c r="A2845" s="51" t="s">
        <v>230</v>
      </c>
      <c r="B2845" s="55" t="n">
        <v>44469</v>
      </c>
      <c r="C2845" s="51" t="s">
        <v>82</v>
      </c>
      <c r="D2845" s="51" t="n">
        <v>3515000</v>
      </c>
    </row>
    <row r="2846" customFormat="false" ht="15" hidden="true" customHeight="false" outlineLevel="0" collapsed="false">
      <c r="A2846" s="51" t="s">
        <v>235</v>
      </c>
      <c r="B2846" s="55" t="n">
        <v>44469</v>
      </c>
      <c r="C2846" s="51" t="s">
        <v>82</v>
      </c>
      <c r="D2846" s="51" t="n">
        <v>653000</v>
      </c>
    </row>
    <row r="2847" customFormat="false" ht="15" hidden="true" customHeight="false" outlineLevel="0" collapsed="false">
      <c r="A2847" s="51" t="s">
        <v>240</v>
      </c>
      <c r="B2847" s="55" t="n">
        <v>44469</v>
      </c>
      <c r="C2847" s="51" t="s">
        <v>82</v>
      </c>
      <c r="D2847" s="51" t="n">
        <v>770000</v>
      </c>
    </row>
    <row r="2848" customFormat="false" ht="15" hidden="true" customHeight="false" outlineLevel="0" collapsed="false">
      <c r="A2848" s="51" t="s">
        <v>246</v>
      </c>
      <c r="B2848" s="55" t="n">
        <v>44469</v>
      </c>
      <c r="C2848" s="51" t="s">
        <v>82</v>
      </c>
      <c r="D2848" s="51" t="n">
        <v>0</v>
      </c>
    </row>
    <row r="2849" customFormat="false" ht="15" hidden="true" customHeight="false" outlineLevel="0" collapsed="false">
      <c r="A2849" s="51" t="s">
        <v>252</v>
      </c>
      <c r="B2849" s="55" t="n">
        <v>44469</v>
      </c>
      <c r="C2849" s="51" t="s">
        <v>82</v>
      </c>
      <c r="D2849" s="51" t="n">
        <v>4128000</v>
      </c>
    </row>
    <row r="2850" customFormat="false" ht="15" hidden="true" customHeight="false" outlineLevel="0" collapsed="false">
      <c r="A2850" s="51" t="s">
        <v>257</v>
      </c>
      <c r="B2850" s="55" t="n">
        <v>44469</v>
      </c>
      <c r="C2850" s="51" t="s">
        <v>82</v>
      </c>
      <c r="D2850" s="51" t="n">
        <v>0</v>
      </c>
    </row>
    <row r="2851" customFormat="false" ht="15" hidden="true" customHeight="false" outlineLevel="0" collapsed="false">
      <c r="A2851" s="51" t="s">
        <v>262</v>
      </c>
      <c r="B2851" s="55" t="n">
        <v>44469</v>
      </c>
      <c r="C2851" s="51" t="s">
        <v>82</v>
      </c>
      <c r="D2851" s="51" t="n">
        <v>0</v>
      </c>
    </row>
    <row r="2852" customFormat="false" ht="15" hidden="true" customHeight="false" outlineLevel="0" collapsed="false">
      <c r="A2852" s="51" t="s">
        <v>267</v>
      </c>
      <c r="B2852" s="55" t="n">
        <v>44469</v>
      </c>
      <c r="C2852" s="51" t="s">
        <v>82</v>
      </c>
      <c r="D2852" s="51" t="n">
        <v>0</v>
      </c>
    </row>
    <row r="2853" customFormat="false" ht="15" hidden="true" customHeight="false" outlineLevel="0" collapsed="false">
      <c r="A2853" s="51" t="s">
        <v>272</v>
      </c>
      <c r="B2853" s="55" t="n">
        <v>44469</v>
      </c>
      <c r="C2853" s="51" t="s">
        <v>82</v>
      </c>
      <c r="D2853" s="51" t="n">
        <v>0</v>
      </c>
    </row>
    <row r="2854" customFormat="false" ht="15" hidden="true" customHeight="false" outlineLevel="0" collapsed="false">
      <c r="A2854" s="51" t="s">
        <v>277</v>
      </c>
      <c r="B2854" s="55" t="n">
        <v>44469</v>
      </c>
      <c r="C2854" s="51" t="s">
        <v>82</v>
      </c>
      <c r="D2854" s="51" t="n">
        <v>0</v>
      </c>
    </row>
    <row r="2855" customFormat="false" ht="15" hidden="true" customHeight="false" outlineLevel="0" collapsed="false">
      <c r="A2855" s="51" t="s">
        <v>282</v>
      </c>
      <c r="B2855" s="55" t="n">
        <v>44469</v>
      </c>
      <c r="C2855" s="51" t="s">
        <v>82</v>
      </c>
      <c r="D2855" s="51" t="n">
        <v>0</v>
      </c>
    </row>
    <row r="2856" customFormat="false" ht="15" hidden="true" customHeight="false" outlineLevel="0" collapsed="false">
      <c r="A2856" s="51" t="s">
        <v>287</v>
      </c>
      <c r="B2856" s="55" t="n">
        <v>44469</v>
      </c>
      <c r="C2856" s="51" t="s">
        <v>82</v>
      </c>
      <c r="D2856" s="51" t="n">
        <v>0</v>
      </c>
    </row>
    <row r="2857" customFormat="false" ht="15" hidden="true" customHeight="false" outlineLevel="0" collapsed="false">
      <c r="A2857" s="51" t="s">
        <v>292</v>
      </c>
      <c r="B2857" s="55" t="n">
        <v>44469</v>
      </c>
      <c r="C2857" s="51" t="s">
        <v>82</v>
      </c>
      <c r="D2857" s="51" t="n">
        <v>0</v>
      </c>
    </row>
    <row r="2858" customFormat="false" ht="15" hidden="true" customHeight="false" outlineLevel="0" collapsed="false">
      <c r="A2858" s="51" t="s">
        <v>297</v>
      </c>
      <c r="B2858" s="55" t="n">
        <v>44469</v>
      </c>
      <c r="C2858" s="51" t="s">
        <v>82</v>
      </c>
      <c r="D2858" s="51" t="n">
        <v>0</v>
      </c>
    </row>
    <row r="2859" customFormat="false" ht="15" hidden="true" customHeight="false" outlineLevel="0" collapsed="false">
      <c r="A2859" s="51" t="s">
        <v>302</v>
      </c>
      <c r="B2859" s="55" t="n">
        <v>44469</v>
      </c>
      <c r="C2859" s="51" t="s">
        <v>82</v>
      </c>
      <c r="D2859" s="51" t="n">
        <v>0</v>
      </c>
    </row>
    <row r="2860" customFormat="false" ht="15" hidden="true" customHeight="false" outlineLevel="0" collapsed="false">
      <c r="A2860" s="51" t="s">
        <v>307</v>
      </c>
      <c r="B2860" s="55" t="n">
        <v>44469</v>
      </c>
      <c r="C2860" s="51" t="s">
        <v>82</v>
      </c>
      <c r="D2860" s="51" t="n">
        <v>0</v>
      </c>
    </row>
    <row r="2861" customFormat="false" ht="15" hidden="true" customHeight="false" outlineLevel="0" collapsed="false">
      <c r="A2861" s="51" t="s">
        <v>311</v>
      </c>
      <c r="B2861" s="55" t="n">
        <v>44469</v>
      </c>
      <c r="C2861" s="51" t="s">
        <v>82</v>
      </c>
      <c r="D2861" s="51" t="n">
        <v>0</v>
      </c>
    </row>
    <row r="2862" customFormat="false" ht="15" hidden="true" customHeight="false" outlineLevel="0" collapsed="false">
      <c r="A2862" s="51" t="s">
        <v>317</v>
      </c>
      <c r="B2862" s="55" t="n">
        <v>44469</v>
      </c>
      <c r="C2862" s="51" t="s">
        <v>82</v>
      </c>
      <c r="D2862" s="51" t="n">
        <v>0</v>
      </c>
    </row>
    <row r="2863" customFormat="false" ht="15" hidden="true" customHeight="false" outlineLevel="0" collapsed="false">
      <c r="A2863" s="51" t="s">
        <v>322</v>
      </c>
      <c r="B2863" s="55" t="n">
        <v>44469</v>
      </c>
      <c r="C2863" s="51" t="s">
        <v>82</v>
      </c>
      <c r="D2863" s="51" t="n">
        <v>0</v>
      </c>
    </row>
    <row r="2864" customFormat="false" ht="15" hidden="true" customHeight="false" outlineLevel="0" collapsed="false">
      <c r="A2864" s="51" t="s">
        <v>327</v>
      </c>
      <c r="B2864" s="55" t="n">
        <v>44469</v>
      </c>
      <c r="C2864" s="51" t="s">
        <v>82</v>
      </c>
      <c r="D2864" s="51" t="n">
        <v>0</v>
      </c>
    </row>
    <row r="2865" customFormat="false" ht="15" hidden="true" customHeight="false" outlineLevel="0" collapsed="false">
      <c r="A2865" s="51" t="s">
        <v>332</v>
      </c>
      <c r="B2865" s="55" t="n">
        <v>44469</v>
      </c>
      <c r="C2865" s="51" t="s">
        <v>82</v>
      </c>
      <c r="D2865" s="51" t="n">
        <v>0</v>
      </c>
    </row>
    <row r="2866" customFormat="false" ht="15" hidden="true" customHeight="false" outlineLevel="0" collapsed="false">
      <c r="A2866" s="51" t="s">
        <v>339</v>
      </c>
      <c r="B2866" s="55" t="n">
        <v>44469</v>
      </c>
      <c r="C2866" s="51" t="s">
        <v>82</v>
      </c>
      <c r="D2866" s="51" t="n">
        <v>0</v>
      </c>
    </row>
    <row r="2867" customFormat="false" ht="15" hidden="true" customHeight="false" outlineLevel="0" collapsed="false">
      <c r="A2867" s="51" t="s">
        <v>344</v>
      </c>
      <c r="B2867" s="55" t="n">
        <v>44469</v>
      </c>
      <c r="C2867" s="51" t="s">
        <v>82</v>
      </c>
      <c r="D2867" s="51" t="n">
        <v>0</v>
      </c>
    </row>
    <row r="2868" customFormat="false" ht="15" hidden="true" customHeight="false" outlineLevel="0" collapsed="false">
      <c r="A2868" s="51" t="s">
        <v>349</v>
      </c>
      <c r="B2868" s="55" t="n">
        <v>44469</v>
      </c>
      <c r="C2868" s="51" t="s">
        <v>82</v>
      </c>
      <c r="D2868" s="51" t="n">
        <v>0</v>
      </c>
    </row>
    <row r="2869" customFormat="false" ht="15" hidden="true" customHeight="false" outlineLevel="0" collapsed="false">
      <c r="A2869" s="51" t="s">
        <v>354</v>
      </c>
      <c r="B2869" s="55" t="n">
        <v>44469</v>
      </c>
      <c r="C2869" s="51" t="s">
        <v>82</v>
      </c>
      <c r="D2869" s="51" t="n">
        <v>0</v>
      </c>
    </row>
    <row r="2870" customFormat="false" ht="15" hidden="true" customHeight="false" outlineLevel="0" collapsed="false">
      <c r="A2870" s="51" t="s">
        <v>359</v>
      </c>
      <c r="B2870" s="55" t="n">
        <v>44469</v>
      </c>
      <c r="C2870" s="51" t="s">
        <v>82</v>
      </c>
      <c r="D2870" s="51" t="n">
        <v>0</v>
      </c>
    </row>
    <row r="2871" customFormat="false" ht="15" hidden="true" customHeight="false" outlineLevel="0" collapsed="false">
      <c r="A2871" s="51" t="s">
        <v>364</v>
      </c>
      <c r="B2871" s="55" t="n">
        <v>44469</v>
      </c>
      <c r="C2871" s="51" t="s">
        <v>82</v>
      </c>
      <c r="D2871" s="51" t="n">
        <v>0</v>
      </c>
    </row>
    <row r="2872" customFormat="false" ht="15" hidden="true" customHeight="false" outlineLevel="0" collapsed="false">
      <c r="A2872" s="51" t="s">
        <v>369</v>
      </c>
      <c r="B2872" s="55" t="n">
        <v>44469</v>
      </c>
      <c r="C2872" s="51" t="s">
        <v>82</v>
      </c>
      <c r="D2872" s="51" t="n">
        <v>0</v>
      </c>
    </row>
    <row r="2873" customFormat="false" ht="15" hidden="true" customHeight="false" outlineLevel="0" collapsed="false">
      <c r="A2873" s="51" t="s">
        <v>374</v>
      </c>
      <c r="B2873" s="55" t="n">
        <v>44469</v>
      </c>
      <c r="C2873" s="51" t="s">
        <v>82</v>
      </c>
      <c r="D2873" s="51" t="n">
        <v>0</v>
      </c>
    </row>
    <row r="2874" customFormat="false" ht="15" hidden="true" customHeight="false" outlineLevel="0" collapsed="false">
      <c r="A2874" s="51" t="s">
        <v>379</v>
      </c>
      <c r="B2874" s="55" t="n">
        <v>44469</v>
      </c>
      <c r="C2874" s="51" t="s">
        <v>82</v>
      </c>
      <c r="D2874" s="51" t="n">
        <v>0</v>
      </c>
    </row>
    <row r="2875" customFormat="false" ht="15" hidden="true" customHeight="false" outlineLevel="0" collapsed="false">
      <c r="A2875" s="51" t="s">
        <v>384</v>
      </c>
      <c r="B2875" s="55" t="n">
        <v>44469</v>
      </c>
      <c r="C2875" s="51" t="s">
        <v>82</v>
      </c>
      <c r="D2875" s="51" t="n">
        <v>0</v>
      </c>
    </row>
    <row r="2876" customFormat="false" ht="15" hidden="true" customHeight="false" outlineLevel="0" collapsed="false">
      <c r="A2876" s="51" t="s">
        <v>389</v>
      </c>
      <c r="B2876" s="55" t="n">
        <v>44469</v>
      </c>
      <c r="C2876" s="51" t="s">
        <v>82</v>
      </c>
      <c r="D2876" s="51" t="n">
        <v>0</v>
      </c>
    </row>
    <row r="2877" customFormat="false" ht="15" hidden="true" customHeight="false" outlineLevel="0" collapsed="false">
      <c r="A2877" s="51" t="s">
        <v>394</v>
      </c>
      <c r="B2877" s="55" t="n">
        <v>44469</v>
      </c>
      <c r="C2877" s="51" t="s">
        <v>82</v>
      </c>
      <c r="D2877" s="51" t="n">
        <v>0</v>
      </c>
    </row>
    <row r="2878" customFormat="false" ht="15" hidden="true" customHeight="false" outlineLevel="0" collapsed="false">
      <c r="A2878" s="51" t="s">
        <v>399</v>
      </c>
      <c r="B2878" s="55" t="n">
        <v>44469</v>
      </c>
      <c r="C2878" s="51" t="s">
        <v>82</v>
      </c>
      <c r="D2878" s="51" t="n">
        <v>0</v>
      </c>
    </row>
    <row r="2879" customFormat="false" ht="15" hidden="true" customHeight="false" outlineLevel="0" collapsed="false">
      <c r="A2879" s="51" t="s">
        <v>404</v>
      </c>
      <c r="B2879" s="55" t="n">
        <v>44469</v>
      </c>
      <c r="C2879" s="51" t="s">
        <v>82</v>
      </c>
      <c r="D2879" s="51" t="n">
        <v>0</v>
      </c>
    </row>
    <row r="2880" customFormat="false" ht="15" hidden="true" customHeight="false" outlineLevel="0" collapsed="false">
      <c r="A2880" s="51" t="s">
        <v>409</v>
      </c>
      <c r="B2880" s="55" t="n">
        <v>44469</v>
      </c>
      <c r="C2880" s="51" t="s">
        <v>82</v>
      </c>
      <c r="D2880" s="51" t="n">
        <v>0</v>
      </c>
    </row>
    <row r="2881" customFormat="false" ht="15" hidden="true" customHeight="false" outlineLevel="0" collapsed="false">
      <c r="A2881" s="51" t="s">
        <v>414</v>
      </c>
      <c r="B2881" s="55" t="n">
        <v>44469</v>
      </c>
      <c r="C2881" s="51" t="s">
        <v>82</v>
      </c>
      <c r="D2881" s="51" t="n">
        <v>0</v>
      </c>
    </row>
    <row r="2882" customFormat="false" ht="15" hidden="true" customHeight="false" outlineLevel="0" collapsed="false">
      <c r="A2882" s="51" t="s">
        <v>419</v>
      </c>
      <c r="B2882" s="55" t="n">
        <v>44469</v>
      </c>
      <c r="C2882" s="51" t="s">
        <v>82</v>
      </c>
      <c r="D2882" s="51" t="n">
        <v>0</v>
      </c>
    </row>
    <row r="2883" customFormat="false" ht="15" hidden="true" customHeight="false" outlineLevel="0" collapsed="false">
      <c r="A2883" s="51" t="s">
        <v>424</v>
      </c>
      <c r="B2883" s="55" t="n">
        <v>44469</v>
      </c>
      <c r="C2883" s="51" t="s">
        <v>82</v>
      </c>
      <c r="D2883" s="51" t="n">
        <v>0</v>
      </c>
    </row>
    <row r="2884" customFormat="false" ht="15" hidden="true" customHeight="false" outlineLevel="0" collapsed="false">
      <c r="A2884" s="51" t="s">
        <v>429</v>
      </c>
      <c r="B2884" s="55" t="n">
        <v>44469</v>
      </c>
      <c r="C2884" s="51" t="s">
        <v>82</v>
      </c>
      <c r="D2884" s="51" t="n">
        <v>0</v>
      </c>
    </row>
    <row r="2885" customFormat="false" ht="15" hidden="true" customHeight="false" outlineLevel="0" collapsed="false">
      <c r="A2885" s="51" t="s">
        <v>434</v>
      </c>
      <c r="B2885" s="55" t="n">
        <v>44469</v>
      </c>
      <c r="C2885" s="51" t="s">
        <v>82</v>
      </c>
      <c r="D2885" s="51" t="n">
        <v>0</v>
      </c>
    </row>
    <row r="2886" customFormat="false" ht="15" hidden="true" customHeight="false" outlineLevel="0" collapsed="false">
      <c r="A2886" s="51" t="s">
        <v>438</v>
      </c>
      <c r="B2886" s="55" t="n">
        <v>44469</v>
      </c>
      <c r="C2886" s="51" t="s">
        <v>82</v>
      </c>
      <c r="D2886" s="51" t="n">
        <v>0</v>
      </c>
    </row>
    <row r="2887" customFormat="false" ht="15" hidden="true" customHeight="false" outlineLevel="0" collapsed="false">
      <c r="A2887" s="51" t="s">
        <v>443</v>
      </c>
      <c r="B2887" s="55" t="n">
        <v>44469</v>
      </c>
      <c r="C2887" s="51" t="s">
        <v>82</v>
      </c>
      <c r="D2887" s="51" t="n">
        <v>0</v>
      </c>
    </row>
    <row r="2888" customFormat="false" ht="15" hidden="true" customHeight="false" outlineLevel="0" collapsed="false">
      <c r="A2888" s="51" t="s">
        <v>448</v>
      </c>
      <c r="B2888" s="55" t="n">
        <v>44469</v>
      </c>
      <c r="C2888" s="51" t="s">
        <v>82</v>
      </c>
      <c r="D2888" s="51" t="n">
        <v>0</v>
      </c>
    </row>
    <row r="2889" customFormat="false" ht="15" hidden="true" customHeight="false" outlineLevel="0" collapsed="false">
      <c r="A2889" s="51" t="s">
        <v>453</v>
      </c>
      <c r="B2889" s="55" t="n">
        <v>44469</v>
      </c>
      <c r="C2889" s="51" t="s">
        <v>82</v>
      </c>
      <c r="D2889" s="51" t="n">
        <v>0</v>
      </c>
    </row>
    <row r="2890" customFormat="false" ht="15" hidden="true" customHeight="false" outlineLevel="0" collapsed="false">
      <c r="A2890" s="51" t="s">
        <v>458</v>
      </c>
      <c r="B2890" s="55" t="n">
        <v>44469</v>
      </c>
      <c r="C2890" s="51" t="s">
        <v>82</v>
      </c>
      <c r="D2890" s="51" t="n">
        <v>0</v>
      </c>
    </row>
    <row r="2891" customFormat="false" ht="15" hidden="true" customHeight="false" outlineLevel="0" collapsed="false">
      <c r="A2891" s="51" t="s">
        <v>473</v>
      </c>
      <c r="B2891" s="55" t="n">
        <v>44469</v>
      </c>
      <c r="C2891" s="51" t="s">
        <v>82</v>
      </c>
      <c r="D2891" s="51" t="n">
        <v>0</v>
      </c>
    </row>
    <row r="2892" customFormat="false" ht="15" hidden="true" customHeight="false" outlineLevel="0" collapsed="false">
      <c r="A2892" s="51" t="s">
        <v>479</v>
      </c>
      <c r="B2892" s="55" t="n">
        <v>44469</v>
      </c>
      <c r="C2892" s="51" t="s">
        <v>82</v>
      </c>
      <c r="D2892" s="51" t="n">
        <v>0</v>
      </c>
    </row>
    <row r="2893" customFormat="false" ht="15" hidden="true" customHeight="false" outlineLevel="0" collapsed="false">
      <c r="A2893" s="51" t="s">
        <v>484</v>
      </c>
      <c r="B2893" s="55" t="n">
        <v>44469</v>
      </c>
      <c r="C2893" s="51" t="s">
        <v>82</v>
      </c>
      <c r="D2893" s="51" t="n">
        <v>0</v>
      </c>
    </row>
    <row r="2894" customFormat="false" ht="15" hidden="true" customHeight="false" outlineLevel="0" collapsed="false">
      <c r="A2894" s="51" t="s">
        <v>489</v>
      </c>
      <c r="B2894" s="55" t="n">
        <v>44469</v>
      </c>
      <c r="C2894" s="51" t="s">
        <v>82</v>
      </c>
      <c r="D2894" s="51" t="n">
        <v>0</v>
      </c>
    </row>
    <row r="2895" customFormat="false" ht="15" hidden="true" customHeight="false" outlineLevel="0" collapsed="false">
      <c r="A2895" s="51" t="s">
        <v>494</v>
      </c>
      <c r="B2895" s="55" t="n">
        <v>44469</v>
      </c>
      <c r="C2895" s="51" t="s">
        <v>82</v>
      </c>
      <c r="D2895" s="51" t="n">
        <v>0</v>
      </c>
    </row>
    <row r="2896" customFormat="false" ht="15" hidden="true" customHeight="false" outlineLevel="0" collapsed="false">
      <c r="A2896" s="51" t="s">
        <v>499</v>
      </c>
      <c r="B2896" s="55" t="n">
        <v>44469</v>
      </c>
      <c r="C2896" s="51" t="s">
        <v>82</v>
      </c>
      <c r="D2896" s="51" t="n">
        <v>0</v>
      </c>
    </row>
    <row r="2897" customFormat="false" ht="15" hidden="true" customHeight="false" outlineLevel="0" collapsed="false">
      <c r="A2897" s="51" t="s">
        <v>504</v>
      </c>
      <c r="B2897" s="55" t="n">
        <v>44469</v>
      </c>
      <c r="C2897" s="51" t="s">
        <v>82</v>
      </c>
      <c r="D2897" s="51" t="n">
        <v>0</v>
      </c>
    </row>
    <row r="2898" customFormat="false" ht="15" hidden="true" customHeight="false" outlineLevel="0" collapsed="false">
      <c r="A2898" s="51" t="s">
        <v>509</v>
      </c>
      <c r="B2898" s="55" t="n">
        <v>44469</v>
      </c>
      <c r="C2898" s="51" t="s">
        <v>82</v>
      </c>
      <c r="D2898" s="51" t="n">
        <v>0</v>
      </c>
    </row>
    <row r="2899" customFormat="false" ht="15" hidden="true" customHeight="false" outlineLevel="0" collapsed="false">
      <c r="A2899" s="51" t="s">
        <v>515</v>
      </c>
      <c r="B2899" s="55" t="n">
        <v>44469</v>
      </c>
      <c r="C2899" s="51" t="s">
        <v>82</v>
      </c>
      <c r="D2899" s="51" t="n">
        <v>0</v>
      </c>
    </row>
    <row r="2900" customFormat="false" ht="15" hidden="true" customHeight="false" outlineLevel="0" collapsed="false">
      <c r="A2900" s="51" t="s">
        <v>520</v>
      </c>
      <c r="B2900" s="55" t="n">
        <v>44469</v>
      </c>
      <c r="C2900" s="51" t="s">
        <v>82</v>
      </c>
      <c r="D2900" s="51" t="n">
        <v>0</v>
      </c>
    </row>
    <row r="2901" customFormat="false" ht="15" hidden="true" customHeight="false" outlineLevel="0" collapsed="false">
      <c r="A2901" s="51" t="s">
        <v>525</v>
      </c>
      <c r="B2901" s="55" t="n">
        <v>44469</v>
      </c>
      <c r="C2901" s="51" t="s">
        <v>82</v>
      </c>
      <c r="D2901" s="51" t="n">
        <v>0</v>
      </c>
    </row>
    <row r="2902" customFormat="false" ht="15" hidden="true" customHeight="false" outlineLevel="0" collapsed="false">
      <c r="A2902" s="51" t="s">
        <v>531</v>
      </c>
      <c r="B2902" s="55" t="n">
        <v>44469</v>
      </c>
      <c r="C2902" s="51" t="s">
        <v>82</v>
      </c>
      <c r="D2902" s="51" t="n">
        <v>0</v>
      </c>
    </row>
    <row r="2903" customFormat="false" ht="15" hidden="true" customHeight="false" outlineLevel="0" collapsed="false">
      <c r="A2903" s="51" t="s">
        <v>536</v>
      </c>
      <c r="B2903" s="55" t="n">
        <v>44469</v>
      </c>
      <c r="C2903" s="51" t="s">
        <v>82</v>
      </c>
      <c r="D2903" s="51" t="n">
        <v>0</v>
      </c>
    </row>
    <row r="2904" customFormat="false" ht="15" hidden="true" customHeight="false" outlineLevel="0" collapsed="false">
      <c r="A2904" s="51" t="s">
        <v>541</v>
      </c>
      <c r="B2904" s="55" t="n">
        <v>44469</v>
      </c>
      <c r="C2904" s="51" t="s">
        <v>82</v>
      </c>
      <c r="D2904" s="51" t="n">
        <v>0</v>
      </c>
    </row>
    <row r="2905" customFormat="false" ht="15" hidden="true" customHeight="false" outlineLevel="0" collapsed="false">
      <c r="A2905" s="51" t="s">
        <v>549</v>
      </c>
      <c r="B2905" s="55" t="n">
        <v>44469</v>
      </c>
      <c r="C2905" s="51" t="s">
        <v>82</v>
      </c>
      <c r="D2905" s="51" t="n">
        <v>0</v>
      </c>
    </row>
    <row r="2906" customFormat="false" ht="15" hidden="true" customHeight="false" outlineLevel="0" collapsed="false">
      <c r="A2906" s="51" t="s">
        <v>554</v>
      </c>
      <c r="B2906" s="55" t="n">
        <v>44469</v>
      </c>
      <c r="C2906" s="51" t="s">
        <v>82</v>
      </c>
      <c r="D2906" s="51" t="n">
        <v>0</v>
      </c>
    </row>
    <row r="2907" customFormat="false" ht="15" hidden="true" customHeight="false" outlineLevel="0" collapsed="false">
      <c r="A2907" s="51" t="s">
        <v>559</v>
      </c>
      <c r="B2907" s="55" t="n">
        <v>44469</v>
      </c>
      <c r="C2907" s="51" t="s">
        <v>82</v>
      </c>
      <c r="D2907" s="51" t="n">
        <v>0</v>
      </c>
    </row>
    <row r="2908" customFormat="false" ht="15" hidden="true" customHeight="false" outlineLevel="0" collapsed="false">
      <c r="A2908" s="51" t="s">
        <v>564</v>
      </c>
      <c r="B2908" s="55" t="n">
        <v>44469</v>
      </c>
      <c r="C2908" s="51" t="s">
        <v>82</v>
      </c>
      <c r="D2908" s="51" t="n">
        <v>0</v>
      </c>
    </row>
    <row r="2909" customFormat="false" ht="15" hidden="true" customHeight="false" outlineLevel="0" collapsed="false">
      <c r="A2909" s="51" t="s">
        <v>569</v>
      </c>
      <c r="B2909" s="55" t="n">
        <v>44469</v>
      </c>
      <c r="C2909" s="51" t="s">
        <v>82</v>
      </c>
      <c r="D2909" s="51" t="n">
        <v>0</v>
      </c>
    </row>
    <row r="2910" customFormat="false" ht="15" hidden="true" customHeight="false" outlineLevel="0" collapsed="false">
      <c r="A2910" s="51" t="s">
        <v>574</v>
      </c>
      <c r="B2910" s="55" t="n">
        <v>44469</v>
      </c>
      <c r="C2910" s="51" t="s">
        <v>82</v>
      </c>
      <c r="D2910" s="51" t="n">
        <v>0</v>
      </c>
    </row>
    <row r="2911" customFormat="false" ht="15" hidden="true" customHeight="false" outlineLevel="0" collapsed="false">
      <c r="A2911" s="51" t="s">
        <v>579</v>
      </c>
      <c r="B2911" s="55" t="n">
        <v>44469</v>
      </c>
      <c r="C2911" s="51" t="s">
        <v>82</v>
      </c>
      <c r="D2911" s="51" t="n">
        <v>0</v>
      </c>
    </row>
    <row r="2912" customFormat="false" ht="15" hidden="true" customHeight="false" outlineLevel="0" collapsed="false">
      <c r="A2912" s="51" t="s">
        <v>584</v>
      </c>
      <c r="B2912" s="55" t="n">
        <v>44469</v>
      </c>
      <c r="C2912" s="51" t="s">
        <v>82</v>
      </c>
      <c r="D2912" s="51" t="n">
        <v>0</v>
      </c>
    </row>
    <row r="2913" customFormat="false" ht="15" hidden="true" customHeight="false" outlineLevel="0" collapsed="false">
      <c r="A2913" s="51" t="s">
        <v>589</v>
      </c>
      <c r="B2913" s="55" t="n">
        <v>44469</v>
      </c>
      <c r="C2913" s="51" t="s">
        <v>82</v>
      </c>
      <c r="D2913" s="51" t="n">
        <v>0</v>
      </c>
    </row>
    <row r="2914" customFormat="false" ht="15" hidden="true" customHeight="false" outlineLevel="0" collapsed="false">
      <c r="A2914" s="51" t="s">
        <v>756</v>
      </c>
      <c r="B2914" s="55" t="n">
        <v>44469</v>
      </c>
      <c r="C2914" s="51" t="s">
        <v>82</v>
      </c>
      <c r="D2914" s="51" t="n">
        <v>0</v>
      </c>
    </row>
    <row r="2915" customFormat="false" ht="15" hidden="true" customHeight="false" outlineLevel="0" collapsed="false">
      <c r="A2915" s="51" t="s">
        <v>594</v>
      </c>
      <c r="B2915" s="55" t="n">
        <v>44469</v>
      </c>
      <c r="C2915" s="51" t="s">
        <v>82</v>
      </c>
      <c r="D2915" s="51" t="n">
        <v>0</v>
      </c>
    </row>
    <row r="2916" customFormat="false" ht="15" hidden="true" customHeight="false" outlineLevel="0" collapsed="false">
      <c r="A2916" s="51" t="s">
        <v>761</v>
      </c>
      <c r="B2916" s="55" t="n">
        <v>44469</v>
      </c>
      <c r="C2916" s="51" t="s">
        <v>82</v>
      </c>
      <c r="D2916" s="51" t="n">
        <v>0</v>
      </c>
    </row>
    <row r="2917" customFormat="false" ht="15" hidden="true" customHeight="false" outlineLevel="0" collapsed="false">
      <c r="A2917" s="51" t="s">
        <v>599</v>
      </c>
      <c r="B2917" s="55" t="n">
        <v>44469</v>
      </c>
      <c r="C2917" s="51" t="s">
        <v>82</v>
      </c>
      <c r="D2917" s="51" t="n">
        <v>0</v>
      </c>
    </row>
    <row r="2918" customFormat="false" ht="15" hidden="true" customHeight="false" outlineLevel="0" collapsed="false">
      <c r="A2918" s="51" t="s">
        <v>604</v>
      </c>
      <c r="B2918" s="55" t="n">
        <v>44469</v>
      </c>
      <c r="C2918" s="51" t="s">
        <v>82</v>
      </c>
      <c r="D2918" s="51" t="n">
        <v>0</v>
      </c>
    </row>
    <row r="2919" customFormat="false" ht="15" hidden="true" customHeight="false" outlineLevel="0" collapsed="false">
      <c r="A2919" s="51" t="s">
        <v>609</v>
      </c>
      <c r="B2919" s="55" t="n">
        <v>44469</v>
      </c>
      <c r="C2919" s="51" t="s">
        <v>82</v>
      </c>
      <c r="D2919" s="51" t="n">
        <v>0</v>
      </c>
    </row>
    <row r="2920" customFormat="false" ht="15" hidden="true" customHeight="false" outlineLevel="0" collapsed="false">
      <c r="A2920" s="51" t="s">
        <v>614</v>
      </c>
      <c r="B2920" s="55" t="n">
        <v>44469</v>
      </c>
      <c r="C2920" s="51" t="s">
        <v>82</v>
      </c>
      <c r="D2920" s="51" t="n">
        <v>0</v>
      </c>
    </row>
    <row r="2921" customFormat="false" ht="15" hidden="true" customHeight="false" outlineLevel="0" collapsed="false">
      <c r="A2921" s="51" t="s">
        <v>619</v>
      </c>
      <c r="B2921" s="55" t="n">
        <v>44469</v>
      </c>
      <c r="C2921" s="51" t="s">
        <v>82</v>
      </c>
      <c r="D2921" s="51" t="n">
        <v>0</v>
      </c>
    </row>
    <row r="2922" customFormat="false" ht="15" hidden="true" customHeight="false" outlineLevel="0" collapsed="false">
      <c r="A2922" s="51" t="s">
        <v>624</v>
      </c>
      <c r="B2922" s="55" t="n">
        <v>44469</v>
      </c>
      <c r="C2922" s="51" t="s">
        <v>82</v>
      </c>
      <c r="D2922" s="51" t="n">
        <v>0</v>
      </c>
    </row>
    <row r="2923" customFormat="false" ht="15" hidden="true" customHeight="false" outlineLevel="0" collapsed="false">
      <c r="A2923" s="51" t="s">
        <v>629</v>
      </c>
      <c r="B2923" s="55" t="n">
        <v>44469</v>
      </c>
      <c r="C2923" s="51" t="s">
        <v>82</v>
      </c>
      <c r="D2923" s="51" t="n">
        <v>0</v>
      </c>
    </row>
    <row r="2924" customFormat="false" ht="15" hidden="true" customHeight="false" outlineLevel="0" collapsed="false">
      <c r="A2924" s="51" t="s">
        <v>633</v>
      </c>
      <c r="B2924" s="55" t="n">
        <v>44469</v>
      </c>
      <c r="C2924" s="51" t="s">
        <v>82</v>
      </c>
      <c r="D2924" s="51" t="n">
        <v>0</v>
      </c>
    </row>
    <row r="2925" customFormat="false" ht="15" hidden="true" customHeight="false" outlineLevel="0" collapsed="false">
      <c r="A2925" s="51" t="s">
        <v>638</v>
      </c>
      <c r="B2925" s="55" t="n">
        <v>44469</v>
      </c>
      <c r="C2925" s="51" t="s">
        <v>82</v>
      </c>
      <c r="D2925" s="51" t="n">
        <v>0</v>
      </c>
    </row>
    <row r="2926" customFormat="false" ht="15" hidden="true" customHeight="false" outlineLevel="0" collapsed="false">
      <c r="A2926" s="51" t="s">
        <v>642</v>
      </c>
      <c r="B2926" s="55" t="n">
        <v>44469</v>
      </c>
      <c r="C2926" s="51" t="s">
        <v>82</v>
      </c>
      <c r="D2926" s="51" t="n">
        <v>0</v>
      </c>
    </row>
    <row r="2927" customFormat="false" ht="15" hidden="true" customHeight="false" outlineLevel="0" collapsed="false">
      <c r="A2927" s="51" t="s">
        <v>646</v>
      </c>
      <c r="B2927" s="55" t="n">
        <v>44469</v>
      </c>
      <c r="C2927" s="51" t="s">
        <v>82</v>
      </c>
      <c r="D2927" s="51" t="n">
        <v>0</v>
      </c>
    </row>
    <row r="2928" customFormat="false" ht="15" hidden="true" customHeight="false" outlineLevel="0" collapsed="false">
      <c r="A2928" s="51" t="s">
        <v>651</v>
      </c>
      <c r="B2928" s="55" t="n">
        <v>44469</v>
      </c>
      <c r="C2928" s="51" t="s">
        <v>82</v>
      </c>
      <c r="D2928" s="51" t="n">
        <v>0</v>
      </c>
    </row>
    <row r="2929" customFormat="false" ht="15" hidden="true" customHeight="false" outlineLevel="0" collapsed="false">
      <c r="A2929" s="51" t="s">
        <v>656</v>
      </c>
      <c r="B2929" s="55" t="n">
        <v>44469</v>
      </c>
      <c r="C2929" s="51" t="s">
        <v>82</v>
      </c>
      <c r="D2929" s="51" t="n">
        <v>0</v>
      </c>
    </row>
    <row r="2930" customFormat="false" ht="15" hidden="true" customHeight="false" outlineLevel="0" collapsed="false">
      <c r="A2930" s="51" t="s">
        <v>661</v>
      </c>
      <c r="B2930" s="55" t="n">
        <v>44469</v>
      </c>
      <c r="C2930" s="51" t="s">
        <v>82</v>
      </c>
      <c r="D2930" s="51" t="n">
        <v>0</v>
      </c>
    </row>
    <row r="2931" customFormat="false" ht="15" hidden="true" customHeight="false" outlineLevel="0" collapsed="false">
      <c r="A2931" s="51" t="s">
        <v>666</v>
      </c>
      <c r="B2931" s="55" t="n">
        <v>44469</v>
      </c>
      <c r="C2931" s="51" t="s">
        <v>82</v>
      </c>
      <c r="D2931" s="51" t="n">
        <v>0</v>
      </c>
    </row>
    <row r="2932" customFormat="false" ht="15" hidden="true" customHeight="false" outlineLevel="0" collapsed="false">
      <c r="A2932" s="51" t="s">
        <v>671</v>
      </c>
      <c r="B2932" s="55" t="n">
        <v>44469</v>
      </c>
      <c r="C2932" s="51" t="s">
        <v>82</v>
      </c>
      <c r="D2932" s="51" t="n">
        <v>0</v>
      </c>
    </row>
    <row r="2933" customFormat="false" ht="15" hidden="true" customHeight="false" outlineLevel="0" collapsed="false">
      <c r="A2933" s="51" t="s">
        <v>676</v>
      </c>
      <c r="B2933" s="55" t="n">
        <v>44469</v>
      </c>
      <c r="C2933" s="51" t="s">
        <v>82</v>
      </c>
      <c r="D2933" s="51" t="n">
        <v>0</v>
      </c>
    </row>
    <row r="2934" customFormat="false" ht="15" hidden="true" customHeight="false" outlineLevel="0" collapsed="false">
      <c r="A2934" s="51" t="s">
        <v>681</v>
      </c>
      <c r="B2934" s="55" t="n">
        <v>44469</v>
      </c>
      <c r="C2934" s="51" t="s">
        <v>82</v>
      </c>
      <c r="D2934" s="51" t="n">
        <v>0</v>
      </c>
    </row>
    <row r="2935" customFormat="false" ht="15" hidden="true" customHeight="false" outlineLevel="0" collapsed="false">
      <c r="A2935" s="51" t="s">
        <v>686</v>
      </c>
      <c r="B2935" s="55" t="n">
        <v>44469</v>
      </c>
      <c r="C2935" s="51" t="s">
        <v>82</v>
      </c>
      <c r="D2935" s="51" t="n">
        <v>0</v>
      </c>
    </row>
    <row r="2936" customFormat="false" ht="15" hidden="true" customHeight="false" outlineLevel="0" collapsed="false">
      <c r="A2936" s="51" t="s">
        <v>691</v>
      </c>
      <c r="B2936" s="55" t="n">
        <v>44469</v>
      </c>
      <c r="C2936" s="51" t="s">
        <v>82</v>
      </c>
      <c r="D2936" s="51" t="n">
        <v>0</v>
      </c>
    </row>
    <row r="2937" customFormat="false" ht="15" hidden="true" customHeight="false" outlineLevel="0" collapsed="false">
      <c r="A2937" s="51" t="s">
        <v>696</v>
      </c>
      <c r="B2937" s="55" t="n">
        <v>44469</v>
      </c>
      <c r="C2937" s="51" t="s">
        <v>82</v>
      </c>
      <c r="D2937" s="51" t="n">
        <v>0</v>
      </c>
    </row>
    <row r="2938" customFormat="false" ht="15" hidden="true" customHeight="false" outlineLevel="0" collapsed="false">
      <c r="A2938" s="51" t="s">
        <v>701</v>
      </c>
      <c r="B2938" s="55" t="n">
        <v>44469</v>
      </c>
      <c r="C2938" s="51" t="s">
        <v>82</v>
      </c>
      <c r="D2938" s="51" t="n">
        <v>0</v>
      </c>
    </row>
    <row r="2939" customFormat="false" ht="15" hidden="true" customHeight="false" outlineLevel="0" collapsed="false">
      <c r="A2939" s="51" t="s">
        <v>707</v>
      </c>
      <c r="B2939" s="55" t="n">
        <v>44469</v>
      </c>
      <c r="C2939" s="51" t="s">
        <v>82</v>
      </c>
      <c r="D2939" s="51" t="n">
        <v>0</v>
      </c>
    </row>
    <row r="2940" customFormat="false" ht="15" hidden="true" customHeight="false" outlineLevel="0" collapsed="false">
      <c r="A2940" s="51" t="s">
        <v>712</v>
      </c>
      <c r="B2940" s="55" t="n">
        <v>44469</v>
      </c>
      <c r="C2940" s="51" t="s">
        <v>82</v>
      </c>
      <c r="D2940" s="51" t="n">
        <v>0</v>
      </c>
    </row>
    <row r="2941" customFormat="false" ht="15" hidden="true" customHeight="false" outlineLevel="0" collapsed="false">
      <c r="A2941" s="51" t="s">
        <v>717</v>
      </c>
      <c r="B2941" s="55" t="n">
        <v>44469</v>
      </c>
      <c r="C2941" s="51" t="s">
        <v>82</v>
      </c>
      <c r="D2941" s="51" t="n">
        <v>0</v>
      </c>
    </row>
    <row r="2942" customFormat="false" ht="15" hidden="true" customHeight="false" outlineLevel="0" collapsed="false">
      <c r="A2942" s="51" t="s">
        <v>767</v>
      </c>
      <c r="B2942" s="55" t="n">
        <v>44469</v>
      </c>
      <c r="C2942" s="51" t="s">
        <v>82</v>
      </c>
      <c r="D2942" s="51" t="n">
        <v>0</v>
      </c>
    </row>
    <row r="2943" customFormat="false" ht="15" hidden="true" customHeight="false" outlineLevel="0" collapsed="false">
      <c r="A2943" s="51" t="s">
        <v>722</v>
      </c>
      <c r="B2943" s="55" t="n">
        <v>44469</v>
      </c>
      <c r="C2943" s="51" t="s">
        <v>82</v>
      </c>
      <c r="D2943" s="51" t="n">
        <v>0</v>
      </c>
    </row>
    <row r="2944" customFormat="false" ht="15" hidden="true" customHeight="false" outlineLevel="0" collapsed="false">
      <c r="A2944" s="51" t="s">
        <v>727</v>
      </c>
      <c r="B2944" s="55" t="n">
        <v>44469</v>
      </c>
      <c r="C2944" s="51" t="s">
        <v>82</v>
      </c>
      <c r="D2944" s="51" t="n">
        <v>0</v>
      </c>
    </row>
    <row r="2945" customFormat="false" ht="15" hidden="true" customHeight="false" outlineLevel="0" collapsed="false">
      <c r="A2945" s="51" t="s">
        <v>732</v>
      </c>
      <c r="B2945" s="55" t="n">
        <v>44469</v>
      </c>
      <c r="C2945" s="51" t="s">
        <v>82</v>
      </c>
      <c r="D2945" s="51" t="n">
        <v>0</v>
      </c>
    </row>
    <row r="2946" customFormat="false" ht="15" hidden="true" customHeight="false" outlineLevel="0" collapsed="false">
      <c r="A2946" s="51" t="s">
        <v>736</v>
      </c>
      <c r="B2946" s="55" t="n">
        <v>44469</v>
      </c>
      <c r="C2946" s="51" t="s">
        <v>82</v>
      </c>
      <c r="D2946" s="51" t="n">
        <v>0</v>
      </c>
    </row>
    <row r="2947" customFormat="false" ht="15" hidden="true" customHeight="false" outlineLevel="0" collapsed="false">
      <c r="A2947" s="51" t="s">
        <v>741</v>
      </c>
      <c r="B2947" s="55" t="n">
        <v>44469</v>
      </c>
      <c r="C2947" s="51" t="s">
        <v>82</v>
      </c>
      <c r="D2947" s="51" t="n">
        <v>0</v>
      </c>
    </row>
    <row r="2948" customFormat="false" ht="15" hidden="true" customHeight="false" outlineLevel="0" collapsed="false">
      <c r="A2948" s="51" t="s">
        <v>746</v>
      </c>
      <c r="B2948" s="55" t="n">
        <v>44469</v>
      </c>
      <c r="C2948" s="51" t="s">
        <v>82</v>
      </c>
      <c r="D2948" s="51" t="n">
        <v>0</v>
      </c>
    </row>
    <row r="2949" customFormat="false" ht="15" hidden="true" customHeight="false" outlineLevel="0" collapsed="false">
      <c r="A2949" s="51" t="s">
        <v>751</v>
      </c>
      <c r="B2949" s="55" t="n">
        <v>44469</v>
      </c>
      <c r="C2949" s="51" t="s">
        <v>82</v>
      </c>
      <c r="D2949" s="51" t="n">
        <v>0</v>
      </c>
    </row>
    <row r="2950" customFormat="false" ht="15" hidden="false" customHeight="false" outlineLevel="0" collapsed="false">
      <c r="A2950" s="51" t="s">
        <v>781</v>
      </c>
      <c r="B2950" s="55" t="n">
        <v>44469</v>
      </c>
      <c r="C2950" s="51" t="s">
        <v>73</v>
      </c>
      <c r="D2950" s="51" t="n">
        <v>0</v>
      </c>
    </row>
    <row r="2951" customFormat="false" ht="15" hidden="true" customHeight="false" outlineLevel="0" collapsed="false">
      <c r="A2951" s="51" t="s">
        <v>783</v>
      </c>
      <c r="B2951" s="55" t="n">
        <v>44469</v>
      </c>
      <c r="C2951" s="51" t="s">
        <v>73</v>
      </c>
      <c r="D2951" s="51" t="n">
        <v>0</v>
      </c>
    </row>
    <row r="2952" customFormat="false" ht="15" hidden="true" customHeight="false" outlineLevel="0" collapsed="false">
      <c r="A2952" s="51" t="s">
        <v>96</v>
      </c>
      <c r="B2952" s="55" t="n">
        <v>44469</v>
      </c>
      <c r="C2952" s="51" t="s">
        <v>73</v>
      </c>
      <c r="D2952" s="51" t="n">
        <v>1500000</v>
      </c>
    </row>
    <row r="2953" customFormat="false" ht="15" hidden="true" customHeight="false" outlineLevel="0" collapsed="false">
      <c r="A2953" s="51" t="s">
        <v>101</v>
      </c>
      <c r="B2953" s="55" t="n">
        <v>44469</v>
      </c>
      <c r="C2953" s="51" t="s">
        <v>73</v>
      </c>
      <c r="D2953" s="51" t="n">
        <v>600000</v>
      </c>
    </row>
    <row r="2954" customFormat="false" ht="15" hidden="true" customHeight="false" outlineLevel="0" collapsed="false">
      <c r="A2954" s="51" t="s">
        <v>106</v>
      </c>
      <c r="B2954" s="55" t="n">
        <v>44469</v>
      </c>
      <c r="C2954" s="51" t="s">
        <v>73</v>
      </c>
      <c r="D2954" s="51" t="n">
        <v>0</v>
      </c>
    </row>
    <row r="2955" customFormat="false" ht="15" hidden="true" customHeight="false" outlineLevel="0" collapsed="false">
      <c r="A2955" s="51" t="s">
        <v>110</v>
      </c>
      <c r="B2955" s="55" t="n">
        <v>44469</v>
      </c>
      <c r="C2955" s="51" t="s">
        <v>73</v>
      </c>
      <c r="D2955" s="51" t="n">
        <v>0</v>
      </c>
    </row>
    <row r="2956" customFormat="false" ht="15" hidden="true" customHeight="false" outlineLevel="0" collapsed="false">
      <c r="A2956" s="51" t="s">
        <v>115</v>
      </c>
      <c r="B2956" s="55" t="n">
        <v>44469</v>
      </c>
      <c r="C2956" s="51" t="s">
        <v>73</v>
      </c>
      <c r="D2956" s="51" t="n">
        <v>0</v>
      </c>
    </row>
    <row r="2957" customFormat="false" ht="15" hidden="true" customHeight="false" outlineLevel="0" collapsed="false">
      <c r="A2957" s="51" t="s">
        <v>120</v>
      </c>
      <c r="B2957" s="55" t="n">
        <v>44469</v>
      </c>
      <c r="C2957" s="51" t="s">
        <v>73</v>
      </c>
      <c r="D2957" s="51" t="n">
        <v>0</v>
      </c>
    </row>
    <row r="2958" customFormat="false" ht="15" hidden="true" customHeight="false" outlineLevel="0" collapsed="false">
      <c r="A2958" s="51" t="s">
        <v>124</v>
      </c>
      <c r="B2958" s="55" t="n">
        <v>44469</v>
      </c>
      <c r="C2958" s="51" t="s">
        <v>73</v>
      </c>
      <c r="D2958" s="51" t="n">
        <v>1200000</v>
      </c>
    </row>
    <row r="2959" customFormat="false" ht="15" hidden="true" customHeight="false" outlineLevel="0" collapsed="false">
      <c r="A2959" s="51" t="s">
        <v>129</v>
      </c>
      <c r="B2959" s="55" t="n">
        <v>44469</v>
      </c>
      <c r="C2959" s="51" t="s">
        <v>73</v>
      </c>
      <c r="D2959" s="51" t="n">
        <v>0</v>
      </c>
    </row>
    <row r="2960" customFormat="false" ht="15" hidden="true" customHeight="false" outlineLevel="0" collapsed="false">
      <c r="A2960" s="51" t="s">
        <v>134</v>
      </c>
      <c r="B2960" s="55" t="n">
        <v>44469</v>
      </c>
      <c r="C2960" s="51" t="s">
        <v>73</v>
      </c>
      <c r="D2960" s="51" t="n">
        <v>200000</v>
      </c>
    </row>
    <row r="2961" customFormat="false" ht="15" hidden="true" customHeight="false" outlineLevel="0" collapsed="false">
      <c r="A2961" s="51" t="s">
        <v>141</v>
      </c>
      <c r="B2961" s="55" t="n">
        <v>44469</v>
      </c>
      <c r="C2961" s="51" t="s">
        <v>73</v>
      </c>
      <c r="D2961" s="51" t="n">
        <v>11522</v>
      </c>
    </row>
    <row r="2962" customFormat="false" ht="15" hidden="true" customHeight="false" outlineLevel="0" collapsed="false">
      <c r="A2962" s="51" t="s">
        <v>146</v>
      </c>
      <c r="B2962" s="55" t="n">
        <v>44469</v>
      </c>
      <c r="C2962" s="51" t="s">
        <v>73</v>
      </c>
      <c r="D2962" s="51" t="n">
        <v>0</v>
      </c>
    </row>
    <row r="2963" customFormat="false" ht="15" hidden="true" customHeight="false" outlineLevel="0" collapsed="false">
      <c r="A2963" s="51" t="s">
        <v>151</v>
      </c>
      <c r="B2963" s="55" t="n">
        <v>44469</v>
      </c>
      <c r="C2963" s="51" t="s">
        <v>73</v>
      </c>
      <c r="D2963" s="51" t="n">
        <v>200000</v>
      </c>
    </row>
    <row r="2964" customFormat="false" ht="15" hidden="true" customHeight="false" outlineLevel="0" collapsed="false">
      <c r="A2964" s="51" t="s">
        <v>156</v>
      </c>
      <c r="B2964" s="55" t="n">
        <v>44469</v>
      </c>
      <c r="C2964" s="51" t="s">
        <v>73</v>
      </c>
      <c r="D2964" s="51" t="n">
        <v>0</v>
      </c>
    </row>
    <row r="2965" customFormat="false" ht="15" hidden="true" customHeight="false" outlineLevel="0" collapsed="false">
      <c r="A2965" s="51" t="s">
        <v>161</v>
      </c>
      <c r="B2965" s="55" t="n">
        <v>44469</v>
      </c>
      <c r="C2965" s="51" t="s">
        <v>73</v>
      </c>
      <c r="D2965" s="51" t="n">
        <v>0</v>
      </c>
    </row>
    <row r="2966" customFormat="false" ht="15" hidden="true" customHeight="false" outlineLevel="0" collapsed="false">
      <c r="A2966" s="51" t="s">
        <v>166</v>
      </c>
      <c r="B2966" s="55" t="n">
        <v>44469</v>
      </c>
      <c r="C2966" s="51" t="s">
        <v>73</v>
      </c>
      <c r="D2966" s="51" t="n">
        <v>1500000</v>
      </c>
    </row>
    <row r="2967" customFormat="false" ht="15" hidden="true" customHeight="false" outlineLevel="0" collapsed="false">
      <c r="A2967" s="51" t="s">
        <v>171</v>
      </c>
      <c r="B2967" s="55" t="n">
        <v>44469</v>
      </c>
      <c r="C2967" s="51" t="s">
        <v>73</v>
      </c>
      <c r="D2967" s="51" t="n">
        <v>0</v>
      </c>
    </row>
    <row r="2968" customFormat="false" ht="15" hidden="true" customHeight="false" outlineLevel="0" collapsed="false">
      <c r="A2968" s="51" t="s">
        <v>176</v>
      </c>
      <c r="B2968" s="55" t="n">
        <v>44469</v>
      </c>
      <c r="C2968" s="51" t="s">
        <v>73</v>
      </c>
      <c r="D2968" s="51" t="n">
        <v>226160</v>
      </c>
    </row>
    <row r="2969" customFormat="false" ht="15" hidden="true" customHeight="false" outlineLevel="0" collapsed="false">
      <c r="A2969" s="51" t="s">
        <v>181</v>
      </c>
      <c r="B2969" s="55" t="n">
        <v>44469</v>
      </c>
      <c r="C2969" s="51" t="s">
        <v>73</v>
      </c>
      <c r="D2969" s="51" t="n">
        <v>500000</v>
      </c>
    </row>
    <row r="2970" customFormat="false" ht="15" hidden="true" customHeight="false" outlineLevel="0" collapsed="false">
      <c r="A2970" s="51" t="s">
        <v>186</v>
      </c>
      <c r="B2970" s="55" t="n">
        <v>44469</v>
      </c>
      <c r="C2970" s="51" t="s">
        <v>73</v>
      </c>
      <c r="D2970" s="51" t="n">
        <v>100000</v>
      </c>
    </row>
    <row r="2971" customFormat="false" ht="15" hidden="true" customHeight="false" outlineLevel="0" collapsed="false">
      <c r="A2971" s="51" t="s">
        <v>191</v>
      </c>
      <c r="B2971" s="55" t="n">
        <v>44469</v>
      </c>
      <c r="C2971" s="51" t="s">
        <v>73</v>
      </c>
      <c r="D2971" s="51" t="n">
        <v>165000</v>
      </c>
    </row>
    <row r="2972" customFormat="false" ht="15" hidden="true" customHeight="false" outlineLevel="0" collapsed="false">
      <c r="A2972" s="51" t="s">
        <v>196</v>
      </c>
      <c r="B2972" s="55" t="n">
        <v>44469</v>
      </c>
      <c r="C2972" s="51" t="s">
        <v>73</v>
      </c>
      <c r="D2972" s="51" t="n">
        <v>4125000</v>
      </c>
    </row>
    <row r="2973" customFormat="false" ht="15" hidden="true" customHeight="false" outlineLevel="0" collapsed="false">
      <c r="A2973" s="51" t="s">
        <v>201</v>
      </c>
      <c r="B2973" s="55" t="n">
        <v>44469</v>
      </c>
      <c r="C2973" s="51" t="s">
        <v>73</v>
      </c>
      <c r="D2973" s="51" t="n">
        <v>200000</v>
      </c>
    </row>
    <row r="2974" customFormat="false" ht="15" hidden="true" customHeight="false" outlineLevel="0" collapsed="false">
      <c r="A2974" s="51" t="s">
        <v>206</v>
      </c>
      <c r="B2974" s="55" t="n">
        <v>44469</v>
      </c>
      <c r="C2974" s="51" t="s">
        <v>73</v>
      </c>
      <c r="D2974" s="51" t="n">
        <v>1770000</v>
      </c>
    </row>
    <row r="2975" customFormat="false" ht="15" hidden="true" customHeight="false" outlineLevel="0" collapsed="false">
      <c r="A2975" s="51" t="s">
        <v>210</v>
      </c>
      <c r="B2975" s="55" t="n">
        <v>44469</v>
      </c>
      <c r="C2975" s="51" t="s">
        <v>73</v>
      </c>
      <c r="D2975" s="51" t="n">
        <v>90000</v>
      </c>
    </row>
    <row r="2976" customFormat="false" ht="15" hidden="true" customHeight="false" outlineLevel="0" collapsed="false">
      <c r="A2976" s="51" t="s">
        <v>215</v>
      </c>
      <c r="B2976" s="55" t="n">
        <v>44469</v>
      </c>
      <c r="C2976" s="51" t="s">
        <v>73</v>
      </c>
      <c r="D2976" s="51" t="n">
        <v>0</v>
      </c>
    </row>
    <row r="2977" customFormat="false" ht="15" hidden="true" customHeight="false" outlineLevel="0" collapsed="false">
      <c r="A2977" s="51" t="s">
        <v>790</v>
      </c>
      <c r="B2977" s="55" t="n">
        <v>44469</v>
      </c>
      <c r="C2977" s="51" t="s">
        <v>73</v>
      </c>
      <c r="D2977" s="51" t="n">
        <v>50000</v>
      </c>
    </row>
    <row r="2978" customFormat="false" ht="15" hidden="true" customHeight="false" outlineLevel="0" collapsed="false">
      <c r="A2978" s="51" t="s">
        <v>225</v>
      </c>
      <c r="B2978" s="55" t="n">
        <v>44469</v>
      </c>
      <c r="C2978" s="51" t="s">
        <v>73</v>
      </c>
      <c r="D2978" s="51" t="n">
        <v>0</v>
      </c>
    </row>
    <row r="2979" customFormat="false" ht="15" hidden="true" customHeight="false" outlineLevel="0" collapsed="false">
      <c r="A2979" s="51" t="s">
        <v>230</v>
      </c>
      <c r="B2979" s="55" t="n">
        <v>44469</v>
      </c>
      <c r="C2979" s="51" t="s">
        <v>73</v>
      </c>
      <c r="D2979" s="51" t="n">
        <v>0</v>
      </c>
    </row>
    <row r="2980" customFormat="false" ht="15" hidden="true" customHeight="false" outlineLevel="0" collapsed="false">
      <c r="A2980" s="51" t="s">
        <v>235</v>
      </c>
      <c r="B2980" s="55" t="n">
        <v>44469</v>
      </c>
      <c r="C2980" s="51" t="s">
        <v>73</v>
      </c>
      <c r="D2980" s="51" t="n">
        <v>0</v>
      </c>
    </row>
    <row r="2981" customFormat="false" ht="15" hidden="true" customHeight="false" outlineLevel="0" collapsed="false">
      <c r="A2981" s="51" t="s">
        <v>240</v>
      </c>
      <c r="B2981" s="55" t="n">
        <v>44469</v>
      </c>
      <c r="C2981" s="51" t="s">
        <v>73</v>
      </c>
      <c r="D2981" s="51" t="n">
        <v>0</v>
      </c>
    </row>
    <row r="2982" customFormat="false" ht="15" hidden="true" customHeight="false" outlineLevel="0" collapsed="false">
      <c r="A2982" s="51" t="s">
        <v>246</v>
      </c>
      <c r="B2982" s="55" t="n">
        <v>44469</v>
      </c>
      <c r="C2982" s="51" t="s">
        <v>73</v>
      </c>
      <c r="D2982" s="51" t="n">
        <v>0</v>
      </c>
    </row>
    <row r="2983" customFormat="false" ht="15" hidden="true" customHeight="false" outlineLevel="0" collapsed="false">
      <c r="A2983" s="51" t="s">
        <v>252</v>
      </c>
      <c r="B2983" s="55" t="n">
        <v>44469</v>
      </c>
      <c r="C2983" s="51" t="s">
        <v>73</v>
      </c>
      <c r="D2983" s="51" t="n">
        <v>0</v>
      </c>
    </row>
    <row r="2984" customFormat="false" ht="15" hidden="true" customHeight="false" outlineLevel="0" collapsed="false">
      <c r="A2984" s="51" t="s">
        <v>257</v>
      </c>
      <c r="B2984" s="55" t="n">
        <v>44469</v>
      </c>
      <c r="C2984" s="51" t="s">
        <v>73</v>
      </c>
      <c r="D2984" s="51" t="n">
        <v>0</v>
      </c>
    </row>
    <row r="2985" customFormat="false" ht="15" hidden="true" customHeight="false" outlineLevel="0" collapsed="false">
      <c r="A2985" s="51" t="s">
        <v>262</v>
      </c>
      <c r="B2985" s="55" t="n">
        <v>44469</v>
      </c>
      <c r="C2985" s="51" t="s">
        <v>73</v>
      </c>
      <c r="D2985" s="51" t="n">
        <v>0</v>
      </c>
    </row>
    <row r="2986" customFormat="false" ht="15" hidden="true" customHeight="false" outlineLevel="0" collapsed="false">
      <c r="A2986" s="51" t="s">
        <v>267</v>
      </c>
      <c r="B2986" s="55" t="n">
        <v>44469</v>
      </c>
      <c r="C2986" s="51" t="s">
        <v>73</v>
      </c>
      <c r="D2986" s="51" t="n">
        <v>0</v>
      </c>
    </row>
    <row r="2987" customFormat="false" ht="15" hidden="true" customHeight="false" outlineLevel="0" collapsed="false">
      <c r="A2987" s="51" t="s">
        <v>272</v>
      </c>
      <c r="B2987" s="55" t="n">
        <v>44469</v>
      </c>
      <c r="C2987" s="51" t="s">
        <v>73</v>
      </c>
      <c r="D2987" s="51" t="n">
        <v>0</v>
      </c>
    </row>
    <row r="2988" customFormat="false" ht="15" hidden="true" customHeight="false" outlineLevel="0" collapsed="false">
      <c r="A2988" s="51" t="s">
        <v>277</v>
      </c>
      <c r="B2988" s="55" t="n">
        <v>44469</v>
      </c>
      <c r="C2988" s="51" t="s">
        <v>73</v>
      </c>
      <c r="D2988" s="51" t="n">
        <v>0</v>
      </c>
    </row>
    <row r="2989" customFormat="false" ht="15" hidden="true" customHeight="false" outlineLevel="0" collapsed="false">
      <c r="A2989" s="51" t="s">
        <v>282</v>
      </c>
      <c r="B2989" s="55" t="n">
        <v>44469</v>
      </c>
      <c r="C2989" s="51" t="s">
        <v>73</v>
      </c>
      <c r="D2989" s="51" t="n">
        <v>0</v>
      </c>
    </row>
    <row r="2990" customFormat="false" ht="15" hidden="true" customHeight="false" outlineLevel="0" collapsed="false">
      <c r="A2990" s="51" t="s">
        <v>287</v>
      </c>
      <c r="B2990" s="55" t="n">
        <v>44469</v>
      </c>
      <c r="C2990" s="51" t="s">
        <v>73</v>
      </c>
      <c r="D2990" s="51" t="n">
        <v>0</v>
      </c>
    </row>
    <row r="2991" customFormat="false" ht="15" hidden="true" customHeight="false" outlineLevel="0" collapsed="false">
      <c r="A2991" s="51" t="s">
        <v>292</v>
      </c>
      <c r="B2991" s="55" t="n">
        <v>44469</v>
      </c>
      <c r="C2991" s="51" t="s">
        <v>73</v>
      </c>
      <c r="D2991" s="51" t="n">
        <v>0</v>
      </c>
    </row>
    <row r="2992" customFormat="false" ht="15" hidden="true" customHeight="false" outlineLevel="0" collapsed="false">
      <c r="A2992" s="51" t="s">
        <v>297</v>
      </c>
      <c r="B2992" s="55" t="n">
        <v>44469</v>
      </c>
      <c r="C2992" s="51" t="s">
        <v>73</v>
      </c>
      <c r="D2992" s="51" t="n">
        <v>0</v>
      </c>
    </row>
    <row r="2993" customFormat="false" ht="15" hidden="true" customHeight="false" outlineLevel="0" collapsed="false">
      <c r="A2993" s="51" t="s">
        <v>302</v>
      </c>
      <c r="B2993" s="55" t="n">
        <v>44469</v>
      </c>
      <c r="C2993" s="51" t="s">
        <v>73</v>
      </c>
      <c r="D2993" s="51" t="n">
        <v>0</v>
      </c>
    </row>
    <row r="2994" customFormat="false" ht="15" hidden="true" customHeight="false" outlineLevel="0" collapsed="false">
      <c r="A2994" s="51" t="s">
        <v>307</v>
      </c>
      <c r="B2994" s="55" t="n">
        <v>44469</v>
      </c>
      <c r="C2994" s="51" t="s">
        <v>73</v>
      </c>
      <c r="D2994" s="51" t="n">
        <v>0</v>
      </c>
    </row>
    <row r="2995" customFormat="false" ht="15" hidden="true" customHeight="false" outlineLevel="0" collapsed="false">
      <c r="A2995" s="51" t="s">
        <v>311</v>
      </c>
      <c r="B2995" s="55" t="n">
        <v>44469</v>
      </c>
      <c r="C2995" s="51" t="s">
        <v>73</v>
      </c>
      <c r="D2995" s="51" t="n">
        <v>0</v>
      </c>
    </row>
    <row r="2996" customFormat="false" ht="15" hidden="true" customHeight="false" outlineLevel="0" collapsed="false">
      <c r="A2996" s="51" t="s">
        <v>317</v>
      </c>
      <c r="B2996" s="55" t="n">
        <v>44469</v>
      </c>
      <c r="C2996" s="51" t="s">
        <v>73</v>
      </c>
      <c r="D2996" s="51" t="n">
        <v>0</v>
      </c>
    </row>
    <row r="2997" customFormat="false" ht="15" hidden="true" customHeight="false" outlineLevel="0" collapsed="false">
      <c r="A2997" s="51" t="s">
        <v>322</v>
      </c>
      <c r="B2997" s="55" t="n">
        <v>44469</v>
      </c>
      <c r="C2997" s="51" t="s">
        <v>73</v>
      </c>
      <c r="D2997" s="51" t="n">
        <v>0</v>
      </c>
    </row>
    <row r="2998" customFormat="false" ht="15" hidden="true" customHeight="false" outlineLevel="0" collapsed="false">
      <c r="A2998" s="51" t="s">
        <v>327</v>
      </c>
      <c r="B2998" s="55" t="n">
        <v>44469</v>
      </c>
      <c r="C2998" s="51" t="s">
        <v>73</v>
      </c>
      <c r="D2998" s="51" t="n">
        <v>0</v>
      </c>
    </row>
    <row r="2999" customFormat="false" ht="15" hidden="true" customHeight="false" outlineLevel="0" collapsed="false">
      <c r="A2999" s="51" t="s">
        <v>332</v>
      </c>
      <c r="B2999" s="55" t="n">
        <v>44469</v>
      </c>
      <c r="C2999" s="51" t="s">
        <v>73</v>
      </c>
      <c r="D2999" s="51" t="n">
        <v>0</v>
      </c>
    </row>
    <row r="3000" customFormat="false" ht="15" hidden="true" customHeight="false" outlineLevel="0" collapsed="false">
      <c r="A3000" s="51" t="s">
        <v>339</v>
      </c>
      <c r="B3000" s="55" t="n">
        <v>44469</v>
      </c>
      <c r="C3000" s="51" t="s">
        <v>73</v>
      </c>
      <c r="D3000" s="51" t="n">
        <v>0</v>
      </c>
    </row>
    <row r="3001" customFormat="false" ht="15" hidden="true" customHeight="false" outlineLevel="0" collapsed="false">
      <c r="A3001" s="51" t="s">
        <v>344</v>
      </c>
      <c r="B3001" s="55" t="n">
        <v>44469</v>
      </c>
      <c r="C3001" s="51" t="s">
        <v>73</v>
      </c>
      <c r="D3001" s="51" t="n">
        <v>0</v>
      </c>
    </row>
    <row r="3002" customFormat="false" ht="15" hidden="true" customHeight="false" outlineLevel="0" collapsed="false">
      <c r="A3002" s="51" t="s">
        <v>349</v>
      </c>
      <c r="B3002" s="55" t="n">
        <v>44469</v>
      </c>
      <c r="C3002" s="51" t="s">
        <v>73</v>
      </c>
      <c r="D3002" s="51" t="n">
        <v>0</v>
      </c>
    </row>
    <row r="3003" customFormat="false" ht="15" hidden="true" customHeight="false" outlineLevel="0" collapsed="false">
      <c r="A3003" s="51" t="s">
        <v>354</v>
      </c>
      <c r="B3003" s="55" t="n">
        <v>44469</v>
      </c>
      <c r="C3003" s="51" t="s">
        <v>73</v>
      </c>
      <c r="D3003" s="51" t="n">
        <v>0</v>
      </c>
    </row>
    <row r="3004" customFormat="false" ht="15" hidden="true" customHeight="false" outlineLevel="0" collapsed="false">
      <c r="A3004" s="51" t="s">
        <v>359</v>
      </c>
      <c r="B3004" s="55" t="n">
        <v>44469</v>
      </c>
      <c r="C3004" s="51" t="s">
        <v>73</v>
      </c>
      <c r="D3004" s="51" t="n">
        <v>0</v>
      </c>
    </row>
    <row r="3005" customFormat="false" ht="15" hidden="true" customHeight="false" outlineLevel="0" collapsed="false">
      <c r="A3005" s="51" t="s">
        <v>364</v>
      </c>
      <c r="B3005" s="55" t="n">
        <v>44469</v>
      </c>
      <c r="C3005" s="51" t="s">
        <v>73</v>
      </c>
      <c r="D3005" s="51" t="n">
        <v>0</v>
      </c>
    </row>
    <row r="3006" customFormat="false" ht="15" hidden="true" customHeight="false" outlineLevel="0" collapsed="false">
      <c r="A3006" s="51" t="s">
        <v>369</v>
      </c>
      <c r="B3006" s="55" t="n">
        <v>44469</v>
      </c>
      <c r="C3006" s="51" t="s">
        <v>73</v>
      </c>
      <c r="D3006" s="51" t="n">
        <v>0</v>
      </c>
    </row>
    <row r="3007" customFormat="false" ht="15" hidden="true" customHeight="false" outlineLevel="0" collapsed="false">
      <c r="A3007" s="51" t="s">
        <v>374</v>
      </c>
      <c r="B3007" s="55" t="n">
        <v>44469</v>
      </c>
      <c r="C3007" s="51" t="s">
        <v>73</v>
      </c>
      <c r="D3007" s="51" t="n">
        <v>0</v>
      </c>
    </row>
    <row r="3008" customFormat="false" ht="15" hidden="true" customHeight="false" outlineLevel="0" collapsed="false">
      <c r="A3008" s="51" t="s">
        <v>379</v>
      </c>
      <c r="B3008" s="55" t="n">
        <v>44469</v>
      </c>
      <c r="C3008" s="51" t="s">
        <v>73</v>
      </c>
      <c r="D3008" s="51" t="n">
        <v>0</v>
      </c>
    </row>
    <row r="3009" customFormat="false" ht="15" hidden="true" customHeight="false" outlineLevel="0" collapsed="false">
      <c r="A3009" s="51" t="s">
        <v>384</v>
      </c>
      <c r="B3009" s="55" t="n">
        <v>44469</v>
      </c>
      <c r="C3009" s="51" t="s">
        <v>73</v>
      </c>
      <c r="D3009" s="51" t="n">
        <v>0</v>
      </c>
    </row>
    <row r="3010" customFormat="false" ht="15" hidden="true" customHeight="false" outlineLevel="0" collapsed="false">
      <c r="A3010" s="51" t="s">
        <v>389</v>
      </c>
      <c r="B3010" s="55" t="n">
        <v>44469</v>
      </c>
      <c r="C3010" s="51" t="s">
        <v>73</v>
      </c>
      <c r="D3010" s="51" t="n">
        <v>0</v>
      </c>
    </row>
    <row r="3011" customFormat="false" ht="15" hidden="true" customHeight="false" outlineLevel="0" collapsed="false">
      <c r="A3011" s="51" t="s">
        <v>394</v>
      </c>
      <c r="B3011" s="55" t="n">
        <v>44469</v>
      </c>
      <c r="C3011" s="51" t="s">
        <v>73</v>
      </c>
      <c r="D3011" s="51" t="n">
        <v>0</v>
      </c>
    </row>
    <row r="3012" customFormat="false" ht="15" hidden="true" customHeight="false" outlineLevel="0" collapsed="false">
      <c r="A3012" s="51" t="s">
        <v>399</v>
      </c>
      <c r="B3012" s="55" t="n">
        <v>44469</v>
      </c>
      <c r="C3012" s="51" t="s">
        <v>73</v>
      </c>
      <c r="D3012" s="51" t="n">
        <v>0</v>
      </c>
    </row>
    <row r="3013" customFormat="false" ht="15" hidden="true" customHeight="false" outlineLevel="0" collapsed="false">
      <c r="A3013" s="51" t="s">
        <v>404</v>
      </c>
      <c r="B3013" s="55" t="n">
        <v>44469</v>
      </c>
      <c r="C3013" s="51" t="s">
        <v>73</v>
      </c>
      <c r="D3013" s="51" t="n">
        <v>0</v>
      </c>
    </row>
    <row r="3014" customFormat="false" ht="15" hidden="true" customHeight="false" outlineLevel="0" collapsed="false">
      <c r="A3014" s="51" t="s">
        <v>409</v>
      </c>
      <c r="B3014" s="55" t="n">
        <v>44469</v>
      </c>
      <c r="C3014" s="51" t="s">
        <v>73</v>
      </c>
      <c r="D3014" s="51" t="n">
        <v>0</v>
      </c>
    </row>
    <row r="3015" customFormat="false" ht="15" hidden="true" customHeight="false" outlineLevel="0" collapsed="false">
      <c r="A3015" s="51" t="s">
        <v>414</v>
      </c>
      <c r="B3015" s="55" t="n">
        <v>44469</v>
      </c>
      <c r="C3015" s="51" t="s">
        <v>73</v>
      </c>
      <c r="D3015" s="51" t="n">
        <v>0</v>
      </c>
    </row>
    <row r="3016" customFormat="false" ht="15" hidden="true" customHeight="false" outlineLevel="0" collapsed="false">
      <c r="A3016" s="51" t="s">
        <v>419</v>
      </c>
      <c r="B3016" s="55" t="n">
        <v>44469</v>
      </c>
      <c r="C3016" s="51" t="s">
        <v>73</v>
      </c>
      <c r="D3016" s="51" t="n">
        <v>0</v>
      </c>
    </row>
    <row r="3017" customFormat="false" ht="15" hidden="true" customHeight="false" outlineLevel="0" collapsed="false">
      <c r="A3017" s="51" t="s">
        <v>424</v>
      </c>
      <c r="B3017" s="55" t="n">
        <v>44469</v>
      </c>
      <c r="C3017" s="51" t="s">
        <v>73</v>
      </c>
      <c r="D3017" s="51" t="n">
        <v>0</v>
      </c>
    </row>
    <row r="3018" customFormat="false" ht="15" hidden="true" customHeight="false" outlineLevel="0" collapsed="false">
      <c r="A3018" s="51" t="s">
        <v>429</v>
      </c>
      <c r="B3018" s="55" t="n">
        <v>44469</v>
      </c>
      <c r="C3018" s="51" t="s">
        <v>73</v>
      </c>
      <c r="D3018" s="51" t="n">
        <v>0</v>
      </c>
    </row>
    <row r="3019" customFormat="false" ht="15" hidden="true" customHeight="false" outlineLevel="0" collapsed="false">
      <c r="A3019" s="51" t="s">
        <v>434</v>
      </c>
      <c r="B3019" s="55" t="n">
        <v>44469</v>
      </c>
      <c r="C3019" s="51" t="s">
        <v>73</v>
      </c>
      <c r="D3019" s="51" t="n">
        <v>0</v>
      </c>
    </row>
    <row r="3020" customFormat="false" ht="15" hidden="true" customHeight="false" outlineLevel="0" collapsed="false">
      <c r="A3020" s="51" t="s">
        <v>438</v>
      </c>
      <c r="B3020" s="55" t="n">
        <v>44469</v>
      </c>
      <c r="C3020" s="51" t="s">
        <v>73</v>
      </c>
      <c r="D3020" s="51" t="n">
        <v>0</v>
      </c>
    </row>
    <row r="3021" customFormat="false" ht="15" hidden="true" customHeight="false" outlineLevel="0" collapsed="false">
      <c r="A3021" s="51" t="s">
        <v>443</v>
      </c>
      <c r="B3021" s="55" t="n">
        <v>44469</v>
      </c>
      <c r="C3021" s="51" t="s">
        <v>73</v>
      </c>
      <c r="D3021" s="51" t="n">
        <v>0</v>
      </c>
    </row>
    <row r="3022" customFormat="false" ht="15" hidden="true" customHeight="false" outlineLevel="0" collapsed="false">
      <c r="A3022" s="51" t="s">
        <v>448</v>
      </c>
      <c r="B3022" s="55" t="n">
        <v>44469</v>
      </c>
      <c r="C3022" s="51" t="s">
        <v>73</v>
      </c>
      <c r="D3022" s="51" t="n">
        <v>0</v>
      </c>
    </row>
    <row r="3023" customFormat="false" ht="15" hidden="true" customHeight="false" outlineLevel="0" collapsed="false">
      <c r="A3023" s="51" t="s">
        <v>453</v>
      </c>
      <c r="B3023" s="55" t="n">
        <v>44469</v>
      </c>
      <c r="C3023" s="51" t="s">
        <v>73</v>
      </c>
      <c r="D3023" s="51" t="n">
        <v>0</v>
      </c>
    </row>
    <row r="3024" customFormat="false" ht="15" hidden="true" customHeight="false" outlineLevel="0" collapsed="false">
      <c r="A3024" s="51" t="s">
        <v>458</v>
      </c>
      <c r="B3024" s="55" t="n">
        <v>44469</v>
      </c>
      <c r="C3024" s="51" t="s">
        <v>73</v>
      </c>
      <c r="D3024" s="51" t="n">
        <v>0</v>
      </c>
    </row>
    <row r="3025" customFormat="false" ht="15" hidden="true" customHeight="false" outlineLevel="0" collapsed="false">
      <c r="A3025" s="51" t="s">
        <v>473</v>
      </c>
      <c r="B3025" s="55" t="n">
        <v>44469</v>
      </c>
      <c r="C3025" s="51" t="s">
        <v>73</v>
      </c>
      <c r="D3025" s="51" t="n">
        <v>0</v>
      </c>
    </row>
    <row r="3026" customFormat="false" ht="15" hidden="true" customHeight="false" outlineLevel="0" collapsed="false">
      <c r="A3026" s="51" t="s">
        <v>479</v>
      </c>
      <c r="B3026" s="55" t="n">
        <v>44469</v>
      </c>
      <c r="C3026" s="51" t="s">
        <v>73</v>
      </c>
      <c r="D3026" s="51" t="n">
        <v>0</v>
      </c>
    </row>
    <row r="3027" customFormat="false" ht="15" hidden="true" customHeight="false" outlineLevel="0" collapsed="false">
      <c r="A3027" s="51" t="s">
        <v>484</v>
      </c>
      <c r="B3027" s="55" t="n">
        <v>44469</v>
      </c>
      <c r="C3027" s="51" t="s">
        <v>73</v>
      </c>
      <c r="D3027" s="51" t="n">
        <v>0</v>
      </c>
    </row>
    <row r="3028" customFormat="false" ht="15" hidden="true" customHeight="false" outlineLevel="0" collapsed="false">
      <c r="A3028" s="51" t="s">
        <v>489</v>
      </c>
      <c r="B3028" s="55" t="n">
        <v>44469</v>
      </c>
      <c r="C3028" s="51" t="s">
        <v>73</v>
      </c>
      <c r="D3028" s="51" t="n">
        <v>0</v>
      </c>
    </row>
    <row r="3029" customFormat="false" ht="15" hidden="true" customHeight="false" outlineLevel="0" collapsed="false">
      <c r="A3029" s="51" t="s">
        <v>494</v>
      </c>
      <c r="B3029" s="55" t="n">
        <v>44469</v>
      </c>
      <c r="C3029" s="51" t="s">
        <v>73</v>
      </c>
      <c r="D3029" s="51" t="n">
        <v>0</v>
      </c>
    </row>
    <row r="3030" customFormat="false" ht="15" hidden="true" customHeight="false" outlineLevel="0" collapsed="false">
      <c r="A3030" s="51" t="s">
        <v>499</v>
      </c>
      <c r="B3030" s="55" t="n">
        <v>44469</v>
      </c>
      <c r="C3030" s="51" t="s">
        <v>73</v>
      </c>
      <c r="D3030" s="51" t="n">
        <v>0</v>
      </c>
    </row>
    <row r="3031" customFormat="false" ht="15" hidden="true" customHeight="false" outlineLevel="0" collapsed="false">
      <c r="A3031" s="51" t="s">
        <v>504</v>
      </c>
      <c r="B3031" s="55" t="n">
        <v>44469</v>
      </c>
      <c r="C3031" s="51" t="s">
        <v>73</v>
      </c>
      <c r="D3031" s="51" t="n">
        <v>0</v>
      </c>
    </row>
    <row r="3032" customFormat="false" ht="15" hidden="true" customHeight="false" outlineLevel="0" collapsed="false">
      <c r="A3032" s="51" t="s">
        <v>509</v>
      </c>
      <c r="B3032" s="55" t="n">
        <v>44469</v>
      </c>
      <c r="C3032" s="51" t="s">
        <v>73</v>
      </c>
      <c r="D3032" s="51" t="n">
        <v>0</v>
      </c>
    </row>
    <row r="3033" customFormat="false" ht="15" hidden="true" customHeight="false" outlineLevel="0" collapsed="false">
      <c r="A3033" s="51" t="s">
        <v>515</v>
      </c>
      <c r="B3033" s="55" t="n">
        <v>44469</v>
      </c>
      <c r="C3033" s="51" t="s">
        <v>73</v>
      </c>
      <c r="D3033" s="51" t="n">
        <v>0</v>
      </c>
    </row>
    <row r="3034" customFormat="false" ht="15" hidden="true" customHeight="false" outlineLevel="0" collapsed="false">
      <c r="A3034" s="51" t="s">
        <v>520</v>
      </c>
      <c r="B3034" s="55" t="n">
        <v>44469</v>
      </c>
      <c r="C3034" s="51" t="s">
        <v>73</v>
      </c>
      <c r="D3034" s="51" t="n">
        <v>0</v>
      </c>
    </row>
    <row r="3035" customFormat="false" ht="15" hidden="true" customHeight="false" outlineLevel="0" collapsed="false">
      <c r="A3035" s="51" t="s">
        <v>525</v>
      </c>
      <c r="B3035" s="55" t="n">
        <v>44469</v>
      </c>
      <c r="C3035" s="51" t="s">
        <v>73</v>
      </c>
      <c r="D3035" s="51" t="n">
        <v>0</v>
      </c>
    </row>
    <row r="3036" customFormat="false" ht="15" hidden="true" customHeight="false" outlineLevel="0" collapsed="false">
      <c r="A3036" s="51" t="s">
        <v>531</v>
      </c>
      <c r="B3036" s="55" t="n">
        <v>44469</v>
      </c>
      <c r="C3036" s="51" t="s">
        <v>73</v>
      </c>
      <c r="D3036" s="51" t="n">
        <v>0</v>
      </c>
    </row>
    <row r="3037" customFormat="false" ht="15" hidden="true" customHeight="false" outlineLevel="0" collapsed="false">
      <c r="A3037" s="51" t="s">
        <v>536</v>
      </c>
      <c r="B3037" s="55" t="n">
        <v>44469</v>
      </c>
      <c r="C3037" s="51" t="s">
        <v>73</v>
      </c>
      <c r="D3037" s="51" t="n">
        <v>0</v>
      </c>
    </row>
    <row r="3038" customFormat="false" ht="15" hidden="true" customHeight="false" outlineLevel="0" collapsed="false">
      <c r="A3038" s="51" t="s">
        <v>541</v>
      </c>
      <c r="B3038" s="55" t="n">
        <v>44469</v>
      </c>
      <c r="C3038" s="51" t="s">
        <v>73</v>
      </c>
      <c r="D3038" s="51" t="n">
        <v>0</v>
      </c>
    </row>
    <row r="3039" customFormat="false" ht="15" hidden="true" customHeight="false" outlineLevel="0" collapsed="false">
      <c r="A3039" s="51" t="s">
        <v>549</v>
      </c>
      <c r="B3039" s="55" t="n">
        <v>44469</v>
      </c>
      <c r="C3039" s="51" t="s">
        <v>73</v>
      </c>
      <c r="D3039" s="51" t="n">
        <v>0</v>
      </c>
    </row>
    <row r="3040" customFormat="false" ht="15" hidden="true" customHeight="false" outlineLevel="0" collapsed="false">
      <c r="A3040" s="51" t="s">
        <v>554</v>
      </c>
      <c r="B3040" s="55" t="n">
        <v>44469</v>
      </c>
      <c r="C3040" s="51" t="s">
        <v>73</v>
      </c>
      <c r="D3040" s="51" t="n">
        <v>0</v>
      </c>
    </row>
    <row r="3041" customFormat="false" ht="15" hidden="true" customHeight="false" outlineLevel="0" collapsed="false">
      <c r="A3041" s="51" t="s">
        <v>559</v>
      </c>
      <c r="B3041" s="55" t="n">
        <v>44469</v>
      </c>
      <c r="C3041" s="51" t="s">
        <v>73</v>
      </c>
      <c r="D3041" s="51" t="n">
        <v>0</v>
      </c>
    </row>
    <row r="3042" customFormat="false" ht="15" hidden="true" customHeight="false" outlineLevel="0" collapsed="false">
      <c r="A3042" s="51" t="s">
        <v>564</v>
      </c>
      <c r="B3042" s="55" t="n">
        <v>44469</v>
      </c>
      <c r="C3042" s="51" t="s">
        <v>73</v>
      </c>
      <c r="D3042" s="51" t="n">
        <v>0</v>
      </c>
    </row>
    <row r="3043" customFormat="false" ht="15" hidden="true" customHeight="false" outlineLevel="0" collapsed="false">
      <c r="A3043" s="51" t="s">
        <v>569</v>
      </c>
      <c r="B3043" s="55" t="n">
        <v>44469</v>
      </c>
      <c r="C3043" s="51" t="s">
        <v>73</v>
      </c>
      <c r="D3043" s="51" t="n">
        <v>0</v>
      </c>
    </row>
    <row r="3044" customFormat="false" ht="15" hidden="true" customHeight="false" outlineLevel="0" collapsed="false">
      <c r="A3044" s="51" t="s">
        <v>574</v>
      </c>
      <c r="B3044" s="55" t="n">
        <v>44469</v>
      </c>
      <c r="C3044" s="51" t="s">
        <v>73</v>
      </c>
      <c r="D3044" s="51" t="n">
        <v>0</v>
      </c>
    </row>
    <row r="3045" customFormat="false" ht="15" hidden="true" customHeight="false" outlineLevel="0" collapsed="false">
      <c r="A3045" s="51" t="s">
        <v>579</v>
      </c>
      <c r="B3045" s="55" t="n">
        <v>44469</v>
      </c>
      <c r="C3045" s="51" t="s">
        <v>73</v>
      </c>
      <c r="D3045" s="51" t="n">
        <v>0</v>
      </c>
    </row>
    <row r="3046" customFormat="false" ht="15" hidden="true" customHeight="false" outlineLevel="0" collapsed="false">
      <c r="A3046" s="51" t="s">
        <v>584</v>
      </c>
      <c r="B3046" s="55" t="n">
        <v>44469</v>
      </c>
      <c r="C3046" s="51" t="s">
        <v>73</v>
      </c>
      <c r="D3046" s="51" t="n">
        <v>0</v>
      </c>
    </row>
    <row r="3047" customFormat="false" ht="15" hidden="true" customHeight="false" outlineLevel="0" collapsed="false">
      <c r="A3047" s="51" t="s">
        <v>589</v>
      </c>
      <c r="B3047" s="55" t="n">
        <v>44469</v>
      </c>
      <c r="C3047" s="51" t="s">
        <v>73</v>
      </c>
      <c r="D3047" s="51" t="n">
        <v>0</v>
      </c>
    </row>
    <row r="3048" customFormat="false" ht="15" hidden="true" customHeight="false" outlineLevel="0" collapsed="false">
      <c r="A3048" s="51" t="s">
        <v>756</v>
      </c>
      <c r="B3048" s="55" t="n">
        <v>44469</v>
      </c>
      <c r="C3048" s="51" t="s">
        <v>73</v>
      </c>
      <c r="D3048" s="51" t="n">
        <v>0</v>
      </c>
    </row>
    <row r="3049" customFormat="false" ht="15" hidden="true" customHeight="false" outlineLevel="0" collapsed="false">
      <c r="A3049" s="51" t="s">
        <v>594</v>
      </c>
      <c r="B3049" s="55" t="n">
        <v>44469</v>
      </c>
      <c r="C3049" s="51" t="s">
        <v>73</v>
      </c>
      <c r="D3049" s="51" t="n">
        <v>0</v>
      </c>
    </row>
    <row r="3050" customFormat="false" ht="15" hidden="true" customHeight="false" outlineLevel="0" collapsed="false">
      <c r="A3050" s="51" t="s">
        <v>761</v>
      </c>
      <c r="B3050" s="55" t="n">
        <v>44469</v>
      </c>
      <c r="C3050" s="51" t="s">
        <v>73</v>
      </c>
      <c r="D3050" s="51" t="n">
        <v>0</v>
      </c>
    </row>
    <row r="3051" customFormat="false" ht="15" hidden="true" customHeight="false" outlineLevel="0" collapsed="false">
      <c r="A3051" s="51" t="s">
        <v>599</v>
      </c>
      <c r="B3051" s="55" t="n">
        <v>44469</v>
      </c>
      <c r="C3051" s="51" t="s">
        <v>73</v>
      </c>
      <c r="D3051" s="51" t="n">
        <v>0</v>
      </c>
    </row>
    <row r="3052" customFormat="false" ht="15" hidden="true" customHeight="false" outlineLevel="0" collapsed="false">
      <c r="A3052" s="51" t="s">
        <v>604</v>
      </c>
      <c r="B3052" s="55" t="n">
        <v>44469</v>
      </c>
      <c r="C3052" s="51" t="s">
        <v>73</v>
      </c>
      <c r="D3052" s="51" t="n">
        <v>0</v>
      </c>
    </row>
    <row r="3053" customFormat="false" ht="15" hidden="true" customHeight="false" outlineLevel="0" collapsed="false">
      <c r="A3053" s="51" t="s">
        <v>609</v>
      </c>
      <c r="B3053" s="55" t="n">
        <v>44469</v>
      </c>
      <c r="C3053" s="51" t="s">
        <v>73</v>
      </c>
      <c r="D3053" s="51" t="n">
        <v>0</v>
      </c>
    </row>
    <row r="3054" customFormat="false" ht="15" hidden="true" customHeight="false" outlineLevel="0" collapsed="false">
      <c r="A3054" s="51" t="s">
        <v>614</v>
      </c>
      <c r="B3054" s="55" t="n">
        <v>44469</v>
      </c>
      <c r="C3054" s="51" t="s">
        <v>73</v>
      </c>
      <c r="D3054" s="51" t="n">
        <v>0</v>
      </c>
    </row>
    <row r="3055" customFormat="false" ht="15" hidden="true" customHeight="false" outlineLevel="0" collapsed="false">
      <c r="A3055" s="51" t="s">
        <v>619</v>
      </c>
      <c r="B3055" s="55" t="n">
        <v>44469</v>
      </c>
      <c r="C3055" s="51" t="s">
        <v>73</v>
      </c>
      <c r="D3055" s="51" t="n">
        <v>0</v>
      </c>
    </row>
    <row r="3056" customFormat="false" ht="15" hidden="true" customHeight="false" outlineLevel="0" collapsed="false">
      <c r="A3056" s="51" t="s">
        <v>624</v>
      </c>
      <c r="B3056" s="55" t="n">
        <v>44469</v>
      </c>
      <c r="C3056" s="51" t="s">
        <v>73</v>
      </c>
      <c r="D3056" s="51" t="n">
        <v>0</v>
      </c>
    </row>
    <row r="3057" customFormat="false" ht="15" hidden="true" customHeight="false" outlineLevel="0" collapsed="false">
      <c r="A3057" s="51" t="s">
        <v>629</v>
      </c>
      <c r="B3057" s="55" t="n">
        <v>44469</v>
      </c>
      <c r="C3057" s="51" t="s">
        <v>73</v>
      </c>
      <c r="D3057" s="51" t="n">
        <v>0</v>
      </c>
    </row>
    <row r="3058" customFormat="false" ht="15" hidden="true" customHeight="false" outlineLevel="0" collapsed="false">
      <c r="A3058" s="51" t="s">
        <v>633</v>
      </c>
      <c r="B3058" s="55" t="n">
        <v>44469</v>
      </c>
      <c r="C3058" s="51" t="s">
        <v>73</v>
      </c>
      <c r="D3058" s="51" t="n">
        <v>0</v>
      </c>
    </row>
    <row r="3059" customFormat="false" ht="15" hidden="true" customHeight="false" outlineLevel="0" collapsed="false">
      <c r="A3059" s="51" t="s">
        <v>638</v>
      </c>
      <c r="B3059" s="55" t="n">
        <v>44469</v>
      </c>
      <c r="C3059" s="51" t="s">
        <v>73</v>
      </c>
      <c r="D3059" s="51" t="n">
        <v>0</v>
      </c>
    </row>
    <row r="3060" customFormat="false" ht="15" hidden="true" customHeight="false" outlineLevel="0" collapsed="false">
      <c r="A3060" s="51" t="s">
        <v>642</v>
      </c>
      <c r="B3060" s="55" t="n">
        <v>44469</v>
      </c>
      <c r="C3060" s="51" t="s">
        <v>73</v>
      </c>
      <c r="D3060" s="51" t="n">
        <v>0</v>
      </c>
    </row>
    <row r="3061" customFormat="false" ht="15" hidden="true" customHeight="false" outlineLevel="0" collapsed="false">
      <c r="A3061" s="51" t="s">
        <v>646</v>
      </c>
      <c r="B3061" s="55" t="n">
        <v>44469</v>
      </c>
      <c r="C3061" s="51" t="s">
        <v>73</v>
      </c>
      <c r="D3061" s="51" t="n">
        <v>0</v>
      </c>
    </row>
    <row r="3062" customFormat="false" ht="15" hidden="true" customHeight="false" outlineLevel="0" collapsed="false">
      <c r="A3062" s="51" t="s">
        <v>651</v>
      </c>
      <c r="B3062" s="55" t="n">
        <v>44469</v>
      </c>
      <c r="C3062" s="51" t="s">
        <v>73</v>
      </c>
      <c r="D3062" s="51" t="n">
        <v>0</v>
      </c>
    </row>
    <row r="3063" customFormat="false" ht="15" hidden="true" customHeight="false" outlineLevel="0" collapsed="false">
      <c r="A3063" s="51" t="s">
        <v>656</v>
      </c>
      <c r="B3063" s="55" t="n">
        <v>44469</v>
      </c>
      <c r="C3063" s="51" t="s">
        <v>73</v>
      </c>
      <c r="D3063" s="51" t="n">
        <v>0</v>
      </c>
    </row>
    <row r="3064" customFormat="false" ht="15" hidden="true" customHeight="false" outlineLevel="0" collapsed="false">
      <c r="A3064" s="51" t="s">
        <v>661</v>
      </c>
      <c r="B3064" s="55" t="n">
        <v>44469</v>
      </c>
      <c r="C3064" s="51" t="s">
        <v>73</v>
      </c>
      <c r="D3064" s="51" t="n">
        <v>0</v>
      </c>
    </row>
    <row r="3065" customFormat="false" ht="15" hidden="true" customHeight="false" outlineLevel="0" collapsed="false">
      <c r="A3065" s="51" t="s">
        <v>666</v>
      </c>
      <c r="B3065" s="55" t="n">
        <v>44469</v>
      </c>
      <c r="C3065" s="51" t="s">
        <v>73</v>
      </c>
      <c r="D3065" s="51" t="n">
        <v>0</v>
      </c>
    </row>
    <row r="3066" customFormat="false" ht="15" hidden="true" customHeight="false" outlineLevel="0" collapsed="false">
      <c r="A3066" s="51" t="s">
        <v>671</v>
      </c>
      <c r="B3066" s="55" t="n">
        <v>44469</v>
      </c>
      <c r="C3066" s="51" t="s">
        <v>73</v>
      </c>
      <c r="D3066" s="51" t="n">
        <v>0</v>
      </c>
    </row>
    <row r="3067" customFormat="false" ht="15" hidden="true" customHeight="false" outlineLevel="0" collapsed="false">
      <c r="A3067" s="51" t="s">
        <v>676</v>
      </c>
      <c r="B3067" s="55" t="n">
        <v>44469</v>
      </c>
      <c r="C3067" s="51" t="s">
        <v>73</v>
      </c>
      <c r="D3067" s="51" t="n">
        <v>0</v>
      </c>
    </row>
    <row r="3068" customFormat="false" ht="15" hidden="true" customHeight="false" outlineLevel="0" collapsed="false">
      <c r="A3068" s="51" t="s">
        <v>681</v>
      </c>
      <c r="B3068" s="55" t="n">
        <v>44469</v>
      </c>
      <c r="C3068" s="51" t="s">
        <v>73</v>
      </c>
      <c r="D3068" s="51" t="n">
        <v>0</v>
      </c>
    </row>
    <row r="3069" customFormat="false" ht="15" hidden="true" customHeight="false" outlineLevel="0" collapsed="false">
      <c r="A3069" s="51" t="s">
        <v>686</v>
      </c>
      <c r="B3069" s="55" t="n">
        <v>44469</v>
      </c>
      <c r="C3069" s="51" t="s">
        <v>73</v>
      </c>
      <c r="D3069" s="51" t="n">
        <v>0</v>
      </c>
    </row>
    <row r="3070" customFormat="false" ht="15" hidden="true" customHeight="false" outlineLevel="0" collapsed="false">
      <c r="A3070" s="51" t="s">
        <v>691</v>
      </c>
      <c r="B3070" s="55" t="n">
        <v>44469</v>
      </c>
      <c r="C3070" s="51" t="s">
        <v>73</v>
      </c>
      <c r="D3070" s="51" t="n">
        <v>0</v>
      </c>
    </row>
    <row r="3071" customFormat="false" ht="15" hidden="true" customHeight="false" outlineLevel="0" collapsed="false">
      <c r="A3071" s="51" t="s">
        <v>696</v>
      </c>
      <c r="B3071" s="55" t="n">
        <v>44469</v>
      </c>
      <c r="C3071" s="51" t="s">
        <v>73</v>
      </c>
      <c r="D3071" s="51" t="n">
        <v>0</v>
      </c>
    </row>
    <row r="3072" customFormat="false" ht="15" hidden="true" customHeight="false" outlineLevel="0" collapsed="false">
      <c r="A3072" s="51" t="s">
        <v>701</v>
      </c>
      <c r="B3072" s="55" t="n">
        <v>44469</v>
      </c>
      <c r="C3072" s="51" t="s">
        <v>73</v>
      </c>
      <c r="D3072" s="51" t="n">
        <v>0</v>
      </c>
    </row>
    <row r="3073" customFormat="false" ht="15" hidden="true" customHeight="false" outlineLevel="0" collapsed="false">
      <c r="A3073" s="51" t="s">
        <v>707</v>
      </c>
      <c r="B3073" s="55" t="n">
        <v>44469</v>
      </c>
      <c r="C3073" s="51" t="s">
        <v>73</v>
      </c>
      <c r="D3073" s="51" t="n">
        <v>0</v>
      </c>
    </row>
    <row r="3074" customFormat="false" ht="15" hidden="true" customHeight="false" outlineLevel="0" collapsed="false">
      <c r="A3074" s="51" t="s">
        <v>712</v>
      </c>
      <c r="B3074" s="55" t="n">
        <v>44469</v>
      </c>
      <c r="C3074" s="51" t="s">
        <v>73</v>
      </c>
      <c r="D3074" s="51" t="n">
        <v>0</v>
      </c>
    </row>
    <row r="3075" customFormat="false" ht="15" hidden="true" customHeight="false" outlineLevel="0" collapsed="false">
      <c r="A3075" s="51" t="s">
        <v>717</v>
      </c>
      <c r="B3075" s="55" t="n">
        <v>44469</v>
      </c>
      <c r="C3075" s="51" t="s">
        <v>73</v>
      </c>
      <c r="D3075" s="51" t="n">
        <v>0</v>
      </c>
    </row>
    <row r="3076" customFormat="false" ht="15" hidden="true" customHeight="false" outlineLevel="0" collapsed="false">
      <c r="A3076" s="51" t="s">
        <v>767</v>
      </c>
      <c r="B3076" s="55" t="n">
        <v>44469</v>
      </c>
      <c r="C3076" s="51" t="s">
        <v>73</v>
      </c>
      <c r="D3076" s="51" t="n">
        <v>0</v>
      </c>
    </row>
    <row r="3077" customFormat="false" ht="15" hidden="true" customHeight="false" outlineLevel="0" collapsed="false">
      <c r="A3077" s="51" t="s">
        <v>722</v>
      </c>
      <c r="B3077" s="55" t="n">
        <v>44469</v>
      </c>
      <c r="C3077" s="51" t="s">
        <v>73</v>
      </c>
      <c r="D3077" s="51" t="n">
        <v>0</v>
      </c>
    </row>
    <row r="3078" customFormat="false" ht="15" hidden="true" customHeight="false" outlineLevel="0" collapsed="false">
      <c r="A3078" s="51" t="s">
        <v>727</v>
      </c>
      <c r="B3078" s="55" t="n">
        <v>44469</v>
      </c>
      <c r="C3078" s="51" t="s">
        <v>73</v>
      </c>
      <c r="D3078" s="51" t="n">
        <v>0</v>
      </c>
    </row>
    <row r="3079" customFormat="false" ht="15" hidden="true" customHeight="false" outlineLevel="0" collapsed="false">
      <c r="A3079" s="51" t="s">
        <v>732</v>
      </c>
      <c r="B3079" s="55" t="n">
        <v>44469</v>
      </c>
      <c r="C3079" s="51" t="s">
        <v>73</v>
      </c>
      <c r="D3079" s="51" t="n">
        <v>0</v>
      </c>
    </row>
    <row r="3080" customFormat="false" ht="15" hidden="true" customHeight="false" outlineLevel="0" collapsed="false">
      <c r="A3080" s="51" t="s">
        <v>736</v>
      </c>
      <c r="B3080" s="55" t="n">
        <v>44469</v>
      </c>
      <c r="C3080" s="51" t="s">
        <v>73</v>
      </c>
      <c r="D3080" s="51" t="n">
        <v>0</v>
      </c>
    </row>
    <row r="3081" customFormat="false" ht="15" hidden="true" customHeight="false" outlineLevel="0" collapsed="false">
      <c r="A3081" s="51" t="s">
        <v>741</v>
      </c>
      <c r="B3081" s="55" t="n">
        <v>44469</v>
      </c>
      <c r="C3081" s="51" t="s">
        <v>73</v>
      </c>
      <c r="D3081" s="51" t="n">
        <v>0</v>
      </c>
    </row>
    <row r="3082" customFormat="false" ht="15" hidden="true" customHeight="false" outlineLevel="0" collapsed="false">
      <c r="A3082" s="51" t="s">
        <v>746</v>
      </c>
      <c r="B3082" s="55" t="n">
        <v>44469</v>
      </c>
      <c r="C3082" s="51" t="s">
        <v>73</v>
      </c>
      <c r="D3082" s="51" t="n">
        <v>0</v>
      </c>
    </row>
    <row r="3083" customFormat="false" ht="15" hidden="true" customHeight="false" outlineLevel="0" collapsed="false">
      <c r="A3083" s="51" t="s">
        <v>751</v>
      </c>
      <c r="B3083" s="55" t="n">
        <v>44469</v>
      </c>
      <c r="C3083" s="51" t="s">
        <v>73</v>
      </c>
      <c r="D3083" s="51" t="n">
        <v>0</v>
      </c>
    </row>
    <row r="3084" customFormat="false" ht="15" hidden="false" customHeight="false" outlineLevel="0" collapsed="false">
      <c r="A3084" s="51" t="s">
        <v>781</v>
      </c>
      <c r="B3084" s="55" t="n">
        <v>44469</v>
      </c>
      <c r="C3084" s="51" t="s">
        <v>791</v>
      </c>
      <c r="D3084" s="51" t="n">
        <v>0</v>
      </c>
    </row>
    <row r="3085" customFormat="false" ht="15" hidden="true" customHeight="false" outlineLevel="0" collapsed="false">
      <c r="A3085" s="51" t="s">
        <v>783</v>
      </c>
      <c r="B3085" s="55" t="n">
        <v>44469</v>
      </c>
      <c r="C3085" s="51" t="s">
        <v>791</v>
      </c>
      <c r="D3085" s="51" t="n">
        <v>0</v>
      </c>
    </row>
    <row r="3086" customFormat="false" ht="15" hidden="true" customHeight="false" outlineLevel="0" collapsed="false">
      <c r="A3086" s="51" t="s">
        <v>96</v>
      </c>
      <c r="B3086" s="55" t="n">
        <v>44469</v>
      </c>
      <c r="C3086" s="51" t="s">
        <v>791</v>
      </c>
      <c r="D3086" s="51" t="n">
        <v>-1500000</v>
      </c>
    </row>
    <row r="3087" customFormat="false" ht="15" hidden="true" customHeight="false" outlineLevel="0" collapsed="false">
      <c r="A3087" s="51" t="s">
        <v>101</v>
      </c>
      <c r="B3087" s="55" t="n">
        <v>44469</v>
      </c>
      <c r="C3087" s="51" t="s">
        <v>791</v>
      </c>
      <c r="D3087" s="51" t="n">
        <v>-600000</v>
      </c>
    </row>
    <row r="3088" customFormat="false" ht="15" hidden="true" customHeight="false" outlineLevel="0" collapsed="false">
      <c r="A3088" s="51" t="s">
        <v>106</v>
      </c>
      <c r="B3088" s="55" t="n">
        <v>44469</v>
      </c>
      <c r="C3088" s="51" t="s">
        <v>791</v>
      </c>
      <c r="D3088" s="51" t="n">
        <v>0</v>
      </c>
    </row>
    <row r="3089" customFormat="false" ht="15" hidden="true" customHeight="false" outlineLevel="0" collapsed="false">
      <c r="A3089" s="51" t="s">
        <v>110</v>
      </c>
      <c r="B3089" s="55" t="n">
        <v>44469</v>
      </c>
      <c r="C3089" s="51" t="s">
        <v>791</v>
      </c>
      <c r="D3089" s="51" t="n">
        <v>0</v>
      </c>
    </row>
    <row r="3090" customFormat="false" ht="15" hidden="true" customHeight="false" outlineLevel="0" collapsed="false">
      <c r="A3090" s="51" t="s">
        <v>115</v>
      </c>
      <c r="B3090" s="55" t="n">
        <v>44469</v>
      </c>
      <c r="C3090" s="51" t="s">
        <v>791</v>
      </c>
      <c r="D3090" s="51" t="n">
        <v>0</v>
      </c>
    </row>
    <row r="3091" customFormat="false" ht="15" hidden="true" customHeight="false" outlineLevel="0" collapsed="false">
      <c r="A3091" s="51" t="s">
        <v>120</v>
      </c>
      <c r="B3091" s="55" t="n">
        <v>44469</v>
      </c>
      <c r="C3091" s="51" t="s">
        <v>791</v>
      </c>
      <c r="D3091" s="51" t="n">
        <v>0</v>
      </c>
    </row>
    <row r="3092" customFormat="false" ht="15" hidden="true" customHeight="false" outlineLevel="0" collapsed="false">
      <c r="A3092" s="51" t="s">
        <v>124</v>
      </c>
      <c r="B3092" s="55" t="n">
        <v>44469</v>
      </c>
      <c r="C3092" s="51" t="s">
        <v>791</v>
      </c>
      <c r="D3092" s="51" t="n">
        <v>-1200000</v>
      </c>
    </row>
    <row r="3093" customFormat="false" ht="15" hidden="true" customHeight="false" outlineLevel="0" collapsed="false">
      <c r="A3093" s="51" t="s">
        <v>129</v>
      </c>
      <c r="B3093" s="55" t="n">
        <v>44469</v>
      </c>
      <c r="C3093" s="51" t="s">
        <v>791</v>
      </c>
      <c r="D3093" s="51" t="n">
        <v>0</v>
      </c>
    </row>
    <row r="3094" customFormat="false" ht="15" hidden="true" customHeight="false" outlineLevel="0" collapsed="false">
      <c r="A3094" s="51" t="s">
        <v>134</v>
      </c>
      <c r="B3094" s="55" t="n">
        <v>44469</v>
      </c>
      <c r="C3094" s="51" t="s">
        <v>791</v>
      </c>
      <c r="D3094" s="51" t="n">
        <v>-200000</v>
      </c>
    </row>
    <row r="3095" customFormat="false" ht="15" hidden="true" customHeight="false" outlineLevel="0" collapsed="false">
      <c r="A3095" s="51" t="s">
        <v>141</v>
      </c>
      <c r="B3095" s="55" t="n">
        <v>44469</v>
      </c>
      <c r="C3095" s="51" t="s">
        <v>791</v>
      </c>
      <c r="D3095" s="51" t="n">
        <v>-11522</v>
      </c>
    </row>
    <row r="3096" customFormat="false" ht="15" hidden="true" customHeight="false" outlineLevel="0" collapsed="false">
      <c r="A3096" s="51" t="s">
        <v>146</v>
      </c>
      <c r="B3096" s="55" t="n">
        <v>44469</v>
      </c>
      <c r="C3096" s="51" t="s">
        <v>791</v>
      </c>
      <c r="D3096" s="51" t="n">
        <v>0</v>
      </c>
    </row>
    <row r="3097" customFormat="false" ht="15" hidden="true" customHeight="false" outlineLevel="0" collapsed="false">
      <c r="A3097" s="51" t="s">
        <v>151</v>
      </c>
      <c r="B3097" s="55" t="n">
        <v>44469</v>
      </c>
      <c r="C3097" s="51" t="s">
        <v>791</v>
      </c>
      <c r="D3097" s="51" t="n">
        <v>-200000</v>
      </c>
    </row>
    <row r="3098" customFormat="false" ht="15" hidden="true" customHeight="false" outlineLevel="0" collapsed="false">
      <c r="A3098" s="51" t="s">
        <v>156</v>
      </c>
      <c r="B3098" s="55" t="n">
        <v>44469</v>
      </c>
      <c r="C3098" s="51" t="s">
        <v>791</v>
      </c>
      <c r="D3098" s="51" t="n">
        <v>0</v>
      </c>
    </row>
    <row r="3099" customFormat="false" ht="15" hidden="true" customHeight="false" outlineLevel="0" collapsed="false">
      <c r="A3099" s="51" t="s">
        <v>161</v>
      </c>
      <c r="B3099" s="55" t="n">
        <v>44469</v>
      </c>
      <c r="C3099" s="51" t="s">
        <v>791</v>
      </c>
      <c r="D3099" s="51" t="n">
        <v>0</v>
      </c>
    </row>
    <row r="3100" customFormat="false" ht="15" hidden="true" customHeight="false" outlineLevel="0" collapsed="false">
      <c r="A3100" s="51" t="s">
        <v>166</v>
      </c>
      <c r="B3100" s="55" t="n">
        <v>44469</v>
      </c>
      <c r="C3100" s="51" t="s">
        <v>791</v>
      </c>
      <c r="D3100" s="51" t="n">
        <v>-1500000</v>
      </c>
    </row>
    <row r="3101" customFormat="false" ht="15" hidden="true" customHeight="false" outlineLevel="0" collapsed="false">
      <c r="A3101" s="51" t="s">
        <v>171</v>
      </c>
      <c r="B3101" s="55" t="n">
        <v>44469</v>
      </c>
      <c r="C3101" s="51" t="s">
        <v>791</v>
      </c>
      <c r="D3101" s="51" t="n">
        <v>0</v>
      </c>
    </row>
    <row r="3102" customFormat="false" ht="15" hidden="true" customHeight="false" outlineLevel="0" collapsed="false">
      <c r="A3102" s="51" t="s">
        <v>176</v>
      </c>
      <c r="B3102" s="55" t="n">
        <v>44469</v>
      </c>
      <c r="C3102" s="51" t="s">
        <v>791</v>
      </c>
      <c r="D3102" s="51" t="n">
        <v>-226160</v>
      </c>
    </row>
    <row r="3103" customFormat="false" ht="15" hidden="true" customHeight="false" outlineLevel="0" collapsed="false">
      <c r="A3103" s="51" t="s">
        <v>181</v>
      </c>
      <c r="B3103" s="55" t="n">
        <v>44469</v>
      </c>
      <c r="C3103" s="51" t="s">
        <v>791</v>
      </c>
      <c r="D3103" s="51" t="n">
        <v>-500000</v>
      </c>
    </row>
    <row r="3104" customFormat="false" ht="15" hidden="true" customHeight="false" outlineLevel="0" collapsed="false">
      <c r="A3104" s="51" t="s">
        <v>186</v>
      </c>
      <c r="B3104" s="55" t="n">
        <v>44469</v>
      </c>
      <c r="C3104" s="51" t="s">
        <v>791</v>
      </c>
      <c r="D3104" s="51" t="n">
        <v>-100000</v>
      </c>
    </row>
    <row r="3105" customFormat="false" ht="15" hidden="true" customHeight="false" outlineLevel="0" collapsed="false">
      <c r="A3105" s="51" t="s">
        <v>191</v>
      </c>
      <c r="B3105" s="55" t="n">
        <v>44469</v>
      </c>
      <c r="C3105" s="51" t="s">
        <v>791</v>
      </c>
      <c r="D3105" s="51" t="n">
        <v>-165000</v>
      </c>
    </row>
    <row r="3106" customFormat="false" ht="15" hidden="true" customHeight="false" outlineLevel="0" collapsed="false">
      <c r="A3106" s="51" t="s">
        <v>196</v>
      </c>
      <c r="B3106" s="55" t="n">
        <v>44469</v>
      </c>
      <c r="C3106" s="51" t="s">
        <v>791</v>
      </c>
      <c r="D3106" s="51" t="n">
        <v>-4125000</v>
      </c>
    </row>
    <row r="3107" customFormat="false" ht="15" hidden="true" customHeight="false" outlineLevel="0" collapsed="false">
      <c r="A3107" s="51" t="s">
        <v>201</v>
      </c>
      <c r="B3107" s="55" t="n">
        <v>44469</v>
      </c>
      <c r="C3107" s="51" t="s">
        <v>791</v>
      </c>
      <c r="D3107" s="51" t="n">
        <v>-200000</v>
      </c>
    </row>
    <row r="3108" customFormat="false" ht="15" hidden="true" customHeight="false" outlineLevel="0" collapsed="false">
      <c r="A3108" s="51" t="s">
        <v>206</v>
      </c>
      <c r="B3108" s="55" t="n">
        <v>44469</v>
      </c>
      <c r="C3108" s="51" t="s">
        <v>791</v>
      </c>
      <c r="D3108" s="51" t="n">
        <v>-1770000</v>
      </c>
    </row>
    <row r="3109" customFormat="false" ht="15" hidden="true" customHeight="false" outlineLevel="0" collapsed="false">
      <c r="A3109" s="51" t="s">
        <v>210</v>
      </c>
      <c r="B3109" s="55" t="n">
        <v>44469</v>
      </c>
      <c r="C3109" s="51" t="s">
        <v>791</v>
      </c>
      <c r="D3109" s="51" t="n">
        <v>-90000</v>
      </c>
    </row>
    <row r="3110" customFormat="false" ht="15" hidden="true" customHeight="false" outlineLevel="0" collapsed="false">
      <c r="A3110" s="51" t="s">
        <v>215</v>
      </c>
      <c r="B3110" s="55" t="n">
        <v>44469</v>
      </c>
      <c r="C3110" s="51" t="s">
        <v>791</v>
      </c>
      <c r="D3110" s="51" t="n">
        <v>0</v>
      </c>
    </row>
    <row r="3111" customFormat="false" ht="15" hidden="true" customHeight="false" outlineLevel="0" collapsed="false">
      <c r="A3111" s="51" t="s">
        <v>790</v>
      </c>
      <c r="B3111" s="55" t="n">
        <v>44469</v>
      </c>
      <c r="C3111" s="51" t="s">
        <v>791</v>
      </c>
      <c r="D3111" s="51" t="n">
        <v>-50000</v>
      </c>
    </row>
    <row r="3112" customFormat="false" ht="15" hidden="true" customHeight="false" outlineLevel="0" collapsed="false">
      <c r="A3112" s="51" t="s">
        <v>225</v>
      </c>
      <c r="B3112" s="55" t="n">
        <v>44469</v>
      </c>
      <c r="C3112" s="51" t="s">
        <v>791</v>
      </c>
      <c r="D3112" s="51" t="n">
        <v>192000</v>
      </c>
    </row>
    <row r="3113" customFormat="false" ht="15" hidden="true" customHeight="false" outlineLevel="0" collapsed="false">
      <c r="A3113" s="51" t="s">
        <v>230</v>
      </c>
      <c r="B3113" s="55" t="n">
        <v>44469</v>
      </c>
      <c r="C3113" s="51" t="s">
        <v>791</v>
      </c>
      <c r="D3113" s="51" t="n">
        <v>3515000</v>
      </c>
    </row>
    <row r="3114" customFormat="false" ht="15" hidden="true" customHeight="false" outlineLevel="0" collapsed="false">
      <c r="A3114" s="51" t="s">
        <v>235</v>
      </c>
      <c r="B3114" s="55" t="n">
        <v>44469</v>
      </c>
      <c r="C3114" s="51" t="s">
        <v>791</v>
      </c>
      <c r="D3114" s="51" t="n">
        <v>653000</v>
      </c>
    </row>
    <row r="3115" customFormat="false" ht="15" hidden="true" customHeight="false" outlineLevel="0" collapsed="false">
      <c r="A3115" s="51" t="s">
        <v>240</v>
      </c>
      <c r="B3115" s="55" t="n">
        <v>44469</v>
      </c>
      <c r="C3115" s="51" t="s">
        <v>791</v>
      </c>
      <c r="D3115" s="51" t="n">
        <v>770000</v>
      </c>
    </row>
    <row r="3116" customFormat="false" ht="15" hidden="true" customHeight="false" outlineLevel="0" collapsed="false">
      <c r="A3116" s="51" t="s">
        <v>246</v>
      </c>
      <c r="B3116" s="55" t="n">
        <v>44469</v>
      </c>
      <c r="C3116" s="51" t="s">
        <v>791</v>
      </c>
      <c r="D3116" s="51" t="n">
        <v>0</v>
      </c>
    </row>
    <row r="3117" customFormat="false" ht="15" hidden="true" customHeight="false" outlineLevel="0" collapsed="false">
      <c r="A3117" s="51" t="s">
        <v>252</v>
      </c>
      <c r="B3117" s="55" t="n">
        <v>44469</v>
      </c>
      <c r="C3117" s="51" t="s">
        <v>791</v>
      </c>
      <c r="D3117" s="51" t="n">
        <v>4128000</v>
      </c>
    </row>
    <row r="3118" customFormat="false" ht="15" hidden="true" customHeight="false" outlineLevel="0" collapsed="false">
      <c r="A3118" s="51" t="s">
        <v>257</v>
      </c>
      <c r="B3118" s="55" t="n">
        <v>44469</v>
      </c>
      <c r="C3118" s="51" t="s">
        <v>791</v>
      </c>
      <c r="D3118" s="51" t="n">
        <v>0</v>
      </c>
    </row>
    <row r="3119" customFormat="false" ht="15" hidden="true" customHeight="false" outlineLevel="0" collapsed="false">
      <c r="A3119" s="51" t="s">
        <v>262</v>
      </c>
      <c r="B3119" s="55" t="n">
        <v>44469</v>
      </c>
      <c r="C3119" s="51" t="s">
        <v>791</v>
      </c>
      <c r="D3119" s="51" t="n">
        <v>0</v>
      </c>
    </row>
    <row r="3120" customFormat="false" ht="15" hidden="true" customHeight="false" outlineLevel="0" collapsed="false">
      <c r="A3120" s="51" t="s">
        <v>267</v>
      </c>
      <c r="B3120" s="55" t="n">
        <v>44469</v>
      </c>
      <c r="C3120" s="51" t="s">
        <v>791</v>
      </c>
      <c r="D3120" s="51" t="n">
        <v>0</v>
      </c>
    </row>
    <row r="3121" customFormat="false" ht="15" hidden="true" customHeight="false" outlineLevel="0" collapsed="false">
      <c r="A3121" s="51" t="s">
        <v>272</v>
      </c>
      <c r="B3121" s="55" t="n">
        <v>44469</v>
      </c>
      <c r="C3121" s="51" t="s">
        <v>791</v>
      </c>
      <c r="D3121" s="51" t="n">
        <v>0</v>
      </c>
    </row>
    <row r="3122" customFormat="false" ht="15" hidden="true" customHeight="false" outlineLevel="0" collapsed="false">
      <c r="A3122" s="51" t="s">
        <v>277</v>
      </c>
      <c r="B3122" s="55" t="n">
        <v>44469</v>
      </c>
      <c r="C3122" s="51" t="s">
        <v>791</v>
      </c>
      <c r="D3122" s="51" t="n">
        <v>0</v>
      </c>
    </row>
    <row r="3123" customFormat="false" ht="15" hidden="true" customHeight="false" outlineLevel="0" collapsed="false">
      <c r="A3123" s="51" t="s">
        <v>282</v>
      </c>
      <c r="B3123" s="55" t="n">
        <v>44469</v>
      </c>
      <c r="C3123" s="51" t="s">
        <v>791</v>
      </c>
      <c r="D3123" s="51" t="n">
        <v>0</v>
      </c>
    </row>
    <row r="3124" customFormat="false" ht="15" hidden="true" customHeight="false" outlineLevel="0" collapsed="false">
      <c r="A3124" s="51" t="s">
        <v>287</v>
      </c>
      <c r="B3124" s="55" t="n">
        <v>44469</v>
      </c>
      <c r="C3124" s="51" t="s">
        <v>791</v>
      </c>
      <c r="D3124" s="51" t="n">
        <v>0</v>
      </c>
    </row>
    <row r="3125" customFormat="false" ht="15" hidden="true" customHeight="false" outlineLevel="0" collapsed="false">
      <c r="A3125" s="51" t="s">
        <v>292</v>
      </c>
      <c r="B3125" s="55" t="n">
        <v>44469</v>
      </c>
      <c r="C3125" s="51" t="s">
        <v>791</v>
      </c>
      <c r="D3125" s="51" t="n">
        <v>0</v>
      </c>
    </row>
    <row r="3126" customFormat="false" ht="15" hidden="true" customHeight="false" outlineLevel="0" collapsed="false">
      <c r="A3126" s="51" t="s">
        <v>297</v>
      </c>
      <c r="B3126" s="55" t="n">
        <v>44469</v>
      </c>
      <c r="C3126" s="51" t="s">
        <v>791</v>
      </c>
      <c r="D3126" s="51" t="n">
        <v>0</v>
      </c>
    </row>
    <row r="3127" customFormat="false" ht="15" hidden="true" customHeight="false" outlineLevel="0" collapsed="false">
      <c r="A3127" s="51" t="s">
        <v>302</v>
      </c>
      <c r="B3127" s="55" t="n">
        <v>44469</v>
      </c>
      <c r="C3127" s="51" t="s">
        <v>791</v>
      </c>
      <c r="D3127" s="51" t="n">
        <v>0</v>
      </c>
    </row>
    <row r="3128" customFormat="false" ht="15" hidden="true" customHeight="false" outlineLevel="0" collapsed="false">
      <c r="A3128" s="51" t="s">
        <v>307</v>
      </c>
      <c r="B3128" s="55" t="n">
        <v>44469</v>
      </c>
      <c r="C3128" s="51" t="s">
        <v>791</v>
      </c>
      <c r="D3128" s="51" t="n">
        <v>0</v>
      </c>
    </row>
    <row r="3129" customFormat="false" ht="15" hidden="true" customHeight="false" outlineLevel="0" collapsed="false">
      <c r="A3129" s="51" t="s">
        <v>311</v>
      </c>
      <c r="B3129" s="55" t="n">
        <v>44469</v>
      </c>
      <c r="C3129" s="51" t="s">
        <v>791</v>
      </c>
      <c r="D3129" s="51" t="n">
        <v>0</v>
      </c>
    </row>
    <row r="3130" customFormat="false" ht="15" hidden="true" customHeight="false" outlineLevel="0" collapsed="false">
      <c r="A3130" s="51" t="s">
        <v>317</v>
      </c>
      <c r="B3130" s="55" t="n">
        <v>44469</v>
      </c>
      <c r="C3130" s="51" t="s">
        <v>791</v>
      </c>
      <c r="D3130" s="51" t="n">
        <v>0</v>
      </c>
    </row>
    <row r="3131" customFormat="false" ht="15" hidden="true" customHeight="false" outlineLevel="0" collapsed="false">
      <c r="A3131" s="51" t="s">
        <v>322</v>
      </c>
      <c r="B3131" s="55" t="n">
        <v>44469</v>
      </c>
      <c r="C3131" s="51" t="s">
        <v>791</v>
      </c>
      <c r="D3131" s="51" t="n">
        <v>0</v>
      </c>
    </row>
    <row r="3132" customFormat="false" ht="15" hidden="true" customHeight="false" outlineLevel="0" collapsed="false">
      <c r="A3132" s="51" t="s">
        <v>327</v>
      </c>
      <c r="B3132" s="55" t="n">
        <v>44469</v>
      </c>
      <c r="C3132" s="51" t="s">
        <v>791</v>
      </c>
      <c r="D3132" s="51" t="n">
        <v>0</v>
      </c>
    </row>
    <row r="3133" customFormat="false" ht="15" hidden="true" customHeight="false" outlineLevel="0" collapsed="false">
      <c r="A3133" s="51" t="s">
        <v>332</v>
      </c>
      <c r="B3133" s="55" t="n">
        <v>44469</v>
      </c>
      <c r="C3133" s="51" t="s">
        <v>791</v>
      </c>
      <c r="D3133" s="51" t="n">
        <v>0</v>
      </c>
    </row>
    <row r="3134" customFormat="false" ht="15" hidden="true" customHeight="false" outlineLevel="0" collapsed="false">
      <c r="A3134" s="51" t="s">
        <v>339</v>
      </c>
      <c r="B3134" s="55" t="n">
        <v>44469</v>
      </c>
      <c r="C3134" s="51" t="s">
        <v>791</v>
      </c>
      <c r="D3134" s="51" t="n">
        <v>0</v>
      </c>
    </row>
    <row r="3135" customFormat="false" ht="15" hidden="true" customHeight="false" outlineLevel="0" collapsed="false">
      <c r="A3135" s="51" t="s">
        <v>344</v>
      </c>
      <c r="B3135" s="55" t="n">
        <v>44469</v>
      </c>
      <c r="C3135" s="51" t="s">
        <v>791</v>
      </c>
      <c r="D3135" s="51" t="n">
        <v>0</v>
      </c>
    </row>
    <row r="3136" customFormat="false" ht="15" hidden="true" customHeight="false" outlineLevel="0" collapsed="false">
      <c r="A3136" s="51" t="s">
        <v>349</v>
      </c>
      <c r="B3136" s="55" t="n">
        <v>44469</v>
      </c>
      <c r="C3136" s="51" t="s">
        <v>791</v>
      </c>
      <c r="D3136" s="51" t="n">
        <v>0</v>
      </c>
    </row>
    <row r="3137" customFormat="false" ht="15" hidden="true" customHeight="false" outlineLevel="0" collapsed="false">
      <c r="A3137" s="51" t="s">
        <v>354</v>
      </c>
      <c r="B3137" s="55" t="n">
        <v>44469</v>
      </c>
      <c r="C3137" s="51" t="s">
        <v>791</v>
      </c>
      <c r="D3137" s="51" t="n">
        <v>0</v>
      </c>
    </row>
    <row r="3138" customFormat="false" ht="15" hidden="true" customHeight="false" outlineLevel="0" collapsed="false">
      <c r="A3138" s="51" t="s">
        <v>359</v>
      </c>
      <c r="B3138" s="55" t="n">
        <v>44469</v>
      </c>
      <c r="C3138" s="51" t="s">
        <v>791</v>
      </c>
      <c r="D3138" s="51" t="n">
        <v>0</v>
      </c>
    </row>
    <row r="3139" customFormat="false" ht="15" hidden="true" customHeight="false" outlineLevel="0" collapsed="false">
      <c r="A3139" s="51" t="s">
        <v>364</v>
      </c>
      <c r="B3139" s="55" t="n">
        <v>44469</v>
      </c>
      <c r="C3139" s="51" t="s">
        <v>791</v>
      </c>
      <c r="D3139" s="51" t="n">
        <v>0</v>
      </c>
    </row>
    <row r="3140" customFormat="false" ht="15" hidden="true" customHeight="false" outlineLevel="0" collapsed="false">
      <c r="A3140" s="51" t="s">
        <v>369</v>
      </c>
      <c r="B3140" s="55" t="n">
        <v>44469</v>
      </c>
      <c r="C3140" s="51" t="s">
        <v>791</v>
      </c>
      <c r="D3140" s="51" t="n">
        <v>0</v>
      </c>
    </row>
    <row r="3141" customFormat="false" ht="15" hidden="true" customHeight="false" outlineLevel="0" collapsed="false">
      <c r="A3141" s="51" t="s">
        <v>374</v>
      </c>
      <c r="B3141" s="55" t="n">
        <v>44469</v>
      </c>
      <c r="C3141" s="51" t="s">
        <v>791</v>
      </c>
      <c r="D3141" s="51" t="n">
        <v>0</v>
      </c>
    </row>
    <row r="3142" customFormat="false" ht="15" hidden="true" customHeight="false" outlineLevel="0" collapsed="false">
      <c r="A3142" s="51" t="s">
        <v>379</v>
      </c>
      <c r="B3142" s="55" t="n">
        <v>44469</v>
      </c>
      <c r="C3142" s="51" t="s">
        <v>791</v>
      </c>
      <c r="D3142" s="51" t="n">
        <v>0</v>
      </c>
    </row>
    <row r="3143" customFormat="false" ht="15" hidden="true" customHeight="false" outlineLevel="0" collapsed="false">
      <c r="A3143" s="51" t="s">
        <v>384</v>
      </c>
      <c r="B3143" s="55" t="n">
        <v>44469</v>
      </c>
      <c r="C3143" s="51" t="s">
        <v>791</v>
      </c>
      <c r="D3143" s="51" t="n">
        <v>0</v>
      </c>
    </row>
    <row r="3144" customFormat="false" ht="15" hidden="true" customHeight="false" outlineLevel="0" collapsed="false">
      <c r="A3144" s="51" t="s">
        <v>389</v>
      </c>
      <c r="B3144" s="55" t="n">
        <v>44469</v>
      </c>
      <c r="C3144" s="51" t="s">
        <v>791</v>
      </c>
      <c r="D3144" s="51" t="n">
        <v>0</v>
      </c>
    </row>
    <row r="3145" customFormat="false" ht="15" hidden="true" customHeight="false" outlineLevel="0" collapsed="false">
      <c r="A3145" s="51" t="s">
        <v>394</v>
      </c>
      <c r="B3145" s="55" t="n">
        <v>44469</v>
      </c>
      <c r="C3145" s="51" t="s">
        <v>791</v>
      </c>
      <c r="D3145" s="51" t="n">
        <v>0</v>
      </c>
    </row>
    <row r="3146" customFormat="false" ht="15" hidden="true" customHeight="false" outlineLevel="0" collapsed="false">
      <c r="A3146" s="51" t="s">
        <v>399</v>
      </c>
      <c r="B3146" s="55" t="n">
        <v>44469</v>
      </c>
      <c r="C3146" s="51" t="s">
        <v>791</v>
      </c>
      <c r="D3146" s="51" t="n">
        <v>0</v>
      </c>
    </row>
    <row r="3147" customFormat="false" ht="15" hidden="true" customHeight="false" outlineLevel="0" collapsed="false">
      <c r="A3147" s="51" t="s">
        <v>404</v>
      </c>
      <c r="B3147" s="55" t="n">
        <v>44469</v>
      </c>
      <c r="C3147" s="51" t="s">
        <v>791</v>
      </c>
      <c r="D3147" s="51" t="n">
        <v>0</v>
      </c>
    </row>
    <row r="3148" customFormat="false" ht="15" hidden="true" customHeight="false" outlineLevel="0" collapsed="false">
      <c r="A3148" s="51" t="s">
        <v>409</v>
      </c>
      <c r="B3148" s="55" t="n">
        <v>44469</v>
      </c>
      <c r="C3148" s="51" t="s">
        <v>791</v>
      </c>
      <c r="D3148" s="51" t="n">
        <v>0</v>
      </c>
    </row>
    <row r="3149" customFormat="false" ht="15" hidden="true" customHeight="false" outlineLevel="0" collapsed="false">
      <c r="A3149" s="51" t="s">
        <v>414</v>
      </c>
      <c r="B3149" s="55" t="n">
        <v>44469</v>
      </c>
      <c r="C3149" s="51" t="s">
        <v>791</v>
      </c>
      <c r="D3149" s="51" t="n">
        <v>0</v>
      </c>
    </row>
    <row r="3150" customFormat="false" ht="15" hidden="true" customHeight="false" outlineLevel="0" collapsed="false">
      <c r="A3150" s="51" t="s">
        <v>419</v>
      </c>
      <c r="B3150" s="55" t="n">
        <v>44469</v>
      </c>
      <c r="C3150" s="51" t="s">
        <v>791</v>
      </c>
      <c r="D3150" s="51" t="n">
        <v>0</v>
      </c>
    </row>
    <row r="3151" customFormat="false" ht="15" hidden="true" customHeight="false" outlineLevel="0" collapsed="false">
      <c r="A3151" s="51" t="s">
        <v>424</v>
      </c>
      <c r="B3151" s="55" t="n">
        <v>44469</v>
      </c>
      <c r="C3151" s="51" t="s">
        <v>791</v>
      </c>
      <c r="D3151" s="51" t="n">
        <v>0</v>
      </c>
    </row>
    <row r="3152" customFormat="false" ht="15" hidden="true" customHeight="false" outlineLevel="0" collapsed="false">
      <c r="A3152" s="51" t="s">
        <v>429</v>
      </c>
      <c r="B3152" s="55" t="n">
        <v>44469</v>
      </c>
      <c r="C3152" s="51" t="s">
        <v>791</v>
      </c>
      <c r="D3152" s="51" t="n">
        <v>0</v>
      </c>
    </row>
    <row r="3153" customFormat="false" ht="15" hidden="true" customHeight="false" outlineLevel="0" collapsed="false">
      <c r="A3153" s="51" t="s">
        <v>434</v>
      </c>
      <c r="B3153" s="55" t="n">
        <v>44469</v>
      </c>
      <c r="C3153" s="51" t="s">
        <v>791</v>
      </c>
      <c r="D3153" s="51" t="n">
        <v>0</v>
      </c>
    </row>
    <row r="3154" customFormat="false" ht="15" hidden="true" customHeight="false" outlineLevel="0" collapsed="false">
      <c r="A3154" s="51" t="s">
        <v>438</v>
      </c>
      <c r="B3154" s="55" t="n">
        <v>44469</v>
      </c>
      <c r="C3154" s="51" t="s">
        <v>791</v>
      </c>
      <c r="D3154" s="51" t="n">
        <v>0</v>
      </c>
    </row>
    <row r="3155" customFormat="false" ht="15" hidden="true" customHeight="false" outlineLevel="0" collapsed="false">
      <c r="A3155" s="51" t="s">
        <v>443</v>
      </c>
      <c r="B3155" s="55" t="n">
        <v>44469</v>
      </c>
      <c r="C3155" s="51" t="s">
        <v>791</v>
      </c>
      <c r="D3155" s="51" t="n">
        <v>0</v>
      </c>
    </row>
    <row r="3156" customFormat="false" ht="15" hidden="true" customHeight="false" outlineLevel="0" collapsed="false">
      <c r="A3156" s="51" t="s">
        <v>448</v>
      </c>
      <c r="B3156" s="55" t="n">
        <v>44469</v>
      </c>
      <c r="C3156" s="51" t="s">
        <v>791</v>
      </c>
      <c r="D3156" s="51" t="n">
        <v>0</v>
      </c>
    </row>
    <row r="3157" customFormat="false" ht="15" hidden="true" customHeight="false" outlineLevel="0" collapsed="false">
      <c r="A3157" s="51" t="s">
        <v>453</v>
      </c>
      <c r="B3157" s="55" t="n">
        <v>44469</v>
      </c>
      <c r="C3157" s="51" t="s">
        <v>791</v>
      </c>
      <c r="D3157" s="51" t="n">
        <v>0</v>
      </c>
    </row>
    <row r="3158" customFormat="false" ht="15" hidden="true" customHeight="false" outlineLevel="0" collapsed="false">
      <c r="A3158" s="51" t="s">
        <v>458</v>
      </c>
      <c r="B3158" s="55" t="n">
        <v>44469</v>
      </c>
      <c r="C3158" s="51" t="s">
        <v>791</v>
      </c>
      <c r="D3158" s="51" t="n">
        <v>0</v>
      </c>
    </row>
    <row r="3159" customFormat="false" ht="15" hidden="true" customHeight="false" outlineLevel="0" collapsed="false">
      <c r="A3159" s="51" t="s">
        <v>473</v>
      </c>
      <c r="B3159" s="55" t="n">
        <v>44469</v>
      </c>
      <c r="C3159" s="51" t="s">
        <v>791</v>
      </c>
      <c r="D3159" s="51" t="n">
        <v>0</v>
      </c>
    </row>
    <row r="3160" customFormat="false" ht="15" hidden="true" customHeight="false" outlineLevel="0" collapsed="false">
      <c r="A3160" s="51" t="s">
        <v>479</v>
      </c>
      <c r="B3160" s="55" t="n">
        <v>44469</v>
      </c>
      <c r="C3160" s="51" t="s">
        <v>791</v>
      </c>
      <c r="D3160" s="51" t="n">
        <v>0</v>
      </c>
    </row>
    <row r="3161" customFormat="false" ht="15" hidden="true" customHeight="false" outlineLevel="0" collapsed="false">
      <c r="A3161" s="51" t="s">
        <v>484</v>
      </c>
      <c r="B3161" s="55" t="n">
        <v>44469</v>
      </c>
      <c r="C3161" s="51" t="s">
        <v>791</v>
      </c>
      <c r="D3161" s="51" t="n">
        <v>0</v>
      </c>
    </row>
    <row r="3162" customFormat="false" ht="15" hidden="true" customHeight="false" outlineLevel="0" collapsed="false">
      <c r="A3162" s="51" t="s">
        <v>489</v>
      </c>
      <c r="B3162" s="55" t="n">
        <v>44469</v>
      </c>
      <c r="C3162" s="51" t="s">
        <v>791</v>
      </c>
      <c r="D3162" s="51" t="n">
        <v>0</v>
      </c>
    </row>
    <row r="3163" customFormat="false" ht="15" hidden="true" customHeight="false" outlineLevel="0" collapsed="false">
      <c r="A3163" s="51" t="s">
        <v>494</v>
      </c>
      <c r="B3163" s="55" t="n">
        <v>44469</v>
      </c>
      <c r="C3163" s="51" t="s">
        <v>791</v>
      </c>
      <c r="D3163" s="51" t="n">
        <v>0</v>
      </c>
    </row>
    <row r="3164" customFormat="false" ht="15" hidden="true" customHeight="false" outlineLevel="0" collapsed="false">
      <c r="A3164" s="51" t="s">
        <v>499</v>
      </c>
      <c r="B3164" s="55" t="n">
        <v>44469</v>
      </c>
      <c r="C3164" s="51" t="s">
        <v>791</v>
      </c>
      <c r="D3164" s="51" t="n">
        <v>0</v>
      </c>
    </row>
    <row r="3165" customFormat="false" ht="15" hidden="true" customHeight="false" outlineLevel="0" collapsed="false">
      <c r="A3165" s="51" t="s">
        <v>504</v>
      </c>
      <c r="B3165" s="55" t="n">
        <v>44469</v>
      </c>
      <c r="C3165" s="51" t="s">
        <v>791</v>
      </c>
      <c r="D3165" s="51" t="n">
        <v>0</v>
      </c>
    </row>
    <row r="3166" customFormat="false" ht="15" hidden="true" customHeight="false" outlineLevel="0" collapsed="false">
      <c r="A3166" s="51" t="s">
        <v>509</v>
      </c>
      <c r="B3166" s="55" t="n">
        <v>44469</v>
      </c>
      <c r="C3166" s="51" t="s">
        <v>791</v>
      </c>
      <c r="D3166" s="51" t="n">
        <v>0</v>
      </c>
    </row>
    <row r="3167" customFormat="false" ht="15" hidden="true" customHeight="false" outlineLevel="0" collapsed="false">
      <c r="A3167" s="51" t="s">
        <v>515</v>
      </c>
      <c r="B3167" s="55" t="n">
        <v>44469</v>
      </c>
      <c r="C3167" s="51" t="s">
        <v>791</v>
      </c>
      <c r="D3167" s="51" t="n">
        <v>0</v>
      </c>
    </row>
    <row r="3168" customFormat="false" ht="15" hidden="true" customHeight="false" outlineLevel="0" collapsed="false">
      <c r="A3168" s="51" t="s">
        <v>520</v>
      </c>
      <c r="B3168" s="55" t="n">
        <v>44469</v>
      </c>
      <c r="C3168" s="51" t="s">
        <v>791</v>
      </c>
      <c r="D3168" s="51" t="n">
        <v>0</v>
      </c>
    </row>
    <row r="3169" customFormat="false" ht="15" hidden="true" customHeight="false" outlineLevel="0" collapsed="false">
      <c r="A3169" s="51" t="s">
        <v>525</v>
      </c>
      <c r="B3169" s="55" t="n">
        <v>44469</v>
      </c>
      <c r="C3169" s="51" t="s">
        <v>791</v>
      </c>
      <c r="D3169" s="51" t="n">
        <v>0</v>
      </c>
    </row>
    <row r="3170" customFormat="false" ht="15" hidden="true" customHeight="false" outlineLevel="0" collapsed="false">
      <c r="A3170" s="51" t="s">
        <v>531</v>
      </c>
      <c r="B3170" s="55" t="n">
        <v>44469</v>
      </c>
      <c r="C3170" s="51" t="s">
        <v>791</v>
      </c>
      <c r="D3170" s="51" t="n">
        <v>0</v>
      </c>
    </row>
    <row r="3171" customFormat="false" ht="15" hidden="true" customHeight="false" outlineLevel="0" collapsed="false">
      <c r="A3171" s="51" t="s">
        <v>536</v>
      </c>
      <c r="B3171" s="55" t="n">
        <v>44469</v>
      </c>
      <c r="C3171" s="51" t="s">
        <v>791</v>
      </c>
      <c r="D3171" s="51" t="n">
        <v>0</v>
      </c>
    </row>
    <row r="3172" customFormat="false" ht="15" hidden="true" customHeight="false" outlineLevel="0" collapsed="false">
      <c r="A3172" s="51" t="s">
        <v>541</v>
      </c>
      <c r="B3172" s="55" t="n">
        <v>44469</v>
      </c>
      <c r="C3172" s="51" t="s">
        <v>791</v>
      </c>
      <c r="D3172" s="51" t="n">
        <v>0</v>
      </c>
    </row>
    <row r="3173" customFormat="false" ht="15" hidden="true" customHeight="false" outlineLevel="0" collapsed="false">
      <c r="A3173" s="51" t="s">
        <v>549</v>
      </c>
      <c r="B3173" s="55" t="n">
        <v>44469</v>
      </c>
      <c r="C3173" s="51" t="s">
        <v>791</v>
      </c>
      <c r="D3173" s="51" t="n">
        <v>0</v>
      </c>
    </row>
    <row r="3174" customFormat="false" ht="15" hidden="true" customHeight="false" outlineLevel="0" collapsed="false">
      <c r="A3174" s="51" t="s">
        <v>554</v>
      </c>
      <c r="B3174" s="55" t="n">
        <v>44469</v>
      </c>
      <c r="C3174" s="51" t="s">
        <v>791</v>
      </c>
      <c r="D3174" s="51" t="n">
        <v>0</v>
      </c>
    </row>
    <row r="3175" customFormat="false" ht="15" hidden="true" customHeight="false" outlineLevel="0" collapsed="false">
      <c r="A3175" s="51" t="s">
        <v>559</v>
      </c>
      <c r="B3175" s="55" t="n">
        <v>44469</v>
      </c>
      <c r="C3175" s="51" t="s">
        <v>791</v>
      </c>
      <c r="D3175" s="51" t="n">
        <v>0</v>
      </c>
    </row>
    <row r="3176" customFormat="false" ht="15" hidden="true" customHeight="false" outlineLevel="0" collapsed="false">
      <c r="A3176" s="51" t="s">
        <v>564</v>
      </c>
      <c r="B3176" s="55" t="n">
        <v>44469</v>
      </c>
      <c r="C3176" s="51" t="s">
        <v>791</v>
      </c>
      <c r="D3176" s="51" t="n">
        <v>0</v>
      </c>
    </row>
    <row r="3177" customFormat="false" ht="15" hidden="true" customHeight="false" outlineLevel="0" collapsed="false">
      <c r="A3177" s="51" t="s">
        <v>569</v>
      </c>
      <c r="B3177" s="55" t="n">
        <v>44469</v>
      </c>
      <c r="C3177" s="51" t="s">
        <v>791</v>
      </c>
      <c r="D3177" s="51" t="n">
        <v>0</v>
      </c>
    </row>
    <row r="3178" customFormat="false" ht="15" hidden="true" customHeight="false" outlineLevel="0" collapsed="false">
      <c r="A3178" s="51" t="s">
        <v>574</v>
      </c>
      <c r="B3178" s="55" t="n">
        <v>44469</v>
      </c>
      <c r="C3178" s="51" t="s">
        <v>791</v>
      </c>
      <c r="D3178" s="51" t="n">
        <v>0</v>
      </c>
    </row>
    <row r="3179" customFormat="false" ht="15" hidden="true" customHeight="false" outlineLevel="0" collapsed="false">
      <c r="A3179" s="51" t="s">
        <v>579</v>
      </c>
      <c r="B3179" s="55" t="n">
        <v>44469</v>
      </c>
      <c r="C3179" s="51" t="s">
        <v>791</v>
      </c>
      <c r="D3179" s="51" t="n">
        <v>0</v>
      </c>
    </row>
    <row r="3180" customFormat="false" ht="15" hidden="true" customHeight="false" outlineLevel="0" collapsed="false">
      <c r="A3180" s="51" t="s">
        <v>584</v>
      </c>
      <c r="B3180" s="55" t="n">
        <v>44469</v>
      </c>
      <c r="C3180" s="51" t="s">
        <v>791</v>
      </c>
      <c r="D3180" s="51" t="n">
        <v>0</v>
      </c>
    </row>
    <row r="3181" customFormat="false" ht="15" hidden="true" customHeight="false" outlineLevel="0" collapsed="false">
      <c r="A3181" s="51" t="s">
        <v>589</v>
      </c>
      <c r="B3181" s="55" t="n">
        <v>44469</v>
      </c>
      <c r="C3181" s="51" t="s">
        <v>791</v>
      </c>
      <c r="D3181" s="51" t="n">
        <v>0</v>
      </c>
    </row>
    <row r="3182" customFormat="false" ht="15" hidden="true" customHeight="false" outlineLevel="0" collapsed="false">
      <c r="A3182" s="51" t="s">
        <v>756</v>
      </c>
      <c r="B3182" s="55" t="n">
        <v>44469</v>
      </c>
      <c r="C3182" s="51" t="s">
        <v>791</v>
      </c>
      <c r="D3182" s="51" t="n">
        <v>0</v>
      </c>
    </row>
    <row r="3183" customFormat="false" ht="15" hidden="true" customHeight="false" outlineLevel="0" collapsed="false">
      <c r="A3183" s="51" t="s">
        <v>594</v>
      </c>
      <c r="B3183" s="55" t="n">
        <v>44469</v>
      </c>
      <c r="C3183" s="51" t="s">
        <v>791</v>
      </c>
      <c r="D3183" s="51" t="n">
        <v>0</v>
      </c>
    </row>
    <row r="3184" customFormat="false" ht="15" hidden="true" customHeight="false" outlineLevel="0" collapsed="false">
      <c r="A3184" s="51" t="s">
        <v>761</v>
      </c>
      <c r="B3184" s="55" t="n">
        <v>44469</v>
      </c>
      <c r="C3184" s="51" t="s">
        <v>791</v>
      </c>
      <c r="D3184" s="51" t="n">
        <v>0</v>
      </c>
    </row>
    <row r="3185" customFormat="false" ht="15" hidden="true" customHeight="false" outlineLevel="0" collapsed="false">
      <c r="A3185" s="51" t="s">
        <v>599</v>
      </c>
      <c r="B3185" s="55" t="n">
        <v>44469</v>
      </c>
      <c r="C3185" s="51" t="s">
        <v>791</v>
      </c>
      <c r="D3185" s="51" t="n">
        <v>0</v>
      </c>
    </row>
    <row r="3186" customFormat="false" ht="15" hidden="true" customHeight="false" outlineLevel="0" collapsed="false">
      <c r="A3186" s="51" t="s">
        <v>604</v>
      </c>
      <c r="B3186" s="55" t="n">
        <v>44469</v>
      </c>
      <c r="C3186" s="51" t="s">
        <v>791</v>
      </c>
      <c r="D3186" s="51" t="n">
        <v>0</v>
      </c>
    </row>
    <row r="3187" customFormat="false" ht="15" hidden="true" customHeight="false" outlineLevel="0" collapsed="false">
      <c r="A3187" s="51" t="s">
        <v>609</v>
      </c>
      <c r="B3187" s="55" t="n">
        <v>44469</v>
      </c>
      <c r="C3187" s="51" t="s">
        <v>791</v>
      </c>
      <c r="D3187" s="51" t="n">
        <v>0</v>
      </c>
    </row>
    <row r="3188" customFormat="false" ht="15" hidden="true" customHeight="false" outlineLevel="0" collapsed="false">
      <c r="A3188" s="51" t="s">
        <v>614</v>
      </c>
      <c r="B3188" s="55" t="n">
        <v>44469</v>
      </c>
      <c r="C3188" s="51" t="s">
        <v>791</v>
      </c>
      <c r="D3188" s="51" t="n">
        <v>0</v>
      </c>
    </row>
    <row r="3189" customFormat="false" ht="15" hidden="true" customHeight="false" outlineLevel="0" collapsed="false">
      <c r="A3189" s="51" t="s">
        <v>619</v>
      </c>
      <c r="B3189" s="55" t="n">
        <v>44469</v>
      </c>
      <c r="C3189" s="51" t="s">
        <v>791</v>
      </c>
      <c r="D3189" s="51" t="n">
        <v>0</v>
      </c>
    </row>
    <row r="3190" customFormat="false" ht="15" hidden="true" customHeight="false" outlineLevel="0" collapsed="false">
      <c r="A3190" s="51" t="s">
        <v>624</v>
      </c>
      <c r="B3190" s="55" t="n">
        <v>44469</v>
      </c>
      <c r="C3190" s="51" t="s">
        <v>791</v>
      </c>
      <c r="D3190" s="51" t="n">
        <v>0</v>
      </c>
    </row>
    <row r="3191" customFormat="false" ht="15" hidden="true" customHeight="false" outlineLevel="0" collapsed="false">
      <c r="A3191" s="51" t="s">
        <v>629</v>
      </c>
      <c r="B3191" s="55" t="n">
        <v>44469</v>
      </c>
      <c r="C3191" s="51" t="s">
        <v>791</v>
      </c>
      <c r="D3191" s="51" t="n">
        <v>0</v>
      </c>
    </row>
    <row r="3192" customFormat="false" ht="15" hidden="true" customHeight="false" outlineLevel="0" collapsed="false">
      <c r="A3192" s="51" t="s">
        <v>633</v>
      </c>
      <c r="B3192" s="55" t="n">
        <v>44469</v>
      </c>
      <c r="C3192" s="51" t="s">
        <v>791</v>
      </c>
      <c r="D3192" s="51" t="n">
        <v>0</v>
      </c>
    </row>
    <row r="3193" customFormat="false" ht="15" hidden="true" customHeight="false" outlineLevel="0" collapsed="false">
      <c r="A3193" s="51" t="s">
        <v>638</v>
      </c>
      <c r="B3193" s="55" t="n">
        <v>44469</v>
      </c>
      <c r="C3193" s="51" t="s">
        <v>791</v>
      </c>
      <c r="D3193" s="51" t="n">
        <v>0</v>
      </c>
    </row>
    <row r="3194" customFormat="false" ht="15" hidden="true" customHeight="false" outlineLevel="0" collapsed="false">
      <c r="A3194" s="51" t="s">
        <v>642</v>
      </c>
      <c r="B3194" s="55" t="n">
        <v>44469</v>
      </c>
      <c r="C3194" s="51" t="s">
        <v>791</v>
      </c>
      <c r="D3194" s="51" t="n">
        <v>0</v>
      </c>
    </row>
    <row r="3195" customFormat="false" ht="15" hidden="true" customHeight="false" outlineLevel="0" collapsed="false">
      <c r="A3195" s="51" t="s">
        <v>646</v>
      </c>
      <c r="B3195" s="55" t="n">
        <v>44469</v>
      </c>
      <c r="C3195" s="51" t="s">
        <v>791</v>
      </c>
      <c r="D3195" s="51" t="n">
        <v>0</v>
      </c>
    </row>
    <row r="3196" customFormat="false" ht="15" hidden="true" customHeight="false" outlineLevel="0" collapsed="false">
      <c r="A3196" s="51" t="s">
        <v>651</v>
      </c>
      <c r="B3196" s="55" t="n">
        <v>44469</v>
      </c>
      <c r="C3196" s="51" t="s">
        <v>791</v>
      </c>
      <c r="D3196" s="51" t="n">
        <v>0</v>
      </c>
    </row>
    <row r="3197" customFormat="false" ht="15" hidden="true" customHeight="false" outlineLevel="0" collapsed="false">
      <c r="A3197" s="51" t="s">
        <v>656</v>
      </c>
      <c r="B3197" s="55" t="n">
        <v>44469</v>
      </c>
      <c r="C3197" s="51" t="s">
        <v>791</v>
      </c>
      <c r="D3197" s="51" t="n">
        <v>0</v>
      </c>
    </row>
    <row r="3198" customFormat="false" ht="15" hidden="true" customHeight="false" outlineLevel="0" collapsed="false">
      <c r="A3198" s="51" t="s">
        <v>661</v>
      </c>
      <c r="B3198" s="55" t="n">
        <v>44469</v>
      </c>
      <c r="C3198" s="51" t="s">
        <v>791</v>
      </c>
      <c r="D3198" s="51" t="n">
        <v>0</v>
      </c>
    </row>
    <row r="3199" customFormat="false" ht="15" hidden="true" customHeight="false" outlineLevel="0" collapsed="false">
      <c r="A3199" s="51" t="s">
        <v>666</v>
      </c>
      <c r="B3199" s="55" t="n">
        <v>44469</v>
      </c>
      <c r="C3199" s="51" t="s">
        <v>791</v>
      </c>
      <c r="D3199" s="51" t="n">
        <v>0</v>
      </c>
    </row>
    <row r="3200" customFormat="false" ht="15" hidden="true" customHeight="false" outlineLevel="0" collapsed="false">
      <c r="A3200" s="51" t="s">
        <v>671</v>
      </c>
      <c r="B3200" s="55" t="n">
        <v>44469</v>
      </c>
      <c r="C3200" s="51" t="s">
        <v>791</v>
      </c>
      <c r="D3200" s="51" t="n">
        <v>0</v>
      </c>
    </row>
    <row r="3201" customFormat="false" ht="15" hidden="true" customHeight="false" outlineLevel="0" collapsed="false">
      <c r="A3201" s="51" t="s">
        <v>676</v>
      </c>
      <c r="B3201" s="55" t="n">
        <v>44469</v>
      </c>
      <c r="C3201" s="51" t="s">
        <v>791</v>
      </c>
      <c r="D3201" s="51" t="n">
        <v>0</v>
      </c>
    </row>
    <row r="3202" customFormat="false" ht="15" hidden="true" customHeight="false" outlineLevel="0" collapsed="false">
      <c r="A3202" s="51" t="s">
        <v>681</v>
      </c>
      <c r="B3202" s="55" t="n">
        <v>44469</v>
      </c>
      <c r="C3202" s="51" t="s">
        <v>791</v>
      </c>
      <c r="D3202" s="51" t="n">
        <v>0</v>
      </c>
    </row>
    <row r="3203" customFormat="false" ht="15" hidden="true" customHeight="false" outlineLevel="0" collapsed="false">
      <c r="A3203" s="51" t="s">
        <v>686</v>
      </c>
      <c r="B3203" s="55" t="n">
        <v>44469</v>
      </c>
      <c r="C3203" s="51" t="s">
        <v>791</v>
      </c>
      <c r="D3203" s="51" t="n">
        <v>0</v>
      </c>
    </row>
    <row r="3204" customFormat="false" ht="15" hidden="true" customHeight="false" outlineLevel="0" collapsed="false">
      <c r="A3204" s="51" t="s">
        <v>691</v>
      </c>
      <c r="B3204" s="55" t="n">
        <v>44469</v>
      </c>
      <c r="C3204" s="51" t="s">
        <v>791</v>
      </c>
      <c r="D3204" s="51" t="n">
        <v>0</v>
      </c>
    </row>
    <row r="3205" customFormat="false" ht="15" hidden="true" customHeight="false" outlineLevel="0" collapsed="false">
      <c r="A3205" s="51" t="s">
        <v>696</v>
      </c>
      <c r="B3205" s="55" t="n">
        <v>44469</v>
      </c>
      <c r="C3205" s="51" t="s">
        <v>791</v>
      </c>
      <c r="D3205" s="51" t="n">
        <v>0</v>
      </c>
    </row>
    <row r="3206" customFormat="false" ht="15" hidden="true" customHeight="false" outlineLevel="0" collapsed="false">
      <c r="A3206" s="51" t="s">
        <v>701</v>
      </c>
      <c r="B3206" s="55" t="n">
        <v>44469</v>
      </c>
      <c r="C3206" s="51" t="s">
        <v>791</v>
      </c>
      <c r="D3206" s="51" t="n">
        <v>0</v>
      </c>
    </row>
    <row r="3207" customFormat="false" ht="15" hidden="true" customHeight="false" outlineLevel="0" collapsed="false">
      <c r="A3207" s="51" t="s">
        <v>707</v>
      </c>
      <c r="B3207" s="55" t="n">
        <v>44469</v>
      </c>
      <c r="C3207" s="51" t="s">
        <v>791</v>
      </c>
      <c r="D3207" s="51" t="n">
        <v>0</v>
      </c>
    </row>
    <row r="3208" customFormat="false" ht="15" hidden="true" customHeight="false" outlineLevel="0" collapsed="false">
      <c r="A3208" s="51" t="s">
        <v>712</v>
      </c>
      <c r="B3208" s="55" t="n">
        <v>44469</v>
      </c>
      <c r="C3208" s="51" t="s">
        <v>791</v>
      </c>
      <c r="D3208" s="51" t="n">
        <v>0</v>
      </c>
    </row>
    <row r="3209" customFormat="false" ht="15" hidden="true" customHeight="false" outlineLevel="0" collapsed="false">
      <c r="A3209" s="51" t="s">
        <v>717</v>
      </c>
      <c r="B3209" s="55" t="n">
        <v>44469</v>
      </c>
      <c r="C3209" s="51" t="s">
        <v>791</v>
      </c>
      <c r="D3209" s="51" t="n">
        <v>0</v>
      </c>
    </row>
    <row r="3210" customFormat="false" ht="15" hidden="true" customHeight="false" outlineLevel="0" collapsed="false">
      <c r="A3210" s="51" t="s">
        <v>767</v>
      </c>
      <c r="B3210" s="55" t="n">
        <v>44469</v>
      </c>
      <c r="C3210" s="51" t="s">
        <v>791</v>
      </c>
      <c r="D3210" s="51" t="n">
        <v>0</v>
      </c>
    </row>
    <row r="3211" customFormat="false" ht="15" hidden="true" customHeight="false" outlineLevel="0" collapsed="false">
      <c r="A3211" s="51" t="s">
        <v>722</v>
      </c>
      <c r="B3211" s="55" t="n">
        <v>44469</v>
      </c>
      <c r="C3211" s="51" t="s">
        <v>791</v>
      </c>
      <c r="D3211" s="51" t="n">
        <v>0</v>
      </c>
    </row>
    <row r="3212" customFormat="false" ht="15" hidden="true" customHeight="false" outlineLevel="0" collapsed="false">
      <c r="A3212" s="51" t="s">
        <v>727</v>
      </c>
      <c r="B3212" s="55" t="n">
        <v>44469</v>
      </c>
      <c r="C3212" s="51" t="s">
        <v>791</v>
      </c>
      <c r="D3212" s="51" t="n">
        <v>0</v>
      </c>
    </row>
    <row r="3213" customFormat="false" ht="15" hidden="true" customHeight="false" outlineLevel="0" collapsed="false">
      <c r="A3213" s="51" t="s">
        <v>732</v>
      </c>
      <c r="B3213" s="55" t="n">
        <v>44469</v>
      </c>
      <c r="C3213" s="51" t="s">
        <v>791</v>
      </c>
      <c r="D3213" s="51" t="n">
        <v>0</v>
      </c>
    </row>
    <row r="3214" customFormat="false" ht="15" hidden="true" customHeight="false" outlineLevel="0" collapsed="false">
      <c r="A3214" s="51" t="s">
        <v>736</v>
      </c>
      <c r="B3214" s="55" t="n">
        <v>44469</v>
      </c>
      <c r="C3214" s="51" t="s">
        <v>791</v>
      </c>
      <c r="D3214" s="51" t="n">
        <v>0</v>
      </c>
    </row>
    <row r="3215" customFormat="false" ht="15" hidden="true" customHeight="false" outlineLevel="0" collapsed="false">
      <c r="A3215" s="51" t="s">
        <v>741</v>
      </c>
      <c r="B3215" s="55" t="n">
        <v>44469</v>
      </c>
      <c r="C3215" s="51" t="s">
        <v>791</v>
      </c>
      <c r="D3215" s="51" t="n">
        <v>0</v>
      </c>
    </row>
    <row r="3216" customFormat="false" ht="15" hidden="true" customHeight="false" outlineLevel="0" collapsed="false">
      <c r="A3216" s="51" t="s">
        <v>746</v>
      </c>
      <c r="B3216" s="55" t="n">
        <v>44469</v>
      </c>
      <c r="C3216" s="51" t="s">
        <v>791</v>
      </c>
      <c r="D3216" s="51" t="n">
        <v>0</v>
      </c>
    </row>
    <row r="3217" customFormat="false" ht="15" hidden="true" customHeight="false" outlineLevel="0" collapsed="false">
      <c r="A3217" s="51" t="s">
        <v>751</v>
      </c>
      <c r="B3217" s="55" t="n">
        <v>44469</v>
      </c>
      <c r="C3217" s="51" t="s">
        <v>791</v>
      </c>
      <c r="D3217" s="51" t="n">
        <v>0</v>
      </c>
    </row>
    <row r="3218" customFormat="false" ht="15" hidden="false" customHeight="false" outlineLevel="0" collapsed="false">
      <c r="A3218" s="51" t="s">
        <v>781</v>
      </c>
      <c r="B3218" s="55" t="n">
        <v>44561</v>
      </c>
      <c r="C3218" s="51" t="s">
        <v>782</v>
      </c>
      <c r="D3218" s="51" t="n">
        <v>0</v>
      </c>
    </row>
    <row r="3219" customFormat="false" ht="15" hidden="true" customHeight="false" outlineLevel="0" collapsed="false">
      <c r="A3219" s="51" t="s">
        <v>783</v>
      </c>
      <c r="B3219" s="55" t="n">
        <v>44561</v>
      </c>
      <c r="C3219" s="51" t="s">
        <v>782</v>
      </c>
      <c r="D3219" s="51" t="n">
        <v>0</v>
      </c>
    </row>
    <row r="3220" customFormat="false" ht="15" hidden="true" customHeight="false" outlineLevel="0" collapsed="false">
      <c r="A3220" s="51" t="s">
        <v>96</v>
      </c>
      <c r="B3220" s="55" t="n">
        <v>44561</v>
      </c>
      <c r="C3220" s="51" t="s">
        <v>782</v>
      </c>
      <c r="D3220" s="51" t="n">
        <v>0</v>
      </c>
    </row>
    <row r="3221" customFormat="false" ht="15" hidden="true" customHeight="false" outlineLevel="0" collapsed="false">
      <c r="A3221" s="51" t="s">
        <v>101</v>
      </c>
      <c r="B3221" s="55" t="n">
        <v>44561</v>
      </c>
      <c r="C3221" s="51" t="s">
        <v>782</v>
      </c>
      <c r="D3221" s="51" t="n">
        <v>0</v>
      </c>
    </row>
    <row r="3222" customFormat="false" ht="15" hidden="true" customHeight="false" outlineLevel="0" collapsed="false">
      <c r="A3222" s="51" t="s">
        <v>106</v>
      </c>
      <c r="B3222" s="55" t="n">
        <v>44561</v>
      </c>
      <c r="C3222" s="51" t="s">
        <v>782</v>
      </c>
      <c r="D3222" s="51" t="n">
        <v>0</v>
      </c>
    </row>
    <row r="3223" customFormat="false" ht="15" hidden="true" customHeight="false" outlineLevel="0" collapsed="false">
      <c r="A3223" s="51" t="s">
        <v>110</v>
      </c>
      <c r="B3223" s="55" t="n">
        <v>44561</v>
      </c>
      <c r="C3223" s="51" t="s">
        <v>782</v>
      </c>
      <c r="D3223" s="51" t="n">
        <v>0</v>
      </c>
    </row>
    <row r="3224" customFormat="false" ht="15" hidden="true" customHeight="false" outlineLevel="0" collapsed="false">
      <c r="A3224" s="51" t="s">
        <v>115</v>
      </c>
      <c r="B3224" s="55" t="n">
        <v>44561</v>
      </c>
      <c r="C3224" s="51" t="s">
        <v>782</v>
      </c>
      <c r="D3224" s="51" t="n">
        <v>0</v>
      </c>
    </row>
    <row r="3225" customFormat="false" ht="15" hidden="true" customHeight="false" outlineLevel="0" collapsed="false">
      <c r="A3225" s="51" t="s">
        <v>120</v>
      </c>
      <c r="B3225" s="55" t="n">
        <v>44561</v>
      </c>
      <c r="C3225" s="51" t="s">
        <v>782</v>
      </c>
      <c r="D3225" s="51" t="n">
        <v>0</v>
      </c>
    </row>
    <row r="3226" customFormat="false" ht="15" hidden="true" customHeight="false" outlineLevel="0" collapsed="false">
      <c r="A3226" s="51" t="s">
        <v>124</v>
      </c>
      <c r="B3226" s="55" t="n">
        <v>44561</v>
      </c>
      <c r="C3226" s="51" t="s">
        <v>782</v>
      </c>
      <c r="D3226" s="51" t="n">
        <v>0</v>
      </c>
    </row>
    <row r="3227" customFormat="false" ht="15" hidden="true" customHeight="false" outlineLevel="0" collapsed="false">
      <c r="A3227" s="51" t="s">
        <v>129</v>
      </c>
      <c r="B3227" s="55" t="n">
        <v>44561</v>
      </c>
      <c r="C3227" s="51" t="s">
        <v>782</v>
      </c>
      <c r="D3227" s="51" t="n">
        <v>0</v>
      </c>
    </row>
    <row r="3228" customFormat="false" ht="15" hidden="true" customHeight="false" outlineLevel="0" collapsed="false">
      <c r="A3228" s="51" t="s">
        <v>134</v>
      </c>
      <c r="B3228" s="55" t="n">
        <v>44561</v>
      </c>
      <c r="C3228" s="51" t="s">
        <v>782</v>
      </c>
      <c r="D3228" s="51" t="n">
        <v>0</v>
      </c>
    </row>
    <row r="3229" customFormat="false" ht="15" hidden="true" customHeight="false" outlineLevel="0" collapsed="false">
      <c r="A3229" s="51" t="s">
        <v>141</v>
      </c>
      <c r="B3229" s="55" t="n">
        <v>44561</v>
      </c>
      <c r="C3229" s="51" t="s">
        <v>782</v>
      </c>
      <c r="D3229" s="51" t="n">
        <v>0</v>
      </c>
    </row>
    <row r="3230" customFormat="false" ht="15" hidden="true" customHeight="false" outlineLevel="0" collapsed="false">
      <c r="A3230" s="51" t="s">
        <v>146</v>
      </c>
      <c r="B3230" s="55" t="n">
        <v>44561</v>
      </c>
      <c r="C3230" s="51" t="s">
        <v>782</v>
      </c>
      <c r="D3230" s="51" t="n">
        <v>0</v>
      </c>
    </row>
    <row r="3231" customFormat="false" ht="15" hidden="true" customHeight="false" outlineLevel="0" collapsed="false">
      <c r="A3231" s="51" t="s">
        <v>151</v>
      </c>
      <c r="B3231" s="55" t="n">
        <v>44561</v>
      </c>
      <c r="C3231" s="51" t="s">
        <v>782</v>
      </c>
      <c r="D3231" s="51" t="n">
        <v>0</v>
      </c>
    </row>
    <row r="3232" customFormat="false" ht="15" hidden="true" customHeight="false" outlineLevel="0" collapsed="false">
      <c r="A3232" s="51" t="s">
        <v>156</v>
      </c>
      <c r="B3232" s="55" t="n">
        <v>44561</v>
      </c>
      <c r="C3232" s="51" t="s">
        <v>782</v>
      </c>
      <c r="D3232" s="51" t="n">
        <v>0</v>
      </c>
    </row>
    <row r="3233" customFormat="false" ht="15" hidden="true" customHeight="false" outlineLevel="0" collapsed="false">
      <c r="A3233" s="51" t="s">
        <v>161</v>
      </c>
      <c r="B3233" s="55" t="n">
        <v>44561</v>
      </c>
      <c r="C3233" s="51" t="s">
        <v>782</v>
      </c>
      <c r="D3233" s="51" t="n">
        <v>0</v>
      </c>
    </row>
    <row r="3234" customFormat="false" ht="15" hidden="true" customHeight="false" outlineLevel="0" collapsed="false">
      <c r="A3234" s="51" t="s">
        <v>166</v>
      </c>
      <c r="B3234" s="55" t="n">
        <v>44561</v>
      </c>
      <c r="C3234" s="51" t="s">
        <v>782</v>
      </c>
      <c r="D3234" s="51" t="n">
        <v>0</v>
      </c>
    </row>
    <row r="3235" customFormat="false" ht="15" hidden="true" customHeight="false" outlineLevel="0" collapsed="false">
      <c r="A3235" s="51" t="s">
        <v>171</v>
      </c>
      <c r="B3235" s="55" t="n">
        <v>44561</v>
      </c>
      <c r="C3235" s="51" t="s">
        <v>782</v>
      </c>
      <c r="D3235" s="51" t="n">
        <v>0</v>
      </c>
    </row>
    <row r="3236" customFormat="false" ht="15" hidden="true" customHeight="false" outlineLevel="0" collapsed="false">
      <c r="A3236" s="51" t="s">
        <v>176</v>
      </c>
      <c r="B3236" s="55" t="n">
        <v>44561</v>
      </c>
      <c r="C3236" s="51" t="s">
        <v>782</v>
      </c>
      <c r="D3236" s="51" t="n">
        <v>0</v>
      </c>
    </row>
    <row r="3237" customFormat="false" ht="15" hidden="true" customHeight="false" outlineLevel="0" collapsed="false">
      <c r="A3237" s="51" t="s">
        <v>181</v>
      </c>
      <c r="B3237" s="55" t="n">
        <v>44561</v>
      </c>
      <c r="C3237" s="51" t="s">
        <v>782</v>
      </c>
      <c r="D3237" s="51" t="n">
        <v>0</v>
      </c>
    </row>
    <row r="3238" customFormat="false" ht="15" hidden="true" customHeight="false" outlineLevel="0" collapsed="false">
      <c r="A3238" s="51" t="s">
        <v>186</v>
      </c>
      <c r="B3238" s="55" t="n">
        <v>44561</v>
      </c>
      <c r="C3238" s="51" t="s">
        <v>782</v>
      </c>
      <c r="D3238" s="51" t="n">
        <v>0</v>
      </c>
    </row>
    <row r="3239" customFormat="false" ht="15" hidden="true" customHeight="false" outlineLevel="0" collapsed="false">
      <c r="A3239" s="51" t="s">
        <v>191</v>
      </c>
      <c r="B3239" s="55" t="n">
        <v>44561</v>
      </c>
      <c r="C3239" s="51" t="s">
        <v>782</v>
      </c>
      <c r="D3239" s="51" t="n">
        <v>0</v>
      </c>
    </row>
    <row r="3240" customFormat="false" ht="15" hidden="true" customHeight="false" outlineLevel="0" collapsed="false">
      <c r="A3240" s="51" t="s">
        <v>196</v>
      </c>
      <c r="B3240" s="55" t="n">
        <v>44561</v>
      </c>
      <c r="C3240" s="51" t="s">
        <v>782</v>
      </c>
      <c r="D3240" s="51" t="n">
        <v>0</v>
      </c>
    </row>
    <row r="3241" customFormat="false" ht="15" hidden="true" customHeight="false" outlineLevel="0" collapsed="false">
      <c r="A3241" s="51" t="s">
        <v>201</v>
      </c>
      <c r="B3241" s="55" t="n">
        <v>44561</v>
      </c>
      <c r="C3241" s="51" t="s">
        <v>782</v>
      </c>
      <c r="D3241" s="51" t="n">
        <v>0</v>
      </c>
    </row>
    <row r="3242" customFormat="false" ht="15" hidden="true" customHeight="false" outlineLevel="0" collapsed="false">
      <c r="A3242" s="51" t="s">
        <v>206</v>
      </c>
      <c r="B3242" s="55" t="n">
        <v>44561</v>
      </c>
      <c r="C3242" s="51" t="s">
        <v>782</v>
      </c>
      <c r="D3242" s="51" t="n">
        <v>0</v>
      </c>
    </row>
    <row r="3243" customFormat="false" ht="15" hidden="true" customHeight="false" outlineLevel="0" collapsed="false">
      <c r="A3243" s="51" t="s">
        <v>210</v>
      </c>
      <c r="B3243" s="55" t="n">
        <v>44561</v>
      </c>
      <c r="C3243" s="51" t="s">
        <v>782</v>
      </c>
      <c r="D3243" s="51" t="n">
        <v>0</v>
      </c>
    </row>
    <row r="3244" customFormat="false" ht="15" hidden="true" customHeight="false" outlineLevel="0" collapsed="false">
      <c r="A3244" s="51" t="s">
        <v>215</v>
      </c>
      <c r="B3244" s="55" t="n">
        <v>44561</v>
      </c>
      <c r="C3244" s="51" t="s">
        <v>782</v>
      </c>
      <c r="D3244" s="51" t="n">
        <v>0</v>
      </c>
    </row>
    <row r="3245" customFormat="false" ht="15" hidden="true" customHeight="false" outlineLevel="0" collapsed="false">
      <c r="A3245" s="51" t="s">
        <v>790</v>
      </c>
      <c r="B3245" s="55" t="n">
        <v>44561</v>
      </c>
      <c r="C3245" s="51" t="s">
        <v>782</v>
      </c>
      <c r="D3245" s="51" t="n">
        <v>0</v>
      </c>
    </row>
    <row r="3246" customFormat="false" ht="15" hidden="true" customHeight="false" outlineLevel="0" collapsed="false">
      <c r="A3246" s="51" t="s">
        <v>225</v>
      </c>
      <c r="B3246" s="55" t="n">
        <v>44561</v>
      </c>
      <c r="C3246" s="51" t="s">
        <v>782</v>
      </c>
      <c r="D3246" s="51" t="n">
        <v>0</v>
      </c>
    </row>
    <row r="3247" customFormat="false" ht="15" hidden="true" customHeight="false" outlineLevel="0" collapsed="false">
      <c r="A3247" s="51" t="s">
        <v>230</v>
      </c>
      <c r="B3247" s="55" t="n">
        <v>44561</v>
      </c>
      <c r="C3247" s="51" t="s">
        <v>782</v>
      </c>
      <c r="D3247" s="51" t="n">
        <v>0</v>
      </c>
    </row>
    <row r="3248" customFormat="false" ht="15" hidden="true" customHeight="false" outlineLevel="0" collapsed="false">
      <c r="A3248" s="51" t="s">
        <v>235</v>
      </c>
      <c r="B3248" s="55" t="n">
        <v>44561</v>
      </c>
      <c r="C3248" s="51" t="s">
        <v>782</v>
      </c>
      <c r="D3248" s="51" t="n">
        <v>0</v>
      </c>
    </row>
    <row r="3249" customFormat="false" ht="15" hidden="true" customHeight="false" outlineLevel="0" collapsed="false">
      <c r="A3249" s="51" t="s">
        <v>240</v>
      </c>
      <c r="B3249" s="55" t="n">
        <v>44561</v>
      </c>
      <c r="C3249" s="51" t="s">
        <v>782</v>
      </c>
      <c r="D3249" s="51" t="n">
        <v>0</v>
      </c>
    </row>
    <row r="3250" customFormat="false" ht="15" hidden="true" customHeight="false" outlineLevel="0" collapsed="false">
      <c r="A3250" s="51" t="s">
        <v>246</v>
      </c>
      <c r="B3250" s="55" t="n">
        <v>44561</v>
      </c>
      <c r="C3250" s="51" t="s">
        <v>782</v>
      </c>
      <c r="D3250" s="51" t="n">
        <v>9359166</v>
      </c>
    </row>
    <row r="3251" customFormat="false" ht="15" hidden="true" customHeight="false" outlineLevel="0" collapsed="false">
      <c r="A3251" s="51" t="s">
        <v>252</v>
      </c>
      <c r="B3251" s="55" t="n">
        <v>44561</v>
      </c>
      <c r="C3251" s="51" t="s">
        <v>782</v>
      </c>
      <c r="D3251" s="51" t="n">
        <v>0</v>
      </c>
    </row>
    <row r="3252" customFormat="false" ht="15" hidden="true" customHeight="false" outlineLevel="0" collapsed="false">
      <c r="A3252" s="51" t="s">
        <v>257</v>
      </c>
      <c r="B3252" s="55" t="n">
        <v>44561</v>
      </c>
      <c r="C3252" s="51" t="s">
        <v>782</v>
      </c>
      <c r="D3252" s="51" t="n">
        <v>0</v>
      </c>
    </row>
    <row r="3253" customFormat="false" ht="15" hidden="true" customHeight="false" outlineLevel="0" collapsed="false">
      <c r="A3253" s="51" t="s">
        <v>262</v>
      </c>
      <c r="B3253" s="55" t="n">
        <v>44561</v>
      </c>
      <c r="C3253" s="51" t="s">
        <v>782</v>
      </c>
      <c r="D3253" s="51" t="n">
        <v>100000</v>
      </c>
    </row>
    <row r="3254" customFormat="false" ht="15" hidden="true" customHeight="false" outlineLevel="0" collapsed="false">
      <c r="A3254" s="51" t="s">
        <v>267</v>
      </c>
      <c r="B3254" s="55" t="n">
        <v>44561</v>
      </c>
      <c r="C3254" s="51" t="s">
        <v>782</v>
      </c>
      <c r="D3254" s="51" t="n">
        <v>2160000</v>
      </c>
    </row>
    <row r="3255" customFormat="false" ht="15" hidden="true" customHeight="false" outlineLevel="0" collapsed="false">
      <c r="A3255" s="51" t="s">
        <v>272</v>
      </c>
      <c r="B3255" s="55" t="n">
        <v>44561</v>
      </c>
      <c r="C3255" s="51" t="s">
        <v>782</v>
      </c>
      <c r="D3255" s="51" t="n">
        <v>0</v>
      </c>
    </row>
    <row r="3256" customFormat="false" ht="15" hidden="true" customHeight="false" outlineLevel="0" collapsed="false">
      <c r="A3256" s="51" t="s">
        <v>277</v>
      </c>
      <c r="B3256" s="55" t="n">
        <v>44561</v>
      </c>
      <c r="C3256" s="51" t="s">
        <v>782</v>
      </c>
      <c r="D3256" s="51" t="n">
        <v>0</v>
      </c>
    </row>
    <row r="3257" customFormat="false" ht="15" hidden="true" customHeight="false" outlineLevel="0" collapsed="false">
      <c r="A3257" s="51" t="s">
        <v>282</v>
      </c>
      <c r="B3257" s="55" t="n">
        <v>44561</v>
      </c>
      <c r="C3257" s="51" t="s">
        <v>782</v>
      </c>
      <c r="D3257" s="51" t="n">
        <v>0</v>
      </c>
    </row>
    <row r="3258" customFormat="false" ht="15" hidden="true" customHeight="false" outlineLevel="0" collapsed="false">
      <c r="A3258" s="51" t="s">
        <v>287</v>
      </c>
      <c r="B3258" s="55" t="n">
        <v>44561</v>
      </c>
      <c r="C3258" s="51" t="s">
        <v>782</v>
      </c>
      <c r="D3258" s="51" t="n">
        <v>0</v>
      </c>
    </row>
    <row r="3259" customFormat="false" ht="15" hidden="true" customHeight="false" outlineLevel="0" collapsed="false">
      <c r="A3259" s="51" t="s">
        <v>292</v>
      </c>
      <c r="B3259" s="55" t="n">
        <v>44561</v>
      </c>
      <c r="C3259" s="51" t="s">
        <v>782</v>
      </c>
      <c r="D3259" s="51" t="n">
        <v>0</v>
      </c>
    </row>
    <row r="3260" customFormat="false" ht="15" hidden="true" customHeight="false" outlineLevel="0" collapsed="false">
      <c r="A3260" s="51" t="s">
        <v>297</v>
      </c>
      <c r="B3260" s="55" t="n">
        <v>44561</v>
      </c>
      <c r="C3260" s="51" t="s">
        <v>782</v>
      </c>
      <c r="D3260" s="51" t="n">
        <v>0</v>
      </c>
    </row>
    <row r="3261" customFormat="false" ht="15" hidden="true" customHeight="false" outlineLevel="0" collapsed="false">
      <c r="A3261" s="51" t="s">
        <v>302</v>
      </c>
      <c r="B3261" s="55" t="n">
        <v>44561</v>
      </c>
      <c r="C3261" s="51" t="s">
        <v>782</v>
      </c>
      <c r="D3261" s="51" t="n">
        <v>0</v>
      </c>
    </row>
    <row r="3262" customFormat="false" ht="15" hidden="true" customHeight="false" outlineLevel="0" collapsed="false">
      <c r="A3262" s="51" t="s">
        <v>307</v>
      </c>
      <c r="B3262" s="55" t="n">
        <v>44561</v>
      </c>
      <c r="C3262" s="51" t="s">
        <v>782</v>
      </c>
      <c r="D3262" s="51" t="n">
        <v>0</v>
      </c>
    </row>
    <row r="3263" customFormat="false" ht="15" hidden="true" customHeight="false" outlineLevel="0" collapsed="false">
      <c r="A3263" s="51" t="s">
        <v>311</v>
      </c>
      <c r="B3263" s="55" t="n">
        <v>44561</v>
      </c>
      <c r="C3263" s="51" t="s">
        <v>782</v>
      </c>
      <c r="D3263" s="51" t="n">
        <v>0</v>
      </c>
    </row>
    <row r="3264" customFormat="false" ht="15" hidden="true" customHeight="false" outlineLevel="0" collapsed="false">
      <c r="A3264" s="51" t="s">
        <v>317</v>
      </c>
      <c r="B3264" s="55" t="n">
        <v>44561</v>
      </c>
      <c r="C3264" s="51" t="s">
        <v>782</v>
      </c>
      <c r="D3264" s="51" t="n">
        <v>0</v>
      </c>
    </row>
    <row r="3265" customFormat="false" ht="15" hidden="true" customHeight="false" outlineLevel="0" collapsed="false">
      <c r="A3265" s="51" t="s">
        <v>322</v>
      </c>
      <c r="B3265" s="55" t="n">
        <v>44561</v>
      </c>
      <c r="C3265" s="51" t="s">
        <v>782</v>
      </c>
      <c r="D3265" s="51" t="n">
        <v>0</v>
      </c>
    </row>
    <row r="3266" customFormat="false" ht="15" hidden="true" customHeight="false" outlineLevel="0" collapsed="false">
      <c r="A3266" s="51" t="s">
        <v>327</v>
      </c>
      <c r="B3266" s="55" t="n">
        <v>44561</v>
      </c>
      <c r="C3266" s="51" t="s">
        <v>782</v>
      </c>
      <c r="D3266" s="51" t="n">
        <v>0</v>
      </c>
    </row>
    <row r="3267" customFormat="false" ht="15" hidden="true" customHeight="false" outlineLevel="0" collapsed="false">
      <c r="A3267" s="51" t="s">
        <v>332</v>
      </c>
      <c r="B3267" s="55" t="n">
        <v>44561</v>
      </c>
      <c r="C3267" s="51" t="s">
        <v>782</v>
      </c>
      <c r="D3267" s="51" t="n">
        <v>0</v>
      </c>
    </row>
    <row r="3268" customFormat="false" ht="15" hidden="true" customHeight="false" outlineLevel="0" collapsed="false">
      <c r="A3268" s="51" t="s">
        <v>339</v>
      </c>
      <c r="B3268" s="55" t="n">
        <v>44561</v>
      </c>
      <c r="C3268" s="51" t="s">
        <v>782</v>
      </c>
      <c r="D3268" s="51" t="n">
        <v>0</v>
      </c>
    </row>
    <row r="3269" customFormat="false" ht="15" hidden="true" customHeight="false" outlineLevel="0" collapsed="false">
      <c r="A3269" s="51" t="s">
        <v>344</v>
      </c>
      <c r="B3269" s="55" t="n">
        <v>44561</v>
      </c>
      <c r="C3269" s="51" t="s">
        <v>782</v>
      </c>
      <c r="D3269" s="51" t="n">
        <v>0</v>
      </c>
    </row>
    <row r="3270" customFormat="false" ht="15" hidden="true" customHeight="false" outlineLevel="0" collapsed="false">
      <c r="A3270" s="51" t="s">
        <v>349</v>
      </c>
      <c r="B3270" s="55" t="n">
        <v>44561</v>
      </c>
      <c r="C3270" s="51" t="s">
        <v>782</v>
      </c>
      <c r="D3270" s="51" t="n">
        <v>0</v>
      </c>
    </row>
    <row r="3271" customFormat="false" ht="15" hidden="true" customHeight="false" outlineLevel="0" collapsed="false">
      <c r="A3271" s="51" t="s">
        <v>354</v>
      </c>
      <c r="B3271" s="55" t="n">
        <v>44561</v>
      </c>
      <c r="C3271" s="51" t="s">
        <v>782</v>
      </c>
      <c r="D3271" s="51" t="n">
        <v>0</v>
      </c>
    </row>
    <row r="3272" customFormat="false" ht="15" hidden="true" customHeight="false" outlineLevel="0" collapsed="false">
      <c r="A3272" s="51" t="s">
        <v>359</v>
      </c>
      <c r="B3272" s="55" t="n">
        <v>44561</v>
      </c>
      <c r="C3272" s="51" t="s">
        <v>782</v>
      </c>
      <c r="D3272" s="51" t="n">
        <v>0</v>
      </c>
    </row>
    <row r="3273" customFormat="false" ht="15" hidden="true" customHeight="false" outlineLevel="0" collapsed="false">
      <c r="A3273" s="51" t="s">
        <v>364</v>
      </c>
      <c r="B3273" s="55" t="n">
        <v>44561</v>
      </c>
      <c r="C3273" s="51" t="s">
        <v>782</v>
      </c>
      <c r="D3273" s="51" t="n">
        <v>0</v>
      </c>
    </row>
    <row r="3274" customFormat="false" ht="15" hidden="true" customHeight="false" outlineLevel="0" collapsed="false">
      <c r="A3274" s="51" t="s">
        <v>369</v>
      </c>
      <c r="B3274" s="55" t="n">
        <v>44561</v>
      </c>
      <c r="C3274" s="51" t="s">
        <v>782</v>
      </c>
      <c r="D3274" s="51" t="n">
        <v>0</v>
      </c>
    </row>
    <row r="3275" customFormat="false" ht="15" hidden="true" customHeight="false" outlineLevel="0" collapsed="false">
      <c r="A3275" s="51" t="s">
        <v>374</v>
      </c>
      <c r="B3275" s="55" t="n">
        <v>44561</v>
      </c>
      <c r="C3275" s="51" t="s">
        <v>782</v>
      </c>
      <c r="D3275" s="51" t="n">
        <v>0</v>
      </c>
    </row>
    <row r="3276" customFormat="false" ht="15" hidden="true" customHeight="false" outlineLevel="0" collapsed="false">
      <c r="A3276" s="51" t="s">
        <v>379</v>
      </c>
      <c r="B3276" s="55" t="n">
        <v>44561</v>
      </c>
      <c r="C3276" s="51" t="s">
        <v>782</v>
      </c>
      <c r="D3276" s="51" t="n">
        <v>0</v>
      </c>
    </row>
    <row r="3277" customFormat="false" ht="15" hidden="true" customHeight="false" outlineLevel="0" collapsed="false">
      <c r="A3277" s="51" t="s">
        <v>384</v>
      </c>
      <c r="B3277" s="55" t="n">
        <v>44561</v>
      </c>
      <c r="C3277" s="51" t="s">
        <v>782</v>
      </c>
      <c r="D3277" s="51" t="n">
        <v>0</v>
      </c>
    </row>
    <row r="3278" customFormat="false" ht="15" hidden="true" customHeight="false" outlineLevel="0" collapsed="false">
      <c r="A3278" s="51" t="s">
        <v>389</v>
      </c>
      <c r="B3278" s="55" t="n">
        <v>44561</v>
      </c>
      <c r="C3278" s="51" t="s">
        <v>782</v>
      </c>
      <c r="D3278" s="51" t="n">
        <v>0</v>
      </c>
    </row>
    <row r="3279" customFormat="false" ht="15" hidden="true" customHeight="false" outlineLevel="0" collapsed="false">
      <c r="A3279" s="51" t="s">
        <v>394</v>
      </c>
      <c r="B3279" s="55" t="n">
        <v>44561</v>
      </c>
      <c r="C3279" s="51" t="s">
        <v>782</v>
      </c>
      <c r="D3279" s="51" t="n">
        <v>0</v>
      </c>
    </row>
    <row r="3280" customFormat="false" ht="15" hidden="true" customHeight="false" outlineLevel="0" collapsed="false">
      <c r="A3280" s="51" t="s">
        <v>399</v>
      </c>
      <c r="B3280" s="55" t="n">
        <v>44561</v>
      </c>
      <c r="C3280" s="51" t="s">
        <v>782</v>
      </c>
      <c r="D3280" s="51" t="n">
        <v>0</v>
      </c>
    </row>
    <row r="3281" customFormat="false" ht="15" hidden="true" customHeight="false" outlineLevel="0" collapsed="false">
      <c r="A3281" s="51" t="s">
        <v>404</v>
      </c>
      <c r="B3281" s="55" t="n">
        <v>44561</v>
      </c>
      <c r="C3281" s="51" t="s">
        <v>782</v>
      </c>
      <c r="D3281" s="51" t="n">
        <v>0</v>
      </c>
    </row>
    <row r="3282" customFormat="false" ht="15" hidden="true" customHeight="false" outlineLevel="0" collapsed="false">
      <c r="A3282" s="51" t="s">
        <v>409</v>
      </c>
      <c r="B3282" s="55" t="n">
        <v>44561</v>
      </c>
      <c r="C3282" s="51" t="s">
        <v>782</v>
      </c>
      <c r="D3282" s="51" t="n">
        <v>0</v>
      </c>
    </row>
    <row r="3283" customFormat="false" ht="15" hidden="true" customHeight="false" outlineLevel="0" collapsed="false">
      <c r="A3283" s="51" t="s">
        <v>414</v>
      </c>
      <c r="B3283" s="55" t="n">
        <v>44561</v>
      </c>
      <c r="C3283" s="51" t="s">
        <v>782</v>
      </c>
      <c r="D3283" s="51" t="n">
        <v>0</v>
      </c>
    </row>
    <row r="3284" customFormat="false" ht="15" hidden="true" customHeight="false" outlineLevel="0" collapsed="false">
      <c r="A3284" s="51" t="s">
        <v>419</v>
      </c>
      <c r="B3284" s="55" t="n">
        <v>44561</v>
      </c>
      <c r="C3284" s="51" t="s">
        <v>782</v>
      </c>
      <c r="D3284" s="51" t="n">
        <v>0</v>
      </c>
    </row>
    <row r="3285" customFormat="false" ht="15" hidden="true" customHeight="false" outlineLevel="0" collapsed="false">
      <c r="A3285" s="51" t="s">
        <v>424</v>
      </c>
      <c r="B3285" s="55" t="n">
        <v>44561</v>
      </c>
      <c r="C3285" s="51" t="s">
        <v>782</v>
      </c>
      <c r="D3285" s="51" t="n">
        <v>0</v>
      </c>
    </row>
    <row r="3286" customFormat="false" ht="15" hidden="true" customHeight="false" outlineLevel="0" collapsed="false">
      <c r="A3286" s="51" t="s">
        <v>429</v>
      </c>
      <c r="B3286" s="55" t="n">
        <v>44561</v>
      </c>
      <c r="C3286" s="51" t="s">
        <v>782</v>
      </c>
      <c r="D3286" s="51" t="n">
        <v>0</v>
      </c>
    </row>
    <row r="3287" customFormat="false" ht="15" hidden="true" customHeight="false" outlineLevel="0" collapsed="false">
      <c r="A3287" s="51" t="s">
        <v>434</v>
      </c>
      <c r="B3287" s="55" t="n">
        <v>44561</v>
      </c>
      <c r="C3287" s="51" t="s">
        <v>782</v>
      </c>
      <c r="D3287" s="51" t="n">
        <v>0</v>
      </c>
    </row>
    <row r="3288" customFormat="false" ht="15" hidden="true" customHeight="false" outlineLevel="0" collapsed="false">
      <c r="A3288" s="51" t="s">
        <v>438</v>
      </c>
      <c r="B3288" s="55" t="n">
        <v>44561</v>
      </c>
      <c r="C3288" s="51" t="s">
        <v>782</v>
      </c>
      <c r="D3288" s="51" t="n">
        <v>0</v>
      </c>
    </row>
    <row r="3289" customFormat="false" ht="15" hidden="true" customHeight="false" outlineLevel="0" collapsed="false">
      <c r="A3289" s="51" t="s">
        <v>443</v>
      </c>
      <c r="B3289" s="55" t="n">
        <v>44561</v>
      </c>
      <c r="C3289" s="51" t="s">
        <v>782</v>
      </c>
      <c r="D3289" s="51" t="n">
        <v>0</v>
      </c>
    </row>
    <row r="3290" customFormat="false" ht="15" hidden="true" customHeight="false" outlineLevel="0" collapsed="false">
      <c r="A3290" s="51" t="s">
        <v>448</v>
      </c>
      <c r="B3290" s="55" t="n">
        <v>44561</v>
      </c>
      <c r="C3290" s="51" t="s">
        <v>782</v>
      </c>
      <c r="D3290" s="51" t="n">
        <v>0</v>
      </c>
    </row>
    <row r="3291" customFormat="false" ht="15" hidden="true" customHeight="false" outlineLevel="0" collapsed="false">
      <c r="A3291" s="51" t="s">
        <v>453</v>
      </c>
      <c r="B3291" s="55" t="n">
        <v>44561</v>
      </c>
      <c r="C3291" s="51" t="s">
        <v>782</v>
      </c>
      <c r="D3291" s="51" t="n">
        <v>0</v>
      </c>
    </row>
    <row r="3292" customFormat="false" ht="15" hidden="true" customHeight="false" outlineLevel="0" collapsed="false">
      <c r="A3292" s="51" t="s">
        <v>458</v>
      </c>
      <c r="B3292" s="55" t="n">
        <v>44561</v>
      </c>
      <c r="C3292" s="51" t="s">
        <v>782</v>
      </c>
      <c r="D3292" s="51" t="n">
        <v>0</v>
      </c>
    </row>
    <row r="3293" customFormat="false" ht="15" hidden="true" customHeight="false" outlineLevel="0" collapsed="false">
      <c r="A3293" s="51" t="s">
        <v>473</v>
      </c>
      <c r="B3293" s="55" t="n">
        <v>44561</v>
      </c>
      <c r="C3293" s="51" t="s">
        <v>782</v>
      </c>
      <c r="D3293" s="51" t="n">
        <v>0</v>
      </c>
    </row>
    <row r="3294" customFormat="false" ht="15" hidden="true" customHeight="false" outlineLevel="0" collapsed="false">
      <c r="A3294" s="51" t="s">
        <v>479</v>
      </c>
      <c r="B3294" s="55" t="n">
        <v>44561</v>
      </c>
      <c r="C3294" s="51" t="s">
        <v>782</v>
      </c>
      <c r="D3294" s="51" t="n">
        <v>0</v>
      </c>
    </row>
    <row r="3295" customFormat="false" ht="15" hidden="true" customHeight="false" outlineLevel="0" collapsed="false">
      <c r="A3295" s="51" t="s">
        <v>484</v>
      </c>
      <c r="B3295" s="55" t="n">
        <v>44561</v>
      </c>
      <c r="C3295" s="51" t="s">
        <v>782</v>
      </c>
      <c r="D3295" s="51" t="n">
        <v>0</v>
      </c>
    </row>
    <row r="3296" customFormat="false" ht="15" hidden="true" customHeight="false" outlineLevel="0" collapsed="false">
      <c r="A3296" s="51" t="s">
        <v>489</v>
      </c>
      <c r="B3296" s="55" t="n">
        <v>44561</v>
      </c>
      <c r="C3296" s="51" t="s">
        <v>782</v>
      </c>
      <c r="D3296" s="51" t="n">
        <v>0</v>
      </c>
    </row>
    <row r="3297" customFormat="false" ht="15" hidden="true" customHeight="false" outlineLevel="0" collapsed="false">
      <c r="A3297" s="51" t="s">
        <v>494</v>
      </c>
      <c r="B3297" s="55" t="n">
        <v>44561</v>
      </c>
      <c r="C3297" s="51" t="s">
        <v>782</v>
      </c>
      <c r="D3297" s="51" t="n">
        <v>0</v>
      </c>
    </row>
    <row r="3298" customFormat="false" ht="15" hidden="true" customHeight="false" outlineLevel="0" collapsed="false">
      <c r="A3298" s="51" t="s">
        <v>499</v>
      </c>
      <c r="B3298" s="55" t="n">
        <v>44561</v>
      </c>
      <c r="C3298" s="51" t="s">
        <v>782</v>
      </c>
      <c r="D3298" s="51" t="n">
        <v>0</v>
      </c>
    </row>
    <row r="3299" customFormat="false" ht="15" hidden="true" customHeight="false" outlineLevel="0" collapsed="false">
      <c r="A3299" s="51" t="s">
        <v>504</v>
      </c>
      <c r="B3299" s="55" t="n">
        <v>44561</v>
      </c>
      <c r="C3299" s="51" t="s">
        <v>782</v>
      </c>
      <c r="D3299" s="51" t="n">
        <v>0</v>
      </c>
    </row>
    <row r="3300" customFormat="false" ht="15" hidden="true" customHeight="false" outlineLevel="0" collapsed="false">
      <c r="A3300" s="51" t="s">
        <v>509</v>
      </c>
      <c r="B3300" s="55" t="n">
        <v>44561</v>
      </c>
      <c r="C3300" s="51" t="s">
        <v>782</v>
      </c>
      <c r="D3300" s="51" t="n">
        <v>0</v>
      </c>
    </row>
    <row r="3301" customFormat="false" ht="15" hidden="true" customHeight="false" outlineLevel="0" collapsed="false">
      <c r="A3301" s="51" t="s">
        <v>515</v>
      </c>
      <c r="B3301" s="55" t="n">
        <v>44561</v>
      </c>
      <c r="C3301" s="51" t="s">
        <v>782</v>
      </c>
      <c r="D3301" s="51" t="n">
        <v>0</v>
      </c>
    </row>
    <row r="3302" customFormat="false" ht="15" hidden="true" customHeight="false" outlineLevel="0" collapsed="false">
      <c r="A3302" s="51" t="s">
        <v>520</v>
      </c>
      <c r="B3302" s="55" t="n">
        <v>44561</v>
      </c>
      <c r="C3302" s="51" t="s">
        <v>782</v>
      </c>
      <c r="D3302" s="51" t="n">
        <v>0</v>
      </c>
    </row>
    <row r="3303" customFormat="false" ht="15" hidden="true" customHeight="false" outlineLevel="0" collapsed="false">
      <c r="A3303" s="51" t="s">
        <v>525</v>
      </c>
      <c r="B3303" s="55" t="n">
        <v>44561</v>
      </c>
      <c r="C3303" s="51" t="s">
        <v>782</v>
      </c>
      <c r="D3303" s="51" t="n">
        <v>0</v>
      </c>
    </row>
    <row r="3304" customFormat="false" ht="15" hidden="true" customHeight="false" outlineLevel="0" collapsed="false">
      <c r="A3304" s="51" t="s">
        <v>531</v>
      </c>
      <c r="B3304" s="55" t="n">
        <v>44561</v>
      </c>
      <c r="C3304" s="51" t="s">
        <v>782</v>
      </c>
      <c r="D3304" s="51" t="n">
        <v>0</v>
      </c>
    </row>
    <row r="3305" customFormat="false" ht="15" hidden="true" customHeight="false" outlineLevel="0" collapsed="false">
      <c r="A3305" s="51" t="s">
        <v>536</v>
      </c>
      <c r="B3305" s="55" t="n">
        <v>44561</v>
      </c>
      <c r="C3305" s="51" t="s">
        <v>782</v>
      </c>
      <c r="D3305" s="51" t="n">
        <v>0</v>
      </c>
    </row>
    <row r="3306" customFormat="false" ht="15" hidden="true" customHeight="false" outlineLevel="0" collapsed="false">
      <c r="A3306" s="51" t="s">
        <v>541</v>
      </c>
      <c r="B3306" s="55" t="n">
        <v>44561</v>
      </c>
      <c r="C3306" s="51" t="s">
        <v>782</v>
      </c>
      <c r="D3306" s="51" t="n">
        <v>0</v>
      </c>
    </row>
    <row r="3307" customFormat="false" ht="15" hidden="true" customHeight="false" outlineLevel="0" collapsed="false">
      <c r="A3307" s="51" t="s">
        <v>549</v>
      </c>
      <c r="B3307" s="55" t="n">
        <v>44561</v>
      </c>
      <c r="C3307" s="51" t="s">
        <v>782</v>
      </c>
      <c r="D3307" s="51" t="n">
        <v>0</v>
      </c>
    </row>
    <row r="3308" customFormat="false" ht="15" hidden="true" customHeight="false" outlineLevel="0" collapsed="false">
      <c r="A3308" s="51" t="s">
        <v>554</v>
      </c>
      <c r="B3308" s="55" t="n">
        <v>44561</v>
      </c>
      <c r="C3308" s="51" t="s">
        <v>782</v>
      </c>
      <c r="D3308" s="51" t="n">
        <v>0</v>
      </c>
    </row>
    <row r="3309" customFormat="false" ht="15" hidden="true" customHeight="false" outlineLevel="0" collapsed="false">
      <c r="A3309" s="51" t="s">
        <v>559</v>
      </c>
      <c r="B3309" s="55" t="n">
        <v>44561</v>
      </c>
      <c r="C3309" s="51" t="s">
        <v>782</v>
      </c>
      <c r="D3309" s="51" t="n">
        <v>0</v>
      </c>
    </row>
    <row r="3310" customFormat="false" ht="15" hidden="true" customHeight="false" outlineLevel="0" collapsed="false">
      <c r="A3310" s="51" t="s">
        <v>564</v>
      </c>
      <c r="B3310" s="55" t="n">
        <v>44561</v>
      </c>
      <c r="C3310" s="51" t="s">
        <v>782</v>
      </c>
      <c r="D3310" s="51" t="n">
        <v>0</v>
      </c>
    </row>
    <row r="3311" customFormat="false" ht="15" hidden="true" customHeight="false" outlineLevel="0" collapsed="false">
      <c r="A3311" s="51" t="s">
        <v>569</v>
      </c>
      <c r="B3311" s="55" t="n">
        <v>44561</v>
      </c>
      <c r="C3311" s="51" t="s">
        <v>782</v>
      </c>
      <c r="D3311" s="51" t="n">
        <v>0</v>
      </c>
    </row>
    <row r="3312" customFormat="false" ht="15" hidden="true" customHeight="false" outlineLevel="0" collapsed="false">
      <c r="A3312" s="51" t="s">
        <v>574</v>
      </c>
      <c r="B3312" s="55" t="n">
        <v>44561</v>
      </c>
      <c r="C3312" s="51" t="s">
        <v>782</v>
      </c>
      <c r="D3312" s="51" t="n">
        <v>0</v>
      </c>
    </row>
    <row r="3313" customFormat="false" ht="15" hidden="true" customHeight="false" outlineLevel="0" collapsed="false">
      <c r="A3313" s="51" t="s">
        <v>579</v>
      </c>
      <c r="B3313" s="55" t="n">
        <v>44561</v>
      </c>
      <c r="C3313" s="51" t="s">
        <v>782</v>
      </c>
      <c r="D3313" s="51" t="n">
        <v>0</v>
      </c>
    </row>
    <row r="3314" customFormat="false" ht="15" hidden="true" customHeight="false" outlineLevel="0" collapsed="false">
      <c r="A3314" s="51" t="s">
        <v>584</v>
      </c>
      <c r="B3314" s="55" t="n">
        <v>44561</v>
      </c>
      <c r="C3314" s="51" t="s">
        <v>782</v>
      </c>
      <c r="D3314" s="51" t="n">
        <v>0</v>
      </c>
    </row>
    <row r="3315" customFormat="false" ht="15" hidden="true" customHeight="false" outlineLevel="0" collapsed="false">
      <c r="A3315" s="51" t="s">
        <v>589</v>
      </c>
      <c r="B3315" s="55" t="n">
        <v>44561</v>
      </c>
      <c r="C3315" s="51" t="s">
        <v>782</v>
      </c>
      <c r="D3315" s="51" t="n">
        <v>0</v>
      </c>
    </row>
    <row r="3316" customFormat="false" ht="15" hidden="true" customHeight="false" outlineLevel="0" collapsed="false">
      <c r="A3316" s="51" t="s">
        <v>756</v>
      </c>
      <c r="B3316" s="55" t="n">
        <v>44561</v>
      </c>
      <c r="C3316" s="51" t="s">
        <v>782</v>
      </c>
      <c r="D3316" s="51" t="n">
        <v>0</v>
      </c>
    </row>
    <row r="3317" customFormat="false" ht="15" hidden="true" customHeight="false" outlineLevel="0" collapsed="false">
      <c r="A3317" s="51" t="s">
        <v>594</v>
      </c>
      <c r="B3317" s="55" t="n">
        <v>44561</v>
      </c>
      <c r="C3317" s="51" t="s">
        <v>782</v>
      </c>
      <c r="D3317" s="51" t="n">
        <v>0</v>
      </c>
    </row>
    <row r="3318" customFormat="false" ht="15" hidden="true" customHeight="false" outlineLevel="0" collapsed="false">
      <c r="A3318" s="51" t="s">
        <v>761</v>
      </c>
      <c r="B3318" s="55" t="n">
        <v>44561</v>
      </c>
      <c r="C3318" s="51" t="s">
        <v>782</v>
      </c>
      <c r="D3318" s="51" t="n">
        <v>0</v>
      </c>
    </row>
    <row r="3319" customFormat="false" ht="15" hidden="true" customHeight="false" outlineLevel="0" collapsed="false">
      <c r="A3319" s="51" t="s">
        <v>599</v>
      </c>
      <c r="B3319" s="55" t="n">
        <v>44561</v>
      </c>
      <c r="C3319" s="51" t="s">
        <v>782</v>
      </c>
      <c r="D3319" s="51" t="n">
        <v>0</v>
      </c>
    </row>
    <row r="3320" customFormat="false" ht="15" hidden="true" customHeight="false" outlineLevel="0" collapsed="false">
      <c r="A3320" s="51" t="s">
        <v>604</v>
      </c>
      <c r="B3320" s="55" t="n">
        <v>44561</v>
      </c>
      <c r="C3320" s="51" t="s">
        <v>782</v>
      </c>
      <c r="D3320" s="51" t="n">
        <v>0</v>
      </c>
    </row>
    <row r="3321" customFormat="false" ht="15" hidden="true" customHeight="false" outlineLevel="0" collapsed="false">
      <c r="A3321" s="51" t="s">
        <v>609</v>
      </c>
      <c r="B3321" s="55" t="n">
        <v>44561</v>
      </c>
      <c r="C3321" s="51" t="s">
        <v>782</v>
      </c>
      <c r="D3321" s="51" t="n">
        <v>0</v>
      </c>
    </row>
    <row r="3322" customFormat="false" ht="15" hidden="true" customHeight="false" outlineLevel="0" collapsed="false">
      <c r="A3322" s="51" t="s">
        <v>614</v>
      </c>
      <c r="B3322" s="55" t="n">
        <v>44561</v>
      </c>
      <c r="C3322" s="51" t="s">
        <v>782</v>
      </c>
      <c r="D3322" s="51" t="n">
        <v>0</v>
      </c>
    </row>
    <row r="3323" customFormat="false" ht="15" hidden="true" customHeight="false" outlineLevel="0" collapsed="false">
      <c r="A3323" s="51" t="s">
        <v>619</v>
      </c>
      <c r="B3323" s="55" t="n">
        <v>44561</v>
      </c>
      <c r="C3323" s="51" t="s">
        <v>782</v>
      </c>
      <c r="D3323" s="51" t="n">
        <v>0</v>
      </c>
    </row>
    <row r="3324" customFormat="false" ht="15" hidden="true" customHeight="false" outlineLevel="0" collapsed="false">
      <c r="A3324" s="51" t="s">
        <v>624</v>
      </c>
      <c r="B3324" s="55" t="n">
        <v>44561</v>
      </c>
      <c r="C3324" s="51" t="s">
        <v>782</v>
      </c>
      <c r="D3324" s="51" t="n">
        <v>0</v>
      </c>
    </row>
    <row r="3325" customFormat="false" ht="15" hidden="true" customHeight="false" outlineLevel="0" collapsed="false">
      <c r="A3325" s="51" t="s">
        <v>629</v>
      </c>
      <c r="B3325" s="55" t="n">
        <v>44561</v>
      </c>
      <c r="C3325" s="51" t="s">
        <v>782</v>
      </c>
      <c r="D3325" s="51" t="n">
        <v>0</v>
      </c>
    </row>
    <row r="3326" customFormat="false" ht="15" hidden="true" customHeight="false" outlineLevel="0" collapsed="false">
      <c r="A3326" s="51" t="s">
        <v>633</v>
      </c>
      <c r="B3326" s="55" t="n">
        <v>44561</v>
      </c>
      <c r="C3326" s="51" t="s">
        <v>782</v>
      </c>
      <c r="D3326" s="51" t="n">
        <v>0</v>
      </c>
    </row>
    <row r="3327" customFormat="false" ht="15" hidden="true" customHeight="false" outlineLevel="0" collapsed="false">
      <c r="A3327" s="51" t="s">
        <v>638</v>
      </c>
      <c r="B3327" s="55" t="n">
        <v>44561</v>
      </c>
      <c r="C3327" s="51" t="s">
        <v>782</v>
      </c>
      <c r="D3327" s="51" t="n">
        <v>0</v>
      </c>
    </row>
    <row r="3328" customFormat="false" ht="15" hidden="true" customHeight="false" outlineLevel="0" collapsed="false">
      <c r="A3328" s="51" t="s">
        <v>642</v>
      </c>
      <c r="B3328" s="55" t="n">
        <v>44561</v>
      </c>
      <c r="C3328" s="51" t="s">
        <v>782</v>
      </c>
      <c r="D3328" s="51" t="n">
        <v>0</v>
      </c>
    </row>
    <row r="3329" customFormat="false" ht="15" hidden="true" customHeight="false" outlineLevel="0" collapsed="false">
      <c r="A3329" s="51" t="s">
        <v>646</v>
      </c>
      <c r="B3329" s="55" t="n">
        <v>44561</v>
      </c>
      <c r="C3329" s="51" t="s">
        <v>782</v>
      </c>
      <c r="D3329" s="51" t="n">
        <v>0</v>
      </c>
    </row>
    <row r="3330" customFormat="false" ht="15" hidden="true" customHeight="false" outlineLevel="0" collapsed="false">
      <c r="A3330" s="51" t="s">
        <v>651</v>
      </c>
      <c r="B3330" s="55" t="n">
        <v>44561</v>
      </c>
      <c r="C3330" s="51" t="s">
        <v>782</v>
      </c>
      <c r="D3330" s="51" t="n">
        <v>0</v>
      </c>
    </row>
    <row r="3331" customFormat="false" ht="15" hidden="true" customHeight="false" outlineLevel="0" collapsed="false">
      <c r="A3331" s="51" t="s">
        <v>656</v>
      </c>
      <c r="B3331" s="55" t="n">
        <v>44561</v>
      </c>
      <c r="C3331" s="51" t="s">
        <v>782</v>
      </c>
      <c r="D3331" s="51" t="n">
        <v>0</v>
      </c>
    </row>
    <row r="3332" customFormat="false" ht="15" hidden="true" customHeight="false" outlineLevel="0" collapsed="false">
      <c r="A3332" s="51" t="s">
        <v>661</v>
      </c>
      <c r="B3332" s="55" t="n">
        <v>44561</v>
      </c>
      <c r="C3332" s="51" t="s">
        <v>782</v>
      </c>
      <c r="D3332" s="51" t="n">
        <v>0</v>
      </c>
    </row>
    <row r="3333" customFormat="false" ht="15" hidden="true" customHeight="false" outlineLevel="0" collapsed="false">
      <c r="A3333" s="51" t="s">
        <v>666</v>
      </c>
      <c r="B3333" s="55" t="n">
        <v>44561</v>
      </c>
      <c r="C3333" s="51" t="s">
        <v>782</v>
      </c>
      <c r="D3333" s="51" t="n">
        <v>0</v>
      </c>
    </row>
    <row r="3334" customFormat="false" ht="15" hidden="true" customHeight="false" outlineLevel="0" collapsed="false">
      <c r="A3334" s="51" t="s">
        <v>671</v>
      </c>
      <c r="B3334" s="55" t="n">
        <v>44561</v>
      </c>
      <c r="C3334" s="51" t="s">
        <v>782</v>
      </c>
      <c r="D3334" s="51" t="n">
        <v>0</v>
      </c>
    </row>
    <row r="3335" customFormat="false" ht="15" hidden="true" customHeight="false" outlineLevel="0" collapsed="false">
      <c r="A3335" s="51" t="s">
        <v>676</v>
      </c>
      <c r="B3335" s="55" t="n">
        <v>44561</v>
      </c>
      <c r="C3335" s="51" t="s">
        <v>782</v>
      </c>
      <c r="D3335" s="51" t="n">
        <v>0</v>
      </c>
    </row>
    <row r="3336" customFormat="false" ht="15" hidden="true" customHeight="false" outlineLevel="0" collapsed="false">
      <c r="A3336" s="51" t="s">
        <v>681</v>
      </c>
      <c r="B3336" s="55" t="n">
        <v>44561</v>
      </c>
      <c r="C3336" s="51" t="s">
        <v>782</v>
      </c>
      <c r="D3336" s="51" t="n">
        <v>0</v>
      </c>
    </row>
    <row r="3337" customFormat="false" ht="15" hidden="true" customHeight="false" outlineLevel="0" collapsed="false">
      <c r="A3337" s="51" t="s">
        <v>686</v>
      </c>
      <c r="B3337" s="55" t="n">
        <v>44561</v>
      </c>
      <c r="C3337" s="51" t="s">
        <v>782</v>
      </c>
      <c r="D3337" s="51" t="n">
        <v>0</v>
      </c>
    </row>
    <row r="3338" customFormat="false" ht="15" hidden="true" customHeight="false" outlineLevel="0" collapsed="false">
      <c r="A3338" s="51" t="s">
        <v>691</v>
      </c>
      <c r="B3338" s="55" t="n">
        <v>44561</v>
      </c>
      <c r="C3338" s="51" t="s">
        <v>782</v>
      </c>
      <c r="D3338" s="51" t="n">
        <v>0</v>
      </c>
    </row>
    <row r="3339" customFormat="false" ht="15" hidden="true" customHeight="false" outlineLevel="0" collapsed="false">
      <c r="A3339" s="51" t="s">
        <v>696</v>
      </c>
      <c r="B3339" s="55" t="n">
        <v>44561</v>
      </c>
      <c r="C3339" s="51" t="s">
        <v>782</v>
      </c>
      <c r="D3339" s="51" t="n">
        <v>0</v>
      </c>
    </row>
    <row r="3340" customFormat="false" ht="15" hidden="true" customHeight="false" outlineLevel="0" collapsed="false">
      <c r="A3340" s="51" t="s">
        <v>701</v>
      </c>
      <c r="B3340" s="55" t="n">
        <v>44561</v>
      </c>
      <c r="C3340" s="51" t="s">
        <v>782</v>
      </c>
      <c r="D3340" s="51" t="n">
        <v>0</v>
      </c>
    </row>
    <row r="3341" customFormat="false" ht="15" hidden="true" customHeight="false" outlineLevel="0" collapsed="false">
      <c r="A3341" s="51" t="s">
        <v>707</v>
      </c>
      <c r="B3341" s="55" t="n">
        <v>44561</v>
      </c>
      <c r="C3341" s="51" t="s">
        <v>782</v>
      </c>
      <c r="D3341" s="51" t="n">
        <v>0</v>
      </c>
    </row>
    <row r="3342" customFormat="false" ht="15" hidden="true" customHeight="false" outlineLevel="0" collapsed="false">
      <c r="A3342" s="51" t="s">
        <v>712</v>
      </c>
      <c r="B3342" s="55" t="n">
        <v>44561</v>
      </c>
      <c r="C3342" s="51" t="s">
        <v>782</v>
      </c>
      <c r="D3342" s="51" t="n">
        <v>0</v>
      </c>
    </row>
    <row r="3343" customFormat="false" ht="15" hidden="true" customHeight="false" outlineLevel="0" collapsed="false">
      <c r="A3343" s="51" t="s">
        <v>717</v>
      </c>
      <c r="B3343" s="55" t="n">
        <v>44561</v>
      </c>
      <c r="C3343" s="51" t="s">
        <v>782</v>
      </c>
      <c r="D3343" s="51" t="n">
        <v>0</v>
      </c>
    </row>
    <row r="3344" customFormat="false" ht="15" hidden="true" customHeight="false" outlineLevel="0" collapsed="false">
      <c r="A3344" s="51" t="s">
        <v>767</v>
      </c>
      <c r="B3344" s="55" t="n">
        <v>44561</v>
      </c>
      <c r="C3344" s="51" t="s">
        <v>782</v>
      </c>
      <c r="D3344" s="51" t="n">
        <v>0</v>
      </c>
    </row>
    <row r="3345" customFormat="false" ht="15" hidden="true" customHeight="false" outlineLevel="0" collapsed="false">
      <c r="A3345" s="51" t="s">
        <v>722</v>
      </c>
      <c r="B3345" s="55" t="n">
        <v>44561</v>
      </c>
      <c r="C3345" s="51" t="s">
        <v>782</v>
      </c>
      <c r="D3345" s="51" t="n">
        <v>0</v>
      </c>
    </row>
    <row r="3346" customFormat="false" ht="15" hidden="true" customHeight="false" outlineLevel="0" collapsed="false">
      <c r="A3346" s="51" t="s">
        <v>727</v>
      </c>
      <c r="B3346" s="55" t="n">
        <v>44561</v>
      </c>
      <c r="C3346" s="51" t="s">
        <v>782</v>
      </c>
      <c r="D3346" s="51" t="n">
        <v>0</v>
      </c>
    </row>
    <row r="3347" customFormat="false" ht="15" hidden="true" customHeight="false" outlineLevel="0" collapsed="false">
      <c r="A3347" s="51" t="s">
        <v>732</v>
      </c>
      <c r="B3347" s="55" t="n">
        <v>44561</v>
      </c>
      <c r="C3347" s="51" t="s">
        <v>782</v>
      </c>
      <c r="D3347" s="51" t="n">
        <v>0</v>
      </c>
    </row>
    <row r="3348" customFormat="false" ht="15" hidden="true" customHeight="false" outlineLevel="0" collapsed="false">
      <c r="A3348" s="51" t="s">
        <v>736</v>
      </c>
      <c r="B3348" s="55" t="n">
        <v>44561</v>
      </c>
      <c r="C3348" s="51" t="s">
        <v>782</v>
      </c>
      <c r="D3348" s="51" t="n">
        <v>0</v>
      </c>
    </row>
    <row r="3349" customFormat="false" ht="15" hidden="true" customHeight="false" outlineLevel="0" collapsed="false">
      <c r="A3349" s="51" t="s">
        <v>741</v>
      </c>
      <c r="B3349" s="55" t="n">
        <v>44561</v>
      </c>
      <c r="C3349" s="51" t="s">
        <v>782</v>
      </c>
      <c r="D3349" s="51" t="n">
        <v>0</v>
      </c>
    </row>
    <row r="3350" customFormat="false" ht="15" hidden="true" customHeight="false" outlineLevel="0" collapsed="false">
      <c r="A3350" s="51" t="s">
        <v>746</v>
      </c>
      <c r="B3350" s="55" t="n">
        <v>44561</v>
      </c>
      <c r="C3350" s="51" t="s">
        <v>782</v>
      </c>
      <c r="D3350" s="51" t="n">
        <v>0</v>
      </c>
    </row>
    <row r="3351" customFormat="false" ht="15" hidden="true" customHeight="false" outlineLevel="0" collapsed="false">
      <c r="A3351" s="51" t="s">
        <v>751</v>
      </c>
      <c r="B3351" s="55" t="n">
        <v>44561</v>
      </c>
      <c r="C3351" s="51" t="s">
        <v>782</v>
      </c>
      <c r="D3351" s="51" t="n">
        <v>0</v>
      </c>
    </row>
    <row r="3352" customFormat="false" ht="15" hidden="false" customHeight="false" outlineLevel="0" collapsed="false">
      <c r="A3352" s="51" t="s">
        <v>781</v>
      </c>
      <c r="B3352" s="55" t="n">
        <v>44561</v>
      </c>
      <c r="C3352" s="51" t="s">
        <v>82</v>
      </c>
      <c r="D3352" s="51" t="n">
        <v>0</v>
      </c>
    </row>
    <row r="3353" customFormat="false" ht="15" hidden="true" customHeight="false" outlineLevel="0" collapsed="false">
      <c r="A3353" s="51" t="s">
        <v>783</v>
      </c>
      <c r="B3353" s="55" t="n">
        <v>44561</v>
      </c>
      <c r="C3353" s="51" t="s">
        <v>82</v>
      </c>
      <c r="D3353" s="51" t="n">
        <v>0</v>
      </c>
    </row>
    <row r="3354" customFormat="false" ht="15" hidden="true" customHeight="false" outlineLevel="0" collapsed="false">
      <c r="A3354" s="51" t="s">
        <v>96</v>
      </c>
      <c r="B3354" s="55" t="n">
        <v>44561</v>
      </c>
      <c r="C3354" s="51" t="s">
        <v>82</v>
      </c>
      <c r="D3354" s="51" t="n">
        <v>0</v>
      </c>
    </row>
    <row r="3355" customFormat="false" ht="15" hidden="true" customHeight="false" outlineLevel="0" collapsed="false">
      <c r="A3355" s="51" t="s">
        <v>101</v>
      </c>
      <c r="B3355" s="55" t="n">
        <v>44561</v>
      </c>
      <c r="C3355" s="51" t="s">
        <v>82</v>
      </c>
      <c r="D3355" s="51" t="n">
        <v>0</v>
      </c>
    </row>
    <row r="3356" customFormat="false" ht="15" hidden="true" customHeight="false" outlineLevel="0" collapsed="false">
      <c r="A3356" s="51" t="s">
        <v>106</v>
      </c>
      <c r="B3356" s="55" t="n">
        <v>44561</v>
      </c>
      <c r="C3356" s="51" t="s">
        <v>82</v>
      </c>
      <c r="D3356" s="51" t="n">
        <v>0</v>
      </c>
    </row>
    <row r="3357" customFormat="false" ht="15" hidden="true" customHeight="false" outlineLevel="0" collapsed="false">
      <c r="A3357" s="51" t="s">
        <v>110</v>
      </c>
      <c r="B3357" s="55" t="n">
        <v>44561</v>
      </c>
      <c r="C3357" s="51" t="s">
        <v>82</v>
      </c>
      <c r="D3357" s="51" t="n">
        <v>0</v>
      </c>
    </row>
    <row r="3358" customFormat="false" ht="15" hidden="true" customHeight="false" outlineLevel="0" collapsed="false">
      <c r="A3358" s="51" t="s">
        <v>115</v>
      </c>
      <c r="B3358" s="55" t="n">
        <v>44561</v>
      </c>
      <c r="C3358" s="51" t="s">
        <v>82</v>
      </c>
      <c r="D3358" s="51" t="n">
        <v>0</v>
      </c>
    </row>
    <row r="3359" customFormat="false" ht="15" hidden="true" customHeight="false" outlineLevel="0" collapsed="false">
      <c r="A3359" s="51" t="s">
        <v>120</v>
      </c>
      <c r="B3359" s="55" t="n">
        <v>44561</v>
      </c>
      <c r="C3359" s="51" t="s">
        <v>82</v>
      </c>
      <c r="D3359" s="51" t="n">
        <v>0</v>
      </c>
    </row>
    <row r="3360" customFormat="false" ht="15" hidden="true" customHeight="false" outlineLevel="0" collapsed="false">
      <c r="A3360" s="51" t="s">
        <v>124</v>
      </c>
      <c r="B3360" s="55" t="n">
        <v>44561</v>
      </c>
      <c r="C3360" s="51" t="s">
        <v>82</v>
      </c>
      <c r="D3360" s="51" t="n">
        <v>0</v>
      </c>
    </row>
    <row r="3361" customFormat="false" ht="15" hidden="true" customHeight="false" outlineLevel="0" collapsed="false">
      <c r="A3361" s="51" t="s">
        <v>129</v>
      </c>
      <c r="B3361" s="55" t="n">
        <v>44561</v>
      </c>
      <c r="C3361" s="51" t="s">
        <v>82</v>
      </c>
      <c r="D3361" s="51" t="n">
        <v>0</v>
      </c>
    </row>
    <row r="3362" customFormat="false" ht="15" hidden="true" customHeight="false" outlineLevel="0" collapsed="false">
      <c r="A3362" s="51" t="s">
        <v>134</v>
      </c>
      <c r="B3362" s="55" t="n">
        <v>44561</v>
      </c>
      <c r="C3362" s="51" t="s">
        <v>82</v>
      </c>
      <c r="D3362" s="51" t="n">
        <v>0</v>
      </c>
    </row>
    <row r="3363" customFormat="false" ht="15" hidden="true" customHeight="false" outlineLevel="0" collapsed="false">
      <c r="A3363" s="51" t="s">
        <v>141</v>
      </c>
      <c r="B3363" s="55" t="n">
        <v>44561</v>
      </c>
      <c r="C3363" s="51" t="s">
        <v>82</v>
      </c>
      <c r="D3363" s="51" t="n">
        <v>0</v>
      </c>
    </row>
    <row r="3364" customFormat="false" ht="15" hidden="true" customHeight="false" outlineLevel="0" collapsed="false">
      <c r="A3364" s="51" t="s">
        <v>146</v>
      </c>
      <c r="B3364" s="55" t="n">
        <v>44561</v>
      </c>
      <c r="C3364" s="51" t="s">
        <v>82</v>
      </c>
      <c r="D3364" s="51" t="n">
        <v>0</v>
      </c>
    </row>
    <row r="3365" customFormat="false" ht="15" hidden="true" customHeight="false" outlineLevel="0" collapsed="false">
      <c r="A3365" s="51" t="s">
        <v>151</v>
      </c>
      <c r="B3365" s="55" t="n">
        <v>44561</v>
      </c>
      <c r="C3365" s="51" t="s">
        <v>82</v>
      </c>
      <c r="D3365" s="51" t="n">
        <v>0</v>
      </c>
    </row>
    <row r="3366" customFormat="false" ht="15" hidden="true" customHeight="false" outlineLevel="0" collapsed="false">
      <c r="A3366" s="51" t="s">
        <v>156</v>
      </c>
      <c r="B3366" s="55" t="n">
        <v>44561</v>
      </c>
      <c r="C3366" s="51" t="s">
        <v>82</v>
      </c>
      <c r="D3366" s="51" t="n">
        <v>0</v>
      </c>
    </row>
    <row r="3367" customFormat="false" ht="15" hidden="true" customHeight="false" outlineLevel="0" collapsed="false">
      <c r="A3367" s="51" t="s">
        <v>161</v>
      </c>
      <c r="B3367" s="55" t="n">
        <v>44561</v>
      </c>
      <c r="C3367" s="51" t="s">
        <v>82</v>
      </c>
      <c r="D3367" s="51" t="n">
        <v>0</v>
      </c>
    </row>
    <row r="3368" customFormat="false" ht="15" hidden="true" customHeight="false" outlineLevel="0" collapsed="false">
      <c r="A3368" s="51" t="s">
        <v>166</v>
      </c>
      <c r="B3368" s="55" t="n">
        <v>44561</v>
      </c>
      <c r="C3368" s="51" t="s">
        <v>82</v>
      </c>
      <c r="D3368" s="51" t="n">
        <v>0</v>
      </c>
    </row>
    <row r="3369" customFormat="false" ht="15" hidden="true" customHeight="false" outlineLevel="0" collapsed="false">
      <c r="A3369" s="51" t="s">
        <v>171</v>
      </c>
      <c r="B3369" s="55" t="n">
        <v>44561</v>
      </c>
      <c r="C3369" s="51" t="s">
        <v>82</v>
      </c>
      <c r="D3369" s="51" t="n">
        <v>0</v>
      </c>
    </row>
    <row r="3370" customFormat="false" ht="15" hidden="true" customHeight="false" outlineLevel="0" collapsed="false">
      <c r="A3370" s="51" t="s">
        <v>176</v>
      </c>
      <c r="B3370" s="55" t="n">
        <v>44561</v>
      </c>
      <c r="C3370" s="51" t="s">
        <v>82</v>
      </c>
      <c r="D3370" s="51" t="n">
        <v>0</v>
      </c>
    </row>
    <row r="3371" customFormat="false" ht="15" hidden="true" customHeight="false" outlineLevel="0" collapsed="false">
      <c r="A3371" s="51" t="s">
        <v>181</v>
      </c>
      <c r="B3371" s="55" t="n">
        <v>44561</v>
      </c>
      <c r="C3371" s="51" t="s">
        <v>82</v>
      </c>
      <c r="D3371" s="51" t="n">
        <v>0</v>
      </c>
    </row>
    <row r="3372" customFormat="false" ht="15" hidden="true" customHeight="false" outlineLevel="0" collapsed="false">
      <c r="A3372" s="51" t="s">
        <v>186</v>
      </c>
      <c r="B3372" s="55" t="n">
        <v>44561</v>
      </c>
      <c r="C3372" s="51" t="s">
        <v>82</v>
      </c>
      <c r="D3372" s="51" t="n">
        <v>0</v>
      </c>
    </row>
    <row r="3373" customFormat="false" ht="15" hidden="true" customHeight="false" outlineLevel="0" collapsed="false">
      <c r="A3373" s="51" t="s">
        <v>191</v>
      </c>
      <c r="B3373" s="55" t="n">
        <v>44561</v>
      </c>
      <c r="C3373" s="51" t="s">
        <v>82</v>
      </c>
      <c r="D3373" s="51" t="n">
        <v>0</v>
      </c>
    </row>
    <row r="3374" customFormat="false" ht="15" hidden="true" customHeight="false" outlineLevel="0" collapsed="false">
      <c r="A3374" s="51" t="s">
        <v>196</v>
      </c>
      <c r="B3374" s="55" t="n">
        <v>44561</v>
      </c>
      <c r="C3374" s="51" t="s">
        <v>82</v>
      </c>
      <c r="D3374" s="51" t="n">
        <v>0</v>
      </c>
    </row>
    <row r="3375" customFormat="false" ht="15" hidden="true" customHeight="false" outlineLevel="0" collapsed="false">
      <c r="A3375" s="51" t="s">
        <v>201</v>
      </c>
      <c r="B3375" s="55" t="n">
        <v>44561</v>
      </c>
      <c r="C3375" s="51" t="s">
        <v>82</v>
      </c>
      <c r="D3375" s="51" t="n">
        <v>0</v>
      </c>
    </row>
    <row r="3376" customFormat="false" ht="15" hidden="true" customHeight="false" outlineLevel="0" collapsed="false">
      <c r="A3376" s="51" t="s">
        <v>206</v>
      </c>
      <c r="B3376" s="55" t="n">
        <v>44561</v>
      </c>
      <c r="C3376" s="51" t="s">
        <v>82</v>
      </c>
      <c r="D3376" s="51" t="n">
        <v>0</v>
      </c>
    </row>
    <row r="3377" customFormat="false" ht="15" hidden="true" customHeight="false" outlineLevel="0" collapsed="false">
      <c r="A3377" s="51" t="s">
        <v>210</v>
      </c>
      <c r="B3377" s="55" t="n">
        <v>44561</v>
      </c>
      <c r="C3377" s="51" t="s">
        <v>82</v>
      </c>
      <c r="D3377" s="51" t="n">
        <v>0</v>
      </c>
    </row>
    <row r="3378" customFormat="false" ht="15" hidden="true" customHeight="false" outlineLevel="0" collapsed="false">
      <c r="A3378" s="51" t="s">
        <v>215</v>
      </c>
      <c r="B3378" s="55" t="n">
        <v>44561</v>
      </c>
      <c r="C3378" s="51" t="s">
        <v>82</v>
      </c>
      <c r="D3378" s="51" t="n">
        <v>0</v>
      </c>
    </row>
    <row r="3379" customFormat="false" ht="15" hidden="true" customHeight="false" outlineLevel="0" collapsed="false">
      <c r="A3379" s="51" t="s">
        <v>790</v>
      </c>
      <c r="B3379" s="55" t="n">
        <v>44561</v>
      </c>
      <c r="C3379" s="51" t="s">
        <v>82</v>
      </c>
      <c r="D3379" s="51" t="n">
        <v>0</v>
      </c>
    </row>
    <row r="3380" customFormat="false" ht="15" hidden="true" customHeight="false" outlineLevel="0" collapsed="false">
      <c r="A3380" s="51" t="s">
        <v>225</v>
      </c>
      <c r="B3380" s="55" t="n">
        <v>44561</v>
      </c>
      <c r="C3380" s="51" t="s">
        <v>82</v>
      </c>
      <c r="D3380" s="51" t="n">
        <v>0</v>
      </c>
    </row>
    <row r="3381" customFormat="false" ht="15" hidden="true" customHeight="false" outlineLevel="0" collapsed="false">
      <c r="A3381" s="51" t="s">
        <v>230</v>
      </c>
      <c r="B3381" s="55" t="n">
        <v>44561</v>
      </c>
      <c r="C3381" s="51" t="s">
        <v>82</v>
      </c>
      <c r="D3381" s="51" t="n">
        <v>0</v>
      </c>
    </row>
    <row r="3382" customFormat="false" ht="15" hidden="true" customHeight="false" outlineLevel="0" collapsed="false">
      <c r="A3382" s="51" t="s">
        <v>235</v>
      </c>
      <c r="B3382" s="55" t="n">
        <v>44561</v>
      </c>
      <c r="C3382" s="51" t="s">
        <v>82</v>
      </c>
      <c r="D3382" s="51" t="n">
        <v>0</v>
      </c>
    </row>
    <row r="3383" customFormat="false" ht="15" hidden="true" customHeight="false" outlineLevel="0" collapsed="false">
      <c r="A3383" s="51" t="s">
        <v>240</v>
      </c>
      <c r="B3383" s="55" t="n">
        <v>44561</v>
      </c>
      <c r="C3383" s="51" t="s">
        <v>82</v>
      </c>
      <c r="D3383" s="51" t="n">
        <v>0</v>
      </c>
    </row>
    <row r="3384" customFormat="false" ht="15" hidden="true" customHeight="false" outlineLevel="0" collapsed="false">
      <c r="A3384" s="51" t="s">
        <v>246</v>
      </c>
      <c r="B3384" s="55" t="n">
        <v>44561</v>
      </c>
      <c r="C3384" s="51" t="s">
        <v>82</v>
      </c>
      <c r="D3384" s="51" t="n">
        <v>9359166</v>
      </c>
    </row>
    <row r="3385" customFormat="false" ht="15" hidden="true" customHeight="false" outlineLevel="0" collapsed="false">
      <c r="A3385" s="51" t="s">
        <v>252</v>
      </c>
      <c r="B3385" s="55" t="n">
        <v>44561</v>
      </c>
      <c r="C3385" s="51" t="s">
        <v>82</v>
      </c>
      <c r="D3385" s="51" t="n">
        <v>0</v>
      </c>
    </row>
    <row r="3386" customFormat="false" ht="15" hidden="true" customHeight="false" outlineLevel="0" collapsed="false">
      <c r="A3386" s="51" t="s">
        <v>257</v>
      </c>
      <c r="B3386" s="55" t="n">
        <v>44561</v>
      </c>
      <c r="C3386" s="51" t="s">
        <v>82</v>
      </c>
      <c r="D3386" s="51" t="n">
        <v>0</v>
      </c>
    </row>
    <row r="3387" customFormat="false" ht="15" hidden="true" customHeight="false" outlineLevel="0" collapsed="false">
      <c r="A3387" s="51" t="s">
        <v>262</v>
      </c>
      <c r="B3387" s="55" t="n">
        <v>44561</v>
      </c>
      <c r="C3387" s="51" t="s">
        <v>82</v>
      </c>
      <c r="D3387" s="51" t="n">
        <v>100000</v>
      </c>
    </row>
    <row r="3388" customFormat="false" ht="15" hidden="true" customHeight="false" outlineLevel="0" collapsed="false">
      <c r="A3388" s="51" t="s">
        <v>267</v>
      </c>
      <c r="B3388" s="55" t="n">
        <v>44561</v>
      </c>
      <c r="C3388" s="51" t="s">
        <v>82</v>
      </c>
      <c r="D3388" s="51" t="n">
        <v>2160000</v>
      </c>
    </row>
    <row r="3389" customFormat="false" ht="15" hidden="true" customHeight="false" outlineLevel="0" collapsed="false">
      <c r="A3389" s="51" t="s">
        <v>272</v>
      </c>
      <c r="B3389" s="55" t="n">
        <v>44561</v>
      </c>
      <c r="C3389" s="51" t="s">
        <v>82</v>
      </c>
      <c r="D3389" s="51" t="n">
        <v>0</v>
      </c>
    </row>
    <row r="3390" customFormat="false" ht="15" hidden="true" customHeight="false" outlineLevel="0" collapsed="false">
      <c r="A3390" s="51" t="s">
        <v>277</v>
      </c>
      <c r="B3390" s="55" t="n">
        <v>44561</v>
      </c>
      <c r="C3390" s="51" t="s">
        <v>82</v>
      </c>
      <c r="D3390" s="51" t="n">
        <v>0</v>
      </c>
    </row>
    <row r="3391" customFormat="false" ht="15" hidden="true" customHeight="false" outlineLevel="0" collapsed="false">
      <c r="A3391" s="51" t="s">
        <v>282</v>
      </c>
      <c r="B3391" s="55" t="n">
        <v>44561</v>
      </c>
      <c r="C3391" s="51" t="s">
        <v>82</v>
      </c>
      <c r="D3391" s="51" t="n">
        <v>0</v>
      </c>
    </row>
    <row r="3392" customFormat="false" ht="15" hidden="true" customHeight="false" outlineLevel="0" collapsed="false">
      <c r="A3392" s="51" t="s">
        <v>287</v>
      </c>
      <c r="B3392" s="55" t="n">
        <v>44561</v>
      </c>
      <c r="C3392" s="51" t="s">
        <v>82</v>
      </c>
      <c r="D3392" s="51" t="n">
        <v>0</v>
      </c>
    </row>
    <row r="3393" customFormat="false" ht="15" hidden="true" customHeight="false" outlineLevel="0" collapsed="false">
      <c r="A3393" s="51" t="s">
        <v>292</v>
      </c>
      <c r="B3393" s="55" t="n">
        <v>44561</v>
      </c>
      <c r="C3393" s="51" t="s">
        <v>82</v>
      </c>
      <c r="D3393" s="51" t="n">
        <v>0</v>
      </c>
    </row>
    <row r="3394" customFormat="false" ht="15" hidden="true" customHeight="false" outlineLevel="0" collapsed="false">
      <c r="A3394" s="51" t="s">
        <v>297</v>
      </c>
      <c r="B3394" s="55" t="n">
        <v>44561</v>
      </c>
      <c r="C3394" s="51" t="s">
        <v>82</v>
      </c>
      <c r="D3394" s="51" t="n">
        <v>0</v>
      </c>
    </row>
    <row r="3395" customFormat="false" ht="15" hidden="true" customHeight="false" outlineLevel="0" collapsed="false">
      <c r="A3395" s="51" t="s">
        <v>302</v>
      </c>
      <c r="B3395" s="55" t="n">
        <v>44561</v>
      </c>
      <c r="C3395" s="51" t="s">
        <v>82</v>
      </c>
      <c r="D3395" s="51" t="n">
        <v>0</v>
      </c>
    </row>
    <row r="3396" customFormat="false" ht="15" hidden="true" customHeight="false" outlineLevel="0" collapsed="false">
      <c r="A3396" s="51" t="s">
        <v>307</v>
      </c>
      <c r="B3396" s="55" t="n">
        <v>44561</v>
      </c>
      <c r="C3396" s="51" t="s">
        <v>82</v>
      </c>
      <c r="D3396" s="51" t="n">
        <v>0</v>
      </c>
    </row>
    <row r="3397" customFormat="false" ht="15" hidden="true" customHeight="false" outlineLevel="0" collapsed="false">
      <c r="A3397" s="51" t="s">
        <v>311</v>
      </c>
      <c r="B3397" s="55" t="n">
        <v>44561</v>
      </c>
      <c r="C3397" s="51" t="s">
        <v>82</v>
      </c>
      <c r="D3397" s="51" t="n">
        <v>0</v>
      </c>
    </row>
    <row r="3398" customFormat="false" ht="15" hidden="true" customHeight="false" outlineLevel="0" collapsed="false">
      <c r="A3398" s="51" t="s">
        <v>317</v>
      </c>
      <c r="B3398" s="55" t="n">
        <v>44561</v>
      </c>
      <c r="C3398" s="51" t="s">
        <v>82</v>
      </c>
      <c r="D3398" s="51" t="n">
        <v>0</v>
      </c>
    </row>
    <row r="3399" customFormat="false" ht="15" hidden="true" customHeight="false" outlineLevel="0" collapsed="false">
      <c r="A3399" s="51" t="s">
        <v>322</v>
      </c>
      <c r="B3399" s="55" t="n">
        <v>44561</v>
      </c>
      <c r="C3399" s="51" t="s">
        <v>82</v>
      </c>
      <c r="D3399" s="51" t="n">
        <v>0</v>
      </c>
    </row>
    <row r="3400" customFormat="false" ht="15" hidden="true" customHeight="false" outlineLevel="0" collapsed="false">
      <c r="A3400" s="51" t="s">
        <v>327</v>
      </c>
      <c r="B3400" s="55" t="n">
        <v>44561</v>
      </c>
      <c r="C3400" s="51" t="s">
        <v>82</v>
      </c>
      <c r="D3400" s="51" t="n">
        <v>0</v>
      </c>
    </row>
    <row r="3401" customFormat="false" ht="15" hidden="true" customHeight="false" outlineLevel="0" collapsed="false">
      <c r="A3401" s="51" t="s">
        <v>332</v>
      </c>
      <c r="B3401" s="55" t="n">
        <v>44561</v>
      </c>
      <c r="C3401" s="51" t="s">
        <v>82</v>
      </c>
      <c r="D3401" s="51" t="n">
        <v>0</v>
      </c>
    </row>
    <row r="3402" customFormat="false" ht="15" hidden="true" customHeight="false" outlineLevel="0" collapsed="false">
      <c r="A3402" s="51" t="s">
        <v>339</v>
      </c>
      <c r="B3402" s="55" t="n">
        <v>44561</v>
      </c>
      <c r="C3402" s="51" t="s">
        <v>82</v>
      </c>
      <c r="D3402" s="51" t="n">
        <v>0</v>
      </c>
    </row>
    <row r="3403" customFormat="false" ht="15" hidden="true" customHeight="false" outlineLevel="0" collapsed="false">
      <c r="A3403" s="51" t="s">
        <v>344</v>
      </c>
      <c r="B3403" s="55" t="n">
        <v>44561</v>
      </c>
      <c r="C3403" s="51" t="s">
        <v>82</v>
      </c>
      <c r="D3403" s="51" t="n">
        <v>0</v>
      </c>
    </row>
    <row r="3404" customFormat="false" ht="15" hidden="true" customHeight="false" outlineLevel="0" collapsed="false">
      <c r="A3404" s="51" t="s">
        <v>349</v>
      </c>
      <c r="B3404" s="55" t="n">
        <v>44561</v>
      </c>
      <c r="C3404" s="51" t="s">
        <v>82</v>
      </c>
      <c r="D3404" s="51" t="n">
        <v>0</v>
      </c>
    </row>
    <row r="3405" customFormat="false" ht="15" hidden="true" customHeight="false" outlineLevel="0" collapsed="false">
      <c r="A3405" s="51" t="s">
        <v>354</v>
      </c>
      <c r="B3405" s="55" t="n">
        <v>44561</v>
      </c>
      <c r="C3405" s="51" t="s">
        <v>82</v>
      </c>
      <c r="D3405" s="51" t="n">
        <v>0</v>
      </c>
    </row>
    <row r="3406" customFormat="false" ht="15" hidden="true" customHeight="false" outlineLevel="0" collapsed="false">
      <c r="A3406" s="51" t="s">
        <v>359</v>
      </c>
      <c r="B3406" s="55" t="n">
        <v>44561</v>
      </c>
      <c r="C3406" s="51" t="s">
        <v>82</v>
      </c>
      <c r="D3406" s="51" t="n">
        <v>0</v>
      </c>
    </row>
    <row r="3407" customFormat="false" ht="15" hidden="true" customHeight="false" outlineLevel="0" collapsed="false">
      <c r="A3407" s="51" t="s">
        <v>364</v>
      </c>
      <c r="B3407" s="55" t="n">
        <v>44561</v>
      </c>
      <c r="C3407" s="51" t="s">
        <v>82</v>
      </c>
      <c r="D3407" s="51" t="n">
        <v>0</v>
      </c>
    </row>
    <row r="3408" customFormat="false" ht="15" hidden="true" customHeight="false" outlineLevel="0" collapsed="false">
      <c r="A3408" s="51" t="s">
        <v>369</v>
      </c>
      <c r="B3408" s="55" t="n">
        <v>44561</v>
      </c>
      <c r="C3408" s="51" t="s">
        <v>82</v>
      </c>
      <c r="D3408" s="51" t="n">
        <v>0</v>
      </c>
    </row>
    <row r="3409" customFormat="false" ht="15" hidden="true" customHeight="false" outlineLevel="0" collapsed="false">
      <c r="A3409" s="51" t="s">
        <v>374</v>
      </c>
      <c r="B3409" s="55" t="n">
        <v>44561</v>
      </c>
      <c r="C3409" s="51" t="s">
        <v>82</v>
      </c>
      <c r="D3409" s="51" t="n">
        <v>0</v>
      </c>
    </row>
    <row r="3410" customFormat="false" ht="15" hidden="true" customHeight="false" outlineLevel="0" collapsed="false">
      <c r="A3410" s="51" t="s">
        <v>379</v>
      </c>
      <c r="B3410" s="55" t="n">
        <v>44561</v>
      </c>
      <c r="C3410" s="51" t="s">
        <v>82</v>
      </c>
      <c r="D3410" s="51" t="n">
        <v>0</v>
      </c>
    </row>
    <row r="3411" customFormat="false" ht="15" hidden="true" customHeight="false" outlineLevel="0" collapsed="false">
      <c r="A3411" s="51" t="s">
        <v>384</v>
      </c>
      <c r="B3411" s="55" t="n">
        <v>44561</v>
      </c>
      <c r="C3411" s="51" t="s">
        <v>82</v>
      </c>
      <c r="D3411" s="51" t="n">
        <v>0</v>
      </c>
    </row>
    <row r="3412" customFormat="false" ht="15" hidden="true" customHeight="false" outlineLevel="0" collapsed="false">
      <c r="A3412" s="51" t="s">
        <v>389</v>
      </c>
      <c r="B3412" s="55" t="n">
        <v>44561</v>
      </c>
      <c r="C3412" s="51" t="s">
        <v>82</v>
      </c>
      <c r="D3412" s="51" t="n">
        <v>0</v>
      </c>
    </row>
    <row r="3413" customFormat="false" ht="15" hidden="true" customHeight="false" outlineLevel="0" collapsed="false">
      <c r="A3413" s="51" t="s">
        <v>394</v>
      </c>
      <c r="B3413" s="55" t="n">
        <v>44561</v>
      </c>
      <c r="C3413" s="51" t="s">
        <v>82</v>
      </c>
      <c r="D3413" s="51" t="n">
        <v>0</v>
      </c>
    </row>
    <row r="3414" customFormat="false" ht="15" hidden="true" customHeight="false" outlineLevel="0" collapsed="false">
      <c r="A3414" s="51" t="s">
        <v>399</v>
      </c>
      <c r="B3414" s="55" t="n">
        <v>44561</v>
      </c>
      <c r="C3414" s="51" t="s">
        <v>82</v>
      </c>
      <c r="D3414" s="51" t="n">
        <v>0</v>
      </c>
    </row>
    <row r="3415" customFormat="false" ht="15" hidden="true" customHeight="false" outlineLevel="0" collapsed="false">
      <c r="A3415" s="51" t="s">
        <v>404</v>
      </c>
      <c r="B3415" s="55" t="n">
        <v>44561</v>
      </c>
      <c r="C3415" s="51" t="s">
        <v>82</v>
      </c>
      <c r="D3415" s="51" t="n">
        <v>0</v>
      </c>
    </row>
    <row r="3416" customFormat="false" ht="15" hidden="true" customHeight="false" outlineLevel="0" collapsed="false">
      <c r="A3416" s="51" t="s">
        <v>409</v>
      </c>
      <c r="B3416" s="55" t="n">
        <v>44561</v>
      </c>
      <c r="C3416" s="51" t="s">
        <v>82</v>
      </c>
      <c r="D3416" s="51" t="n">
        <v>0</v>
      </c>
    </row>
    <row r="3417" customFormat="false" ht="15" hidden="true" customHeight="false" outlineLevel="0" collapsed="false">
      <c r="A3417" s="51" t="s">
        <v>414</v>
      </c>
      <c r="B3417" s="55" t="n">
        <v>44561</v>
      </c>
      <c r="C3417" s="51" t="s">
        <v>82</v>
      </c>
      <c r="D3417" s="51" t="n">
        <v>0</v>
      </c>
    </row>
    <row r="3418" customFormat="false" ht="15" hidden="true" customHeight="false" outlineLevel="0" collapsed="false">
      <c r="A3418" s="51" t="s">
        <v>419</v>
      </c>
      <c r="B3418" s="55" t="n">
        <v>44561</v>
      </c>
      <c r="C3418" s="51" t="s">
        <v>82</v>
      </c>
      <c r="D3418" s="51" t="n">
        <v>0</v>
      </c>
    </row>
    <row r="3419" customFormat="false" ht="15" hidden="true" customHeight="false" outlineLevel="0" collapsed="false">
      <c r="A3419" s="51" t="s">
        <v>424</v>
      </c>
      <c r="B3419" s="55" t="n">
        <v>44561</v>
      </c>
      <c r="C3419" s="51" t="s">
        <v>82</v>
      </c>
      <c r="D3419" s="51" t="n">
        <v>0</v>
      </c>
    </row>
    <row r="3420" customFormat="false" ht="15" hidden="true" customHeight="false" outlineLevel="0" collapsed="false">
      <c r="A3420" s="51" t="s">
        <v>429</v>
      </c>
      <c r="B3420" s="55" t="n">
        <v>44561</v>
      </c>
      <c r="C3420" s="51" t="s">
        <v>82</v>
      </c>
      <c r="D3420" s="51" t="n">
        <v>0</v>
      </c>
    </row>
    <row r="3421" customFormat="false" ht="15" hidden="true" customHeight="false" outlineLevel="0" collapsed="false">
      <c r="A3421" s="51" t="s">
        <v>434</v>
      </c>
      <c r="B3421" s="55" t="n">
        <v>44561</v>
      </c>
      <c r="C3421" s="51" t="s">
        <v>82</v>
      </c>
      <c r="D3421" s="51" t="n">
        <v>0</v>
      </c>
    </row>
    <row r="3422" customFormat="false" ht="15" hidden="true" customHeight="false" outlineLevel="0" collapsed="false">
      <c r="A3422" s="51" t="s">
        <v>438</v>
      </c>
      <c r="B3422" s="55" t="n">
        <v>44561</v>
      </c>
      <c r="C3422" s="51" t="s">
        <v>82</v>
      </c>
      <c r="D3422" s="51" t="n">
        <v>0</v>
      </c>
    </row>
    <row r="3423" customFormat="false" ht="15" hidden="true" customHeight="false" outlineLevel="0" collapsed="false">
      <c r="A3423" s="51" t="s">
        <v>443</v>
      </c>
      <c r="B3423" s="55" t="n">
        <v>44561</v>
      </c>
      <c r="C3423" s="51" t="s">
        <v>82</v>
      </c>
      <c r="D3423" s="51" t="n">
        <v>0</v>
      </c>
    </row>
    <row r="3424" customFormat="false" ht="15" hidden="true" customHeight="false" outlineLevel="0" collapsed="false">
      <c r="A3424" s="51" t="s">
        <v>448</v>
      </c>
      <c r="B3424" s="55" t="n">
        <v>44561</v>
      </c>
      <c r="C3424" s="51" t="s">
        <v>82</v>
      </c>
      <c r="D3424" s="51" t="n">
        <v>0</v>
      </c>
    </row>
    <row r="3425" customFormat="false" ht="15" hidden="true" customHeight="false" outlineLevel="0" collapsed="false">
      <c r="A3425" s="51" t="s">
        <v>453</v>
      </c>
      <c r="B3425" s="55" t="n">
        <v>44561</v>
      </c>
      <c r="C3425" s="51" t="s">
        <v>82</v>
      </c>
      <c r="D3425" s="51" t="n">
        <v>0</v>
      </c>
    </row>
    <row r="3426" customFormat="false" ht="15" hidden="true" customHeight="false" outlineLevel="0" collapsed="false">
      <c r="A3426" s="51" t="s">
        <v>458</v>
      </c>
      <c r="B3426" s="55" t="n">
        <v>44561</v>
      </c>
      <c r="C3426" s="51" t="s">
        <v>82</v>
      </c>
      <c r="D3426" s="51" t="n">
        <v>0</v>
      </c>
    </row>
    <row r="3427" customFormat="false" ht="15" hidden="true" customHeight="false" outlineLevel="0" collapsed="false">
      <c r="A3427" s="51" t="s">
        <v>473</v>
      </c>
      <c r="B3427" s="55" t="n">
        <v>44561</v>
      </c>
      <c r="C3427" s="51" t="s">
        <v>82</v>
      </c>
      <c r="D3427" s="51" t="n">
        <v>0</v>
      </c>
    </row>
    <row r="3428" customFormat="false" ht="15" hidden="true" customHeight="false" outlineLevel="0" collapsed="false">
      <c r="A3428" s="51" t="s">
        <v>479</v>
      </c>
      <c r="B3428" s="55" t="n">
        <v>44561</v>
      </c>
      <c r="C3428" s="51" t="s">
        <v>82</v>
      </c>
      <c r="D3428" s="51" t="n">
        <v>0</v>
      </c>
    </row>
    <row r="3429" customFormat="false" ht="15" hidden="true" customHeight="false" outlineLevel="0" collapsed="false">
      <c r="A3429" s="51" t="s">
        <v>484</v>
      </c>
      <c r="B3429" s="55" t="n">
        <v>44561</v>
      </c>
      <c r="C3429" s="51" t="s">
        <v>82</v>
      </c>
      <c r="D3429" s="51" t="n">
        <v>0</v>
      </c>
    </row>
    <row r="3430" customFormat="false" ht="15" hidden="true" customHeight="false" outlineLevel="0" collapsed="false">
      <c r="A3430" s="51" t="s">
        <v>489</v>
      </c>
      <c r="B3430" s="55" t="n">
        <v>44561</v>
      </c>
      <c r="C3430" s="51" t="s">
        <v>82</v>
      </c>
      <c r="D3430" s="51" t="n">
        <v>0</v>
      </c>
    </row>
    <row r="3431" customFormat="false" ht="15" hidden="true" customHeight="false" outlineLevel="0" collapsed="false">
      <c r="A3431" s="51" t="s">
        <v>494</v>
      </c>
      <c r="B3431" s="55" t="n">
        <v>44561</v>
      </c>
      <c r="C3431" s="51" t="s">
        <v>82</v>
      </c>
      <c r="D3431" s="51" t="n">
        <v>0</v>
      </c>
    </row>
    <row r="3432" customFormat="false" ht="15" hidden="true" customHeight="false" outlineLevel="0" collapsed="false">
      <c r="A3432" s="51" t="s">
        <v>499</v>
      </c>
      <c r="B3432" s="55" t="n">
        <v>44561</v>
      </c>
      <c r="C3432" s="51" t="s">
        <v>82</v>
      </c>
      <c r="D3432" s="51" t="n">
        <v>0</v>
      </c>
    </row>
    <row r="3433" customFormat="false" ht="15" hidden="true" customHeight="false" outlineLevel="0" collapsed="false">
      <c r="A3433" s="51" t="s">
        <v>504</v>
      </c>
      <c r="B3433" s="55" t="n">
        <v>44561</v>
      </c>
      <c r="C3433" s="51" t="s">
        <v>82</v>
      </c>
      <c r="D3433" s="51" t="n">
        <v>0</v>
      </c>
    </row>
    <row r="3434" customFormat="false" ht="15" hidden="true" customHeight="false" outlineLevel="0" collapsed="false">
      <c r="A3434" s="51" t="s">
        <v>509</v>
      </c>
      <c r="B3434" s="55" t="n">
        <v>44561</v>
      </c>
      <c r="C3434" s="51" t="s">
        <v>82</v>
      </c>
      <c r="D3434" s="51" t="n">
        <v>0</v>
      </c>
    </row>
    <row r="3435" customFormat="false" ht="15" hidden="true" customHeight="false" outlineLevel="0" collapsed="false">
      <c r="A3435" s="51" t="s">
        <v>515</v>
      </c>
      <c r="B3435" s="55" t="n">
        <v>44561</v>
      </c>
      <c r="C3435" s="51" t="s">
        <v>82</v>
      </c>
      <c r="D3435" s="51" t="n">
        <v>0</v>
      </c>
    </row>
    <row r="3436" customFormat="false" ht="15" hidden="true" customHeight="false" outlineLevel="0" collapsed="false">
      <c r="A3436" s="51" t="s">
        <v>520</v>
      </c>
      <c r="B3436" s="55" t="n">
        <v>44561</v>
      </c>
      <c r="C3436" s="51" t="s">
        <v>82</v>
      </c>
      <c r="D3436" s="51" t="n">
        <v>0</v>
      </c>
    </row>
    <row r="3437" customFormat="false" ht="15" hidden="true" customHeight="false" outlineLevel="0" collapsed="false">
      <c r="A3437" s="51" t="s">
        <v>525</v>
      </c>
      <c r="B3437" s="55" t="n">
        <v>44561</v>
      </c>
      <c r="C3437" s="51" t="s">
        <v>82</v>
      </c>
      <c r="D3437" s="51" t="n">
        <v>0</v>
      </c>
    </row>
    <row r="3438" customFormat="false" ht="15" hidden="true" customHeight="false" outlineLevel="0" collapsed="false">
      <c r="A3438" s="51" t="s">
        <v>531</v>
      </c>
      <c r="B3438" s="55" t="n">
        <v>44561</v>
      </c>
      <c r="C3438" s="51" t="s">
        <v>82</v>
      </c>
      <c r="D3438" s="51" t="n">
        <v>0</v>
      </c>
    </row>
    <row r="3439" customFormat="false" ht="15" hidden="true" customHeight="false" outlineLevel="0" collapsed="false">
      <c r="A3439" s="51" t="s">
        <v>536</v>
      </c>
      <c r="B3439" s="55" t="n">
        <v>44561</v>
      </c>
      <c r="C3439" s="51" t="s">
        <v>82</v>
      </c>
      <c r="D3439" s="51" t="n">
        <v>0</v>
      </c>
    </row>
    <row r="3440" customFormat="false" ht="15" hidden="true" customHeight="false" outlineLevel="0" collapsed="false">
      <c r="A3440" s="51" t="s">
        <v>541</v>
      </c>
      <c r="B3440" s="55" t="n">
        <v>44561</v>
      </c>
      <c r="C3440" s="51" t="s">
        <v>82</v>
      </c>
      <c r="D3440" s="51" t="n">
        <v>0</v>
      </c>
    </row>
    <row r="3441" customFormat="false" ht="15" hidden="true" customHeight="false" outlineLevel="0" collapsed="false">
      <c r="A3441" s="51" t="s">
        <v>549</v>
      </c>
      <c r="B3441" s="55" t="n">
        <v>44561</v>
      </c>
      <c r="C3441" s="51" t="s">
        <v>82</v>
      </c>
      <c r="D3441" s="51" t="n">
        <v>0</v>
      </c>
    </row>
    <row r="3442" customFormat="false" ht="15" hidden="true" customHeight="false" outlineLevel="0" collapsed="false">
      <c r="A3442" s="51" t="s">
        <v>554</v>
      </c>
      <c r="B3442" s="55" t="n">
        <v>44561</v>
      </c>
      <c r="C3442" s="51" t="s">
        <v>82</v>
      </c>
      <c r="D3442" s="51" t="n">
        <v>0</v>
      </c>
    </row>
    <row r="3443" customFormat="false" ht="15" hidden="true" customHeight="false" outlineLevel="0" collapsed="false">
      <c r="A3443" s="51" t="s">
        <v>559</v>
      </c>
      <c r="B3443" s="55" t="n">
        <v>44561</v>
      </c>
      <c r="C3443" s="51" t="s">
        <v>82</v>
      </c>
      <c r="D3443" s="51" t="n">
        <v>0</v>
      </c>
    </row>
    <row r="3444" customFormat="false" ht="15" hidden="true" customHeight="false" outlineLevel="0" collapsed="false">
      <c r="A3444" s="51" t="s">
        <v>564</v>
      </c>
      <c r="B3444" s="55" t="n">
        <v>44561</v>
      </c>
      <c r="C3444" s="51" t="s">
        <v>82</v>
      </c>
      <c r="D3444" s="51" t="n">
        <v>0</v>
      </c>
    </row>
    <row r="3445" customFormat="false" ht="15" hidden="true" customHeight="false" outlineLevel="0" collapsed="false">
      <c r="A3445" s="51" t="s">
        <v>569</v>
      </c>
      <c r="B3445" s="55" t="n">
        <v>44561</v>
      </c>
      <c r="C3445" s="51" t="s">
        <v>82</v>
      </c>
      <c r="D3445" s="51" t="n">
        <v>0</v>
      </c>
    </row>
    <row r="3446" customFormat="false" ht="15" hidden="true" customHeight="false" outlineLevel="0" collapsed="false">
      <c r="A3446" s="51" t="s">
        <v>574</v>
      </c>
      <c r="B3446" s="55" t="n">
        <v>44561</v>
      </c>
      <c r="C3446" s="51" t="s">
        <v>82</v>
      </c>
      <c r="D3446" s="51" t="n">
        <v>0</v>
      </c>
    </row>
    <row r="3447" customFormat="false" ht="15" hidden="true" customHeight="false" outlineLevel="0" collapsed="false">
      <c r="A3447" s="51" t="s">
        <v>579</v>
      </c>
      <c r="B3447" s="55" t="n">
        <v>44561</v>
      </c>
      <c r="C3447" s="51" t="s">
        <v>82</v>
      </c>
      <c r="D3447" s="51" t="n">
        <v>0</v>
      </c>
    </row>
    <row r="3448" customFormat="false" ht="15" hidden="true" customHeight="false" outlineLevel="0" collapsed="false">
      <c r="A3448" s="51" t="s">
        <v>584</v>
      </c>
      <c r="B3448" s="55" t="n">
        <v>44561</v>
      </c>
      <c r="C3448" s="51" t="s">
        <v>82</v>
      </c>
      <c r="D3448" s="51" t="n">
        <v>0</v>
      </c>
    </row>
    <row r="3449" customFormat="false" ht="15" hidden="true" customHeight="false" outlineLevel="0" collapsed="false">
      <c r="A3449" s="51" t="s">
        <v>589</v>
      </c>
      <c r="B3449" s="55" t="n">
        <v>44561</v>
      </c>
      <c r="C3449" s="51" t="s">
        <v>82</v>
      </c>
      <c r="D3449" s="51" t="n">
        <v>0</v>
      </c>
    </row>
    <row r="3450" customFormat="false" ht="15" hidden="true" customHeight="false" outlineLevel="0" collapsed="false">
      <c r="A3450" s="51" t="s">
        <v>756</v>
      </c>
      <c r="B3450" s="55" t="n">
        <v>44561</v>
      </c>
      <c r="C3450" s="51" t="s">
        <v>82</v>
      </c>
      <c r="D3450" s="51" t="n">
        <v>0</v>
      </c>
    </row>
    <row r="3451" customFormat="false" ht="15" hidden="true" customHeight="false" outlineLevel="0" collapsed="false">
      <c r="A3451" s="51" t="s">
        <v>594</v>
      </c>
      <c r="B3451" s="55" t="n">
        <v>44561</v>
      </c>
      <c r="C3451" s="51" t="s">
        <v>82</v>
      </c>
      <c r="D3451" s="51" t="n">
        <v>0</v>
      </c>
    </row>
    <row r="3452" customFormat="false" ht="15" hidden="true" customHeight="false" outlineLevel="0" collapsed="false">
      <c r="A3452" s="51" t="s">
        <v>761</v>
      </c>
      <c r="B3452" s="55" t="n">
        <v>44561</v>
      </c>
      <c r="C3452" s="51" t="s">
        <v>82</v>
      </c>
      <c r="D3452" s="51" t="n">
        <v>0</v>
      </c>
    </row>
    <row r="3453" customFormat="false" ht="15" hidden="true" customHeight="false" outlineLevel="0" collapsed="false">
      <c r="A3453" s="51" t="s">
        <v>599</v>
      </c>
      <c r="B3453" s="55" t="n">
        <v>44561</v>
      </c>
      <c r="C3453" s="51" t="s">
        <v>82</v>
      </c>
      <c r="D3453" s="51" t="n">
        <v>0</v>
      </c>
    </row>
    <row r="3454" customFormat="false" ht="15" hidden="true" customHeight="false" outlineLevel="0" collapsed="false">
      <c r="A3454" s="51" t="s">
        <v>604</v>
      </c>
      <c r="B3454" s="55" t="n">
        <v>44561</v>
      </c>
      <c r="C3454" s="51" t="s">
        <v>82</v>
      </c>
      <c r="D3454" s="51" t="n">
        <v>0</v>
      </c>
    </row>
    <row r="3455" customFormat="false" ht="15" hidden="true" customHeight="false" outlineLevel="0" collapsed="false">
      <c r="A3455" s="51" t="s">
        <v>609</v>
      </c>
      <c r="B3455" s="55" t="n">
        <v>44561</v>
      </c>
      <c r="C3455" s="51" t="s">
        <v>82</v>
      </c>
      <c r="D3455" s="51" t="n">
        <v>0</v>
      </c>
    </row>
    <row r="3456" customFormat="false" ht="15" hidden="true" customHeight="false" outlineLevel="0" collapsed="false">
      <c r="A3456" s="51" t="s">
        <v>614</v>
      </c>
      <c r="B3456" s="55" t="n">
        <v>44561</v>
      </c>
      <c r="C3456" s="51" t="s">
        <v>82</v>
      </c>
      <c r="D3456" s="51" t="n">
        <v>0</v>
      </c>
    </row>
    <row r="3457" customFormat="false" ht="15" hidden="true" customHeight="false" outlineLevel="0" collapsed="false">
      <c r="A3457" s="51" t="s">
        <v>619</v>
      </c>
      <c r="B3457" s="55" t="n">
        <v>44561</v>
      </c>
      <c r="C3457" s="51" t="s">
        <v>82</v>
      </c>
      <c r="D3457" s="51" t="n">
        <v>0</v>
      </c>
    </row>
    <row r="3458" customFormat="false" ht="15" hidden="true" customHeight="false" outlineLevel="0" collapsed="false">
      <c r="A3458" s="51" t="s">
        <v>624</v>
      </c>
      <c r="B3458" s="55" t="n">
        <v>44561</v>
      </c>
      <c r="C3458" s="51" t="s">
        <v>82</v>
      </c>
      <c r="D3458" s="51" t="n">
        <v>0</v>
      </c>
    </row>
    <row r="3459" customFormat="false" ht="15" hidden="true" customHeight="false" outlineLevel="0" collapsed="false">
      <c r="A3459" s="51" t="s">
        <v>629</v>
      </c>
      <c r="B3459" s="55" t="n">
        <v>44561</v>
      </c>
      <c r="C3459" s="51" t="s">
        <v>82</v>
      </c>
      <c r="D3459" s="51" t="n">
        <v>0</v>
      </c>
    </row>
    <row r="3460" customFormat="false" ht="15" hidden="true" customHeight="false" outlineLevel="0" collapsed="false">
      <c r="A3460" s="51" t="s">
        <v>633</v>
      </c>
      <c r="B3460" s="55" t="n">
        <v>44561</v>
      </c>
      <c r="C3460" s="51" t="s">
        <v>82</v>
      </c>
      <c r="D3460" s="51" t="n">
        <v>0</v>
      </c>
    </row>
    <row r="3461" customFormat="false" ht="15" hidden="true" customHeight="false" outlineLevel="0" collapsed="false">
      <c r="A3461" s="51" t="s">
        <v>638</v>
      </c>
      <c r="B3461" s="55" t="n">
        <v>44561</v>
      </c>
      <c r="C3461" s="51" t="s">
        <v>82</v>
      </c>
      <c r="D3461" s="51" t="n">
        <v>0</v>
      </c>
    </row>
    <row r="3462" customFormat="false" ht="15" hidden="true" customHeight="false" outlineLevel="0" collapsed="false">
      <c r="A3462" s="51" t="s">
        <v>642</v>
      </c>
      <c r="B3462" s="55" t="n">
        <v>44561</v>
      </c>
      <c r="C3462" s="51" t="s">
        <v>82</v>
      </c>
      <c r="D3462" s="51" t="n">
        <v>0</v>
      </c>
    </row>
    <row r="3463" customFormat="false" ht="15" hidden="true" customHeight="false" outlineLevel="0" collapsed="false">
      <c r="A3463" s="51" t="s">
        <v>646</v>
      </c>
      <c r="B3463" s="55" t="n">
        <v>44561</v>
      </c>
      <c r="C3463" s="51" t="s">
        <v>82</v>
      </c>
      <c r="D3463" s="51" t="n">
        <v>0</v>
      </c>
    </row>
    <row r="3464" customFormat="false" ht="15" hidden="true" customHeight="false" outlineLevel="0" collapsed="false">
      <c r="A3464" s="51" t="s">
        <v>651</v>
      </c>
      <c r="B3464" s="55" t="n">
        <v>44561</v>
      </c>
      <c r="C3464" s="51" t="s">
        <v>82</v>
      </c>
      <c r="D3464" s="51" t="n">
        <v>0</v>
      </c>
    </row>
    <row r="3465" customFormat="false" ht="15" hidden="true" customHeight="false" outlineLevel="0" collapsed="false">
      <c r="A3465" s="51" t="s">
        <v>656</v>
      </c>
      <c r="B3465" s="55" t="n">
        <v>44561</v>
      </c>
      <c r="C3465" s="51" t="s">
        <v>82</v>
      </c>
      <c r="D3465" s="51" t="n">
        <v>0</v>
      </c>
    </row>
    <row r="3466" customFormat="false" ht="15" hidden="true" customHeight="false" outlineLevel="0" collapsed="false">
      <c r="A3466" s="51" t="s">
        <v>661</v>
      </c>
      <c r="B3466" s="55" t="n">
        <v>44561</v>
      </c>
      <c r="C3466" s="51" t="s">
        <v>82</v>
      </c>
      <c r="D3466" s="51" t="n">
        <v>0</v>
      </c>
    </row>
    <row r="3467" customFormat="false" ht="15" hidden="true" customHeight="false" outlineLevel="0" collapsed="false">
      <c r="A3467" s="51" t="s">
        <v>666</v>
      </c>
      <c r="B3467" s="55" t="n">
        <v>44561</v>
      </c>
      <c r="C3467" s="51" t="s">
        <v>82</v>
      </c>
      <c r="D3467" s="51" t="n">
        <v>0</v>
      </c>
    </row>
    <row r="3468" customFormat="false" ht="15" hidden="true" customHeight="false" outlineLevel="0" collapsed="false">
      <c r="A3468" s="51" t="s">
        <v>671</v>
      </c>
      <c r="B3468" s="55" t="n">
        <v>44561</v>
      </c>
      <c r="C3468" s="51" t="s">
        <v>82</v>
      </c>
      <c r="D3468" s="51" t="n">
        <v>0</v>
      </c>
    </row>
    <row r="3469" customFormat="false" ht="15" hidden="true" customHeight="false" outlineLevel="0" collapsed="false">
      <c r="A3469" s="51" t="s">
        <v>676</v>
      </c>
      <c r="B3469" s="55" t="n">
        <v>44561</v>
      </c>
      <c r="C3469" s="51" t="s">
        <v>82</v>
      </c>
      <c r="D3469" s="51" t="n">
        <v>0</v>
      </c>
    </row>
    <row r="3470" customFormat="false" ht="15" hidden="true" customHeight="false" outlineLevel="0" collapsed="false">
      <c r="A3470" s="51" t="s">
        <v>681</v>
      </c>
      <c r="B3470" s="55" t="n">
        <v>44561</v>
      </c>
      <c r="C3470" s="51" t="s">
        <v>82</v>
      </c>
      <c r="D3470" s="51" t="n">
        <v>0</v>
      </c>
    </row>
    <row r="3471" customFormat="false" ht="15" hidden="true" customHeight="false" outlineLevel="0" collapsed="false">
      <c r="A3471" s="51" t="s">
        <v>686</v>
      </c>
      <c r="B3471" s="55" t="n">
        <v>44561</v>
      </c>
      <c r="C3471" s="51" t="s">
        <v>82</v>
      </c>
      <c r="D3471" s="51" t="n">
        <v>0</v>
      </c>
    </row>
    <row r="3472" customFormat="false" ht="15" hidden="true" customHeight="false" outlineLevel="0" collapsed="false">
      <c r="A3472" s="51" t="s">
        <v>691</v>
      </c>
      <c r="B3472" s="55" t="n">
        <v>44561</v>
      </c>
      <c r="C3472" s="51" t="s">
        <v>82</v>
      </c>
      <c r="D3472" s="51" t="n">
        <v>0</v>
      </c>
    </row>
    <row r="3473" customFormat="false" ht="15" hidden="true" customHeight="false" outlineLevel="0" collapsed="false">
      <c r="A3473" s="51" t="s">
        <v>696</v>
      </c>
      <c r="B3473" s="55" t="n">
        <v>44561</v>
      </c>
      <c r="C3473" s="51" t="s">
        <v>82</v>
      </c>
      <c r="D3473" s="51" t="n">
        <v>0</v>
      </c>
    </row>
    <row r="3474" customFormat="false" ht="15" hidden="true" customHeight="false" outlineLevel="0" collapsed="false">
      <c r="A3474" s="51" t="s">
        <v>701</v>
      </c>
      <c r="B3474" s="55" t="n">
        <v>44561</v>
      </c>
      <c r="C3474" s="51" t="s">
        <v>82</v>
      </c>
      <c r="D3474" s="51" t="n">
        <v>0</v>
      </c>
    </row>
    <row r="3475" customFormat="false" ht="15" hidden="true" customHeight="false" outlineLevel="0" collapsed="false">
      <c r="A3475" s="51" t="s">
        <v>707</v>
      </c>
      <c r="B3475" s="55" t="n">
        <v>44561</v>
      </c>
      <c r="C3475" s="51" t="s">
        <v>82</v>
      </c>
      <c r="D3475" s="51" t="n">
        <v>0</v>
      </c>
    </row>
    <row r="3476" customFormat="false" ht="15" hidden="true" customHeight="false" outlineLevel="0" collapsed="false">
      <c r="A3476" s="51" t="s">
        <v>712</v>
      </c>
      <c r="B3476" s="55" t="n">
        <v>44561</v>
      </c>
      <c r="C3476" s="51" t="s">
        <v>82</v>
      </c>
      <c r="D3476" s="51" t="n">
        <v>0</v>
      </c>
    </row>
    <row r="3477" customFormat="false" ht="15" hidden="true" customHeight="false" outlineLevel="0" collapsed="false">
      <c r="A3477" s="51" t="s">
        <v>717</v>
      </c>
      <c r="B3477" s="55" t="n">
        <v>44561</v>
      </c>
      <c r="C3477" s="51" t="s">
        <v>82</v>
      </c>
      <c r="D3477" s="51" t="n">
        <v>0</v>
      </c>
    </row>
    <row r="3478" customFormat="false" ht="15" hidden="true" customHeight="false" outlineLevel="0" collapsed="false">
      <c r="A3478" s="51" t="s">
        <v>767</v>
      </c>
      <c r="B3478" s="55" t="n">
        <v>44561</v>
      </c>
      <c r="C3478" s="51" t="s">
        <v>82</v>
      </c>
      <c r="D3478" s="51" t="n">
        <v>0</v>
      </c>
    </row>
    <row r="3479" customFormat="false" ht="15" hidden="true" customHeight="false" outlineLevel="0" collapsed="false">
      <c r="A3479" s="51" t="s">
        <v>722</v>
      </c>
      <c r="B3479" s="55" t="n">
        <v>44561</v>
      </c>
      <c r="C3479" s="51" t="s">
        <v>82</v>
      </c>
      <c r="D3479" s="51" t="n">
        <v>0</v>
      </c>
    </row>
    <row r="3480" customFormat="false" ht="15" hidden="true" customHeight="false" outlineLevel="0" collapsed="false">
      <c r="A3480" s="51" t="s">
        <v>727</v>
      </c>
      <c r="B3480" s="55" t="n">
        <v>44561</v>
      </c>
      <c r="C3480" s="51" t="s">
        <v>82</v>
      </c>
      <c r="D3480" s="51" t="n">
        <v>0</v>
      </c>
    </row>
    <row r="3481" customFormat="false" ht="15" hidden="true" customHeight="false" outlineLevel="0" collapsed="false">
      <c r="A3481" s="51" t="s">
        <v>732</v>
      </c>
      <c r="B3481" s="55" t="n">
        <v>44561</v>
      </c>
      <c r="C3481" s="51" t="s">
        <v>82</v>
      </c>
      <c r="D3481" s="51" t="n">
        <v>0</v>
      </c>
    </row>
    <row r="3482" customFormat="false" ht="15" hidden="true" customHeight="false" outlineLevel="0" collapsed="false">
      <c r="A3482" s="51" t="s">
        <v>736</v>
      </c>
      <c r="B3482" s="55" t="n">
        <v>44561</v>
      </c>
      <c r="C3482" s="51" t="s">
        <v>82</v>
      </c>
      <c r="D3482" s="51" t="n">
        <v>0</v>
      </c>
    </row>
    <row r="3483" customFormat="false" ht="15" hidden="true" customHeight="false" outlineLevel="0" collapsed="false">
      <c r="A3483" s="51" t="s">
        <v>741</v>
      </c>
      <c r="B3483" s="55" t="n">
        <v>44561</v>
      </c>
      <c r="C3483" s="51" t="s">
        <v>82</v>
      </c>
      <c r="D3483" s="51" t="n">
        <v>0</v>
      </c>
    </row>
    <row r="3484" customFormat="false" ht="15" hidden="true" customHeight="false" outlineLevel="0" collapsed="false">
      <c r="A3484" s="51" t="s">
        <v>746</v>
      </c>
      <c r="B3484" s="55" t="n">
        <v>44561</v>
      </c>
      <c r="C3484" s="51" t="s">
        <v>82</v>
      </c>
      <c r="D3484" s="51" t="n">
        <v>0</v>
      </c>
    </row>
    <row r="3485" customFormat="false" ht="15" hidden="true" customHeight="false" outlineLevel="0" collapsed="false">
      <c r="A3485" s="51" t="s">
        <v>751</v>
      </c>
      <c r="B3485" s="55" t="n">
        <v>44561</v>
      </c>
      <c r="C3485" s="51" t="s">
        <v>82</v>
      </c>
      <c r="D3485" s="51" t="n">
        <v>0</v>
      </c>
    </row>
    <row r="3486" customFormat="false" ht="15" hidden="false" customHeight="false" outlineLevel="0" collapsed="false">
      <c r="A3486" s="51" t="s">
        <v>781</v>
      </c>
      <c r="B3486" s="55" t="n">
        <v>44561</v>
      </c>
      <c r="C3486" s="51" t="s">
        <v>73</v>
      </c>
      <c r="D3486" s="51" t="n">
        <v>0</v>
      </c>
    </row>
    <row r="3487" customFormat="false" ht="15" hidden="true" customHeight="false" outlineLevel="0" collapsed="false">
      <c r="A3487" s="51" t="s">
        <v>783</v>
      </c>
      <c r="B3487" s="55" t="n">
        <v>44561</v>
      </c>
      <c r="C3487" s="51" t="s">
        <v>73</v>
      </c>
      <c r="D3487" s="51" t="n">
        <v>0</v>
      </c>
    </row>
    <row r="3488" customFormat="false" ht="15" hidden="true" customHeight="false" outlineLevel="0" collapsed="false">
      <c r="A3488" s="51" t="s">
        <v>96</v>
      </c>
      <c r="B3488" s="55" t="n">
        <v>44561</v>
      </c>
      <c r="C3488" s="51" t="s">
        <v>73</v>
      </c>
      <c r="D3488" s="51" t="n">
        <v>1351000</v>
      </c>
    </row>
    <row r="3489" customFormat="false" ht="15" hidden="true" customHeight="false" outlineLevel="0" collapsed="false">
      <c r="A3489" s="51" t="s">
        <v>101</v>
      </c>
      <c r="B3489" s="55" t="n">
        <v>44561</v>
      </c>
      <c r="C3489" s="51" t="s">
        <v>73</v>
      </c>
      <c r="D3489" s="51" t="n">
        <v>0</v>
      </c>
    </row>
    <row r="3490" customFormat="false" ht="15" hidden="true" customHeight="false" outlineLevel="0" collapsed="false">
      <c r="A3490" s="51" t="s">
        <v>106</v>
      </c>
      <c r="B3490" s="55" t="n">
        <v>44561</v>
      </c>
      <c r="C3490" s="51" t="s">
        <v>73</v>
      </c>
      <c r="D3490" s="51" t="n">
        <v>0</v>
      </c>
    </row>
    <row r="3491" customFormat="false" ht="15" hidden="true" customHeight="false" outlineLevel="0" collapsed="false">
      <c r="A3491" s="51" t="s">
        <v>110</v>
      </c>
      <c r="B3491" s="55" t="n">
        <v>44561</v>
      </c>
      <c r="C3491" s="51" t="s">
        <v>73</v>
      </c>
      <c r="D3491" s="51" t="n">
        <v>0</v>
      </c>
    </row>
    <row r="3492" customFormat="false" ht="15" hidden="true" customHeight="false" outlineLevel="0" collapsed="false">
      <c r="A3492" s="51" t="s">
        <v>115</v>
      </c>
      <c r="B3492" s="55" t="n">
        <v>44561</v>
      </c>
      <c r="C3492" s="51" t="s">
        <v>73</v>
      </c>
      <c r="D3492" s="51" t="n">
        <v>0</v>
      </c>
    </row>
    <row r="3493" customFormat="false" ht="15" hidden="true" customHeight="false" outlineLevel="0" collapsed="false">
      <c r="A3493" s="51" t="s">
        <v>120</v>
      </c>
      <c r="B3493" s="55" t="n">
        <v>44561</v>
      </c>
      <c r="C3493" s="51" t="s">
        <v>73</v>
      </c>
      <c r="D3493" s="51" t="n">
        <v>0</v>
      </c>
    </row>
    <row r="3494" customFormat="false" ht="15" hidden="true" customHeight="false" outlineLevel="0" collapsed="false">
      <c r="A3494" s="51" t="s">
        <v>124</v>
      </c>
      <c r="B3494" s="55" t="n">
        <v>44561</v>
      </c>
      <c r="C3494" s="51" t="s">
        <v>73</v>
      </c>
      <c r="D3494" s="51" t="n">
        <v>1200000</v>
      </c>
    </row>
    <row r="3495" customFormat="false" ht="15" hidden="true" customHeight="false" outlineLevel="0" collapsed="false">
      <c r="A3495" s="51" t="s">
        <v>129</v>
      </c>
      <c r="B3495" s="55" t="n">
        <v>44561</v>
      </c>
      <c r="C3495" s="51" t="s">
        <v>73</v>
      </c>
      <c r="D3495" s="51" t="n">
        <v>200000</v>
      </c>
    </row>
    <row r="3496" customFormat="false" ht="15" hidden="true" customHeight="false" outlineLevel="0" collapsed="false">
      <c r="A3496" s="51" t="s">
        <v>134</v>
      </c>
      <c r="B3496" s="55" t="n">
        <v>44561</v>
      </c>
      <c r="C3496" s="51" t="s">
        <v>73</v>
      </c>
      <c r="D3496" s="51" t="n">
        <v>700000</v>
      </c>
    </row>
    <row r="3497" customFormat="false" ht="15" hidden="true" customHeight="false" outlineLevel="0" collapsed="false">
      <c r="A3497" s="51" t="s">
        <v>141</v>
      </c>
      <c r="B3497" s="55" t="n">
        <v>44561</v>
      </c>
      <c r="C3497" s="51" t="s">
        <v>73</v>
      </c>
      <c r="D3497" s="51" t="n">
        <v>0</v>
      </c>
    </row>
    <row r="3498" customFormat="false" ht="15" hidden="true" customHeight="false" outlineLevel="0" collapsed="false">
      <c r="A3498" s="51" t="s">
        <v>146</v>
      </c>
      <c r="B3498" s="55" t="n">
        <v>44561</v>
      </c>
      <c r="C3498" s="51" t="s">
        <v>73</v>
      </c>
      <c r="D3498" s="51" t="n">
        <v>0</v>
      </c>
    </row>
    <row r="3499" customFormat="false" ht="15" hidden="true" customHeight="false" outlineLevel="0" collapsed="false">
      <c r="A3499" s="51" t="s">
        <v>151</v>
      </c>
      <c r="B3499" s="55" t="n">
        <v>44561</v>
      </c>
      <c r="C3499" s="51" t="s">
        <v>73</v>
      </c>
      <c r="D3499" s="51" t="n">
        <v>0</v>
      </c>
    </row>
    <row r="3500" customFormat="false" ht="15" hidden="true" customHeight="false" outlineLevel="0" collapsed="false">
      <c r="A3500" s="51" t="s">
        <v>156</v>
      </c>
      <c r="B3500" s="55" t="n">
        <v>44561</v>
      </c>
      <c r="C3500" s="51" t="s">
        <v>73</v>
      </c>
      <c r="D3500" s="51" t="n">
        <v>0</v>
      </c>
    </row>
    <row r="3501" customFormat="false" ht="15" hidden="true" customHeight="false" outlineLevel="0" collapsed="false">
      <c r="A3501" s="51" t="s">
        <v>161</v>
      </c>
      <c r="B3501" s="55" t="n">
        <v>44561</v>
      </c>
      <c r="C3501" s="51" t="s">
        <v>73</v>
      </c>
      <c r="D3501" s="51" t="n">
        <v>0</v>
      </c>
    </row>
    <row r="3502" customFormat="false" ht="15" hidden="true" customHeight="false" outlineLevel="0" collapsed="false">
      <c r="A3502" s="51" t="s">
        <v>166</v>
      </c>
      <c r="B3502" s="55" t="n">
        <v>44561</v>
      </c>
      <c r="C3502" s="51" t="s">
        <v>73</v>
      </c>
      <c r="D3502" s="51" t="n">
        <v>0</v>
      </c>
    </row>
    <row r="3503" customFormat="false" ht="15" hidden="true" customHeight="false" outlineLevel="0" collapsed="false">
      <c r="A3503" s="51" t="s">
        <v>171</v>
      </c>
      <c r="B3503" s="55" t="n">
        <v>44561</v>
      </c>
      <c r="C3503" s="51" t="s">
        <v>73</v>
      </c>
      <c r="D3503" s="51" t="n">
        <v>0</v>
      </c>
    </row>
    <row r="3504" customFormat="false" ht="15" hidden="true" customHeight="false" outlineLevel="0" collapsed="false">
      <c r="A3504" s="51" t="s">
        <v>176</v>
      </c>
      <c r="B3504" s="55" t="n">
        <v>44561</v>
      </c>
      <c r="C3504" s="51" t="s">
        <v>73</v>
      </c>
      <c r="D3504" s="51" t="n">
        <v>0</v>
      </c>
    </row>
    <row r="3505" customFormat="false" ht="15" hidden="true" customHeight="false" outlineLevel="0" collapsed="false">
      <c r="A3505" s="51" t="s">
        <v>181</v>
      </c>
      <c r="B3505" s="55" t="n">
        <v>44561</v>
      </c>
      <c r="C3505" s="51" t="s">
        <v>73</v>
      </c>
      <c r="D3505" s="51" t="n">
        <v>150000</v>
      </c>
    </row>
    <row r="3506" customFormat="false" ht="15" hidden="true" customHeight="false" outlineLevel="0" collapsed="false">
      <c r="A3506" s="51" t="s">
        <v>186</v>
      </c>
      <c r="B3506" s="55" t="n">
        <v>44561</v>
      </c>
      <c r="C3506" s="51" t="s">
        <v>73</v>
      </c>
      <c r="D3506" s="51" t="n">
        <v>250000</v>
      </c>
    </row>
    <row r="3507" customFormat="false" ht="15" hidden="true" customHeight="false" outlineLevel="0" collapsed="false">
      <c r="A3507" s="51" t="s">
        <v>191</v>
      </c>
      <c r="B3507" s="55" t="n">
        <v>44561</v>
      </c>
      <c r="C3507" s="51" t="s">
        <v>73</v>
      </c>
      <c r="D3507" s="51" t="n">
        <v>0</v>
      </c>
    </row>
    <row r="3508" customFormat="false" ht="15" hidden="true" customHeight="false" outlineLevel="0" collapsed="false">
      <c r="A3508" s="51" t="s">
        <v>196</v>
      </c>
      <c r="B3508" s="55" t="n">
        <v>44561</v>
      </c>
      <c r="C3508" s="51" t="s">
        <v>73</v>
      </c>
      <c r="D3508" s="51" t="n">
        <v>0</v>
      </c>
    </row>
    <row r="3509" customFormat="false" ht="15" hidden="true" customHeight="false" outlineLevel="0" collapsed="false">
      <c r="A3509" s="51" t="s">
        <v>201</v>
      </c>
      <c r="B3509" s="55" t="n">
        <v>44561</v>
      </c>
      <c r="C3509" s="51" t="s">
        <v>73</v>
      </c>
      <c r="D3509" s="51" t="n">
        <v>100000</v>
      </c>
    </row>
    <row r="3510" customFormat="false" ht="15" hidden="true" customHeight="false" outlineLevel="0" collapsed="false">
      <c r="A3510" s="51" t="s">
        <v>206</v>
      </c>
      <c r="B3510" s="55" t="n">
        <v>44561</v>
      </c>
      <c r="C3510" s="51" t="s">
        <v>73</v>
      </c>
      <c r="D3510" s="51" t="n">
        <v>1500000</v>
      </c>
    </row>
    <row r="3511" customFormat="false" ht="15" hidden="true" customHeight="false" outlineLevel="0" collapsed="false">
      <c r="A3511" s="51" t="s">
        <v>210</v>
      </c>
      <c r="B3511" s="55" t="n">
        <v>44561</v>
      </c>
      <c r="C3511" s="51" t="s">
        <v>73</v>
      </c>
      <c r="D3511" s="51" t="n">
        <v>20000</v>
      </c>
    </row>
    <row r="3512" customFormat="false" ht="15" hidden="true" customHeight="false" outlineLevel="0" collapsed="false">
      <c r="A3512" s="51" t="s">
        <v>215</v>
      </c>
      <c r="B3512" s="55" t="n">
        <v>44561</v>
      </c>
      <c r="C3512" s="51" t="s">
        <v>73</v>
      </c>
      <c r="D3512" s="51" t="n">
        <v>600000</v>
      </c>
    </row>
    <row r="3513" customFormat="false" ht="15" hidden="true" customHeight="false" outlineLevel="0" collapsed="false">
      <c r="A3513" s="51" t="s">
        <v>790</v>
      </c>
      <c r="B3513" s="55" t="n">
        <v>44561</v>
      </c>
      <c r="C3513" s="51" t="s">
        <v>73</v>
      </c>
      <c r="D3513" s="51" t="n">
        <v>50000</v>
      </c>
    </row>
    <row r="3514" customFormat="false" ht="15" hidden="true" customHeight="false" outlineLevel="0" collapsed="false">
      <c r="A3514" s="51" t="s">
        <v>225</v>
      </c>
      <c r="B3514" s="55" t="n">
        <v>44561</v>
      </c>
      <c r="C3514" s="51" t="s">
        <v>73</v>
      </c>
      <c r="D3514" s="51" t="n">
        <v>90000</v>
      </c>
    </row>
    <row r="3515" customFormat="false" ht="15" hidden="true" customHeight="false" outlineLevel="0" collapsed="false">
      <c r="A3515" s="51" t="s">
        <v>230</v>
      </c>
      <c r="B3515" s="55" t="n">
        <v>44561</v>
      </c>
      <c r="C3515" s="51" t="s">
        <v>73</v>
      </c>
      <c r="D3515" s="51" t="n">
        <v>2500000</v>
      </c>
    </row>
    <row r="3516" customFormat="false" ht="15" hidden="true" customHeight="false" outlineLevel="0" collapsed="false">
      <c r="A3516" s="51" t="s">
        <v>235</v>
      </c>
      <c r="B3516" s="55" t="n">
        <v>44561</v>
      </c>
      <c r="C3516" s="51" t="s">
        <v>73</v>
      </c>
      <c r="D3516" s="51" t="n">
        <v>325000</v>
      </c>
    </row>
    <row r="3517" customFormat="false" ht="15" hidden="true" customHeight="false" outlineLevel="0" collapsed="false">
      <c r="A3517" s="51" t="s">
        <v>240</v>
      </c>
      <c r="B3517" s="55" t="n">
        <v>44561</v>
      </c>
      <c r="C3517" s="51" t="s">
        <v>73</v>
      </c>
      <c r="D3517" s="51" t="n">
        <v>225000</v>
      </c>
    </row>
    <row r="3518" customFormat="false" ht="15" hidden="true" customHeight="false" outlineLevel="0" collapsed="false">
      <c r="A3518" s="51" t="s">
        <v>246</v>
      </c>
      <c r="B3518" s="55" t="n">
        <v>44561</v>
      </c>
      <c r="C3518" s="51" t="s">
        <v>73</v>
      </c>
      <c r="D3518" s="51" t="n">
        <v>100000</v>
      </c>
    </row>
    <row r="3519" customFormat="false" ht="15" hidden="true" customHeight="false" outlineLevel="0" collapsed="false">
      <c r="A3519" s="51" t="s">
        <v>252</v>
      </c>
      <c r="B3519" s="55" t="n">
        <v>44561</v>
      </c>
      <c r="C3519" s="51" t="s">
        <v>73</v>
      </c>
      <c r="D3519" s="51" t="n">
        <v>100000</v>
      </c>
    </row>
    <row r="3520" customFormat="false" ht="15" hidden="true" customHeight="false" outlineLevel="0" collapsed="false">
      <c r="A3520" s="51" t="s">
        <v>257</v>
      </c>
      <c r="B3520" s="55" t="n">
        <v>44561</v>
      </c>
      <c r="C3520" s="51" t="s">
        <v>73</v>
      </c>
      <c r="D3520" s="51" t="n">
        <v>0</v>
      </c>
    </row>
    <row r="3521" customFormat="false" ht="15" hidden="true" customHeight="false" outlineLevel="0" collapsed="false">
      <c r="A3521" s="51" t="s">
        <v>262</v>
      </c>
      <c r="B3521" s="55" t="n">
        <v>44561</v>
      </c>
      <c r="C3521" s="51" t="s">
        <v>73</v>
      </c>
      <c r="D3521" s="51" t="n">
        <v>100000</v>
      </c>
    </row>
    <row r="3522" customFormat="false" ht="15" hidden="true" customHeight="false" outlineLevel="0" collapsed="false">
      <c r="A3522" s="51" t="s">
        <v>267</v>
      </c>
      <c r="B3522" s="55" t="n">
        <v>44561</v>
      </c>
      <c r="C3522" s="51" t="s">
        <v>73</v>
      </c>
      <c r="D3522" s="51" t="n">
        <v>0</v>
      </c>
    </row>
    <row r="3523" customFormat="false" ht="15" hidden="true" customHeight="false" outlineLevel="0" collapsed="false">
      <c r="A3523" s="51" t="s">
        <v>272</v>
      </c>
      <c r="B3523" s="55" t="n">
        <v>44561</v>
      </c>
      <c r="C3523" s="51" t="s">
        <v>73</v>
      </c>
      <c r="D3523" s="51" t="n">
        <v>0</v>
      </c>
    </row>
    <row r="3524" customFormat="false" ht="15" hidden="true" customHeight="false" outlineLevel="0" collapsed="false">
      <c r="A3524" s="51" t="s">
        <v>277</v>
      </c>
      <c r="B3524" s="55" t="n">
        <v>44561</v>
      </c>
      <c r="C3524" s="51" t="s">
        <v>73</v>
      </c>
      <c r="D3524" s="51" t="n">
        <v>0</v>
      </c>
    </row>
    <row r="3525" customFormat="false" ht="15" hidden="true" customHeight="false" outlineLevel="0" collapsed="false">
      <c r="A3525" s="51" t="s">
        <v>282</v>
      </c>
      <c r="B3525" s="55" t="n">
        <v>44561</v>
      </c>
      <c r="C3525" s="51" t="s">
        <v>73</v>
      </c>
      <c r="D3525" s="51" t="n">
        <v>0</v>
      </c>
    </row>
    <row r="3526" customFormat="false" ht="15" hidden="true" customHeight="false" outlineLevel="0" collapsed="false">
      <c r="A3526" s="51" t="s">
        <v>287</v>
      </c>
      <c r="B3526" s="55" t="n">
        <v>44561</v>
      </c>
      <c r="C3526" s="51" t="s">
        <v>73</v>
      </c>
      <c r="D3526" s="51" t="n">
        <v>0</v>
      </c>
    </row>
    <row r="3527" customFormat="false" ht="15" hidden="true" customHeight="false" outlineLevel="0" collapsed="false">
      <c r="A3527" s="51" t="s">
        <v>292</v>
      </c>
      <c r="B3527" s="55" t="n">
        <v>44561</v>
      </c>
      <c r="C3527" s="51" t="s">
        <v>73</v>
      </c>
      <c r="D3527" s="51" t="n">
        <v>0</v>
      </c>
    </row>
    <row r="3528" customFormat="false" ht="15" hidden="true" customHeight="false" outlineLevel="0" collapsed="false">
      <c r="A3528" s="51" t="s">
        <v>297</v>
      </c>
      <c r="B3528" s="55" t="n">
        <v>44561</v>
      </c>
      <c r="C3528" s="51" t="s">
        <v>73</v>
      </c>
      <c r="D3528" s="51" t="n">
        <v>0</v>
      </c>
    </row>
    <row r="3529" customFormat="false" ht="15" hidden="true" customHeight="false" outlineLevel="0" collapsed="false">
      <c r="A3529" s="51" t="s">
        <v>302</v>
      </c>
      <c r="B3529" s="55" t="n">
        <v>44561</v>
      </c>
      <c r="C3529" s="51" t="s">
        <v>73</v>
      </c>
      <c r="D3529" s="51" t="n">
        <v>0</v>
      </c>
    </row>
    <row r="3530" customFormat="false" ht="15" hidden="true" customHeight="false" outlineLevel="0" collapsed="false">
      <c r="A3530" s="51" t="s">
        <v>307</v>
      </c>
      <c r="B3530" s="55" t="n">
        <v>44561</v>
      </c>
      <c r="C3530" s="51" t="s">
        <v>73</v>
      </c>
      <c r="D3530" s="51" t="n">
        <v>0</v>
      </c>
    </row>
    <row r="3531" customFormat="false" ht="15" hidden="true" customHeight="false" outlineLevel="0" collapsed="false">
      <c r="A3531" s="51" t="s">
        <v>311</v>
      </c>
      <c r="B3531" s="55" t="n">
        <v>44561</v>
      </c>
      <c r="C3531" s="51" t="s">
        <v>73</v>
      </c>
      <c r="D3531" s="51" t="n">
        <v>0</v>
      </c>
    </row>
    <row r="3532" customFormat="false" ht="15" hidden="true" customHeight="false" outlineLevel="0" collapsed="false">
      <c r="A3532" s="51" t="s">
        <v>317</v>
      </c>
      <c r="B3532" s="55" t="n">
        <v>44561</v>
      </c>
      <c r="C3532" s="51" t="s">
        <v>73</v>
      </c>
      <c r="D3532" s="51" t="n">
        <v>0</v>
      </c>
    </row>
    <row r="3533" customFormat="false" ht="15" hidden="true" customHeight="false" outlineLevel="0" collapsed="false">
      <c r="A3533" s="51" t="s">
        <v>322</v>
      </c>
      <c r="B3533" s="55" t="n">
        <v>44561</v>
      </c>
      <c r="C3533" s="51" t="s">
        <v>73</v>
      </c>
      <c r="D3533" s="51" t="n">
        <v>0</v>
      </c>
    </row>
    <row r="3534" customFormat="false" ht="15" hidden="true" customHeight="false" outlineLevel="0" collapsed="false">
      <c r="A3534" s="51" t="s">
        <v>327</v>
      </c>
      <c r="B3534" s="55" t="n">
        <v>44561</v>
      </c>
      <c r="C3534" s="51" t="s">
        <v>73</v>
      </c>
      <c r="D3534" s="51" t="n">
        <v>0</v>
      </c>
    </row>
    <row r="3535" customFormat="false" ht="15" hidden="true" customHeight="false" outlineLevel="0" collapsed="false">
      <c r="A3535" s="51" t="s">
        <v>332</v>
      </c>
      <c r="B3535" s="55" t="n">
        <v>44561</v>
      </c>
      <c r="C3535" s="51" t="s">
        <v>73</v>
      </c>
      <c r="D3535" s="51" t="n">
        <v>0</v>
      </c>
    </row>
    <row r="3536" customFormat="false" ht="15" hidden="true" customHeight="false" outlineLevel="0" collapsed="false">
      <c r="A3536" s="51" t="s">
        <v>339</v>
      </c>
      <c r="B3536" s="55" t="n">
        <v>44561</v>
      </c>
      <c r="C3536" s="51" t="s">
        <v>73</v>
      </c>
      <c r="D3536" s="51" t="n">
        <v>0</v>
      </c>
    </row>
    <row r="3537" customFormat="false" ht="15" hidden="true" customHeight="false" outlineLevel="0" collapsed="false">
      <c r="A3537" s="51" t="s">
        <v>344</v>
      </c>
      <c r="B3537" s="55" t="n">
        <v>44561</v>
      </c>
      <c r="C3537" s="51" t="s">
        <v>73</v>
      </c>
      <c r="D3537" s="51" t="n">
        <v>0</v>
      </c>
    </row>
    <row r="3538" customFormat="false" ht="15" hidden="true" customHeight="false" outlineLevel="0" collapsed="false">
      <c r="A3538" s="51" t="s">
        <v>349</v>
      </c>
      <c r="B3538" s="55" t="n">
        <v>44561</v>
      </c>
      <c r="C3538" s="51" t="s">
        <v>73</v>
      </c>
      <c r="D3538" s="51" t="n">
        <v>0</v>
      </c>
    </row>
    <row r="3539" customFormat="false" ht="15" hidden="true" customHeight="false" outlineLevel="0" collapsed="false">
      <c r="A3539" s="51" t="s">
        <v>354</v>
      </c>
      <c r="B3539" s="55" t="n">
        <v>44561</v>
      </c>
      <c r="C3539" s="51" t="s">
        <v>73</v>
      </c>
      <c r="D3539" s="51" t="n">
        <v>0</v>
      </c>
    </row>
    <row r="3540" customFormat="false" ht="15" hidden="true" customHeight="false" outlineLevel="0" collapsed="false">
      <c r="A3540" s="51" t="s">
        <v>359</v>
      </c>
      <c r="B3540" s="55" t="n">
        <v>44561</v>
      </c>
      <c r="C3540" s="51" t="s">
        <v>73</v>
      </c>
      <c r="D3540" s="51" t="n">
        <v>0</v>
      </c>
    </row>
    <row r="3541" customFormat="false" ht="15" hidden="true" customHeight="false" outlineLevel="0" collapsed="false">
      <c r="A3541" s="51" t="s">
        <v>364</v>
      </c>
      <c r="B3541" s="55" t="n">
        <v>44561</v>
      </c>
      <c r="C3541" s="51" t="s">
        <v>73</v>
      </c>
      <c r="D3541" s="51" t="n">
        <v>0</v>
      </c>
    </row>
    <row r="3542" customFormat="false" ht="15" hidden="true" customHeight="false" outlineLevel="0" collapsed="false">
      <c r="A3542" s="51" t="s">
        <v>369</v>
      </c>
      <c r="B3542" s="55" t="n">
        <v>44561</v>
      </c>
      <c r="C3542" s="51" t="s">
        <v>73</v>
      </c>
      <c r="D3542" s="51" t="n">
        <v>0</v>
      </c>
    </row>
    <row r="3543" customFormat="false" ht="15" hidden="true" customHeight="false" outlineLevel="0" collapsed="false">
      <c r="A3543" s="51" t="s">
        <v>374</v>
      </c>
      <c r="B3543" s="55" t="n">
        <v>44561</v>
      </c>
      <c r="C3543" s="51" t="s">
        <v>73</v>
      </c>
      <c r="D3543" s="51" t="n">
        <v>0</v>
      </c>
    </row>
    <row r="3544" customFormat="false" ht="15" hidden="true" customHeight="false" outlineLevel="0" collapsed="false">
      <c r="A3544" s="51" t="s">
        <v>379</v>
      </c>
      <c r="B3544" s="55" t="n">
        <v>44561</v>
      </c>
      <c r="C3544" s="51" t="s">
        <v>73</v>
      </c>
      <c r="D3544" s="51" t="n">
        <v>0</v>
      </c>
    </row>
    <row r="3545" customFormat="false" ht="15" hidden="true" customHeight="false" outlineLevel="0" collapsed="false">
      <c r="A3545" s="51" t="s">
        <v>384</v>
      </c>
      <c r="B3545" s="55" t="n">
        <v>44561</v>
      </c>
      <c r="C3545" s="51" t="s">
        <v>73</v>
      </c>
      <c r="D3545" s="51" t="n">
        <v>0</v>
      </c>
    </row>
    <row r="3546" customFormat="false" ht="15" hidden="true" customHeight="false" outlineLevel="0" collapsed="false">
      <c r="A3546" s="51" t="s">
        <v>389</v>
      </c>
      <c r="B3546" s="55" t="n">
        <v>44561</v>
      </c>
      <c r="C3546" s="51" t="s">
        <v>73</v>
      </c>
      <c r="D3546" s="51" t="n">
        <v>0</v>
      </c>
    </row>
    <row r="3547" customFormat="false" ht="15" hidden="true" customHeight="false" outlineLevel="0" collapsed="false">
      <c r="A3547" s="51" t="s">
        <v>394</v>
      </c>
      <c r="B3547" s="55" t="n">
        <v>44561</v>
      </c>
      <c r="C3547" s="51" t="s">
        <v>73</v>
      </c>
      <c r="D3547" s="51" t="n">
        <v>0</v>
      </c>
    </row>
    <row r="3548" customFormat="false" ht="15" hidden="true" customHeight="false" outlineLevel="0" collapsed="false">
      <c r="A3548" s="51" t="s">
        <v>399</v>
      </c>
      <c r="B3548" s="55" t="n">
        <v>44561</v>
      </c>
      <c r="C3548" s="51" t="s">
        <v>73</v>
      </c>
      <c r="D3548" s="51" t="n">
        <v>0</v>
      </c>
    </row>
    <row r="3549" customFormat="false" ht="15" hidden="true" customHeight="false" outlineLevel="0" collapsed="false">
      <c r="A3549" s="51" t="s">
        <v>404</v>
      </c>
      <c r="B3549" s="55" t="n">
        <v>44561</v>
      </c>
      <c r="C3549" s="51" t="s">
        <v>73</v>
      </c>
      <c r="D3549" s="51" t="n">
        <v>0</v>
      </c>
    </row>
    <row r="3550" customFormat="false" ht="15" hidden="true" customHeight="false" outlineLevel="0" collapsed="false">
      <c r="A3550" s="51" t="s">
        <v>409</v>
      </c>
      <c r="B3550" s="55" t="n">
        <v>44561</v>
      </c>
      <c r="C3550" s="51" t="s">
        <v>73</v>
      </c>
      <c r="D3550" s="51" t="n">
        <v>0</v>
      </c>
    </row>
    <row r="3551" customFormat="false" ht="15" hidden="true" customHeight="false" outlineLevel="0" collapsed="false">
      <c r="A3551" s="51" t="s">
        <v>414</v>
      </c>
      <c r="B3551" s="55" t="n">
        <v>44561</v>
      </c>
      <c r="C3551" s="51" t="s">
        <v>73</v>
      </c>
      <c r="D3551" s="51" t="n">
        <v>0</v>
      </c>
    </row>
    <row r="3552" customFormat="false" ht="15" hidden="true" customHeight="false" outlineLevel="0" collapsed="false">
      <c r="A3552" s="51" t="s">
        <v>419</v>
      </c>
      <c r="B3552" s="55" t="n">
        <v>44561</v>
      </c>
      <c r="C3552" s="51" t="s">
        <v>73</v>
      </c>
      <c r="D3552" s="51" t="n">
        <v>0</v>
      </c>
    </row>
    <row r="3553" customFormat="false" ht="15" hidden="true" customHeight="false" outlineLevel="0" collapsed="false">
      <c r="A3553" s="51" t="s">
        <v>424</v>
      </c>
      <c r="B3553" s="55" t="n">
        <v>44561</v>
      </c>
      <c r="C3553" s="51" t="s">
        <v>73</v>
      </c>
      <c r="D3553" s="51" t="n">
        <v>0</v>
      </c>
    </row>
    <row r="3554" customFormat="false" ht="15" hidden="true" customHeight="false" outlineLevel="0" collapsed="false">
      <c r="A3554" s="51" t="s">
        <v>429</v>
      </c>
      <c r="B3554" s="55" t="n">
        <v>44561</v>
      </c>
      <c r="C3554" s="51" t="s">
        <v>73</v>
      </c>
      <c r="D3554" s="51" t="n">
        <v>0</v>
      </c>
    </row>
    <row r="3555" customFormat="false" ht="15" hidden="true" customHeight="false" outlineLevel="0" collapsed="false">
      <c r="A3555" s="51" t="s">
        <v>434</v>
      </c>
      <c r="B3555" s="55" t="n">
        <v>44561</v>
      </c>
      <c r="C3555" s="51" t="s">
        <v>73</v>
      </c>
      <c r="D3555" s="51" t="n">
        <v>0</v>
      </c>
    </row>
    <row r="3556" customFormat="false" ht="15" hidden="true" customHeight="false" outlineLevel="0" collapsed="false">
      <c r="A3556" s="51" t="s">
        <v>438</v>
      </c>
      <c r="B3556" s="55" t="n">
        <v>44561</v>
      </c>
      <c r="C3556" s="51" t="s">
        <v>73</v>
      </c>
      <c r="D3556" s="51" t="n">
        <v>0</v>
      </c>
    </row>
    <row r="3557" customFormat="false" ht="15" hidden="true" customHeight="false" outlineLevel="0" collapsed="false">
      <c r="A3557" s="51" t="s">
        <v>443</v>
      </c>
      <c r="B3557" s="55" t="n">
        <v>44561</v>
      </c>
      <c r="C3557" s="51" t="s">
        <v>73</v>
      </c>
      <c r="D3557" s="51" t="n">
        <v>0</v>
      </c>
    </row>
    <row r="3558" customFormat="false" ht="15" hidden="true" customHeight="false" outlineLevel="0" collapsed="false">
      <c r="A3558" s="51" t="s">
        <v>448</v>
      </c>
      <c r="B3558" s="55" t="n">
        <v>44561</v>
      </c>
      <c r="C3558" s="51" t="s">
        <v>73</v>
      </c>
      <c r="D3558" s="51" t="n">
        <v>0</v>
      </c>
    </row>
    <row r="3559" customFormat="false" ht="15" hidden="true" customHeight="false" outlineLevel="0" collapsed="false">
      <c r="A3559" s="51" t="s">
        <v>453</v>
      </c>
      <c r="B3559" s="55" t="n">
        <v>44561</v>
      </c>
      <c r="C3559" s="51" t="s">
        <v>73</v>
      </c>
      <c r="D3559" s="51" t="n">
        <v>0</v>
      </c>
    </row>
    <row r="3560" customFormat="false" ht="15" hidden="true" customHeight="false" outlineLevel="0" collapsed="false">
      <c r="A3560" s="51" t="s">
        <v>458</v>
      </c>
      <c r="B3560" s="55" t="n">
        <v>44561</v>
      </c>
      <c r="C3560" s="51" t="s">
        <v>73</v>
      </c>
      <c r="D3560" s="51" t="n">
        <v>0</v>
      </c>
    </row>
    <row r="3561" customFormat="false" ht="15" hidden="true" customHeight="false" outlineLevel="0" collapsed="false">
      <c r="A3561" s="51" t="s">
        <v>473</v>
      </c>
      <c r="B3561" s="55" t="n">
        <v>44561</v>
      </c>
      <c r="C3561" s="51" t="s">
        <v>73</v>
      </c>
      <c r="D3561" s="51" t="n">
        <v>0</v>
      </c>
    </row>
    <row r="3562" customFormat="false" ht="15" hidden="true" customHeight="false" outlineLevel="0" collapsed="false">
      <c r="A3562" s="51" t="s">
        <v>479</v>
      </c>
      <c r="B3562" s="55" t="n">
        <v>44561</v>
      </c>
      <c r="C3562" s="51" t="s">
        <v>73</v>
      </c>
      <c r="D3562" s="51" t="n">
        <v>0</v>
      </c>
    </row>
    <row r="3563" customFormat="false" ht="15" hidden="true" customHeight="false" outlineLevel="0" collapsed="false">
      <c r="A3563" s="51" t="s">
        <v>484</v>
      </c>
      <c r="B3563" s="55" t="n">
        <v>44561</v>
      </c>
      <c r="C3563" s="51" t="s">
        <v>73</v>
      </c>
      <c r="D3563" s="51" t="n">
        <v>0</v>
      </c>
    </row>
    <row r="3564" customFormat="false" ht="15" hidden="true" customHeight="false" outlineLevel="0" collapsed="false">
      <c r="A3564" s="51" t="s">
        <v>489</v>
      </c>
      <c r="B3564" s="55" t="n">
        <v>44561</v>
      </c>
      <c r="C3564" s="51" t="s">
        <v>73</v>
      </c>
      <c r="D3564" s="51" t="n">
        <v>0</v>
      </c>
    </row>
    <row r="3565" customFormat="false" ht="15" hidden="true" customHeight="false" outlineLevel="0" collapsed="false">
      <c r="A3565" s="51" t="s">
        <v>494</v>
      </c>
      <c r="B3565" s="55" t="n">
        <v>44561</v>
      </c>
      <c r="C3565" s="51" t="s">
        <v>73</v>
      </c>
      <c r="D3565" s="51" t="n">
        <v>0</v>
      </c>
    </row>
    <row r="3566" customFormat="false" ht="15" hidden="true" customHeight="false" outlineLevel="0" collapsed="false">
      <c r="A3566" s="51" t="s">
        <v>499</v>
      </c>
      <c r="B3566" s="55" t="n">
        <v>44561</v>
      </c>
      <c r="C3566" s="51" t="s">
        <v>73</v>
      </c>
      <c r="D3566" s="51" t="n">
        <v>0</v>
      </c>
    </row>
    <row r="3567" customFormat="false" ht="15" hidden="true" customHeight="false" outlineLevel="0" collapsed="false">
      <c r="A3567" s="51" t="s">
        <v>504</v>
      </c>
      <c r="B3567" s="55" t="n">
        <v>44561</v>
      </c>
      <c r="C3567" s="51" t="s">
        <v>73</v>
      </c>
      <c r="D3567" s="51" t="n">
        <v>0</v>
      </c>
    </row>
    <row r="3568" customFormat="false" ht="15" hidden="true" customHeight="false" outlineLevel="0" collapsed="false">
      <c r="A3568" s="51" t="s">
        <v>509</v>
      </c>
      <c r="B3568" s="55" t="n">
        <v>44561</v>
      </c>
      <c r="C3568" s="51" t="s">
        <v>73</v>
      </c>
      <c r="D3568" s="51" t="n">
        <v>0</v>
      </c>
    </row>
    <row r="3569" customFormat="false" ht="15" hidden="true" customHeight="false" outlineLevel="0" collapsed="false">
      <c r="A3569" s="51" t="s">
        <v>515</v>
      </c>
      <c r="B3569" s="55" t="n">
        <v>44561</v>
      </c>
      <c r="C3569" s="51" t="s">
        <v>73</v>
      </c>
      <c r="D3569" s="51" t="n">
        <v>0</v>
      </c>
    </row>
    <row r="3570" customFormat="false" ht="15" hidden="true" customHeight="false" outlineLevel="0" collapsed="false">
      <c r="A3570" s="51" t="s">
        <v>520</v>
      </c>
      <c r="B3570" s="55" t="n">
        <v>44561</v>
      </c>
      <c r="C3570" s="51" t="s">
        <v>73</v>
      </c>
      <c r="D3570" s="51" t="n">
        <v>0</v>
      </c>
    </row>
    <row r="3571" customFormat="false" ht="15" hidden="true" customHeight="false" outlineLevel="0" collapsed="false">
      <c r="A3571" s="51" t="s">
        <v>525</v>
      </c>
      <c r="B3571" s="55" t="n">
        <v>44561</v>
      </c>
      <c r="C3571" s="51" t="s">
        <v>73</v>
      </c>
      <c r="D3571" s="51" t="n">
        <v>0</v>
      </c>
    </row>
    <row r="3572" customFormat="false" ht="15" hidden="true" customHeight="false" outlineLevel="0" collapsed="false">
      <c r="A3572" s="51" t="s">
        <v>531</v>
      </c>
      <c r="B3572" s="55" t="n">
        <v>44561</v>
      </c>
      <c r="C3572" s="51" t="s">
        <v>73</v>
      </c>
      <c r="D3572" s="51" t="n">
        <v>0</v>
      </c>
    </row>
    <row r="3573" customFormat="false" ht="15" hidden="true" customHeight="false" outlineLevel="0" collapsed="false">
      <c r="A3573" s="51" t="s">
        <v>536</v>
      </c>
      <c r="B3573" s="55" t="n">
        <v>44561</v>
      </c>
      <c r="C3573" s="51" t="s">
        <v>73</v>
      </c>
      <c r="D3573" s="51" t="n">
        <v>0</v>
      </c>
    </row>
    <row r="3574" customFormat="false" ht="15" hidden="true" customHeight="false" outlineLevel="0" collapsed="false">
      <c r="A3574" s="51" t="s">
        <v>541</v>
      </c>
      <c r="B3574" s="55" t="n">
        <v>44561</v>
      </c>
      <c r="C3574" s="51" t="s">
        <v>73</v>
      </c>
      <c r="D3574" s="51" t="n">
        <v>0</v>
      </c>
    </row>
    <row r="3575" customFormat="false" ht="15" hidden="true" customHeight="false" outlineLevel="0" collapsed="false">
      <c r="A3575" s="51" t="s">
        <v>549</v>
      </c>
      <c r="B3575" s="55" t="n">
        <v>44561</v>
      </c>
      <c r="C3575" s="51" t="s">
        <v>73</v>
      </c>
      <c r="D3575" s="51" t="n">
        <v>0</v>
      </c>
    </row>
    <row r="3576" customFormat="false" ht="15" hidden="true" customHeight="false" outlineLevel="0" collapsed="false">
      <c r="A3576" s="51" t="s">
        <v>554</v>
      </c>
      <c r="B3576" s="55" t="n">
        <v>44561</v>
      </c>
      <c r="C3576" s="51" t="s">
        <v>73</v>
      </c>
      <c r="D3576" s="51" t="n">
        <v>0</v>
      </c>
    </row>
    <row r="3577" customFormat="false" ht="15" hidden="true" customHeight="false" outlineLevel="0" collapsed="false">
      <c r="A3577" s="51" t="s">
        <v>559</v>
      </c>
      <c r="B3577" s="55" t="n">
        <v>44561</v>
      </c>
      <c r="C3577" s="51" t="s">
        <v>73</v>
      </c>
      <c r="D3577" s="51" t="n">
        <v>0</v>
      </c>
    </row>
    <row r="3578" customFormat="false" ht="15" hidden="true" customHeight="false" outlineLevel="0" collapsed="false">
      <c r="A3578" s="51" t="s">
        <v>564</v>
      </c>
      <c r="B3578" s="55" t="n">
        <v>44561</v>
      </c>
      <c r="C3578" s="51" t="s">
        <v>73</v>
      </c>
      <c r="D3578" s="51" t="n">
        <v>0</v>
      </c>
    </row>
    <row r="3579" customFormat="false" ht="15" hidden="true" customHeight="false" outlineLevel="0" collapsed="false">
      <c r="A3579" s="51" t="s">
        <v>569</v>
      </c>
      <c r="B3579" s="55" t="n">
        <v>44561</v>
      </c>
      <c r="C3579" s="51" t="s">
        <v>73</v>
      </c>
      <c r="D3579" s="51" t="n">
        <v>0</v>
      </c>
    </row>
    <row r="3580" customFormat="false" ht="15" hidden="true" customHeight="false" outlineLevel="0" collapsed="false">
      <c r="A3580" s="51" t="s">
        <v>574</v>
      </c>
      <c r="B3580" s="55" t="n">
        <v>44561</v>
      </c>
      <c r="C3580" s="51" t="s">
        <v>73</v>
      </c>
      <c r="D3580" s="51" t="n">
        <v>0</v>
      </c>
    </row>
    <row r="3581" customFormat="false" ht="15" hidden="true" customHeight="false" outlineLevel="0" collapsed="false">
      <c r="A3581" s="51" t="s">
        <v>579</v>
      </c>
      <c r="B3581" s="55" t="n">
        <v>44561</v>
      </c>
      <c r="C3581" s="51" t="s">
        <v>73</v>
      </c>
      <c r="D3581" s="51" t="n">
        <v>0</v>
      </c>
    </row>
    <row r="3582" customFormat="false" ht="15" hidden="true" customHeight="false" outlineLevel="0" collapsed="false">
      <c r="A3582" s="51" t="s">
        <v>584</v>
      </c>
      <c r="B3582" s="55" t="n">
        <v>44561</v>
      </c>
      <c r="C3582" s="51" t="s">
        <v>73</v>
      </c>
      <c r="D3582" s="51" t="n">
        <v>0</v>
      </c>
    </row>
    <row r="3583" customFormat="false" ht="15" hidden="true" customHeight="false" outlineLevel="0" collapsed="false">
      <c r="A3583" s="51" t="s">
        <v>589</v>
      </c>
      <c r="B3583" s="55" t="n">
        <v>44561</v>
      </c>
      <c r="C3583" s="51" t="s">
        <v>73</v>
      </c>
      <c r="D3583" s="51" t="n">
        <v>0</v>
      </c>
    </row>
    <row r="3584" customFormat="false" ht="15" hidden="true" customHeight="false" outlineLevel="0" collapsed="false">
      <c r="A3584" s="51" t="s">
        <v>756</v>
      </c>
      <c r="B3584" s="55" t="n">
        <v>44561</v>
      </c>
      <c r="C3584" s="51" t="s">
        <v>73</v>
      </c>
      <c r="D3584" s="51" t="n">
        <v>0</v>
      </c>
    </row>
    <row r="3585" customFormat="false" ht="15" hidden="true" customHeight="false" outlineLevel="0" collapsed="false">
      <c r="A3585" s="51" t="s">
        <v>594</v>
      </c>
      <c r="B3585" s="55" t="n">
        <v>44561</v>
      </c>
      <c r="C3585" s="51" t="s">
        <v>73</v>
      </c>
      <c r="D3585" s="51" t="n">
        <v>0</v>
      </c>
    </row>
    <row r="3586" customFormat="false" ht="15" hidden="true" customHeight="false" outlineLevel="0" collapsed="false">
      <c r="A3586" s="51" t="s">
        <v>761</v>
      </c>
      <c r="B3586" s="55" t="n">
        <v>44561</v>
      </c>
      <c r="C3586" s="51" t="s">
        <v>73</v>
      </c>
      <c r="D3586" s="51" t="n">
        <v>0</v>
      </c>
    </row>
    <row r="3587" customFormat="false" ht="15" hidden="true" customHeight="false" outlineLevel="0" collapsed="false">
      <c r="A3587" s="51" t="s">
        <v>599</v>
      </c>
      <c r="B3587" s="55" t="n">
        <v>44561</v>
      </c>
      <c r="C3587" s="51" t="s">
        <v>73</v>
      </c>
      <c r="D3587" s="51" t="n">
        <v>0</v>
      </c>
    </row>
    <row r="3588" customFormat="false" ht="15" hidden="true" customHeight="false" outlineLevel="0" collapsed="false">
      <c r="A3588" s="51" t="s">
        <v>604</v>
      </c>
      <c r="B3588" s="55" t="n">
        <v>44561</v>
      </c>
      <c r="C3588" s="51" t="s">
        <v>73</v>
      </c>
      <c r="D3588" s="51" t="n">
        <v>0</v>
      </c>
    </row>
    <row r="3589" customFormat="false" ht="15" hidden="true" customHeight="false" outlineLevel="0" collapsed="false">
      <c r="A3589" s="51" t="s">
        <v>609</v>
      </c>
      <c r="B3589" s="55" t="n">
        <v>44561</v>
      </c>
      <c r="C3589" s="51" t="s">
        <v>73</v>
      </c>
      <c r="D3589" s="51" t="n">
        <v>0</v>
      </c>
    </row>
    <row r="3590" customFormat="false" ht="15" hidden="true" customHeight="false" outlineLevel="0" collapsed="false">
      <c r="A3590" s="51" t="s">
        <v>614</v>
      </c>
      <c r="B3590" s="55" t="n">
        <v>44561</v>
      </c>
      <c r="C3590" s="51" t="s">
        <v>73</v>
      </c>
      <c r="D3590" s="51" t="n">
        <v>0</v>
      </c>
    </row>
    <row r="3591" customFormat="false" ht="15" hidden="true" customHeight="false" outlineLevel="0" collapsed="false">
      <c r="A3591" s="51" t="s">
        <v>619</v>
      </c>
      <c r="B3591" s="55" t="n">
        <v>44561</v>
      </c>
      <c r="C3591" s="51" t="s">
        <v>73</v>
      </c>
      <c r="D3591" s="51" t="n">
        <v>0</v>
      </c>
    </row>
    <row r="3592" customFormat="false" ht="15" hidden="true" customHeight="false" outlineLevel="0" collapsed="false">
      <c r="A3592" s="51" t="s">
        <v>624</v>
      </c>
      <c r="B3592" s="55" t="n">
        <v>44561</v>
      </c>
      <c r="C3592" s="51" t="s">
        <v>73</v>
      </c>
      <c r="D3592" s="51" t="n">
        <v>0</v>
      </c>
    </row>
    <row r="3593" customFormat="false" ht="15" hidden="true" customHeight="false" outlineLevel="0" collapsed="false">
      <c r="A3593" s="51" t="s">
        <v>629</v>
      </c>
      <c r="B3593" s="55" t="n">
        <v>44561</v>
      </c>
      <c r="C3593" s="51" t="s">
        <v>73</v>
      </c>
      <c r="D3593" s="51" t="n">
        <v>0</v>
      </c>
    </row>
    <row r="3594" customFormat="false" ht="15" hidden="true" customHeight="false" outlineLevel="0" collapsed="false">
      <c r="A3594" s="51" t="s">
        <v>633</v>
      </c>
      <c r="B3594" s="55" t="n">
        <v>44561</v>
      </c>
      <c r="C3594" s="51" t="s">
        <v>73</v>
      </c>
      <c r="D3594" s="51" t="n">
        <v>0</v>
      </c>
    </row>
    <row r="3595" customFormat="false" ht="15" hidden="true" customHeight="false" outlineLevel="0" collapsed="false">
      <c r="A3595" s="51" t="s">
        <v>638</v>
      </c>
      <c r="B3595" s="55" t="n">
        <v>44561</v>
      </c>
      <c r="C3595" s="51" t="s">
        <v>73</v>
      </c>
      <c r="D3595" s="51" t="n">
        <v>0</v>
      </c>
    </row>
    <row r="3596" customFormat="false" ht="15" hidden="true" customHeight="false" outlineLevel="0" collapsed="false">
      <c r="A3596" s="51" t="s">
        <v>642</v>
      </c>
      <c r="B3596" s="55" t="n">
        <v>44561</v>
      </c>
      <c r="C3596" s="51" t="s">
        <v>73</v>
      </c>
      <c r="D3596" s="51" t="n">
        <v>0</v>
      </c>
    </row>
    <row r="3597" customFormat="false" ht="15" hidden="true" customHeight="false" outlineLevel="0" collapsed="false">
      <c r="A3597" s="51" t="s">
        <v>646</v>
      </c>
      <c r="B3597" s="55" t="n">
        <v>44561</v>
      </c>
      <c r="C3597" s="51" t="s">
        <v>73</v>
      </c>
      <c r="D3597" s="51" t="n">
        <v>0</v>
      </c>
    </row>
    <row r="3598" customFormat="false" ht="15" hidden="true" customHeight="false" outlineLevel="0" collapsed="false">
      <c r="A3598" s="51" t="s">
        <v>651</v>
      </c>
      <c r="B3598" s="55" t="n">
        <v>44561</v>
      </c>
      <c r="C3598" s="51" t="s">
        <v>73</v>
      </c>
      <c r="D3598" s="51" t="n">
        <v>0</v>
      </c>
    </row>
    <row r="3599" customFormat="false" ht="15" hidden="true" customHeight="false" outlineLevel="0" collapsed="false">
      <c r="A3599" s="51" t="s">
        <v>656</v>
      </c>
      <c r="B3599" s="55" t="n">
        <v>44561</v>
      </c>
      <c r="C3599" s="51" t="s">
        <v>73</v>
      </c>
      <c r="D3599" s="51" t="n">
        <v>0</v>
      </c>
    </row>
    <row r="3600" customFormat="false" ht="15" hidden="true" customHeight="false" outlineLevel="0" collapsed="false">
      <c r="A3600" s="51" t="s">
        <v>661</v>
      </c>
      <c r="B3600" s="55" t="n">
        <v>44561</v>
      </c>
      <c r="C3600" s="51" t="s">
        <v>73</v>
      </c>
      <c r="D3600" s="51" t="n">
        <v>0</v>
      </c>
    </row>
    <row r="3601" customFormat="false" ht="15" hidden="true" customHeight="false" outlineLevel="0" collapsed="false">
      <c r="A3601" s="51" t="s">
        <v>666</v>
      </c>
      <c r="B3601" s="55" t="n">
        <v>44561</v>
      </c>
      <c r="C3601" s="51" t="s">
        <v>73</v>
      </c>
      <c r="D3601" s="51" t="n">
        <v>0</v>
      </c>
    </row>
    <row r="3602" customFormat="false" ht="15" hidden="true" customHeight="false" outlineLevel="0" collapsed="false">
      <c r="A3602" s="51" t="s">
        <v>671</v>
      </c>
      <c r="B3602" s="55" t="n">
        <v>44561</v>
      </c>
      <c r="C3602" s="51" t="s">
        <v>73</v>
      </c>
      <c r="D3602" s="51" t="n">
        <v>0</v>
      </c>
    </row>
    <row r="3603" customFormat="false" ht="15" hidden="true" customHeight="false" outlineLevel="0" collapsed="false">
      <c r="A3603" s="51" t="s">
        <v>676</v>
      </c>
      <c r="B3603" s="55" t="n">
        <v>44561</v>
      </c>
      <c r="C3603" s="51" t="s">
        <v>73</v>
      </c>
      <c r="D3603" s="51" t="n">
        <v>0</v>
      </c>
    </row>
    <row r="3604" customFormat="false" ht="15" hidden="true" customHeight="false" outlineLevel="0" collapsed="false">
      <c r="A3604" s="51" t="s">
        <v>681</v>
      </c>
      <c r="B3604" s="55" t="n">
        <v>44561</v>
      </c>
      <c r="C3604" s="51" t="s">
        <v>73</v>
      </c>
      <c r="D3604" s="51" t="n">
        <v>0</v>
      </c>
    </row>
    <row r="3605" customFormat="false" ht="15" hidden="true" customHeight="false" outlineLevel="0" collapsed="false">
      <c r="A3605" s="51" t="s">
        <v>686</v>
      </c>
      <c r="B3605" s="55" t="n">
        <v>44561</v>
      </c>
      <c r="C3605" s="51" t="s">
        <v>73</v>
      </c>
      <c r="D3605" s="51" t="n">
        <v>0</v>
      </c>
    </row>
    <row r="3606" customFormat="false" ht="15" hidden="true" customHeight="false" outlineLevel="0" collapsed="false">
      <c r="A3606" s="51" t="s">
        <v>691</v>
      </c>
      <c r="B3606" s="55" t="n">
        <v>44561</v>
      </c>
      <c r="C3606" s="51" t="s">
        <v>73</v>
      </c>
      <c r="D3606" s="51" t="n">
        <v>0</v>
      </c>
    </row>
    <row r="3607" customFormat="false" ht="15" hidden="true" customHeight="false" outlineLevel="0" collapsed="false">
      <c r="A3607" s="51" t="s">
        <v>696</v>
      </c>
      <c r="B3607" s="55" t="n">
        <v>44561</v>
      </c>
      <c r="C3607" s="51" t="s">
        <v>73</v>
      </c>
      <c r="D3607" s="51" t="n">
        <v>0</v>
      </c>
    </row>
    <row r="3608" customFormat="false" ht="15" hidden="true" customHeight="false" outlineLevel="0" collapsed="false">
      <c r="A3608" s="51" t="s">
        <v>701</v>
      </c>
      <c r="B3608" s="55" t="n">
        <v>44561</v>
      </c>
      <c r="C3608" s="51" t="s">
        <v>73</v>
      </c>
      <c r="D3608" s="51" t="n">
        <v>0</v>
      </c>
    </row>
    <row r="3609" customFormat="false" ht="15" hidden="true" customHeight="false" outlineLevel="0" collapsed="false">
      <c r="A3609" s="51" t="s">
        <v>707</v>
      </c>
      <c r="B3609" s="55" t="n">
        <v>44561</v>
      </c>
      <c r="C3609" s="51" t="s">
        <v>73</v>
      </c>
      <c r="D3609" s="51" t="n">
        <v>0</v>
      </c>
    </row>
    <row r="3610" customFormat="false" ht="15" hidden="true" customHeight="false" outlineLevel="0" collapsed="false">
      <c r="A3610" s="51" t="s">
        <v>712</v>
      </c>
      <c r="B3610" s="55" t="n">
        <v>44561</v>
      </c>
      <c r="C3610" s="51" t="s">
        <v>73</v>
      </c>
      <c r="D3610" s="51" t="n">
        <v>0</v>
      </c>
    </row>
    <row r="3611" customFormat="false" ht="15" hidden="true" customHeight="false" outlineLevel="0" collapsed="false">
      <c r="A3611" s="51" t="s">
        <v>717</v>
      </c>
      <c r="B3611" s="55" t="n">
        <v>44561</v>
      </c>
      <c r="C3611" s="51" t="s">
        <v>73</v>
      </c>
      <c r="D3611" s="51" t="n">
        <v>0</v>
      </c>
    </row>
    <row r="3612" customFormat="false" ht="15" hidden="true" customHeight="false" outlineLevel="0" collapsed="false">
      <c r="A3612" s="51" t="s">
        <v>767</v>
      </c>
      <c r="B3612" s="55" t="n">
        <v>44561</v>
      </c>
      <c r="C3612" s="51" t="s">
        <v>73</v>
      </c>
      <c r="D3612" s="51" t="n">
        <v>0</v>
      </c>
    </row>
    <row r="3613" customFormat="false" ht="15" hidden="true" customHeight="false" outlineLevel="0" collapsed="false">
      <c r="A3613" s="51" t="s">
        <v>722</v>
      </c>
      <c r="B3613" s="55" t="n">
        <v>44561</v>
      </c>
      <c r="C3613" s="51" t="s">
        <v>73</v>
      </c>
      <c r="D3613" s="51" t="n">
        <v>0</v>
      </c>
    </row>
    <row r="3614" customFormat="false" ht="15" hidden="true" customHeight="false" outlineLevel="0" collapsed="false">
      <c r="A3614" s="51" t="s">
        <v>727</v>
      </c>
      <c r="B3614" s="55" t="n">
        <v>44561</v>
      </c>
      <c r="C3614" s="51" t="s">
        <v>73</v>
      </c>
      <c r="D3614" s="51" t="n">
        <v>0</v>
      </c>
    </row>
    <row r="3615" customFormat="false" ht="15" hidden="true" customHeight="false" outlineLevel="0" collapsed="false">
      <c r="A3615" s="51" t="s">
        <v>732</v>
      </c>
      <c r="B3615" s="55" t="n">
        <v>44561</v>
      </c>
      <c r="C3615" s="51" t="s">
        <v>73</v>
      </c>
      <c r="D3615" s="51" t="n">
        <v>0</v>
      </c>
    </row>
    <row r="3616" customFormat="false" ht="15" hidden="true" customHeight="false" outlineLevel="0" collapsed="false">
      <c r="A3616" s="51" t="s">
        <v>736</v>
      </c>
      <c r="B3616" s="55" t="n">
        <v>44561</v>
      </c>
      <c r="C3616" s="51" t="s">
        <v>73</v>
      </c>
      <c r="D3616" s="51" t="n">
        <v>0</v>
      </c>
    </row>
    <row r="3617" customFormat="false" ht="15" hidden="true" customHeight="false" outlineLevel="0" collapsed="false">
      <c r="A3617" s="51" t="s">
        <v>741</v>
      </c>
      <c r="B3617" s="55" t="n">
        <v>44561</v>
      </c>
      <c r="C3617" s="51" t="s">
        <v>73</v>
      </c>
      <c r="D3617" s="51" t="n">
        <v>0</v>
      </c>
    </row>
    <row r="3618" customFormat="false" ht="15" hidden="true" customHeight="false" outlineLevel="0" collapsed="false">
      <c r="A3618" s="51" t="s">
        <v>746</v>
      </c>
      <c r="B3618" s="55" t="n">
        <v>44561</v>
      </c>
      <c r="C3618" s="51" t="s">
        <v>73</v>
      </c>
      <c r="D3618" s="51" t="n">
        <v>0</v>
      </c>
    </row>
    <row r="3619" customFormat="false" ht="15" hidden="true" customHeight="false" outlineLevel="0" collapsed="false">
      <c r="A3619" s="51" t="s">
        <v>751</v>
      </c>
      <c r="B3619" s="55" t="n">
        <v>44561</v>
      </c>
      <c r="C3619" s="51" t="s">
        <v>73</v>
      </c>
      <c r="D3619" s="51" t="n">
        <v>0</v>
      </c>
    </row>
    <row r="3620" customFormat="false" ht="15" hidden="false" customHeight="false" outlineLevel="0" collapsed="false">
      <c r="A3620" s="51" t="s">
        <v>781</v>
      </c>
      <c r="B3620" s="55" t="n">
        <v>44561</v>
      </c>
      <c r="C3620" s="51" t="s">
        <v>791</v>
      </c>
      <c r="D3620" s="51" t="n">
        <v>0</v>
      </c>
    </row>
    <row r="3621" customFormat="false" ht="15" hidden="true" customHeight="false" outlineLevel="0" collapsed="false">
      <c r="A3621" s="51" t="s">
        <v>783</v>
      </c>
      <c r="B3621" s="55" t="n">
        <v>44561</v>
      </c>
      <c r="C3621" s="51" t="s">
        <v>791</v>
      </c>
      <c r="D3621" s="51" t="n">
        <v>0</v>
      </c>
    </row>
    <row r="3622" customFormat="false" ht="15" hidden="true" customHeight="false" outlineLevel="0" collapsed="false">
      <c r="A3622" s="51" t="s">
        <v>96</v>
      </c>
      <c r="B3622" s="55" t="n">
        <v>44561</v>
      </c>
      <c r="C3622" s="51" t="s">
        <v>791</v>
      </c>
      <c r="D3622" s="51" t="n">
        <v>-1351000</v>
      </c>
    </row>
    <row r="3623" customFormat="false" ht="15" hidden="true" customHeight="false" outlineLevel="0" collapsed="false">
      <c r="A3623" s="51" t="s">
        <v>101</v>
      </c>
      <c r="B3623" s="55" t="n">
        <v>44561</v>
      </c>
      <c r="C3623" s="51" t="s">
        <v>791</v>
      </c>
      <c r="D3623" s="51" t="n">
        <v>0</v>
      </c>
    </row>
    <row r="3624" customFormat="false" ht="15" hidden="true" customHeight="false" outlineLevel="0" collapsed="false">
      <c r="A3624" s="51" t="s">
        <v>106</v>
      </c>
      <c r="B3624" s="55" t="n">
        <v>44561</v>
      </c>
      <c r="C3624" s="51" t="s">
        <v>791</v>
      </c>
      <c r="D3624" s="51" t="n">
        <v>0</v>
      </c>
    </row>
    <row r="3625" customFormat="false" ht="15" hidden="true" customHeight="false" outlineLevel="0" collapsed="false">
      <c r="A3625" s="51" t="s">
        <v>110</v>
      </c>
      <c r="B3625" s="55" t="n">
        <v>44561</v>
      </c>
      <c r="C3625" s="51" t="s">
        <v>791</v>
      </c>
      <c r="D3625" s="51" t="n">
        <v>0</v>
      </c>
    </row>
    <row r="3626" customFormat="false" ht="15" hidden="true" customHeight="false" outlineLevel="0" collapsed="false">
      <c r="A3626" s="51" t="s">
        <v>115</v>
      </c>
      <c r="B3626" s="55" t="n">
        <v>44561</v>
      </c>
      <c r="C3626" s="51" t="s">
        <v>791</v>
      </c>
      <c r="D3626" s="51" t="n">
        <v>0</v>
      </c>
    </row>
    <row r="3627" customFormat="false" ht="15" hidden="true" customHeight="false" outlineLevel="0" collapsed="false">
      <c r="A3627" s="51" t="s">
        <v>120</v>
      </c>
      <c r="B3627" s="55" t="n">
        <v>44561</v>
      </c>
      <c r="C3627" s="51" t="s">
        <v>791</v>
      </c>
      <c r="D3627" s="51" t="n">
        <v>0</v>
      </c>
    </row>
    <row r="3628" customFormat="false" ht="15" hidden="true" customHeight="false" outlineLevel="0" collapsed="false">
      <c r="A3628" s="51" t="s">
        <v>124</v>
      </c>
      <c r="B3628" s="55" t="n">
        <v>44561</v>
      </c>
      <c r="C3628" s="51" t="s">
        <v>791</v>
      </c>
      <c r="D3628" s="51" t="n">
        <v>-1200000</v>
      </c>
    </row>
    <row r="3629" customFormat="false" ht="15" hidden="true" customHeight="false" outlineLevel="0" collapsed="false">
      <c r="A3629" s="51" t="s">
        <v>129</v>
      </c>
      <c r="B3629" s="55" t="n">
        <v>44561</v>
      </c>
      <c r="C3629" s="51" t="s">
        <v>791</v>
      </c>
      <c r="D3629" s="51" t="n">
        <v>-200000</v>
      </c>
    </row>
    <row r="3630" customFormat="false" ht="15" hidden="true" customHeight="false" outlineLevel="0" collapsed="false">
      <c r="A3630" s="51" t="s">
        <v>134</v>
      </c>
      <c r="B3630" s="55" t="n">
        <v>44561</v>
      </c>
      <c r="C3630" s="51" t="s">
        <v>791</v>
      </c>
      <c r="D3630" s="51" t="n">
        <v>-700000</v>
      </c>
    </row>
    <row r="3631" customFormat="false" ht="15" hidden="true" customHeight="false" outlineLevel="0" collapsed="false">
      <c r="A3631" s="51" t="s">
        <v>141</v>
      </c>
      <c r="B3631" s="55" t="n">
        <v>44561</v>
      </c>
      <c r="C3631" s="51" t="s">
        <v>791</v>
      </c>
      <c r="D3631" s="51" t="n">
        <v>0</v>
      </c>
    </row>
    <row r="3632" customFormat="false" ht="15" hidden="true" customHeight="false" outlineLevel="0" collapsed="false">
      <c r="A3632" s="51" t="s">
        <v>146</v>
      </c>
      <c r="B3632" s="55" t="n">
        <v>44561</v>
      </c>
      <c r="C3632" s="51" t="s">
        <v>791</v>
      </c>
      <c r="D3632" s="51" t="n">
        <v>0</v>
      </c>
    </row>
    <row r="3633" customFormat="false" ht="15" hidden="true" customHeight="false" outlineLevel="0" collapsed="false">
      <c r="A3633" s="51" t="s">
        <v>151</v>
      </c>
      <c r="B3633" s="55" t="n">
        <v>44561</v>
      </c>
      <c r="C3633" s="51" t="s">
        <v>791</v>
      </c>
      <c r="D3633" s="51" t="n">
        <v>0</v>
      </c>
    </row>
    <row r="3634" customFormat="false" ht="15" hidden="true" customHeight="false" outlineLevel="0" collapsed="false">
      <c r="A3634" s="51" t="s">
        <v>156</v>
      </c>
      <c r="B3634" s="55" t="n">
        <v>44561</v>
      </c>
      <c r="C3634" s="51" t="s">
        <v>791</v>
      </c>
      <c r="D3634" s="51" t="n">
        <v>0</v>
      </c>
    </row>
    <row r="3635" customFormat="false" ht="15" hidden="true" customHeight="false" outlineLevel="0" collapsed="false">
      <c r="A3635" s="51" t="s">
        <v>161</v>
      </c>
      <c r="B3635" s="55" t="n">
        <v>44561</v>
      </c>
      <c r="C3635" s="51" t="s">
        <v>791</v>
      </c>
      <c r="D3635" s="51" t="n">
        <v>0</v>
      </c>
    </row>
    <row r="3636" customFormat="false" ht="15" hidden="true" customHeight="false" outlineLevel="0" collapsed="false">
      <c r="A3636" s="51" t="s">
        <v>166</v>
      </c>
      <c r="B3636" s="55" t="n">
        <v>44561</v>
      </c>
      <c r="C3636" s="51" t="s">
        <v>791</v>
      </c>
      <c r="D3636" s="51" t="n">
        <v>0</v>
      </c>
    </row>
    <row r="3637" customFormat="false" ht="15" hidden="true" customHeight="false" outlineLevel="0" collapsed="false">
      <c r="A3637" s="51" t="s">
        <v>171</v>
      </c>
      <c r="B3637" s="55" t="n">
        <v>44561</v>
      </c>
      <c r="C3637" s="51" t="s">
        <v>791</v>
      </c>
      <c r="D3637" s="51" t="n">
        <v>0</v>
      </c>
    </row>
    <row r="3638" customFormat="false" ht="15" hidden="true" customHeight="false" outlineLevel="0" collapsed="false">
      <c r="A3638" s="51" t="s">
        <v>176</v>
      </c>
      <c r="B3638" s="55" t="n">
        <v>44561</v>
      </c>
      <c r="C3638" s="51" t="s">
        <v>791</v>
      </c>
      <c r="D3638" s="51" t="n">
        <v>0</v>
      </c>
    </row>
    <row r="3639" customFormat="false" ht="15" hidden="true" customHeight="false" outlineLevel="0" collapsed="false">
      <c r="A3639" s="51" t="s">
        <v>181</v>
      </c>
      <c r="B3639" s="55" t="n">
        <v>44561</v>
      </c>
      <c r="C3639" s="51" t="s">
        <v>791</v>
      </c>
      <c r="D3639" s="51" t="n">
        <v>-150000</v>
      </c>
    </row>
    <row r="3640" customFormat="false" ht="15" hidden="true" customHeight="false" outlineLevel="0" collapsed="false">
      <c r="A3640" s="51" t="s">
        <v>186</v>
      </c>
      <c r="B3640" s="55" t="n">
        <v>44561</v>
      </c>
      <c r="C3640" s="51" t="s">
        <v>791</v>
      </c>
      <c r="D3640" s="51" t="n">
        <v>-250000</v>
      </c>
    </row>
    <row r="3641" customFormat="false" ht="15" hidden="true" customHeight="false" outlineLevel="0" collapsed="false">
      <c r="A3641" s="51" t="s">
        <v>191</v>
      </c>
      <c r="B3641" s="55" t="n">
        <v>44561</v>
      </c>
      <c r="C3641" s="51" t="s">
        <v>791</v>
      </c>
      <c r="D3641" s="51" t="n">
        <v>0</v>
      </c>
    </row>
    <row r="3642" customFormat="false" ht="15" hidden="true" customHeight="false" outlineLevel="0" collapsed="false">
      <c r="A3642" s="51" t="s">
        <v>196</v>
      </c>
      <c r="B3642" s="55" t="n">
        <v>44561</v>
      </c>
      <c r="C3642" s="51" t="s">
        <v>791</v>
      </c>
      <c r="D3642" s="51" t="n">
        <v>0</v>
      </c>
    </row>
    <row r="3643" customFormat="false" ht="15" hidden="true" customHeight="false" outlineLevel="0" collapsed="false">
      <c r="A3643" s="51" t="s">
        <v>201</v>
      </c>
      <c r="B3643" s="55" t="n">
        <v>44561</v>
      </c>
      <c r="C3643" s="51" t="s">
        <v>791</v>
      </c>
      <c r="D3643" s="51" t="n">
        <v>-100000</v>
      </c>
    </row>
    <row r="3644" customFormat="false" ht="15" hidden="true" customHeight="false" outlineLevel="0" collapsed="false">
      <c r="A3644" s="51" t="s">
        <v>206</v>
      </c>
      <c r="B3644" s="55" t="n">
        <v>44561</v>
      </c>
      <c r="C3644" s="51" t="s">
        <v>791</v>
      </c>
      <c r="D3644" s="51" t="n">
        <v>-1500000</v>
      </c>
    </row>
    <row r="3645" customFormat="false" ht="15" hidden="true" customHeight="false" outlineLevel="0" collapsed="false">
      <c r="A3645" s="51" t="s">
        <v>210</v>
      </c>
      <c r="B3645" s="55" t="n">
        <v>44561</v>
      </c>
      <c r="C3645" s="51" t="s">
        <v>791</v>
      </c>
      <c r="D3645" s="51" t="n">
        <v>-20000</v>
      </c>
    </row>
    <row r="3646" customFormat="false" ht="15" hidden="true" customHeight="false" outlineLevel="0" collapsed="false">
      <c r="A3646" s="51" t="s">
        <v>215</v>
      </c>
      <c r="B3646" s="55" t="n">
        <v>44561</v>
      </c>
      <c r="C3646" s="51" t="s">
        <v>791</v>
      </c>
      <c r="D3646" s="51" t="n">
        <v>-600000</v>
      </c>
    </row>
    <row r="3647" customFormat="false" ht="15" hidden="true" customHeight="false" outlineLevel="0" collapsed="false">
      <c r="A3647" s="51" t="s">
        <v>790</v>
      </c>
      <c r="B3647" s="55" t="n">
        <v>44561</v>
      </c>
      <c r="C3647" s="51" t="s">
        <v>791</v>
      </c>
      <c r="D3647" s="51" t="n">
        <v>-50000</v>
      </c>
    </row>
    <row r="3648" customFormat="false" ht="15" hidden="true" customHeight="false" outlineLevel="0" collapsed="false">
      <c r="A3648" s="51" t="s">
        <v>225</v>
      </c>
      <c r="B3648" s="55" t="n">
        <v>44561</v>
      </c>
      <c r="C3648" s="51" t="s">
        <v>791</v>
      </c>
      <c r="D3648" s="51" t="n">
        <v>-90000</v>
      </c>
    </row>
    <row r="3649" customFormat="false" ht="15" hidden="true" customHeight="false" outlineLevel="0" collapsed="false">
      <c r="A3649" s="51" t="s">
        <v>230</v>
      </c>
      <c r="B3649" s="55" t="n">
        <v>44561</v>
      </c>
      <c r="C3649" s="51" t="s">
        <v>791</v>
      </c>
      <c r="D3649" s="51" t="n">
        <v>-2500000</v>
      </c>
    </row>
    <row r="3650" customFormat="false" ht="15" hidden="true" customHeight="false" outlineLevel="0" collapsed="false">
      <c r="A3650" s="51" t="s">
        <v>235</v>
      </c>
      <c r="B3650" s="55" t="n">
        <v>44561</v>
      </c>
      <c r="C3650" s="51" t="s">
        <v>791</v>
      </c>
      <c r="D3650" s="51" t="n">
        <v>-325000</v>
      </c>
    </row>
    <row r="3651" customFormat="false" ht="15" hidden="true" customHeight="false" outlineLevel="0" collapsed="false">
      <c r="A3651" s="51" t="s">
        <v>240</v>
      </c>
      <c r="B3651" s="55" t="n">
        <v>44561</v>
      </c>
      <c r="C3651" s="51" t="s">
        <v>791</v>
      </c>
      <c r="D3651" s="51" t="n">
        <v>-225000</v>
      </c>
    </row>
    <row r="3652" customFormat="false" ht="15" hidden="true" customHeight="false" outlineLevel="0" collapsed="false">
      <c r="A3652" s="51" t="s">
        <v>246</v>
      </c>
      <c r="B3652" s="55" t="n">
        <v>44561</v>
      </c>
      <c r="C3652" s="51" t="s">
        <v>791</v>
      </c>
      <c r="D3652" s="51" t="n">
        <v>9259166</v>
      </c>
    </row>
    <row r="3653" customFormat="false" ht="15" hidden="true" customHeight="false" outlineLevel="0" collapsed="false">
      <c r="A3653" s="51" t="s">
        <v>252</v>
      </c>
      <c r="B3653" s="55" t="n">
        <v>44561</v>
      </c>
      <c r="C3653" s="51" t="s">
        <v>791</v>
      </c>
      <c r="D3653" s="51" t="n">
        <v>-100000</v>
      </c>
    </row>
    <row r="3654" customFormat="false" ht="15" hidden="true" customHeight="false" outlineLevel="0" collapsed="false">
      <c r="A3654" s="51" t="s">
        <v>257</v>
      </c>
      <c r="B3654" s="55" t="n">
        <v>44561</v>
      </c>
      <c r="C3654" s="51" t="s">
        <v>791</v>
      </c>
      <c r="D3654" s="51" t="n">
        <v>0</v>
      </c>
    </row>
    <row r="3655" customFormat="false" ht="15" hidden="true" customHeight="false" outlineLevel="0" collapsed="false">
      <c r="A3655" s="51" t="s">
        <v>262</v>
      </c>
      <c r="B3655" s="55" t="n">
        <v>44561</v>
      </c>
      <c r="C3655" s="51" t="s">
        <v>791</v>
      </c>
      <c r="D3655" s="51" t="n">
        <v>0</v>
      </c>
    </row>
    <row r="3656" customFormat="false" ht="15" hidden="true" customHeight="false" outlineLevel="0" collapsed="false">
      <c r="A3656" s="51" t="s">
        <v>267</v>
      </c>
      <c r="B3656" s="55" t="n">
        <v>44561</v>
      </c>
      <c r="C3656" s="51" t="s">
        <v>791</v>
      </c>
      <c r="D3656" s="51" t="n">
        <v>2160000</v>
      </c>
    </row>
    <row r="3657" customFormat="false" ht="15" hidden="true" customHeight="false" outlineLevel="0" collapsed="false">
      <c r="A3657" s="51" t="s">
        <v>272</v>
      </c>
      <c r="B3657" s="55" t="n">
        <v>44561</v>
      </c>
      <c r="C3657" s="51" t="s">
        <v>791</v>
      </c>
      <c r="D3657" s="51" t="n">
        <v>0</v>
      </c>
    </row>
    <row r="3658" customFormat="false" ht="15" hidden="true" customHeight="false" outlineLevel="0" collapsed="false">
      <c r="A3658" s="51" t="s">
        <v>277</v>
      </c>
      <c r="B3658" s="55" t="n">
        <v>44561</v>
      </c>
      <c r="C3658" s="51" t="s">
        <v>791</v>
      </c>
      <c r="D3658" s="51" t="n">
        <v>0</v>
      </c>
    </row>
    <row r="3659" customFormat="false" ht="15" hidden="true" customHeight="false" outlineLevel="0" collapsed="false">
      <c r="A3659" s="51" t="s">
        <v>282</v>
      </c>
      <c r="B3659" s="55" t="n">
        <v>44561</v>
      </c>
      <c r="C3659" s="51" t="s">
        <v>791</v>
      </c>
      <c r="D3659" s="51" t="n">
        <v>0</v>
      </c>
    </row>
    <row r="3660" customFormat="false" ht="15" hidden="true" customHeight="false" outlineLevel="0" collapsed="false">
      <c r="A3660" s="51" t="s">
        <v>287</v>
      </c>
      <c r="B3660" s="55" t="n">
        <v>44561</v>
      </c>
      <c r="C3660" s="51" t="s">
        <v>791</v>
      </c>
      <c r="D3660" s="51" t="n">
        <v>0</v>
      </c>
    </row>
    <row r="3661" customFormat="false" ht="15" hidden="true" customHeight="false" outlineLevel="0" collapsed="false">
      <c r="A3661" s="51" t="s">
        <v>292</v>
      </c>
      <c r="B3661" s="55" t="n">
        <v>44561</v>
      </c>
      <c r="C3661" s="51" t="s">
        <v>791</v>
      </c>
      <c r="D3661" s="51" t="n">
        <v>0</v>
      </c>
    </row>
    <row r="3662" customFormat="false" ht="15" hidden="true" customHeight="false" outlineLevel="0" collapsed="false">
      <c r="A3662" s="51" t="s">
        <v>297</v>
      </c>
      <c r="B3662" s="55" t="n">
        <v>44561</v>
      </c>
      <c r="C3662" s="51" t="s">
        <v>791</v>
      </c>
      <c r="D3662" s="51" t="n">
        <v>0</v>
      </c>
    </row>
    <row r="3663" customFormat="false" ht="15" hidden="true" customHeight="false" outlineLevel="0" collapsed="false">
      <c r="A3663" s="51" t="s">
        <v>302</v>
      </c>
      <c r="B3663" s="55" t="n">
        <v>44561</v>
      </c>
      <c r="C3663" s="51" t="s">
        <v>791</v>
      </c>
      <c r="D3663" s="51" t="n">
        <v>0</v>
      </c>
    </row>
    <row r="3664" customFormat="false" ht="15" hidden="true" customHeight="false" outlineLevel="0" collapsed="false">
      <c r="A3664" s="51" t="s">
        <v>307</v>
      </c>
      <c r="B3664" s="55" t="n">
        <v>44561</v>
      </c>
      <c r="C3664" s="51" t="s">
        <v>791</v>
      </c>
      <c r="D3664" s="51" t="n">
        <v>0</v>
      </c>
    </row>
    <row r="3665" customFormat="false" ht="15" hidden="true" customHeight="false" outlineLevel="0" collapsed="false">
      <c r="A3665" s="51" t="s">
        <v>311</v>
      </c>
      <c r="B3665" s="55" t="n">
        <v>44561</v>
      </c>
      <c r="C3665" s="51" t="s">
        <v>791</v>
      </c>
      <c r="D3665" s="51" t="n">
        <v>0</v>
      </c>
    </row>
    <row r="3666" customFormat="false" ht="15" hidden="true" customHeight="false" outlineLevel="0" collapsed="false">
      <c r="A3666" s="51" t="s">
        <v>317</v>
      </c>
      <c r="B3666" s="55" t="n">
        <v>44561</v>
      </c>
      <c r="C3666" s="51" t="s">
        <v>791</v>
      </c>
      <c r="D3666" s="51" t="n">
        <v>0</v>
      </c>
    </row>
    <row r="3667" customFormat="false" ht="15" hidden="true" customHeight="false" outlineLevel="0" collapsed="false">
      <c r="A3667" s="51" t="s">
        <v>322</v>
      </c>
      <c r="B3667" s="55" t="n">
        <v>44561</v>
      </c>
      <c r="C3667" s="51" t="s">
        <v>791</v>
      </c>
      <c r="D3667" s="51" t="n">
        <v>0</v>
      </c>
    </row>
    <row r="3668" customFormat="false" ht="15" hidden="true" customHeight="false" outlineLevel="0" collapsed="false">
      <c r="A3668" s="51" t="s">
        <v>327</v>
      </c>
      <c r="B3668" s="55" t="n">
        <v>44561</v>
      </c>
      <c r="C3668" s="51" t="s">
        <v>791</v>
      </c>
      <c r="D3668" s="51" t="n">
        <v>0</v>
      </c>
    </row>
    <row r="3669" customFormat="false" ht="15" hidden="true" customHeight="false" outlineLevel="0" collapsed="false">
      <c r="A3669" s="51" t="s">
        <v>332</v>
      </c>
      <c r="B3669" s="55" t="n">
        <v>44561</v>
      </c>
      <c r="C3669" s="51" t="s">
        <v>791</v>
      </c>
      <c r="D3669" s="51" t="n">
        <v>0</v>
      </c>
    </row>
    <row r="3670" customFormat="false" ht="15" hidden="true" customHeight="false" outlineLevel="0" collapsed="false">
      <c r="A3670" s="51" t="s">
        <v>339</v>
      </c>
      <c r="B3670" s="55" t="n">
        <v>44561</v>
      </c>
      <c r="C3670" s="51" t="s">
        <v>791</v>
      </c>
      <c r="D3670" s="51" t="n">
        <v>0</v>
      </c>
    </row>
    <row r="3671" customFormat="false" ht="15" hidden="true" customHeight="false" outlineLevel="0" collapsed="false">
      <c r="A3671" s="51" t="s">
        <v>344</v>
      </c>
      <c r="B3671" s="55" t="n">
        <v>44561</v>
      </c>
      <c r="C3671" s="51" t="s">
        <v>791</v>
      </c>
      <c r="D3671" s="51" t="n">
        <v>0</v>
      </c>
    </row>
    <row r="3672" customFormat="false" ht="15" hidden="true" customHeight="false" outlineLevel="0" collapsed="false">
      <c r="A3672" s="51" t="s">
        <v>349</v>
      </c>
      <c r="B3672" s="55" t="n">
        <v>44561</v>
      </c>
      <c r="C3672" s="51" t="s">
        <v>791</v>
      </c>
      <c r="D3672" s="51" t="n">
        <v>0</v>
      </c>
    </row>
    <row r="3673" customFormat="false" ht="15" hidden="true" customHeight="false" outlineLevel="0" collapsed="false">
      <c r="A3673" s="51" t="s">
        <v>354</v>
      </c>
      <c r="B3673" s="55" t="n">
        <v>44561</v>
      </c>
      <c r="C3673" s="51" t="s">
        <v>791</v>
      </c>
      <c r="D3673" s="51" t="n">
        <v>0</v>
      </c>
    </row>
    <row r="3674" customFormat="false" ht="15" hidden="true" customHeight="false" outlineLevel="0" collapsed="false">
      <c r="A3674" s="51" t="s">
        <v>359</v>
      </c>
      <c r="B3674" s="55" t="n">
        <v>44561</v>
      </c>
      <c r="C3674" s="51" t="s">
        <v>791</v>
      </c>
      <c r="D3674" s="51" t="n">
        <v>0</v>
      </c>
    </row>
    <row r="3675" customFormat="false" ht="15" hidden="true" customHeight="false" outlineLevel="0" collapsed="false">
      <c r="A3675" s="51" t="s">
        <v>364</v>
      </c>
      <c r="B3675" s="55" t="n">
        <v>44561</v>
      </c>
      <c r="C3675" s="51" t="s">
        <v>791</v>
      </c>
      <c r="D3675" s="51" t="n">
        <v>0</v>
      </c>
    </row>
    <row r="3676" customFormat="false" ht="15" hidden="true" customHeight="false" outlineLevel="0" collapsed="false">
      <c r="A3676" s="51" t="s">
        <v>369</v>
      </c>
      <c r="B3676" s="55" t="n">
        <v>44561</v>
      </c>
      <c r="C3676" s="51" t="s">
        <v>791</v>
      </c>
      <c r="D3676" s="51" t="n">
        <v>0</v>
      </c>
    </row>
    <row r="3677" customFormat="false" ht="15" hidden="true" customHeight="false" outlineLevel="0" collapsed="false">
      <c r="A3677" s="51" t="s">
        <v>374</v>
      </c>
      <c r="B3677" s="55" t="n">
        <v>44561</v>
      </c>
      <c r="C3677" s="51" t="s">
        <v>791</v>
      </c>
      <c r="D3677" s="51" t="n">
        <v>0</v>
      </c>
    </row>
    <row r="3678" customFormat="false" ht="15" hidden="true" customHeight="false" outlineLevel="0" collapsed="false">
      <c r="A3678" s="51" t="s">
        <v>379</v>
      </c>
      <c r="B3678" s="55" t="n">
        <v>44561</v>
      </c>
      <c r="C3678" s="51" t="s">
        <v>791</v>
      </c>
      <c r="D3678" s="51" t="n">
        <v>0</v>
      </c>
    </row>
    <row r="3679" customFormat="false" ht="15" hidden="true" customHeight="false" outlineLevel="0" collapsed="false">
      <c r="A3679" s="51" t="s">
        <v>384</v>
      </c>
      <c r="B3679" s="55" t="n">
        <v>44561</v>
      </c>
      <c r="C3679" s="51" t="s">
        <v>791</v>
      </c>
      <c r="D3679" s="51" t="n">
        <v>0</v>
      </c>
    </row>
    <row r="3680" customFormat="false" ht="15" hidden="true" customHeight="false" outlineLevel="0" collapsed="false">
      <c r="A3680" s="51" t="s">
        <v>389</v>
      </c>
      <c r="B3680" s="55" t="n">
        <v>44561</v>
      </c>
      <c r="C3680" s="51" t="s">
        <v>791</v>
      </c>
      <c r="D3680" s="51" t="n">
        <v>0</v>
      </c>
    </row>
    <row r="3681" customFormat="false" ht="15" hidden="true" customHeight="false" outlineLevel="0" collapsed="false">
      <c r="A3681" s="51" t="s">
        <v>394</v>
      </c>
      <c r="B3681" s="55" t="n">
        <v>44561</v>
      </c>
      <c r="C3681" s="51" t="s">
        <v>791</v>
      </c>
      <c r="D3681" s="51" t="n">
        <v>0</v>
      </c>
    </row>
    <row r="3682" customFormat="false" ht="15" hidden="true" customHeight="false" outlineLevel="0" collapsed="false">
      <c r="A3682" s="51" t="s">
        <v>399</v>
      </c>
      <c r="B3682" s="55" t="n">
        <v>44561</v>
      </c>
      <c r="C3682" s="51" t="s">
        <v>791</v>
      </c>
      <c r="D3682" s="51" t="n">
        <v>0</v>
      </c>
    </row>
    <row r="3683" customFormat="false" ht="15" hidden="true" customHeight="false" outlineLevel="0" collapsed="false">
      <c r="A3683" s="51" t="s">
        <v>404</v>
      </c>
      <c r="B3683" s="55" t="n">
        <v>44561</v>
      </c>
      <c r="C3683" s="51" t="s">
        <v>791</v>
      </c>
      <c r="D3683" s="51" t="n">
        <v>0</v>
      </c>
    </row>
    <row r="3684" customFormat="false" ht="15" hidden="true" customHeight="false" outlineLevel="0" collapsed="false">
      <c r="A3684" s="51" t="s">
        <v>409</v>
      </c>
      <c r="B3684" s="55" t="n">
        <v>44561</v>
      </c>
      <c r="C3684" s="51" t="s">
        <v>791</v>
      </c>
      <c r="D3684" s="51" t="n">
        <v>0</v>
      </c>
    </row>
    <row r="3685" customFormat="false" ht="15" hidden="true" customHeight="false" outlineLevel="0" collapsed="false">
      <c r="A3685" s="51" t="s">
        <v>414</v>
      </c>
      <c r="B3685" s="55" t="n">
        <v>44561</v>
      </c>
      <c r="C3685" s="51" t="s">
        <v>791</v>
      </c>
      <c r="D3685" s="51" t="n">
        <v>0</v>
      </c>
    </row>
    <row r="3686" customFormat="false" ht="15" hidden="true" customHeight="false" outlineLevel="0" collapsed="false">
      <c r="A3686" s="51" t="s">
        <v>419</v>
      </c>
      <c r="B3686" s="55" t="n">
        <v>44561</v>
      </c>
      <c r="C3686" s="51" t="s">
        <v>791</v>
      </c>
      <c r="D3686" s="51" t="n">
        <v>0</v>
      </c>
    </row>
    <row r="3687" customFormat="false" ht="15" hidden="true" customHeight="false" outlineLevel="0" collapsed="false">
      <c r="A3687" s="51" t="s">
        <v>424</v>
      </c>
      <c r="B3687" s="55" t="n">
        <v>44561</v>
      </c>
      <c r="C3687" s="51" t="s">
        <v>791</v>
      </c>
      <c r="D3687" s="51" t="n">
        <v>0</v>
      </c>
    </row>
    <row r="3688" customFormat="false" ht="15" hidden="true" customHeight="false" outlineLevel="0" collapsed="false">
      <c r="A3688" s="51" t="s">
        <v>429</v>
      </c>
      <c r="B3688" s="55" t="n">
        <v>44561</v>
      </c>
      <c r="C3688" s="51" t="s">
        <v>791</v>
      </c>
      <c r="D3688" s="51" t="n">
        <v>0</v>
      </c>
    </row>
    <row r="3689" customFormat="false" ht="15" hidden="true" customHeight="false" outlineLevel="0" collapsed="false">
      <c r="A3689" s="51" t="s">
        <v>434</v>
      </c>
      <c r="B3689" s="55" t="n">
        <v>44561</v>
      </c>
      <c r="C3689" s="51" t="s">
        <v>791</v>
      </c>
      <c r="D3689" s="51" t="n">
        <v>0</v>
      </c>
    </row>
    <row r="3690" customFormat="false" ht="15" hidden="true" customHeight="false" outlineLevel="0" collapsed="false">
      <c r="A3690" s="51" t="s">
        <v>438</v>
      </c>
      <c r="B3690" s="55" t="n">
        <v>44561</v>
      </c>
      <c r="C3690" s="51" t="s">
        <v>791</v>
      </c>
      <c r="D3690" s="51" t="n">
        <v>0</v>
      </c>
    </row>
    <row r="3691" customFormat="false" ht="15" hidden="true" customHeight="false" outlineLevel="0" collapsed="false">
      <c r="A3691" s="51" t="s">
        <v>443</v>
      </c>
      <c r="B3691" s="55" t="n">
        <v>44561</v>
      </c>
      <c r="C3691" s="51" t="s">
        <v>791</v>
      </c>
      <c r="D3691" s="51" t="n">
        <v>0</v>
      </c>
    </row>
    <row r="3692" customFormat="false" ht="15" hidden="true" customHeight="false" outlineLevel="0" collapsed="false">
      <c r="A3692" s="51" t="s">
        <v>448</v>
      </c>
      <c r="B3692" s="55" t="n">
        <v>44561</v>
      </c>
      <c r="C3692" s="51" t="s">
        <v>791</v>
      </c>
      <c r="D3692" s="51" t="n">
        <v>0</v>
      </c>
    </row>
    <row r="3693" customFormat="false" ht="15" hidden="true" customHeight="false" outlineLevel="0" collapsed="false">
      <c r="A3693" s="51" t="s">
        <v>453</v>
      </c>
      <c r="B3693" s="55" t="n">
        <v>44561</v>
      </c>
      <c r="C3693" s="51" t="s">
        <v>791</v>
      </c>
      <c r="D3693" s="51" t="n">
        <v>0</v>
      </c>
    </row>
    <row r="3694" customFormat="false" ht="15" hidden="true" customHeight="false" outlineLevel="0" collapsed="false">
      <c r="A3694" s="51" t="s">
        <v>458</v>
      </c>
      <c r="B3694" s="55" t="n">
        <v>44561</v>
      </c>
      <c r="C3694" s="51" t="s">
        <v>791</v>
      </c>
      <c r="D3694" s="51" t="n">
        <v>0</v>
      </c>
    </row>
    <row r="3695" customFormat="false" ht="15" hidden="true" customHeight="false" outlineLevel="0" collapsed="false">
      <c r="A3695" s="51" t="s">
        <v>473</v>
      </c>
      <c r="B3695" s="55" t="n">
        <v>44561</v>
      </c>
      <c r="C3695" s="51" t="s">
        <v>791</v>
      </c>
      <c r="D3695" s="51" t="n">
        <v>0</v>
      </c>
    </row>
    <row r="3696" customFormat="false" ht="15" hidden="true" customHeight="false" outlineLevel="0" collapsed="false">
      <c r="A3696" s="51" t="s">
        <v>479</v>
      </c>
      <c r="B3696" s="55" t="n">
        <v>44561</v>
      </c>
      <c r="C3696" s="51" t="s">
        <v>791</v>
      </c>
      <c r="D3696" s="51" t="n">
        <v>0</v>
      </c>
    </row>
    <row r="3697" customFormat="false" ht="15" hidden="true" customHeight="false" outlineLevel="0" collapsed="false">
      <c r="A3697" s="51" t="s">
        <v>484</v>
      </c>
      <c r="B3697" s="55" t="n">
        <v>44561</v>
      </c>
      <c r="C3697" s="51" t="s">
        <v>791</v>
      </c>
      <c r="D3697" s="51" t="n">
        <v>0</v>
      </c>
    </row>
    <row r="3698" customFormat="false" ht="15" hidden="true" customHeight="false" outlineLevel="0" collapsed="false">
      <c r="A3698" s="51" t="s">
        <v>489</v>
      </c>
      <c r="B3698" s="55" t="n">
        <v>44561</v>
      </c>
      <c r="C3698" s="51" t="s">
        <v>791</v>
      </c>
      <c r="D3698" s="51" t="n">
        <v>0</v>
      </c>
    </row>
    <row r="3699" customFormat="false" ht="15" hidden="true" customHeight="false" outlineLevel="0" collapsed="false">
      <c r="A3699" s="51" t="s">
        <v>494</v>
      </c>
      <c r="B3699" s="55" t="n">
        <v>44561</v>
      </c>
      <c r="C3699" s="51" t="s">
        <v>791</v>
      </c>
      <c r="D3699" s="51" t="n">
        <v>0</v>
      </c>
    </row>
    <row r="3700" customFormat="false" ht="15" hidden="true" customHeight="false" outlineLevel="0" collapsed="false">
      <c r="A3700" s="51" t="s">
        <v>499</v>
      </c>
      <c r="B3700" s="55" t="n">
        <v>44561</v>
      </c>
      <c r="C3700" s="51" t="s">
        <v>791</v>
      </c>
      <c r="D3700" s="51" t="n">
        <v>0</v>
      </c>
    </row>
    <row r="3701" customFormat="false" ht="15" hidden="true" customHeight="false" outlineLevel="0" collapsed="false">
      <c r="A3701" s="51" t="s">
        <v>504</v>
      </c>
      <c r="B3701" s="55" t="n">
        <v>44561</v>
      </c>
      <c r="C3701" s="51" t="s">
        <v>791</v>
      </c>
      <c r="D3701" s="51" t="n">
        <v>0</v>
      </c>
    </row>
    <row r="3702" customFormat="false" ht="15" hidden="true" customHeight="false" outlineLevel="0" collapsed="false">
      <c r="A3702" s="51" t="s">
        <v>509</v>
      </c>
      <c r="B3702" s="55" t="n">
        <v>44561</v>
      </c>
      <c r="C3702" s="51" t="s">
        <v>791</v>
      </c>
      <c r="D3702" s="51" t="n">
        <v>0</v>
      </c>
    </row>
    <row r="3703" customFormat="false" ht="15" hidden="true" customHeight="false" outlineLevel="0" collapsed="false">
      <c r="A3703" s="51" t="s">
        <v>515</v>
      </c>
      <c r="B3703" s="55" t="n">
        <v>44561</v>
      </c>
      <c r="C3703" s="51" t="s">
        <v>791</v>
      </c>
      <c r="D3703" s="51" t="n">
        <v>0</v>
      </c>
    </row>
    <row r="3704" customFormat="false" ht="15" hidden="true" customHeight="false" outlineLevel="0" collapsed="false">
      <c r="A3704" s="51" t="s">
        <v>520</v>
      </c>
      <c r="B3704" s="55" t="n">
        <v>44561</v>
      </c>
      <c r="C3704" s="51" t="s">
        <v>791</v>
      </c>
      <c r="D3704" s="51" t="n">
        <v>0</v>
      </c>
    </row>
    <row r="3705" customFormat="false" ht="15" hidden="true" customHeight="false" outlineLevel="0" collapsed="false">
      <c r="A3705" s="51" t="s">
        <v>525</v>
      </c>
      <c r="B3705" s="55" t="n">
        <v>44561</v>
      </c>
      <c r="C3705" s="51" t="s">
        <v>791</v>
      </c>
      <c r="D3705" s="51" t="n">
        <v>0</v>
      </c>
    </row>
    <row r="3706" customFormat="false" ht="15" hidden="true" customHeight="false" outlineLevel="0" collapsed="false">
      <c r="A3706" s="51" t="s">
        <v>531</v>
      </c>
      <c r="B3706" s="55" t="n">
        <v>44561</v>
      </c>
      <c r="C3706" s="51" t="s">
        <v>791</v>
      </c>
      <c r="D3706" s="51" t="n">
        <v>0</v>
      </c>
    </row>
    <row r="3707" customFormat="false" ht="15" hidden="true" customHeight="false" outlineLevel="0" collapsed="false">
      <c r="A3707" s="51" t="s">
        <v>536</v>
      </c>
      <c r="B3707" s="55" t="n">
        <v>44561</v>
      </c>
      <c r="C3707" s="51" t="s">
        <v>791</v>
      </c>
      <c r="D3707" s="51" t="n">
        <v>0</v>
      </c>
    </row>
    <row r="3708" customFormat="false" ht="15" hidden="true" customHeight="false" outlineLevel="0" collapsed="false">
      <c r="A3708" s="51" t="s">
        <v>541</v>
      </c>
      <c r="B3708" s="55" t="n">
        <v>44561</v>
      </c>
      <c r="C3708" s="51" t="s">
        <v>791</v>
      </c>
      <c r="D3708" s="51" t="n">
        <v>0</v>
      </c>
    </row>
    <row r="3709" customFormat="false" ht="15" hidden="true" customHeight="false" outlineLevel="0" collapsed="false">
      <c r="A3709" s="51" t="s">
        <v>549</v>
      </c>
      <c r="B3709" s="55" t="n">
        <v>44561</v>
      </c>
      <c r="C3709" s="51" t="s">
        <v>791</v>
      </c>
      <c r="D3709" s="51" t="n">
        <v>0</v>
      </c>
    </row>
    <row r="3710" customFormat="false" ht="15" hidden="true" customHeight="false" outlineLevel="0" collapsed="false">
      <c r="A3710" s="51" t="s">
        <v>554</v>
      </c>
      <c r="B3710" s="55" t="n">
        <v>44561</v>
      </c>
      <c r="C3710" s="51" t="s">
        <v>791</v>
      </c>
      <c r="D3710" s="51" t="n">
        <v>0</v>
      </c>
    </row>
    <row r="3711" customFormat="false" ht="15" hidden="true" customHeight="false" outlineLevel="0" collapsed="false">
      <c r="A3711" s="51" t="s">
        <v>559</v>
      </c>
      <c r="B3711" s="55" t="n">
        <v>44561</v>
      </c>
      <c r="C3711" s="51" t="s">
        <v>791</v>
      </c>
      <c r="D3711" s="51" t="n">
        <v>0</v>
      </c>
    </row>
    <row r="3712" customFormat="false" ht="15" hidden="true" customHeight="false" outlineLevel="0" collapsed="false">
      <c r="A3712" s="51" t="s">
        <v>564</v>
      </c>
      <c r="B3712" s="55" t="n">
        <v>44561</v>
      </c>
      <c r="C3712" s="51" t="s">
        <v>791</v>
      </c>
      <c r="D3712" s="51" t="n">
        <v>0</v>
      </c>
    </row>
    <row r="3713" customFormat="false" ht="15" hidden="true" customHeight="false" outlineLevel="0" collapsed="false">
      <c r="A3713" s="51" t="s">
        <v>569</v>
      </c>
      <c r="B3713" s="55" t="n">
        <v>44561</v>
      </c>
      <c r="C3713" s="51" t="s">
        <v>791</v>
      </c>
      <c r="D3713" s="51" t="n">
        <v>0</v>
      </c>
    </row>
    <row r="3714" customFormat="false" ht="15" hidden="true" customHeight="false" outlineLevel="0" collapsed="false">
      <c r="A3714" s="51" t="s">
        <v>574</v>
      </c>
      <c r="B3714" s="55" t="n">
        <v>44561</v>
      </c>
      <c r="C3714" s="51" t="s">
        <v>791</v>
      </c>
      <c r="D3714" s="51" t="n">
        <v>0</v>
      </c>
    </row>
    <row r="3715" customFormat="false" ht="15" hidden="true" customHeight="false" outlineLevel="0" collapsed="false">
      <c r="A3715" s="51" t="s">
        <v>579</v>
      </c>
      <c r="B3715" s="55" t="n">
        <v>44561</v>
      </c>
      <c r="C3715" s="51" t="s">
        <v>791</v>
      </c>
      <c r="D3715" s="51" t="n">
        <v>0</v>
      </c>
    </row>
    <row r="3716" customFormat="false" ht="15" hidden="true" customHeight="false" outlineLevel="0" collapsed="false">
      <c r="A3716" s="51" t="s">
        <v>584</v>
      </c>
      <c r="B3716" s="55" t="n">
        <v>44561</v>
      </c>
      <c r="C3716" s="51" t="s">
        <v>791</v>
      </c>
      <c r="D3716" s="51" t="n">
        <v>0</v>
      </c>
    </row>
    <row r="3717" customFormat="false" ht="15" hidden="true" customHeight="false" outlineLevel="0" collapsed="false">
      <c r="A3717" s="51" t="s">
        <v>589</v>
      </c>
      <c r="B3717" s="55" t="n">
        <v>44561</v>
      </c>
      <c r="C3717" s="51" t="s">
        <v>791</v>
      </c>
      <c r="D3717" s="51" t="n">
        <v>0</v>
      </c>
    </row>
    <row r="3718" customFormat="false" ht="15" hidden="true" customHeight="false" outlineLevel="0" collapsed="false">
      <c r="A3718" s="51" t="s">
        <v>756</v>
      </c>
      <c r="B3718" s="55" t="n">
        <v>44561</v>
      </c>
      <c r="C3718" s="51" t="s">
        <v>791</v>
      </c>
      <c r="D3718" s="51" t="n">
        <v>0</v>
      </c>
    </row>
    <row r="3719" customFormat="false" ht="15" hidden="true" customHeight="false" outlineLevel="0" collapsed="false">
      <c r="A3719" s="51" t="s">
        <v>594</v>
      </c>
      <c r="B3719" s="55" t="n">
        <v>44561</v>
      </c>
      <c r="C3719" s="51" t="s">
        <v>791</v>
      </c>
      <c r="D3719" s="51" t="n">
        <v>0</v>
      </c>
    </row>
    <row r="3720" customFormat="false" ht="15" hidden="true" customHeight="false" outlineLevel="0" collapsed="false">
      <c r="A3720" s="51" t="s">
        <v>761</v>
      </c>
      <c r="B3720" s="55" t="n">
        <v>44561</v>
      </c>
      <c r="C3720" s="51" t="s">
        <v>791</v>
      </c>
      <c r="D3720" s="51" t="n">
        <v>0</v>
      </c>
    </row>
    <row r="3721" customFormat="false" ht="15" hidden="true" customHeight="false" outlineLevel="0" collapsed="false">
      <c r="A3721" s="51" t="s">
        <v>599</v>
      </c>
      <c r="B3721" s="55" t="n">
        <v>44561</v>
      </c>
      <c r="C3721" s="51" t="s">
        <v>791</v>
      </c>
      <c r="D3721" s="51" t="n">
        <v>0</v>
      </c>
    </row>
    <row r="3722" customFormat="false" ht="15" hidden="true" customHeight="false" outlineLevel="0" collapsed="false">
      <c r="A3722" s="51" t="s">
        <v>604</v>
      </c>
      <c r="B3722" s="55" t="n">
        <v>44561</v>
      </c>
      <c r="C3722" s="51" t="s">
        <v>791</v>
      </c>
      <c r="D3722" s="51" t="n">
        <v>0</v>
      </c>
    </row>
    <row r="3723" customFormat="false" ht="15" hidden="true" customHeight="false" outlineLevel="0" collapsed="false">
      <c r="A3723" s="51" t="s">
        <v>609</v>
      </c>
      <c r="B3723" s="55" t="n">
        <v>44561</v>
      </c>
      <c r="C3723" s="51" t="s">
        <v>791</v>
      </c>
      <c r="D3723" s="51" t="n">
        <v>0</v>
      </c>
    </row>
    <row r="3724" customFormat="false" ht="15" hidden="true" customHeight="false" outlineLevel="0" collapsed="false">
      <c r="A3724" s="51" t="s">
        <v>614</v>
      </c>
      <c r="B3724" s="55" t="n">
        <v>44561</v>
      </c>
      <c r="C3724" s="51" t="s">
        <v>791</v>
      </c>
      <c r="D3724" s="51" t="n">
        <v>0</v>
      </c>
    </row>
    <row r="3725" customFormat="false" ht="15" hidden="true" customHeight="false" outlineLevel="0" collapsed="false">
      <c r="A3725" s="51" t="s">
        <v>619</v>
      </c>
      <c r="B3725" s="55" t="n">
        <v>44561</v>
      </c>
      <c r="C3725" s="51" t="s">
        <v>791</v>
      </c>
      <c r="D3725" s="51" t="n">
        <v>0</v>
      </c>
    </row>
    <row r="3726" customFormat="false" ht="15" hidden="true" customHeight="false" outlineLevel="0" collapsed="false">
      <c r="A3726" s="51" t="s">
        <v>624</v>
      </c>
      <c r="B3726" s="55" t="n">
        <v>44561</v>
      </c>
      <c r="C3726" s="51" t="s">
        <v>791</v>
      </c>
      <c r="D3726" s="51" t="n">
        <v>0</v>
      </c>
    </row>
    <row r="3727" customFormat="false" ht="15" hidden="true" customHeight="false" outlineLevel="0" collapsed="false">
      <c r="A3727" s="51" t="s">
        <v>629</v>
      </c>
      <c r="B3727" s="55" t="n">
        <v>44561</v>
      </c>
      <c r="C3727" s="51" t="s">
        <v>791</v>
      </c>
      <c r="D3727" s="51" t="n">
        <v>0</v>
      </c>
    </row>
    <row r="3728" customFormat="false" ht="15" hidden="true" customHeight="false" outlineLevel="0" collapsed="false">
      <c r="A3728" s="51" t="s">
        <v>633</v>
      </c>
      <c r="B3728" s="55" t="n">
        <v>44561</v>
      </c>
      <c r="C3728" s="51" t="s">
        <v>791</v>
      </c>
      <c r="D3728" s="51" t="n">
        <v>0</v>
      </c>
    </row>
    <row r="3729" customFormat="false" ht="15" hidden="true" customHeight="false" outlineLevel="0" collapsed="false">
      <c r="A3729" s="51" t="s">
        <v>638</v>
      </c>
      <c r="B3729" s="55" t="n">
        <v>44561</v>
      </c>
      <c r="C3729" s="51" t="s">
        <v>791</v>
      </c>
      <c r="D3729" s="51" t="n">
        <v>0</v>
      </c>
    </row>
    <row r="3730" customFormat="false" ht="15" hidden="true" customHeight="false" outlineLevel="0" collapsed="false">
      <c r="A3730" s="51" t="s">
        <v>642</v>
      </c>
      <c r="B3730" s="55" t="n">
        <v>44561</v>
      </c>
      <c r="C3730" s="51" t="s">
        <v>791</v>
      </c>
      <c r="D3730" s="51" t="n">
        <v>0</v>
      </c>
    </row>
    <row r="3731" customFormat="false" ht="15" hidden="true" customHeight="false" outlineLevel="0" collapsed="false">
      <c r="A3731" s="51" t="s">
        <v>646</v>
      </c>
      <c r="B3731" s="55" t="n">
        <v>44561</v>
      </c>
      <c r="C3731" s="51" t="s">
        <v>791</v>
      </c>
      <c r="D3731" s="51" t="n">
        <v>0</v>
      </c>
    </row>
    <row r="3732" customFormat="false" ht="15" hidden="true" customHeight="false" outlineLevel="0" collapsed="false">
      <c r="A3732" s="51" t="s">
        <v>651</v>
      </c>
      <c r="B3732" s="55" t="n">
        <v>44561</v>
      </c>
      <c r="C3732" s="51" t="s">
        <v>791</v>
      </c>
      <c r="D3732" s="51" t="n">
        <v>0</v>
      </c>
    </row>
    <row r="3733" customFormat="false" ht="15" hidden="true" customHeight="false" outlineLevel="0" collapsed="false">
      <c r="A3733" s="51" t="s">
        <v>656</v>
      </c>
      <c r="B3733" s="55" t="n">
        <v>44561</v>
      </c>
      <c r="C3733" s="51" t="s">
        <v>791</v>
      </c>
      <c r="D3733" s="51" t="n">
        <v>0</v>
      </c>
    </row>
    <row r="3734" customFormat="false" ht="15" hidden="true" customHeight="false" outlineLevel="0" collapsed="false">
      <c r="A3734" s="51" t="s">
        <v>661</v>
      </c>
      <c r="B3734" s="55" t="n">
        <v>44561</v>
      </c>
      <c r="C3734" s="51" t="s">
        <v>791</v>
      </c>
      <c r="D3734" s="51" t="n">
        <v>0</v>
      </c>
    </row>
    <row r="3735" customFormat="false" ht="15" hidden="true" customHeight="false" outlineLevel="0" collapsed="false">
      <c r="A3735" s="51" t="s">
        <v>666</v>
      </c>
      <c r="B3735" s="55" t="n">
        <v>44561</v>
      </c>
      <c r="C3735" s="51" t="s">
        <v>791</v>
      </c>
      <c r="D3735" s="51" t="n">
        <v>0</v>
      </c>
    </row>
    <row r="3736" customFormat="false" ht="15" hidden="true" customHeight="false" outlineLevel="0" collapsed="false">
      <c r="A3736" s="51" t="s">
        <v>671</v>
      </c>
      <c r="B3736" s="55" t="n">
        <v>44561</v>
      </c>
      <c r="C3736" s="51" t="s">
        <v>791</v>
      </c>
      <c r="D3736" s="51" t="n">
        <v>0</v>
      </c>
    </row>
    <row r="3737" customFormat="false" ht="15" hidden="true" customHeight="false" outlineLevel="0" collapsed="false">
      <c r="A3737" s="51" t="s">
        <v>676</v>
      </c>
      <c r="B3737" s="55" t="n">
        <v>44561</v>
      </c>
      <c r="C3737" s="51" t="s">
        <v>791</v>
      </c>
      <c r="D3737" s="51" t="n">
        <v>0</v>
      </c>
    </row>
    <row r="3738" customFormat="false" ht="15" hidden="true" customHeight="false" outlineLevel="0" collapsed="false">
      <c r="A3738" s="51" t="s">
        <v>681</v>
      </c>
      <c r="B3738" s="55" t="n">
        <v>44561</v>
      </c>
      <c r="C3738" s="51" t="s">
        <v>791</v>
      </c>
      <c r="D3738" s="51" t="n">
        <v>0</v>
      </c>
    </row>
    <row r="3739" customFormat="false" ht="15" hidden="true" customHeight="false" outlineLevel="0" collapsed="false">
      <c r="A3739" s="51" t="s">
        <v>686</v>
      </c>
      <c r="B3739" s="55" t="n">
        <v>44561</v>
      </c>
      <c r="C3739" s="51" t="s">
        <v>791</v>
      </c>
      <c r="D3739" s="51" t="n">
        <v>0</v>
      </c>
    </row>
    <row r="3740" customFormat="false" ht="15" hidden="true" customHeight="false" outlineLevel="0" collapsed="false">
      <c r="A3740" s="51" t="s">
        <v>691</v>
      </c>
      <c r="B3740" s="55" t="n">
        <v>44561</v>
      </c>
      <c r="C3740" s="51" t="s">
        <v>791</v>
      </c>
      <c r="D3740" s="51" t="n">
        <v>0</v>
      </c>
    </row>
    <row r="3741" customFormat="false" ht="15" hidden="true" customHeight="false" outlineLevel="0" collapsed="false">
      <c r="A3741" s="51" t="s">
        <v>696</v>
      </c>
      <c r="B3741" s="55" t="n">
        <v>44561</v>
      </c>
      <c r="C3741" s="51" t="s">
        <v>791</v>
      </c>
      <c r="D3741" s="51" t="n">
        <v>0</v>
      </c>
    </row>
    <row r="3742" customFormat="false" ht="15" hidden="true" customHeight="false" outlineLevel="0" collapsed="false">
      <c r="A3742" s="51" t="s">
        <v>701</v>
      </c>
      <c r="B3742" s="55" t="n">
        <v>44561</v>
      </c>
      <c r="C3742" s="51" t="s">
        <v>791</v>
      </c>
      <c r="D3742" s="51" t="n">
        <v>0</v>
      </c>
    </row>
    <row r="3743" customFormat="false" ht="15" hidden="true" customHeight="false" outlineLevel="0" collapsed="false">
      <c r="A3743" s="51" t="s">
        <v>707</v>
      </c>
      <c r="B3743" s="55" t="n">
        <v>44561</v>
      </c>
      <c r="C3743" s="51" t="s">
        <v>791</v>
      </c>
      <c r="D3743" s="51" t="n">
        <v>0</v>
      </c>
    </row>
    <row r="3744" customFormat="false" ht="15" hidden="true" customHeight="false" outlineLevel="0" collapsed="false">
      <c r="A3744" s="51" t="s">
        <v>712</v>
      </c>
      <c r="B3744" s="55" t="n">
        <v>44561</v>
      </c>
      <c r="C3744" s="51" t="s">
        <v>791</v>
      </c>
      <c r="D3744" s="51" t="n">
        <v>0</v>
      </c>
    </row>
    <row r="3745" customFormat="false" ht="15" hidden="true" customHeight="false" outlineLevel="0" collapsed="false">
      <c r="A3745" s="51" t="s">
        <v>717</v>
      </c>
      <c r="B3745" s="55" t="n">
        <v>44561</v>
      </c>
      <c r="C3745" s="51" t="s">
        <v>791</v>
      </c>
      <c r="D3745" s="51" t="n">
        <v>0</v>
      </c>
    </row>
    <row r="3746" customFormat="false" ht="15" hidden="true" customHeight="false" outlineLevel="0" collapsed="false">
      <c r="A3746" s="51" t="s">
        <v>767</v>
      </c>
      <c r="B3746" s="55" t="n">
        <v>44561</v>
      </c>
      <c r="C3746" s="51" t="s">
        <v>791</v>
      </c>
      <c r="D3746" s="51" t="n">
        <v>0</v>
      </c>
    </row>
    <row r="3747" customFormat="false" ht="15" hidden="true" customHeight="false" outlineLevel="0" collapsed="false">
      <c r="A3747" s="51" t="s">
        <v>722</v>
      </c>
      <c r="B3747" s="55" t="n">
        <v>44561</v>
      </c>
      <c r="C3747" s="51" t="s">
        <v>791</v>
      </c>
      <c r="D3747" s="51" t="n">
        <v>0</v>
      </c>
    </row>
    <row r="3748" customFormat="false" ht="15" hidden="true" customHeight="false" outlineLevel="0" collapsed="false">
      <c r="A3748" s="51" t="s">
        <v>727</v>
      </c>
      <c r="B3748" s="55" t="n">
        <v>44561</v>
      </c>
      <c r="C3748" s="51" t="s">
        <v>791</v>
      </c>
      <c r="D3748" s="51" t="n">
        <v>0</v>
      </c>
    </row>
    <row r="3749" customFormat="false" ht="15" hidden="true" customHeight="false" outlineLevel="0" collapsed="false">
      <c r="A3749" s="51" t="s">
        <v>732</v>
      </c>
      <c r="B3749" s="55" t="n">
        <v>44561</v>
      </c>
      <c r="C3749" s="51" t="s">
        <v>791</v>
      </c>
      <c r="D3749" s="51" t="n">
        <v>0</v>
      </c>
    </row>
    <row r="3750" customFormat="false" ht="15" hidden="true" customHeight="false" outlineLevel="0" collapsed="false">
      <c r="A3750" s="51" t="s">
        <v>736</v>
      </c>
      <c r="B3750" s="55" t="n">
        <v>44561</v>
      </c>
      <c r="C3750" s="51" t="s">
        <v>791</v>
      </c>
      <c r="D3750" s="51" t="n">
        <v>0</v>
      </c>
    </row>
    <row r="3751" customFormat="false" ht="15" hidden="true" customHeight="false" outlineLevel="0" collapsed="false">
      <c r="A3751" s="51" t="s">
        <v>741</v>
      </c>
      <c r="B3751" s="55" t="n">
        <v>44561</v>
      </c>
      <c r="C3751" s="51" t="s">
        <v>791</v>
      </c>
      <c r="D3751" s="51" t="n">
        <v>0</v>
      </c>
    </row>
    <row r="3752" customFormat="false" ht="15" hidden="true" customHeight="false" outlineLevel="0" collapsed="false">
      <c r="A3752" s="51" t="s">
        <v>746</v>
      </c>
      <c r="B3752" s="55" t="n">
        <v>44561</v>
      </c>
      <c r="C3752" s="51" t="s">
        <v>791</v>
      </c>
      <c r="D3752" s="51" t="n">
        <v>0</v>
      </c>
    </row>
    <row r="3753" customFormat="false" ht="15" hidden="true" customHeight="false" outlineLevel="0" collapsed="false">
      <c r="A3753" s="51" t="s">
        <v>751</v>
      </c>
      <c r="B3753" s="55" t="n">
        <v>44561</v>
      </c>
      <c r="C3753" s="51" t="s">
        <v>791</v>
      </c>
      <c r="D3753" s="51" t="n">
        <v>0</v>
      </c>
    </row>
    <row r="3754" customFormat="false" ht="15" hidden="false" customHeight="false" outlineLevel="0" collapsed="false">
      <c r="A3754" s="51" t="s">
        <v>781</v>
      </c>
      <c r="B3754" s="55" t="n">
        <v>44650</v>
      </c>
      <c r="C3754" s="51" t="s">
        <v>782</v>
      </c>
      <c r="D3754" s="51" t="n">
        <v>0</v>
      </c>
    </row>
    <row r="3755" customFormat="false" ht="15" hidden="true" customHeight="false" outlineLevel="0" collapsed="false">
      <c r="A3755" s="51" t="s">
        <v>783</v>
      </c>
      <c r="B3755" s="55" t="n">
        <v>44650</v>
      </c>
      <c r="C3755" s="51" t="s">
        <v>782</v>
      </c>
      <c r="D3755" s="51" t="n">
        <v>0</v>
      </c>
    </row>
    <row r="3756" customFormat="false" ht="15" hidden="true" customHeight="false" outlineLevel="0" collapsed="false">
      <c r="A3756" s="51" t="s">
        <v>96</v>
      </c>
      <c r="B3756" s="55" t="n">
        <v>44650</v>
      </c>
      <c r="C3756" s="51" t="s">
        <v>782</v>
      </c>
      <c r="D3756" s="51" t="n">
        <v>0</v>
      </c>
    </row>
    <row r="3757" customFormat="false" ht="15" hidden="true" customHeight="false" outlineLevel="0" collapsed="false">
      <c r="A3757" s="51" t="s">
        <v>101</v>
      </c>
      <c r="B3757" s="55" t="n">
        <v>44650</v>
      </c>
      <c r="C3757" s="51" t="s">
        <v>782</v>
      </c>
      <c r="D3757" s="51" t="n">
        <v>0</v>
      </c>
    </row>
    <row r="3758" customFormat="false" ht="15" hidden="true" customHeight="false" outlineLevel="0" collapsed="false">
      <c r="A3758" s="51" t="s">
        <v>106</v>
      </c>
      <c r="B3758" s="55" t="n">
        <v>44650</v>
      </c>
      <c r="C3758" s="51" t="s">
        <v>782</v>
      </c>
      <c r="D3758" s="51" t="n">
        <v>0</v>
      </c>
    </row>
    <row r="3759" customFormat="false" ht="15" hidden="true" customHeight="false" outlineLevel="0" collapsed="false">
      <c r="A3759" s="51" t="s">
        <v>110</v>
      </c>
      <c r="B3759" s="55" t="n">
        <v>44650</v>
      </c>
      <c r="C3759" s="51" t="s">
        <v>782</v>
      </c>
      <c r="D3759" s="51" t="n">
        <v>0</v>
      </c>
    </row>
    <row r="3760" customFormat="false" ht="15" hidden="true" customHeight="false" outlineLevel="0" collapsed="false">
      <c r="A3760" s="51" t="s">
        <v>115</v>
      </c>
      <c r="B3760" s="55" t="n">
        <v>44650</v>
      </c>
      <c r="C3760" s="51" t="s">
        <v>782</v>
      </c>
      <c r="D3760" s="51" t="n">
        <v>0</v>
      </c>
    </row>
    <row r="3761" customFormat="false" ht="15" hidden="true" customHeight="false" outlineLevel="0" collapsed="false">
      <c r="A3761" s="51" t="s">
        <v>120</v>
      </c>
      <c r="B3761" s="55" t="n">
        <v>44650</v>
      </c>
      <c r="C3761" s="51" t="s">
        <v>782</v>
      </c>
      <c r="D3761" s="51" t="n">
        <v>0</v>
      </c>
    </row>
    <row r="3762" customFormat="false" ht="15" hidden="true" customHeight="false" outlineLevel="0" collapsed="false">
      <c r="A3762" s="51" t="s">
        <v>124</v>
      </c>
      <c r="B3762" s="55" t="n">
        <v>44650</v>
      </c>
      <c r="C3762" s="51" t="s">
        <v>782</v>
      </c>
      <c r="D3762" s="51" t="n">
        <v>0</v>
      </c>
    </row>
    <row r="3763" customFormat="false" ht="15" hidden="true" customHeight="false" outlineLevel="0" collapsed="false">
      <c r="A3763" s="51" t="s">
        <v>129</v>
      </c>
      <c r="B3763" s="55" t="n">
        <v>44650</v>
      </c>
      <c r="C3763" s="51" t="s">
        <v>782</v>
      </c>
      <c r="D3763" s="51" t="n">
        <v>0</v>
      </c>
    </row>
    <row r="3764" customFormat="false" ht="15" hidden="true" customHeight="false" outlineLevel="0" collapsed="false">
      <c r="A3764" s="51" t="s">
        <v>134</v>
      </c>
      <c r="B3764" s="55" t="n">
        <v>44650</v>
      </c>
      <c r="C3764" s="51" t="s">
        <v>782</v>
      </c>
      <c r="D3764" s="51" t="n">
        <v>0</v>
      </c>
    </row>
    <row r="3765" customFormat="false" ht="15" hidden="true" customHeight="false" outlineLevel="0" collapsed="false">
      <c r="A3765" s="51" t="s">
        <v>141</v>
      </c>
      <c r="B3765" s="55" t="n">
        <v>44650</v>
      </c>
      <c r="C3765" s="51" t="s">
        <v>782</v>
      </c>
      <c r="D3765" s="51" t="n">
        <v>0</v>
      </c>
    </row>
    <row r="3766" customFormat="false" ht="15" hidden="true" customHeight="false" outlineLevel="0" collapsed="false">
      <c r="A3766" s="51" t="s">
        <v>146</v>
      </c>
      <c r="B3766" s="55" t="n">
        <v>44650</v>
      </c>
      <c r="C3766" s="51" t="s">
        <v>782</v>
      </c>
      <c r="D3766" s="51" t="n">
        <v>0</v>
      </c>
    </row>
    <row r="3767" customFormat="false" ht="15" hidden="true" customHeight="false" outlineLevel="0" collapsed="false">
      <c r="A3767" s="51" t="s">
        <v>151</v>
      </c>
      <c r="B3767" s="55" t="n">
        <v>44650</v>
      </c>
      <c r="C3767" s="51" t="s">
        <v>782</v>
      </c>
      <c r="D3767" s="51" t="n">
        <v>0</v>
      </c>
    </row>
    <row r="3768" customFormat="false" ht="15" hidden="true" customHeight="false" outlineLevel="0" collapsed="false">
      <c r="A3768" s="51" t="s">
        <v>156</v>
      </c>
      <c r="B3768" s="55" t="n">
        <v>44650</v>
      </c>
      <c r="C3768" s="51" t="s">
        <v>782</v>
      </c>
      <c r="D3768" s="51" t="n">
        <v>0</v>
      </c>
    </row>
    <row r="3769" customFormat="false" ht="15" hidden="true" customHeight="false" outlineLevel="0" collapsed="false">
      <c r="A3769" s="51" t="s">
        <v>161</v>
      </c>
      <c r="B3769" s="55" t="n">
        <v>44650</v>
      </c>
      <c r="C3769" s="51" t="s">
        <v>782</v>
      </c>
      <c r="D3769" s="51" t="n">
        <v>0</v>
      </c>
    </row>
    <row r="3770" customFormat="false" ht="15" hidden="true" customHeight="false" outlineLevel="0" collapsed="false">
      <c r="A3770" s="51" t="s">
        <v>166</v>
      </c>
      <c r="B3770" s="55" t="n">
        <v>44650</v>
      </c>
      <c r="C3770" s="51" t="s">
        <v>782</v>
      </c>
      <c r="D3770" s="51" t="n">
        <v>0</v>
      </c>
    </row>
    <row r="3771" customFormat="false" ht="15" hidden="true" customHeight="false" outlineLevel="0" collapsed="false">
      <c r="A3771" s="51" t="s">
        <v>171</v>
      </c>
      <c r="B3771" s="55" t="n">
        <v>44650</v>
      </c>
      <c r="C3771" s="51" t="s">
        <v>782</v>
      </c>
      <c r="D3771" s="51" t="n">
        <v>0</v>
      </c>
    </row>
    <row r="3772" customFormat="false" ht="15" hidden="true" customHeight="false" outlineLevel="0" collapsed="false">
      <c r="A3772" s="51" t="s">
        <v>176</v>
      </c>
      <c r="B3772" s="55" t="n">
        <v>44650</v>
      </c>
      <c r="C3772" s="51" t="s">
        <v>782</v>
      </c>
      <c r="D3772" s="51" t="n">
        <v>0</v>
      </c>
    </row>
    <row r="3773" customFormat="false" ht="15" hidden="true" customHeight="false" outlineLevel="0" collapsed="false">
      <c r="A3773" s="51" t="s">
        <v>181</v>
      </c>
      <c r="B3773" s="55" t="n">
        <v>44650</v>
      </c>
      <c r="C3773" s="51" t="s">
        <v>782</v>
      </c>
      <c r="D3773" s="51" t="n">
        <v>0</v>
      </c>
    </row>
    <row r="3774" customFormat="false" ht="15" hidden="true" customHeight="false" outlineLevel="0" collapsed="false">
      <c r="A3774" s="51" t="s">
        <v>186</v>
      </c>
      <c r="B3774" s="55" t="n">
        <v>44650</v>
      </c>
      <c r="C3774" s="51" t="s">
        <v>782</v>
      </c>
      <c r="D3774" s="51" t="n">
        <v>0</v>
      </c>
    </row>
    <row r="3775" customFormat="false" ht="15" hidden="true" customHeight="false" outlineLevel="0" collapsed="false">
      <c r="A3775" s="51" t="s">
        <v>191</v>
      </c>
      <c r="B3775" s="55" t="n">
        <v>44650</v>
      </c>
      <c r="C3775" s="51" t="s">
        <v>782</v>
      </c>
      <c r="D3775" s="51" t="n">
        <v>0</v>
      </c>
    </row>
    <row r="3776" customFormat="false" ht="15" hidden="true" customHeight="false" outlineLevel="0" collapsed="false">
      <c r="A3776" s="51" t="s">
        <v>196</v>
      </c>
      <c r="B3776" s="55" t="n">
        <v>44650</v>
      </c>
      <c r="C3776" s="51" t="s">
        <v>782</v>
      </c>
      <c r="D3776" s="51" t="n">
        <v>0</v>
      </c>
    </row>
    <row r="3777" customFormat="false" ht="15" hidden="true" customHeight="false" outlineLevel="0" collapsed="false">
      <c r="A3777" s="51" t="s">
        <v>201</v>
      </c>
      <c r="B3777" s="55" t="n">
        <v>44650</v>
      </c>
      <c r="C3777" s="51" t="s">
        <v>782</v>
      </c>
      <c r="D3777" s="51" t="n">
        <v>0</v>
      </c>
    </row>
    <row r="3778" customFormat="false" ht="15" hidden="true" customHeight="false" outlineLevel="0" collapsed="false">
      <c r="A3778" s="51" t="s">
        <v>206</v>
      </c>
      <c r="B3778" s="55" t="n">
        <v>44650</v>
      </c>
      <c r="C3778" s="51" t="s">
        <v>782</v>
      </c>
      <c r="D3778" s="51" t="n">
        <v>0</v>
      </c>
    </row>
    <row r="3779" customFormat="false" ht="15" hidden="true" customHeight="false" outlineLevel="0" collapsed="false">
      <c r="A3779" s="51" t="s">
        <v>210</v>
      </c>
      <c r="B3779" s="55" t="n">
        <v>44650</v>
      </c>
      <c r="C3779" s="51" t="s">
        <v>782</v>
      </c>
      <c r="D3779" s="51" t="n">
        <v>0</v>
      </c>
    </row>
    <row r="3780" customFormat="false" ht="15" hidden="true" customHeight="false" outlineLevel="0" collapsed="false">
      <c r="A3780" s="51" t="s">
        <v>215</v>
      </c>
      <c r="B3780" s="55" t="n">
        <v>44650</v>
      </c>
      <c r="C3780" s="51" t="s">
        <v>782</v>
      </c>
      <c r="D3780" s="51" t="n">
        <v>0</v>
      </c>
    </row>
    <row r="3781" customFormat="false" ht="15" hidden="true" customHeight="false" outlineLevel="0" collapsed="false">
      <c r="A3781" s="51" t="s">
        <v>790</v>
      </c>
      <c r="B3781" s="55" t="n">
        <v>44650</v>
      </c>
      <c r="C3781" s="51" t="s">
        <v>782</v>
      </c>
      <c r="D3781" s="51" t="n">
        <v>0</v>
      </c>
    </row>
    <row r="3782" customFormat="false" ht="15" hidden="true" customHeight="false" outlineLevel="0" collapsed="false">
      <c r="A3782" s="51" t="s">
        <v>225</v>
      </c>
      <c r="B3782" s="55" t="n">
        <v>44650</v>
      </c>
      <c r="C3782" s="51" t="s">
        <v>782</v>
      </c>
      <c r="D3782" s="51" t="n">
        <v>0</v>
      </c>
    </row>
    <row r="3783" customFormat="false" ht="15" hidden="true" customHeight="false" outlineLevel="0" collapsed="false">
      <c r="A3783" s="51" t="s">
        <v>230</v>
      </c>
      <c r="B3783" s="55" t="n">
        <v>44650</v>
      </c>
      <c r="C3783" s="51" t="s">
        <v>782</v>
      </c>
      <c r="D3783" s="51" t="n">
        <v>0</v>
      </c>
    </row>
    <row r="3784" customFormat="false" ht="15" hidden="true" customHeight="false" outlineLevel="0" collapsed="false">
      <c r="A3784" s="51" t="s">
        <v>235</v>
      </c>
      <c r="B3784" s="55" t="n">
        <v>44650</v>
      </c>
      <c r="C3784" s="51" t="s">
        <v>782</v>
      </c>
      <c r="D3784" s="51" t="n">
        <v>0</v>
      </c>
    </row>
    <row r="3785" customFormat="false" ht="15" hidden="true" customHeight="false" outlineLevel="0" collapsed="false">
      <c r="A3785" s="51" t="s">
        <v>240</v>
      </c>
      <c r="B3785" s="55" t="n">
        <v>44650</v>
      </c>
      <c r="C3785" s="51" t="s">
        <v>782</v>
      </c>
      <c r="D3785" s="51" t="n">
        <v>0</v>
      </c>
    </row>
    <row r="3786" customFormat="false" ht="15" hidden="true" customHeight="false" outlineLevel="0" collapsed="false">
      <c r="A3786" s="51" t="s">
        <v>246</v>
      </c>
      <c r="B3786" s="55" t="n">
        <v>44650</v>
      </c>
      <c r="C3786" s="51" t="s">
        <v>782</v>
      </c>
      <c r="D3786" s="51" t="n">
        <v>0</v>
      </c>
    </row>
    <row r="3787" customFormat="false" ht="15" hidden="true" customHeight="false" outlineLevel="0" collapsed="false">
      <c r="A3787" s="51" t="s">
        <v>252</v>
      </c>
      <c r="B3787" s="55" t="n">
        <v>44650</v>
      </c>
      <c r="C3787" s="51" t="s">
        <v>782</v>
      </c>
      <c r="D3787" s="51" t="n">
        <v>0</v>
      </c>
    </row>
    <row r="3788" customFormat="false" ht="15" hidden="true" customHeight="false" outlineLevel="0" collapsed="false">
      <c r="A3788" s="51" t="s">
        <v>257</v>
      </c>
      <c r="B3788" s="55" t="n">
        <v>44650</v>
      </c>
      <c r="C3788" s="51" t="s">
        <v>782</v>
      </c>
      <c r="D3788" s="51" t="n">
        <v>0</v>
      </c>
    </row>
    <row r="3789" customFormat="false" ht="15" hidden="true" customHeight="false" outlineLevel="0" collapsed="false">
      <c r="A3789" s="51" t="s">
        <v>262</v>
      </c>
      <c r="B3789" s="55" t="n">
        <v>44650</v>
      </c>
      <c r="C3789" s="51" t="s">
        <v>782</v>
      </c>
      <c r="D3789" s="51" t="n">
        <v>0</v>
      </c>
    </row>
    <row r="3790" customFormat="false" ht="15" hidden="true" customHeight="false" outlineLevel="0" collapsed="false">
      <c r="A3790" s="51" t="s">
        <v>267</v>
      </c>
      <c r="B3790" s="55" t="n">
        <v>44650</v>
      </c>
      <c r="C3790" s="51" t="s">
        <v>782</v>
      </c>
      <c r="D3790" s="51" t="n">
        <v>0</v>
      </c>
    </row>
    <row r="3791" customFormat="false" ht="15" hidden="true" customHeight="false" outlineLevel="0" collapsed="false">
      <c r="A3791" s="51" t="s">
        <v>272</v>
      </c>
      <c r="B3791" s="55" t="n">
        <v>44650</v>
      </c>
      <c r="C3791" s="51" t="s">
        <v>782</v>
      </c>
      <c r="D3791" s="51" t="n">
        <v>833000</v>
      </c>
    </row>
    <row r="3792" customFormat="false" ht="15" hidden="true" customHeight="false" outlineLevel="0" collapsed="false">
      <c r="A3792" s="51" t="s">
        <v>277</v>
      </c>
      <c r="B3792" s="55" t="n">
        <v>44650</v>
      </c>
      <c r="C3792" s="51" t="s">
        <v>782</v>
      </c>
      <c r="D3792" s="51" t="n">
        <v>0</v>
      </c>
    </row>
    <row r="3793" customFormat="false" ht="15" hidden="true" customHeight="false" outlineLevel="0" collapsed="false">
      <c r="A3793" s="51" t="s">
        <v>282</v>
      </c>
      <c r="B3793" s="55" t="n">
        <v>44650</v>
      </c>
      <c r="C3793" s="51" t="s">
        <v>782</v>
      </c>
      <c r="D3793" s="51" t="n">
        <v>0</v>
      </c>
    </row>
    <row r="3794" customFormat="false" ht="15" hidden="true" customHeight="false" outlineLevel="0" collapsed="false">
      <c r="A3794" s="51" t="s">
        <v>287</v>
      </c>
      <c r="B3794" s="55" t="n">
        <v>44650</v>
      </c>
      <c r="C3794" s="51" t="s">
        <v>782</v>
      </c>
      <c r="D3794" s="51" t="n">
        <v>0</v>
      </c>
    </row>
    <row r="3795" customFormat="false" ht="15" hidden="true" customHeight="false" outlineLevel="0" collapsed="false">
      <c r="A3795" s="51" t="s">
        <v>292</v>
      </c>
      <c r="B3795" s="55" t="n">
        <v>44650</v>
      </c>
      <c r="C3795" s="51" t="s">
        <v>782</v>
      </c>
      <c r="D3795" s="51" t="n">
        <v>0</v>
      </c>
    </row>
    <row r="3796" customFormat="false" ht="15" hidden="true" customHeight="false" outlineLevel="0" collapsed="false">
      <c r="A3796" s="51" t="s">
        <v>297</v>
      </c>
      <c r="B3796" s="55" t="n">
        <v>44650</v>
      </c>
      <c r="C3796" s="51" t="s">
        <v>782</v>
      </c>
      <c r="D3796" s="51" t="n">
        <v>0</v>
      </c>
    </row>
    <row r="3797" customFormat="false" ht="15" hidden="true" customHeight="false" outlineLevel="0" collapsed="false">
      <c r="A3797" s="51" t="s">
        <v>302</v>
      </c>
      <c r="B3797" s="55" t="n">
        <v>44650</v>
      </c>
      <c r="C3797" s="51" t="s">
        <v>782</v>
      </c>
      <c r="D3797" s="51" t="n">
        <v>0</v>
      </c>
    </row>
    <row r="3798" customFormat="false" ht="15" hidden="true" customHeight="false" outlineLevel="0" collapsed="false">
      <c r="A3798" s="51" t="s">
        <v>307</v>
      </c>
      <c r="B3798" s="55" t="n">
        <v>44650</v>
      </c>
      <c r="C3798" s="51" t="s">
        <v>782</v>
      </c>
      <c r="D3798" s="51" t="n">
        <v>0</v>
      </c>
    </row>
    <row r="3799" customFormat="false" ht="15" hidden="true" customHeight="false" outlineLevel="0" collapsed="false">
      <c r="A3799" s="51" t="s">
        <v>311</v>
      </c>
      <c r="B3799" s="55" t="n">
        <v>44650</v>
      </c>
      <c r="C3799" s="51" t="s">
        <v>782</v>
      </c>
      <c r="D3799" s="51" t="n">
        <v>0</v>
      </c>
    </row>
    <row r="3800" customFormat="false" ht="15" hidden="true" customHeight="false" outlineLevel="0" collapsed="false">
      <c r="A3800" s="51" t="s">
        <v>317</v>
      </c>
      <c r="B3800" s="55" t="n">
        <v>44650</v>
      </c>
      <c r="C3800" s="51" t="s">
        <v>782</v>
      </c>
      <c r="D3800" s="51" t="n">
        <v>0</v>
      </c>
    </row>
    <row r="3801" customFormat="false" ht="15" hidden="true" customHeight="false" outlineLevel="0" collapsed="false">
      <c r="A3801" s="51" t="s">
        <v>322</v>
      </c>
      <c r="B3801" s="55" t="n">
        <v>44650</v>
      </c>
      <c r="C3801" s="51" t="s">
        <v>782</v>
      </c>
      <c r="D3801" s="51" t="n">
        <v>0</v>
      </c>
    </row>
    <row r="3802" customFormat="false" ht="15" hidden="true" customHeight="false" outlineLevel="0" collapsed="false">
      <c r="A3802" s="51" t="s">
        <v>327</v>
      </c>
      <c r="B3802" s="55" t="n">
        <v>44650</v>
      </c>
      <c r="C3802" s="51" t="s">
        <v>782</v>
      </c>
      <c r="D3802" s="51" t="n">
        <v>0</v>
      </c>
    </row>
    <row r="3803" customFormat="false" ht="15" hidden="true" customHeight="false" outlineLevel="0" collapsed="false">
      <c r="A3803" s="51" t="s">
        <v>332</v>
      </c>
      <c r="B3803" s="55" t="n">
        <v>44650</v>
      </c>
      <c r="C3803" s="51" t="s">
        <v>782</v>
      </c>
      <c r="D3803" s="51" t="n">
        <v>0</v>
      </c>
    </row>
    <row r="3804" customFormat="false" ht="15" hidden="true" customHeight="false" outlineLevel="0" collapsed="false">
      <c r="A3804" s="51" t="s">
        <v>339</v>
      </c>
      <c r="B3804" s="55" t="n">
        <v>44650</v>
      </c>
      <c r="C3804" s="51" t="s">
        <v>782</v>
      </c>
      <c r="D3804" s="51" t="n">
        <v>0</v>
      </c>
    </row>
    <row r="3805" customFormat="false" ht="15" hidden="true" customHeight="false" outlineLevel="0" collapsed="false">
      <c r="A3805" s="51" t="s">
        <v>344</v>
      </c>
      <c r="B3805" s="55" t="n">
        <v>44650</v>
      </c>
      <c r="C3805" s="51" t="s">
        <v>782</v>
      </c>
      <c r="D3805" s="51" t="n">
        <v>0</v>
      </c>
    </row>
    <row r="3806" customFormat="false" ht="15" hidden="true" customHeight="false" outlineLevel="0" collapsed="false">
      <c r="A3806" s="51" t="s">
        <v>349</v>
      </c>
      <c r="B3806" s="55" t="n">
        <v>44650</v>
      </c>
      <c r="C3806" s="51" t="s">
        <v>782</v>
      </c>
      <c r="D3806" s="51" t="n">
        <v>0</v>
      </c>
    </row>
    <row r="3807" customFormat="false" ht="15" hidden="true" customHeight="false" outlineLevel="0" collapsed="false">
      <c r="A3807" s="51" t="s">
        <v>354</v>
      </c>
      <c r="B3807" s="55" t="n">
        <v>44650</v>
      </c>
      <c r="C3807" s="51" t="s">
        <v>782</v>
      </c>
      <c r="D3807" s="51" t="n">
        <v>0</v>
      </c>
    </row>
    <row r="3808" customFormat="false" ht="15" hidden="true" customHeight="false" outlineLevel="0" collapsed="false">
      <c r="A3808" s="51" t="s">
        <v>359</v>
      </c>
      <c r="B3808" s="55" t="n">
        <v>44650</v>
      </c>
      <c r="C3808" s="51" t="s">
        <v>782</v>
      </c>
      <c r="D3808" s="51" t="n">
        <v>0</v>
      </c>
    </row>
    <row r="3809" customFormat="false" ht="15" hidden="true" customHeight="false" outlineLevel="0" collapsed="false">
      <c r="A3809" s="51" t="s">
        <v>364</v>
      </c>
      <c r="B3809" s="55" t="n">
        <v>44650</v>
      </c>
      <c r="C3809" s="51" t="s">
        <v>782</v>
      </c>
      <c r="D3809" s="51" t="n">
        <v>0</v>
      </c>
    </row>
    <row r="3810" customFormat="false" ht="15" hidden="true" customHeight="false" outlineLevel="0" collapsed="false">
      <c r="A3810" s="51" t="s">
        <v>369</v>
      </c>
      <c r="B3810" s="55" t="n">
        <v>44650</v>
      </c>
      <c r="C3810" s="51" t="s">
        <v>782</v>
      </c>
      <c r="D3810" s="51" t="n">
        <v>0</v>
      </c>
    </row>
    <row r="3811" customFormat="false" ht="15" hidden="true" customHeight="false" outlineLevel="0" collapsed="false">
      <c r="A3811" s="51" t="s">
        <v>374</v>
      </c>
      <c r="B3811" s="55" t="n">
        <v>44650</v>
      </c>
      <c r="C3811" s="51" t="s">
        <v>782</v>
      </c>
      <c r="D3811" s="51" t="n">
        <v>0</v>
      </c>
    </row>
    <row r="3812" customFormat="false" ht="15" hidden="true" customHeight="false" outlineLevel="0" collapsed="false">
      <c r="A3812" s="51" t="s">
        <v>379</v>
      </c>
      <c r="B3812" s="55" t="n">
        <v>44650</v>
      </c>
      <c r="C3812" s="51" t="s">
        <v>782</v>
      </c>
      <c r="D3812" s="51" t="n">
        <v>0</v>
      </c>
    </row>
    <row r="3813" customFormat="false" ht="15" hidden="true" customHeight="false" outlineLevel="0" collapsed="false">
      <c r="A3813" s="51" t="s">
        <v>384</v>
      </c>
      <c r="B3813" s="55" t="n">
        <v>44650</v>
      </c>
      <c r="C3813" s="51" t="s">
        <v>782</v>
      </c>
      <c r="D3813" s="51" t="n">
        <v>0</v>
      </c>
    </row>
    <row r="3814" customFormat="false" ht="15" hidden="true" customHeight="false" outlineLevel="0" collapsed="false">
      <c r="A3814" s="51" t="s">
        <v>389</v>
      </c>
      <c r="B3814" s="55" t="n">
        <v>44650</v>
      </c>
      <c r="C3814" s="51" t="s">
        <v>782</v>
      </c>
      <c r="D3814" s="51" t="n">
        <v>0</v>
      </c>
    </row>
    <row r="3815" customFormat="false" ht="15" hidden="true" customHeight="false" outlineLevel="0" collapsed="false">
      <c r="A3815" s="51" t="s">
        <v>394</v>
      </c>
      <c r="B3815" s="55" t="n">
        <v>44650</v>
      </c>
      <c r="C3815" s="51" t="s">
        <v>782</v>
      </c>
      <c r="D3815" s="51" t="n">
        <v>0</v>
      </c>
    </row>
    <row r="3816" customFormat="false" ht="15" hidden="true" customHeight="false" outlineLevel="0" collapsed="false">
      <c r="A3816" s="51" t="s">
        <v>399</v>
      </c>
      <c r="B3816" s="55" t="n">
        <v>44650</v>
      </c>
      <c r="C3816" s="51" t="s">
        <v>782</v>
      </c>
      <c r="D3816" s="51" t="n">
        <v>0</v>
      </c>
    </row>
    <row r="3817" customFormat="false" ht="15" hidden="true" customHeight="false" outlineLevel="0" collapsed="false">
      <c r="A3817" s="51" t="s">
        <v>404</v>
      </c>
      <c r="B3817" s="55" t="n">
        <v>44650</v>
      </c>
      <c r="C3817" s="51" t="s">
        <v>782</v>
      </c>
      <c r="D3817" s="51" t="n">
        <v>0</v>
      </c>
    </row>
    <row r="3818" customFormat="false" ht="15" hidden="true" customHeight="false" outlineLevel="0" collapsed="false">
      <c r="A3818" s="51" t="s">
        <v>409</v>
      </c>
      <c r="B3818" s="55" t="n">
        <v>44650</v>
      </c>
      <c r="C3818" s="51" t="s">
        <v>782</v>
      </c>
      <c r="D3818" s="51" t="n">
        <v>0</v>
      </c>
    </row>
    <row r="3819" customFormat="false" ht="15" hidden="true" customHeight="false" outlineLevel="0" collapsed="false">
      <c r="A3819" s="51" t="s">
        <v>414</v>
      </c>
      <c r="B3819" s="55" t="n">
        <v>44650</v>
      </c>
      <c r="C3819" s="51" t="s">
        <v>782</v>
      </c>
      <c r="D3819" s="51" t="n">
        <v>0</v>
      </c>
    </row>
    <row r="3820" customFormat="false" ht="15" hidden="true" customHeight="false" outlineLevel="0" collapsed="false">
      <c r="A3820" s="51" t="s">
        <v>419</v>
      </c>
      <c r="B3820" s="55" t="n">
        <v>44650</v>
      </c>
      <c r="C3820" s="51" t="s">
        <v>782</v>
      </c>
      <c r="D3820" s="51" t="n">
        <v>0</v>
      </c>
    </row>
    <row r="3821" customFormat="false" ht="15" hidden="true" customHeight="false" outlineLevel="0" collapsed="false">
      <c r="A3821" s="51" t="s">
        <v>424</v>
      </c>
      <c r="B3821" s="55" t="n">
        <v>44650</v>
      </c>
      <c r="C3821" s="51" t="s">
        <v>782</v>
      </c>
      <c r="D3821" s="51" t="n">
        <v>0</v>
      </c>
    </row>
    <row r="3822" customFormat="false" ht="15" hidden="true" customHeight="false" outlineLevel="0" collapsed="false">
      <c r="A3822" s="51" t="s">
        <v>429</v>
      </c>
      <c r="B3822" s="55" t="n">
        <v>44650</v>
      </c>
      <c r="C3822" s="51" t="s">
        <v>782</v>
      </c>
      <c r="D3822" s="51" t="n">
        <v>0</v>
      </c>
    </row>
    <row r="3823" customFormat="false" ht="15" hidden="true" customHeight="false" outlineLevel="0" collapsed="false">
      <c r="A3823" s="51" t="s">
        <v>434</v>
      </c>
      <c r="B3823" s="55" t="n">
        <v>44650</v>
      </c>
      <c r="C3823" s="51" t="s">
        <v>782</v>
      </c>
      <c r="D3823" s="51" t="n">
        <v>0</v>
      </c>
    </row>
    <row r="3824" customFormat="false" ht="15" hidden="true" customHeight="false" outlineLevel="0" collapsed="false">
      <c r="A3824" s="51" t="s">
        <v>438</v>
      </c>
      <c r="B3824" s="55" t="n">
        <v>44650</v>
      </c>
      <c r="C3824" s="51" t="s">
        <v>782</v>
      </c>
      <c r="D3824" s="51" t="n">
        <v>0</v>
      </c>
    </row>
    <row r="3825" customFormat="false" ht="15" hidden="true" customHeight="false" outlineLevel="0" collapsed="false">
      <c r="A3825" s="51" t="s">
        <v>443</v>
      </c>
      <c r="B3825" s="55" t="n">
        <v>44650</v>
      </c>
      <c r="C3825" s="51" t="s">
        <v>782</v>
      </c>
      <c r="D3825" s="51" t="n">
        <v>0</v>
      </c>
    </row>
    <row r="3826" customFormat="false" ht="15" hidden="true" customHeight="false" outlineLevel="0" collapsed="false">
      <c r="A3826" s="51" t="s">
        <v>448</v>
      </c>
      <c r="B3826" s="55" t="n">
        <v>44650</v>
      </c>
      <c r="C3826" s="51" t="s">
        <v>782</v>
      </c>
      <c r="D3826" s="51" t="n">
        <v>0</v>
      </c>
    </row>
    <row r="3827" customFormat="false" ht="15" hidden="true" customHeight="false" outlineLevel="0" collapsed="false">
      <c r="A3827" s="51" t="s">
        <v>453</v>
      </c>
      <c r="B3827" s="55" t="n">
        <v>44650</v>
      </c>
      <c r="C3827" s="51" t="s">
        <v>782</v>
      </c>
      <c r="D3827" s="51" t="n">
        <v>0</v>
      </c>
    </row>
    <row r="3828" customFormat="false" ht="15" hidden="true" customHeight="false" outlineLevel="0" collapsed="false">
      <c r="A3828" s="51" t="s">
        <v>458</v>
      </c>
      <c r="B3828" s="55" t="n">
        <v>44650</v>
      </c>
      <c r="C3828" s="51" t="s">
        <v>782</v>
      </c>
      <c r="D3828" s="51" t="n">
        <v>0</v>
      </c>
    </row>
    <row r="3829" customFormat="false" ht="15" hidden="true" customHeight="false" outlineLevel="0" collapsed="false">
      <c r="A3829" s="51" t="s">
        <v>473</v>
      </c>
      <c r="B3829" s="55" t="n">
        <v>44650</v>
      </c>
      <c r="C3829" s="51" t="s">
        <v>782</v>
      </c>
      <c r="D3829" s="51" t="n">
        <v>0</v>
      </c>
    </row>
    <row r="3830" customFormat="false" ht="15" hidden="true" customHeight="false" outlineLevel="0" collapsed="false">
      <c r="A3830" s="51" t="s">
        <v>479</v>
      </c>
      <c r="B3830" s="55" t="n">
        <v>44650</v>
      </c>
      <c r="C3830" s="51" t="s">
        <v>782</v>
      </c>
      <c r="D3830" s="51" t="n">
        <v>0</v>
      </c>
    </row>
    <row r="3831" customFormat="false" ht="15" hidden="true" customHeight="false" outlineLevel="0" collapsed="false">
      <c r="A3831" s="51" t="s">
        <v>484</v>
      </c>
      <c r="B3831" s="55" t="n">
        <v>44650</v>
      </c>
      <c r="C3831" s="51" t="s">
        <v>782</v>
      </c>
      <c r="D3831" s="51" t="n">
        <v>0</v>
      </c>
    </row>
    <row r="3832" customFormat="false" ht="15" hidden="true" customHeight="false" outlineLevel="0" collapsed="false">
      <c r="A3832" s="51" t="s">
        <v>489</v>
      </c>
      <c r="B3832" s="55" t="n">
        <v>44650</v>
      </c>
      <c r="C3832" s="51" t="s">
        <v>782</v>
      </c>
      <c r="D3832" s="51" t="n">
        <v>0</v>
      </c>
    </row>
    <row r="3833" customFormat="false" ht="15" hidden="true" customHeight="false" outlineLevel="0" collapsed="false">
      <c r="A3833" s="51" t="s">
        <v>494</v>
      </c>
      <c r="B3833" s="55" t="n">
        <v>44650</v>
      </c>
      <c r="C3833" s="51" t="s">
        <v>782</v>
      </c>
      <c r="D3833" s="51" t="n">
        <v>0</v>
      </c>
    </row>
    <row r="3834" customFormat="false" ht="15" hidden="true" customHeight="false" outlineLevel="0" collapsed="false">
      <c r="A3834" s="51" t="s">
        <v>499</v>
      </c>
      <c r="B3834" s="55" t="n">
        <v>44650</v>
      </c>
      <c r="C3834" s="51" t="s">
        <v>782</v>
      </c>
      <c r="D3834" s="51" t="n">
        <v>0</v>
      </c>
    </row>
    <row r="3835" customFormat="false" ht="15" hidden="true" customHeight="false" outlineLevel="0" collapsed="false">
      <c r="A3835" s="51" t="s">
        <v>504</v>
      </c>
      <c r="B3835" s="55" t="n">
        <v>44650</v>
      </c>
      <c r="C3835" s="51" t="s">
        <v>782</v>
      </c>
      <c r="D3835" s="51" t="n">
        <v>0</v>
      </c>
    </row>
    <row r="3836" customFormat="false" ht="15" hidden="true" customHeight="false" outlineLevel="0" collapsed="false">
      <c r="A3836" s="51" t="s">
        <v>509</v>
      </c>
      <c r="B3836" s="55" t="n">
        <v>44650</v>
      </c>
      <c r="C3836" s="51" t="s">
        <v>782</v>
      </c>
      <c r="D3836" s="51" t="n">
        <v>0</v>
      </c>
    </row>
    <row r="3837" customFormat="false" ht="15" hidden="true" customHeight="false" outlineLevel="0" collapsed="false">
      <c r="A3837" s="51" t="s">
        <v>515</v>
      </c>
      <c r="B3837" s="55" t="n">
        <v>44650</v>
      </c>
      <c r="C3837" s="51" t="s">
        <v>782</v>
      </c>
      <c r="D3837" s="51" t="n">
        <v>0</v>
      </c>
    </row>
    <row r="3838" customFormat="false" ht="15" hidden="true" customHeight="false" outlineLevel="0" collapsed="false">
      <c r="A3838" s="51" t="s">
        <v>520</v>
      </c>
      <c r="B3838" s="55" t="n">
        <v>44650</v>
      </c>
      <c r="C3838" s="51" t="s">
        <v>782</v>
      </c>
      <c r="D3838" s="51" t="n">
        <v>0</v>
      </c>
    </row>
    <row r="3839" customFormat="false" ht="15" hidden="true" customHeight="false" outlineLevel="0" collapsed="false">
      <c r="A3839" s="51" t="s">
        <v>525</v>
      </c>
      <c r="B3839" s="55" t="n">
        <v>44650</v>
      </c>
      <c r="C3839" s="51" t="s">
        <v>782</v>
      </c>
      <c r="D3839" s="51" t="n">
        <v>0</v>
      </c>
    </row>
    <row r="3840" customFormat="false" ht="15" hidden="true" customHeight="false" outlineLevel="0" collapsed="false">
      <c r="A3840" s="51" t="s">
        <v>531</v>
      </c>
      <c r="B3840" s="55" t="n">
        <v>44650</v>
      </c>
      <c r="C3840" s="51" t="s">
        <v>782</v>
      </c>
      <c r="D3840" s="51" t="n">
        <v>0</v>
      </c>
    </row>
    <row r="3841" customFormat="false" ht="15" hidden="true" customHeight="false" outlineLevel="0" collapsed="false">
      <c r="A3841" s="51" t="s">
        <v>536</v>
      </c>
      <c r="B3841" s="55" t="n">
        <v>44650</v>
      </c>
      <c r="C3841" s="51" t="s">
        <v>782</v>
      </c>
      <c r="D3841" s="51" t="n">
        <v>0</v>
      </c>
    </row>
    <row r="3842" customFormat="false" ht="15" hidden="true" customHeight="false" outlineLevel="0" collapsed="false">
      <c r="A3842" s="51" t="s">
        <v>541</v>
      </c>
      <c r="B3842" s="55" t="n">
        <v>44650</v>
      </c>
      <c r="C3842" s="51" t="s">
        <v>782</v>
      </c>
      <c r="D3842" s="51" t="n">
        <v>0</v>
      </c>
    </row>
    <row r="3843" customFormat="false" ht="15" hidden="true" customHeight="false" outlineLevel="0" collapsed="false">
      <c r="A3843" s="51" t="s">
        <v>549</v>
      </c>
      <c r="B3843" s="55" t="n">
        <v>44650</v>
      </c>
      <c r="C3843" s="51" t="s">
        <v>782</v>
      </c>
      <c r="D3843" s="51" t="n">
        <v>0</v>
      </c>
    </row>
    <row r="3844" customFormat="false" ht="15" hidden="true" customHeight="false" outlineLevel="0" collapsed="false">
      <c r="A3844" s="51" t="s">
        <v>554</v>
      </c>
      <c r="B3844" s="55" t="n">
        <v>44650</v>
      </c>
      <c r="C3844" s="51" t="s">
        <v>782</v>
      </c>
      <c r="D3844" s="51" t="n">
        <v>0</v>
      </c>
    </row>
    <row r="3845" customFormat="false" ht="15" hidden="true" customHeight="false" outlineLevel="0" collapsed="false">
      <c r="A3845" s="51" t="s">
        <v>559</v>
      </c>
      <c r="B3845" s="55" t="n">
        <v>44650</v>
      </c>
      <c r="C3845" s="51" t="s">
        <v>782</v>
      </c>
      <c r="D3845" s="51" t="n">
        <v>0</v>
      </c>
    </row>
    <row r="3846" customFormat="false" ht="15" hidden="true" customHeight="false" outlineLevel="0" collapsed="false">
      <c r="A3846" s="51" t="s">
        <v>564</v>
      </c>
      <c r="B3846" s="55" t="n">
        <v>44650</v>
      </c>
      <c r="C3846" s="51" t="s">
        <v>782</v>
      </c>
      <c r="D3846" s="51" t="n">
        <v>0</v>
      </c>
    </row>
    <row r="3847" customFormat="false" ht="15" hidden="true" customHeight="false" outlineLevel="0" collapsed="false">
      <c r="A3847" s="51" t="s">
        <v>569</v>
      </c>
      <c r="B3847" s="55" t="n">
        <v>44650</v>
      </c>
      <c r="C3847" s="51" t="s">
        <v>782</v>
      </c>
      <c r="D3847" s="51" t="n">
        <v>0</v>
      </c>
    </row>
    <row r="3848" customFormat="false" ht="15" hidden="true" customHeight="false" outlineLevel="0" collapsed="false">
      <c r="A3848" s="51" t="s">
        <v>574</v>
      </c>
      <c r="B3848" s="55" t="n">
        <v>44650</v>
      </c>
      <c r="C3848" s="51" t="s">
        <v>782</v>
      </c>
      <c r="D3848" s="51" t="n">
        <v>0</v>
      </c>
    </row>
    <row r="3849" customFormat="false" ht="15" hidden="true" customHeight="false" outlineLevel="0" collapsed="false">
      <c r="A3849" s="51" t="s">
        <v>579</v>
      </c>
      <c r="B3849" s="55" t="n">
        <v>44650</v>
      </c>
      <c r="C3849" s="51" t="s">
        <v>782</v>
      </c>
      <c r="D3849" s="51" t="n">
        <v>0</v>
      </c>
    </row>
    <row r="3850" customFormat="false" ht="15" hidden="true" customHeight="false" outlineLevel="0" collapsed="false">
      <c r="A3850" s="51" t="s">
        <v>584</v>
      </c>
      <c r="B3850" s="55" t="n">
        <v>44650</v>
      </c>
      <c r="C3850" s="51" t="s">
        <v>782</v>
      </c>
      <c r="D3850" s="51" t="n">
        <v>0</v>
      </c>
    </row>
    <row r="3851" customFormat="false" ht="15" hidden="true" customHeight="false" outlineLevel="0" collapsed="false">
      <c r="A3851" s="51" t="s">
        <v>589</v>
      </c>
      <c r="B3851" s="55" t="n">
        <v>44650</v>
      </c>
      <c r="C3851" s="51" t="s">
        <v>782</v>
      </c>
      <c r="D3851" s="51" t="n">
        <v>0</v>
      </c>
    </row>
    <row r="3852" customFormat="false" ht="15" hidden="true" customHeight="false" outlineLevel="0" collapsed="false">
      <c r="A3852" s="51" t="s">
        <v>756</v>
      </c>
      <c r="B3852" s="55" t="n">
        <v>44650</v>
      </c>
      <c r="C3852" s="51" t="s">
        <v>782</v>
      </c>
      <c r="D3852" s="51" t="n">
        <v>0</v>
      </c>
    </row>
    <row r="3853" customFormat="false" ht="15" hidden="true" customHeight="false" outlineLevel="0" collapsed="false">
      <c r="A3853" s="51" t="s">
        <v>594</v>
      </c>
      <c r="B3853" s="55" t="n">
        <v>44650</v>
      </c>
      <c r="C3853" s="51" t="s">
        <v>782</v>
      </c>
      <c r="D3853" s="51" t="n">
        <v>0</v>
      </c>
    </row>
    <row r="3854" customFormat="false" ht="15" hidden="true" customHeight="false" outlineLevel="0" collapsed="false">
      <c r="A3854" s="51" t="s">
        <v>761</v>
      </c>
      <c r="B3854" s="55" t="n">
        <v>44650</v>
      </c>
      <c r="C3854" s="51" t="s">
        <v>782</v>
      </c>
      <c r="D3854" s="51" t="n">
        <v>0</v>
      </c>
    </row>
    <row r="3855" customFormat="false" ht="15" hidden="true" customHeight="false" outlineLevel="0" collapsed="false">
      <c r="A3855" s="51" t="s">
        <v>599</v>
      </c>
      <c r="B3855" s="55" t="n">
        <v>44650</v>
      </c>
      <c r="C3855" s="51" t="s">
        <v>782</v>
      </c>
      <c r="D3855" s="51" t="n">
        <v>0</v>
      </c>
    </row>
    <row r="3856" customFormat="false" ht="15" hidden="true" customHeight="false" outlineLevel="0" collapsed="false">
      <c r="A3856" s="51" t="s">
        <v>604</v>
      </c>
      <c r="B3856" s="55" t="n">
        <v>44650</v>
      </c>
      <c r="C3856" s="51" t="s">
        <v>782</v>
      </c>
      <c r="D3856" s="51" t="n">
        <v>0</v>
      </c>
    </row>
    <row r="3857" customFormat="false" ht="15" hidden="true" customHeight="false" outlineLevel="0" collapsed="false">
      <c r="A3857" s="51" t="s">
        <v>609</v>
      </c>
      <c r="B3857" s="55" t="n">
        <v>44650</v>
      </c>
      <c r="C3857" s="51" t="s">
        <v>782</v>
      </c>
      <c r="D3857" s="51" t="n">
        <v>0</v>
      </c>
    </row>
    <row r="3858" customFormat="false" ht="15" hidden="true" customHeight="false" outlineLevel="0" collapsed="false">
      <c r="A3858" s="51" t="s">
        <v>614</v>
      </c>
      <c r="B3858" s="55" t="n">
        <v>44650</v>
      </c>
      <c r="C3858" s="51" t="s">
        <v>782</v>
      </c>
      <c r="D3858" s="51" t="n">
        <v>0</v>
      </c>
    </row>
    <row r="3859" customFormat="false" ht="15" hidden="true" customHeight="false" outlineLevel="0" collapsed="false">
      <c r="A3859" s="51" t="s">
        <v>619</v>
      </c>
      <c r="B3859" s="55" t="n">
        <v>44650</v>
      </c>
      <c r="C3859" s="51" t="s">
        <v>782</v>
      </c>
      <c r="D3859" s="51" t="n">
        <v>0</v>
      </c>
    </row>
    <row r="3860" customFormat="false" ht="15" hidden="true" customHeight="false" outlineLevel="0" collapsed="false">
      <c r="A3860" s="51" t="s">
        <v>624</v>
      </c>
      <c r="B3860" s="55" t="n">
        <v>44650</v>
      </c>
      <c r="C3860" s="51" t="s">
        <v>782</v>
      </c>
      <c r="D3860" s="51" t="n">
        <v>0</v>
      </c>
    </row>
    <row r="3861" customFormat="false" ht="15" hidden="true" customHeight="false" outlineLevel="0" collapsed="false">
      <c r="A3861" s="51" t="s">
        <v>629</v>
      </c>
      <c r="B3861" s="55" t="n">
        <v>44650</v>
      </c>
      <c r="C3861" s="51" t="s">
        <v>782</v>
      </c>
      <c r="D3861" s="51" t="n">
        <v>0</v>
      </c>
    </row>
    <row r="3862" customFormat="false" ht="15" hidden="true" customHeight="false" outlineLevel="0" collapsed="false">
      <c r="A3862" s="51" t="s">
        <v>633</v>
      </c>
      <c r="B3862" s="55" t="n">
        <v>44650</v>
      </c>
      <c r="C3862" s="51" t="s">
        <v>782</v>
      </c>
      <c r="D3862" s="51" t="n">
        <v>0</v>
      </c>
    </row>
    <row r="3863" customFormat="false" ht="15" hidden="true" customHeight="false" outlineLevel="0" collapsed="false">
      <c r="A3863" s="51" t="s">
        <v>638</v>
      </c>
      <c r="B3863" s="55" t="n">
        <v>44650</v>
      </c>
      <c r="C3863" s="51" t="s">
        <v>782</v>
      </c>
      <c r="D3863" s="51" t="n">
        <v>0</v>
      </c>
    </row>
    <row r="3864" customFormat="false" ht="15" hidden="true" customHeight="false" outlineLevel="0" collapsed="false">
      <c r="A3864" s="51" t="s">
        <v>642</v>
      </c>
      <c r="B3864" s="55" t="n">
        <v>44650</v>
      </c>
      <c r="C3864" s="51" t="s">
        <v>782</v>
      </c>
      <c r="D3864" s="51" t="n">
        <v>0</v>
      </c>
    </row>
    <row r="3865" customFormat="false" ht="15" hidden="true" customHeight="false" outlineLevel="0" collapsed="false">
      <c r="A3865" s="51" t="s">
        <v>646</v>
      </c>
      <c r="B3865" s="55" t="n">
        <v>44650</v>
      </c>
      <c r="C3865" s="51" t="s">
        <v>782</v>
      </c>
      <c r="D3865" s="51" t="n">
        <v>0</v>
      </c>
    </row>
    <row r="3866" customFormat="false" ht="15" hidden="true" customHeight="false" outlineLevel="0" collapsed="false">
      <c r="A3866" s="51" t="s">
        <v>651</v>
      </c>
      <c r="B3866" s="55" t="n">
        <v>44650</v>
      </c>
      <c r="C3866" s="51" t="s">
        <v>782</v>
      </c>
      <c r="D3866" s="51" t="n">
        <v>0</v>
      </c>
    </row>
    <row r="3867" customFormat="false" ht="15" hidden="true" customHeight="false" outlineLevel="0" collapsed="false">
      <c r="A3867" s="51" t="s">
        <v>656</v>
      </c>
      <c r="B3867" s="55" t="n">
        <v>44650</v>
      </c>
      <c r="C3867" s="51" t="s">
        <v>782</v>
      </c>
      <c r="D3867" s="51" t="n">
        <v>0</v>
      </c>
    </row>
    <row r="3868" customFormat="false" ht="15" hidden="true" customHeight="false" outlineLevel="0" collapsed="false">
      <c r="A3868" s="51" t="s">
        <v>661</v>
      </c>
      <c r="B3868" s="55" t="n">
        <v>44650</v>
      </c>
      <c r="C3868" s="51" t="s">
        <v>782</v>
      </c>
      <c r="D3868" s="51" t="n">
        <v>0</v>
      </c>
    </row>
    <row r="3869" customFormat="false" ht="15" hidden="true" customHeight="false" outlineLevel="0" collapsed="false">
      <c r="A3869" s="51" t="s">
        <v>666</v>
      </c>
      <c r="B3869" s="55" t="n">
        <v>44650</v>
      </c>
      <c r="C3869" s="51" t="s">
        <v>782</v>
      </c>
      <c r="D3869" s="51" t="n">
        <v>0</v>
      </c>
    </row>
    <row r="3870" customFormat="false" ht="15" hidden="true" customHeight="false" outlineLevel="0" collapsed="false">
      <c r="A3870" s="51" t="s">
        <v>671</v>
      </c>
      <c r="B3870" s="55" t="n">
        <v>44650</v>
      </c>
      <c r="C3870" s="51" t="s">
        <v>782</v>
      </c>
      <c r="D3870" s="51" t="n">
        <v>0</v>
      </c>
    </row>
    <row r="3871" customFormat="false" ht="15" hidden="true" customHeight="false" outlineLevel="0" collapsed="false">
      <c r="A3871" s="51" t="s">
        <v>676</v>
      </c>
      <c r="B3871" s="55" t="n">
        <v>44650</v>
      </c>
      <c r="C3871" s="51" t="s">
        <v>782</v>
      </c>
      <c r="D3871" s="51" t="n">
        <v>0</v>
      </c>
    </row>
    <row r="3872" customFormat="false" ht="15" hidden="true" customHeight="false" outlineLevel="0" collapsed="false">
      <c r="A3872" s="51" t="s">
        <v>681</v>
      </c>
      <c r="B3872" s="55" t="n">
        <v>44650</v>
      </c>
      <c r="C3872" s="51" t="s">
        <v>782</v>
      </c>
      <c r="D3872" s="51" t="n">
        <v>0</v>
      </c>
    </row>
    <row r="3873" customFormat="false" ht="15" hidden="true" customHeight="false" outlineLevel="0" collapsed="false">
      <c r="A3873" s="51" t="s">
        <v>686</v>
      </c>
      <c r="B3873" s="55" t="n">
        <v>44650</v>
      </c>
      <c r="C3873" s="51" t="s">
        <v>782</v>
      </c>
      <c r="D3873" s="51" t="n">
        <v>0</v>
      </c>
    </row>
    <row r="3874" customFormat="false" ht="15" hidden="true" customHeight="false" outlineLevel="0" collapsed="false">
      <c r="A3874" s="51" t="s">
        <v>691</v>
      </c>
      <c r="B3874" s="55" t="n">
        <v>44650</v>
      </c>
      <c r="C3874" s="51" t="s">
        <v>782</v>
      </c>
      <c r="D3874" s="51" t="n">
        <v>0</v>
      </c>
    </row>
    <row r="3875" customFormat="false" ht="15" hidden="true" customHeight="false" outlineLevel="0" collapsed="false">
      <c r="A3875" s="51" t="s">
        <v>696</v>
      </c>
      <c r="B3875" s="55" t="n">
        <v>44650</v>
      </c>
      <c r="C3875" s="51" t="s">
        <v>782</v>
      </c>
      <c r="D3875" s="51" t="n">
        <v>0</v>
      </c>
    </row>
    <row r="3876" customFormat="false" ht="15" hidden="true" customHeight="false" outlineLevel="0" collapsed="false">
      <c r="A3876" s="51" t="s">
        <v>701</v>
      </c>
      <c r="B3876" s="55" t="n">
        <v>44650</v>
      </c>
      <c r="C3876" s="51" t="s">
        <v>782</v>
      </c>
      <c r="D3876" s="51" t="n">
        <v>0</v>
      </c>
    </row>
    <row r="3877" customFormat="false" ht="15" hidden="true" customHeight="false" outlineLevel="0" collapsed="false">
      <c r="A3877" s="51" t="s">
        <v>707</v>
      </c>
      <c r="B3877" s="55" t="n">
        <v>44650</v>
      </c>
      <c r="C3877" s="51" t="s">
        <v>782</v>
      </c>
      <c r="D3877" s="51" t="n">
        <v>0</v>
      </c>
    </row>
    <row r="3878" customFormat="false" ht="15" hidden="true" customHeight="false" outlineLevel="0" collapsed="false">
      <c r="A3878" s="51" t="s">
        <v>712</v>
      </c>
      <c r="B3878" s="55" t="n">
        <v>44650</v>
      </c>
      <c r="C3878" s="51" t="s">
        <v>782</v>
      </c>
      <c r="D3878" s="51" t="n">
        <v>0</v>
      </c>
    </row>
    <row r="3879" customFormat="false" ht="15" hidden="true" customHeight="false" outlineLevel="0" collapsed="false">
      <c r="A3879" s="51" t="s">
        <v>717</v>
      </c>
      <c r="B3879" s="55" t="n">
        <v>44650</v>
      </c>
      <c r="C3879" s="51" t="s">
        <v>782</v>
      </c>
      <c r="D3879" s="51" t="n">
        <v>0</v>
      </c>
    </row>
    <row r="3880" customFormat="false" ht="15" hidden="true" customHeight="false" outlineLevel="0" collapsed="false">
      <c r="A3880" s="51" t="s">
        <v>767</v>
      </c>
      <c r="B3880" s="55" t="n">
        <v>44650</v>
      </c>
      <c r="C3880" s="51" t="s">
        <v>782</v>
      </c>
      <c r="D3880" s="51" t="n">
        <v>0</v>
      </c>
    </row>
    <row r="3881" customFormat="false" ht="15" hidden="true" customHeight="false" outlineLevel="0" collapsed="false">
      <c r="A3881" s="51" t="s">
        <v>722</v>
      </c>
      <c r="B3881" s="55" t="n">
        <v>44650</v>
      </c>
      <c r="C3881" s="51" t="s">
        <v>782</v>
      </c>
      <c r="D3881" s="51" t="n">
        <v>0</v>
      </c>
    </row>
    <row r="3882" customFormat="false" ht="15" hidden="true" customHeight="false" outlineLevel="0" collapsed="false">
      <c r="A3882" s="51" t="s">
        <v>727</v>
      </c>
      <c r="B3882" s="55" t="n">
        <v>44650</v>
      </c>
      <c r="C3882" s="51" t="s">
        <v>782</v>
      </c>
      <c r="D3882" s="51" t="n">
        <v>0</v>
      </c>
    </row>
    <row r="3883" customFormat="false" ht="15" hidden="true" customHeight="false" outlineLevel="0" collapsed="false">
      <c r="A3883" s="51" t="s">
        <v>732</v>
      </c>
      <c r="B3883" s="55" t="n">
        <v>44650</v>
      </c>
      <c r="C3883" s="51" t="s">
        <v>782</v>
      </c>
      <c r="D3883" s="51" t="n">
        <v>0</v>
      </c>
    </row>
    <row r="3884" customFormat="false" ht="15" hidden="true" customHeight="false" outlineLevel="0" collapsed="false">
      <c r="A3884" s="51" t="s">
        <v>736</v>
      </c>
      <c r="B3884" s="55" t="n">
        <v>44650</v>
      </c>
      <c r="C3884" s="51" t="s">
        <v>782</v>
      </c>
      <c r="D3884" s="51" t="n">
        <v>0</v>
      </c>
    </row>
    <row r="3885" customFormat="false" ht="15" hidden="true" customHeight="false" outlineLevel="0" collapsed="false">
      <c r="A3885" s="51" t="s">
        <v>741</v>
      </c>
      <c r="B3885" s="55" t="n">
        <v>44650</v>
      </c>
      <c r="C3885" s="51" t="s">
        <v>782</v>
      </c>
      <c r="D3885" s="51" t="n">
        <v>0</v>
      </c>
    </row>
    <row r="3886" customFormat="false" ht="15" hidden="true" customHeight="false" outlineLevel="0" collapsed="false">
      <c r="A3886" s="51" t="s">
        <v>746</v>
      </c>
      <c r="B3886" s="55" t="n">
        <v>44650</v>
      </c>
      <c r="C3886" s="51" t="s">
        <v>782</v>
      </c>
      <c r="D3886" s="51" t="n">
        <v>0</v>
      </c>
    </row>
    <row r="3887" customFormat="false" ht="15" hidden="true" customHeight="false" outlineLevel="0" collapsed="false">
      <c r="A3887" s="51" t="s">
        <v>751</v>
      </c>
      <c r="B3887" s="55" t="n">
        <v>44650</v>
      </c>
      <c r="C3887" s="51" t="s">
        <v>782</v>
      </c>
      <c r="D3887" s="51" t="n">
        <v>0</v>
      </c>
    </row>
    <row r="3888" customFormat="false" ht="15" hidden="false" customHeight="false" outlineLevel="0" collapsed="false">
      <c r="A3888" s="51" t="s">
        <v>781</v>
      </c>
      <c r="B3888" s="55" t="n">
        <v>44650</v>
      </c>
      <c r="C3888" s="51" t="s">
        <v>82</v>
      </c>
      <c r="D3888" s="51" t="n">
        <v>0</v>
      </c>
    </row>
    <row r="3889" customFormat="false" ht="15" hidden="true" customHeight="false" outlineLevel="0" collapsed="false">
      <c r="A3889" s="51" t="s">
        <v>783</v>
      </c>
      <c r="B3889" s="55" t="n">
        <v>44650</v>
      </c>
      <c r="C3889" s="51" t="s">
        <v>82</v>
      </c>
      <c r="D3889" s="51" t="n">
        <v>0</v>
      </c>
    </row>
    <row r="3890" customFormat="false" ht="15" hidden="true" customHeight="false" outlineLevel="0" collapsed="false">
      <c r="A3890" s="51" t="s">
        <v>96</v>
      </c>
      <c r="B3890" s="55" t="n">
        <v>44650</v>
      </c>
      <c r="C3890" s="51" t="s">
        <v>82</v>
      </c>
      <c r="D3890" s="51" t="n">
        <v>0</v>
      </c>
    </row>
    <row r="3891" customFormat="false" ht="15" hidden="true" customHeight="false" outlineLevel="0" collapsed="false">
      <c r="A3891" s="51" t="s">
        <v>101</v>
      </c>
      <c r="B3891" s="55" t="n">
        <v>44650</v>
      </c>
      <c r="C3891" s="51" t="s">
        <v>82</v>
      </c>
      <c r="D3891" s="51" t="n">
        <v>0</v>
      </c>
    </row>
    <row r="3892" customFormat="false" ht="15" hidden="true" customHeight="false" outlineLevel="0" collapsed="false">
      <c r="A3892" s="51" t="s">
        <v>106</v>
      </c>
      <c r="B3892" s="55" t="n">
        <v>44650</v>
      </c>
      <c r="C3892" s="51" t="s">
        <v>82</v>
      </c>
      <c r="D3892" s="51" t="n">
        <v>0</v>
      </c>
    </row>
    <row r="3893" customFormat="false" ht="15" hidden="true" customHeight="false" outlineLevel="0" collapsed="false">
      <c r="A3893" s="51" t="s">
        <v>110</v>
      </c>
      <c r="B3893" s="55" t="n">
        <v>44650</v>
      </c>
      <c r="C3893" s="51" t="s">
        <v>82</v>
      </c>
      <c r="D3893" s="51" t="n">
        <v>0</v>
      </c>
    </row>
    <row r="3894" customFormat="false" ht="15" hidden="true" customHeight="false" outlineLevel="0" collapsed="false">
      <c r="A3894" s="51" t="s">
        <v>115</v>
      </c>
      <c r="B3894" s="55" t="n">
        <v>44650</v>
      </c>
      <c r="C3894" s="51" t="s">
        <v>82</v>
      </c>
      <c r="D3894" s="51" t="n">
        <v>0</v>
      </c>
    </row>
    <row r="3895" customFormat="false" ht="15" hidden="true" customHeight="false" outlineLevel="0" collapsed="false">
      <c r="A3895" s="51" t="s">
        <v>120</v>
      </c>
      <c r="B3895" s="55" t="n">
        <v>44650</v>
      </c>
      <c r="C3895" s="51" t="s">
        <v>82</v>
      </c>
      <c r="D3895" s="51" t="n">
        <v>0</v>
      </c>
    </row>
    <row r="3896" customFormat="false" ht="15" hidden="true" customHeight="false" outlineLevel="0" collapsed="false">
      <c r="A3896" s="51" t="s">
        <v>124</v>
      </c>
      <c r="B3896" s="55" t="n">
        <v>44650</v>
      </c>
      <c r="C3896" s="51" t="s">
        <v>82</v>
      </c>
      <c r="D3896" s="51" t="n">
        <v>0</v>
      </c>
    </row>
    <row r="3897" customFormat="false" ht="15" hidden="true" customHeight="false" outlineLevel="0" collapsed="false">
      <c r="A3897" s="51" t="s">
        <v>129</v>
      </c>
      <c r="B3897" s="55" t="n">
        <v>44650</v>
      </c>
      <c r="C3897" s="51" t="s">
        <v>82</v>
      </c>
      <c r="D3897" s="51" t="n">
        <v>0</v>
      </c>
    </row>
    <row r="3898" customFormat="false" ht="15" hidden="true" customHeight="false" outlineLevel="0" collapsed="false">
      <c r="A3898" s="51" t="s">
        <v>134</v>
      </c>
      <c r="B3898" s="55" t="n">
        <v>44650</v>
      </c>
      <c r="C3898" s="51" t="s">
        <v>82</v>
      </c>
      <c r="D3898" s="51" t="n">
        <v>0</v>
      </c>
    </row>
    <row r="3899" customFormat="false" ht="15" hidden="true" customHeight="false" outlineLevel="0" collapsed="false">
      <c r="A3899" s="51" t="s">
        <v>141</v>
      </c>
      <c r="B3899" s="55" t="n">
        <v>44650</v>
      </c>
      <c r="C3899" s="51" t="s">
        <v>82</v>
      </c>
      <c r="D3899" s="51" t="n">
        <v>0</v>
      </c>
    </row>
    <row r="3900" customFormat="false" ht="15" hidden="true" customHeight="false" outlineLevel="0" collapsed="false">
      <c r="A3900" s="51" t="s">
        <v>146</v>
      </c>
      <c r="B3900" s="55" t="n">
        <v>44650</v>
      </c>
      <c r="C3900" s="51" t="s">
        <v>82</v>
      </c>
      <c r="D3900" s="51" t="n">
        <v>0</v>
      </c>
    </row>
    <row r="3901" customFormat="false" ht="15" hidden="true" customHeight="false" outlineLevel="0" collapsed="false">
      <c r="A3901" s="51" t="s">
        <v>151</v>
      </c>
      <c r="B3901" s="55" t="n">
        <v>44650</v>
      </c>
      <c r="C3901" s="51" t="s">
        <v>82</v>
      </c>
      <c r="D3901" s="51" t="n">
        <v>0</v>
      </c>
    </row>
    <row r="3902" customFormat="false" ht="15" hidden="true" customHeight="false" outlineLevel="0" collapsed="false">
      <c r="A3902" s="51" t="s">
        <v>156</v>
      </c>
      <c r="B3902" s="55" t="n">
        <v>44650</v>
      </c>
      <c r="C3902" s="51" t="s">
        <v>82</v>
      </c>
      <c r="D3902" s="51" t="n">
        <v>0</v>
      </c>
    </row>
    <row r="3903" customFormat="false" ht="15" hidden="true" customHeight="false" outlineLevel="0" collapsed="false">
      <c r="A3903" s="51" t="s">
        <v>161</v>
      </c>
      <c r="B3903" s="55" t="n">
        <v>44650</v>
      </c>
      <c r="C3903" s="51" t="s">
        <v>82</v>
      </c>
      <c r="D3903" s="51" t="n">
        <v>0</v>
      </c>
    </row>
    <row r="3904" customFormat="false" ht="15" hidden="true" customHeight="false" outlineLevel="0" collapsed="false">
      <c r="A3904" s="51" t="s">
        <v>166</v>
      </c>
      <c r="B3904" s="55" t="n">
        <v>44650</v>
      </c>
      <c r="C3904" s="51" t="s">
        <v>82</v>
      </c>
      <c r="D3904" s="51" t="n">
        <v>0</v>
      </c>
    </row>
    <row r="3905" customFormat="false" ht="15" hidden="true" customHeight="false" outlineLevel="0" collapsed="false">
      <c r="A3905" s="51" t="s">
        <v>171</v>
      </c>
      <c r="B3905" s="55" t="n">
        <v>44650</v>
      </c>
      <c r="C3905" s="51" t="s">
        <v>82</v>
      </c>
      <c r="D3905" s="51" t="n">
        <v>0</v>
      </c>
    </row>
    <row r="3906" customFormat="false" ht="15" hidden="true" customHeight="false" outlineLevel="0" collapsed="false">
      <c r="A3906" s="51" t="s">
        <v>176</v>
      </c>
      <c r="B3906" s="55" t="n">
        <v>44650</v>
      </c>
      <c r="C3906" s="51" t="s">
        <v>82</v>
      </c>
      <c r="D3906" s="51" t="n">
        <v>0</v>
      </c>
    </row>
    <row r="3907" customFormat="false" ht="15" hidden="true" customHeight="false" outlineLevel="0" collapsed="false">
      <c r="A3907" s="51" t="s">
        <v>181</v>
      </c>
      <c r="B3907" s="55" t="n">
        <v>44650</v>
      </c>
      <c r="C3907" s="51" t="s">
        <v>82</v>
      </c>
      <c r="D3907" s="51" t="n">
        <v>0</v>
      </c>
    </row>
    <row r="3908" customFormat="false" ht="15" hidden="true" customHeight="false" outlineLevel="0" collapsed="false">
      <c r="A3908" s="51" t="s">
        <v>186</v>
      </c>
      <c r="B3908" s="55" t="n">
        <v>44650</v>
      </c>
      <c r="C3908" s="51" t="s">
        <v>82</v>
      </c>
      <c r="D3908" s="51" t="n">
        <v>0</v>
      </c>
    </row>
    <row r="3909" customFormat="false" ht="15" hidden="true" customHeight="false" outlineLevel="0" collapsed="false">
      <c r="A3909" s="51" t="s">
        <v>191</v>
      </c>
      <c r="B3909" s="55" t="n">
        <v>44650</v>
      </c>
      <c r="C3909" s="51" t="s">
        <v>82</v>
      </c>
      <c r="D3909" s="51" t="n">
        <v>0</v>
      </c>
    </row>
    <row r="3910" customFormat="false" ht="15" hidden="true" customHeight="false" outlineLevel="0" collapsed="false">
      <c r="A3910" s="51" t="s">
        <v>196</v>
      </c>
      <c r="B3910" s="55" t="n">
        <v>44650</v>
      </c>
      <c r="C3910" s="51" t="s">
        <v>82</v>
      </c>
      <c r="D3910" s="51" t="n">
        <v>0</v>
      </c>
    </row>
    <row r="3911" customFormat="false" ht="15" hidden="true" customHeight="false" outlineLevel="0" collapsed="false">
      <c r="A3911" s="51" t="s">
        <v>201</v>
      </c>
      <c r="B3911" s="55" t="n">
        <v>44650</v>
      </c>
      <c r="C3911" s="51" t="s">
        <v>82</v>
      </c>
      <c r="D3911" s="51" t="n">
        <v>0</v>
      </c>
    </row>
    <row r="3912" customFormat="false" ht="15" hidden="true" customHeight="false" outlineLevel="0" collapsed="false">
      <c r="A3912" s="51" t="s">
        <v>206</v>
      </c>
      <c r="B3912" s="55" t="n">
        <v>44650</v>
      </c>
      <c r="C3912" s="51" t="s">
        <v>82</v>
      </c>
      <c r="D3912" s="51" t="n">
        <v>0</v>
      </c>
    </row>
    <row r="3913" customFormat="false" ht="15" hidden="true" customHeight="false" outlineLevel="0" collapsed="false">
      <c r="A3913" s="51" t="s">
        <v>210</v>
      </c>
      <c r="B3913" s="55" t="n">
        <v>44650</v>
      </c>
      <c r="C3913" s="51" t="s">
        <v>82</v>
      </c>
      <c r="D3913" s="51" t="n">
        <v>0</v>
      </c>
    </row>
    <row r="3914" customFormat="false" ht="15" hidden="true" customHeight="false" outlineLevel="0" collapsed="false">
      <c r="A3914" s="51" t="s">
        <v>215</v>
      </c>
      <c r="B3914" s="55" t="n">
        <v>44650</v>
      </c>
      <c r="C3914" s="51" t="s">
        <v>82</v>
      </c>
      <c r="D3914" s="51" t="n">
        <v>0</v>
      </c>
    </row>
    <row r="3915" customFormat="false" ht="15" hidden="true" customHeight="false" outlineLevel="0" collapsed="false">
      <c r="A3915" s="51" t="s">
        <v>790</v>
      </c>
      <c r="B3915" s="55" t="n">
        <v>44650</v>
      </c>
      <c r="C3915" s="51" t="s">
        <v>82</v>
      </c>
      <c r="D3915" s="51" t="n">
        <v>0</v>
      </c>
    </row>
    <row r="3916" customFormat="false" ht="15" hidden="true" customHeight="false" outlineLevel="0" collapsed="false">
      <c r="A3916" s="51" t="s">
        <v>225</v>
      </c>
      <c r="B3916" s="55" t="n">
        <v>44650</v>
      </c>
      <c r="C3916" s="51" t="s">
        <v>82</v>
      </c>
      <c r="D3916" s="51" t="n">
        <v>0</v>
      </c>
    </row>
    <row r="3917" customFormat="false" ht="15" hidden="true" customHeight="false" outlineLevel="0" collapsed="false">
      <c r="A3917" s="51" t="s">
        <v>230</v>
      </c>
      <c r="B3917" s="55" t="n">
        <v>44650</v>
      </c>
      <c r="C3917" s="51" t="s">
        <v>82</v>
      </c>
      <c r="D3917" s="51" t="n">
        <v>0</v>
      </c>
    </row>
    <row r="3918" customFormat="false" ht="15" hidden="true" customHeight="false" outlineLevel="0" collapsed="false">
      <c r="A3918" s="51" t="s">
        <v>235</v>
      </c>
      <c r="B3918" s="55" t="n">
        <v>44650</v>
      </c>
      <c r="C3918" s="51" t="s">
        <v>82</v>
      </c>
      <c r="D3918" s="51" t="n">
        <v>0</v>
      </c>
    </row>
    <row r="3919" customFormat="false" ht="15" hidden="true" customHeight="false" outlineLevel="0" collapsed="false">
      <c r="A3919" s="51" t="s">
        <v>240</v>
      </c>
      <c r="B3919" s="55" t="n">
        <v>44650</v>
      </c>
      <c r="C3919" s="51" t="s">
        <v>82</v>
      </c>
      <c r="D3919" s="51" t="n">
        <v>0</v>
      </c>
    </row>
    <row r="3920" customFormat="false" ht="15" hidden="true" customHeight="false" outlineLevel="0" collapsed="false">
      <c r="A3920" s="51" t="s">
        <v>246</v>
      </c>
      <c r="B3920" s="55" t="n">
        <v>44650</v>
      </c>
      <c r="C3920" s="51" t="s">
        <v>82</v>
      </c>
      <c r="D3920" s="51" t="n">
        <v>0</v>
      </c>
    </row>
    <row r="3921" customFormat="false" ht="15" hidden="true" customHeight="false" outlineLevel="0" collapsed="false">
      <c r="A3921" s="51" t="s">
        <v>252</v>
      </c>
      <c r="B3921" s="55" t="n">
        <v>44650</v>
      </c>
      <c r="C3921" s="51" t="s">
        <v>82</v>
      </c>
      <c r="D3921" s="51" t="n">
        <v>0</v>
      </c>
    </row>
    <row r="3922" customFormat="false" ht="15" hidden="true" customHeight="false" outlineLevel="0" collapsed="false">
      <c r="A3922" s="51" t="s">
        <v>257</v>
      </c>
      <c r="B3922" s="55" t="n">
        <v>44650</v>
      </c>
      <c r="C3922" s="51" t="s">
        <v>82</v>
      </c>
      <c r="D3922" s="51" t="n">
        <v>0</v>
      </c>
    </row>
    <row r="3923" customFormat="false" ht="15" hidden="true" customHeight="false" outlineLevel="0" collapsed="false">
      <c r="A3923" s="51" t="s">
        <v>262</v>
      </c>
      <c r="B3923" s="55" t="n">
        <v>44650</v>
      </c>
      <c r="C3923" s="51" t="s">
        <v>82</v>
      </c>
      <c r="D3923" s="51" t="n">
        <v>0</v>
      </c>
    </row>
    <row r="3924" customFormat="false" ht="15" hidden="true" customHeight="false" outlineLevel="0" collapsed="false">
      <c r="A3924" s="51" t="s">
        <v>267</v>
      </c>
      <c r="B3924" s="55" t="n">
        <v>44650</v>
      </c>
      <c r="C3924" s="51" t="s">
        <v>82</v>
      </c>
      <c r="D3924" s="51" t="n">
        <v>0</v>
      </c>
    </row>
    <row r="3925" customFormat="false" ht="15" hidden="true" customHeight="false" outlineLevel="0" collapsed="false">
      <c r="A3925" s="51" t="s">
        <v>272</v>
      </c>
      <c r="B3925" s="55" t="n">
        <v>44650</v>
      </c>
      <c r="C3925" s="51" t="s">
        <v>82</v>
      </c>
      <c r="D3925" s="51" t="n">
        <v>833000</v>
      </c>
    </row>
    <row r="3926" customFormat="false" ht="15" hidden="true" customHeight="false" outlineLevel="0" collapsed="false">
      <c r="A3926" s="51" t="s">
        <v>277</v>
      </c>
      <c r="B3926" s="55" t="n">
        <v>44650</v>
      </c>
      <c r="C3926" s="51" t="s">
        <v>82</v>
      </c>
      <c r="D3926" s="51" t="n">
        <v>0</v>
      </c>
    </row>
    <row r="3927" customFormat="false" ht="15" hidden="true" customHeight="false" outlineLevel="0" collapsed="false">
      <c r="A3927" s="51" t="s">
        <v>282</v>
      </c>
      <c r="B3927" s="55" t="n">
        <v>44650</v>
      </c>
      <c r="C3927" s="51" t="s">
        <v>82</v>
      </c>
      <c r="D3927" s="51" t="n">
        <v>0</v>
      </c>
    </row>
    <row r="3928" customFormat="false" ht="15" hidden="true" customHeight="false" outlineLevel="0" collapsed="false">
      <c r="A3928" s="51" t="s">
        <v>287</v>
      </c>
      <c r="B3928" s="55" t="n">
        <v>44650</v>
      </c>
      <c r="C3928" s="51" t="s">
        <v>82</v>
      </c>
      <c r="D3928" s="51" t="n">
        <v>0</v>
      </c>
    </row>
    <row r="3929" customFormat="false" ht="15" hidden="true" customHeight="false" outlineLevel="0" collapsed="false">
      <c r="A3929" s="51" t="s">
        <v>292</v>
      </c>
      <c r="B3929" s="55" t="n">
        <v>44650</v>
      </c>
      <c r="C3929" s="51" t="s">
        <v>82</v>
      </c>
      <c r="D3929" s="51" t="n">
        <v>0</v>
      </c>
    </row>
    <row r="3930" customFormat="false" ht="15" hidden="true" customHeight="false" outlineLevel="0" collapsed="false">
      <c r="A3930" s="51" t="s">
        <v>297</v>
      </c>
      <c r="B3930" s="55" t="n">
        <v>44650</v>
      </c>
      <c r="C3930" s="51" t="s">
        <v>82</v>
      </c>
      <c r="D3930" s="51" t="n">
        <v>0</v>
      </c>
    </row>
    <row r="3931" customFormat="false" ht="15" hidden="true" customHeight="false" outlineLevel="0" collapsed="false">
      <c r="A3931" s="51" t="s">
        <v>302</v>
      </c>
      <c r="B3931" s="55" t="n">
        <v>44650</v>
      </c>
      <c r="C3931" s="51" t="s">
        <v>82</v>
      </c>
      <c r="D3931" s="51" t="n">
        <v>0</v>
      </c>
    </row>
    <row r="3932" customFormat="false" ht="15" hidden="true" customHeight="false" outlineLevel="0" collapsed="false">
      <c r="A3932" s="51" t="s">
        <v>307</v>
      </c>
      <c r="B3932" s="55" t="n">
        <v>44650</v>
      </c>
      <c r="C3932" s="51" t="s">
        <v>82</v>
      </c>
      <c r="D3932" s="51" t="n">
        <v>0</v>
      </c>
    </row>
    <row r="3933" customFormat="false" ht="15" hidden="true" customHeight="false" outlineLevel="0" collapsed="false">
      <c r="A3933" s="51" t="s">
        <v>311</v>
      </c>
      <c r="B3933" s="55" t="n">
        <v>44650</v>
      </c>
      <c r="C3933" s="51" t="s">
        <v>82</v>
      </c>
      <c r="D3933" s="51" t="n">
        <v>0</v>
      </c>
    </row>
    <row r="3934" customFormat="false" ht="15" hidden="true" customHeight="false" outlineLevel="0" collapsed="false">
      <c r="A3934" s="51" t="s">
        <v>317</v>
      </c>
      <c r="B3934" s="55" t="n">
        <v>44650</v>
      </c>
      <c r="C3934" s="51" t="s">
        <v>82</v>
      </c>
      <c r="D3934" s="51" t="n">
        <v>0</v>
      </c>
    </row>
    <row r="3935" customFormat="false" ht="15" hidden="true" customHeight="false" outlineLevel="0" collapsed="false">
      <c r="A3935" s="51" t="s">
        <v>322</v>
      </c>
      <c r="B3935" s="55" t="n">
        <v>44650</v>
      </c>
      <c r="C3935" s="51" t="s">
        <v>82</v>
      </c>
      <c r="D3935" s="51" t="n">
        <v>0</v>
      </c>
    </row>
    <row r="3936" customFormat="false" ht="15" hidden="true" customHeight="false" outlineLevel="0" collapsed="false">
      <c r="A3936" s="51" t="s">
        <v>327</v>
      </c>
      <c r="B3936" s="55" t="n">
        <v>44650</v>
      </c>
      <c r="C3936" s="51" t="s">
        <v>82</v>
      </c>
      <c r="D3936" s="51" t="n">
        <v>0</v>
      </c>
    </row>
    <row r="3937" customFormat="false" ht="15" hidden="true" customHeight="false" outlineLevel="0" collapsed="false">
      <c r="A3937" s="51" t="s">
        <v>332</v>
      </c>
      <c r="B3937" s="55" t="n">
        <v>44650</v>
      </c>
      <c r="C3937" s="51" t="s">
        <v>82</v>
      </c>
      <c r="D3937" s="51" t="n">
        <v>0</v>
      </c>
    </row>
    <row r="3938" customFormat="false" ht="15" hidden="true" customHeight="false" outlineLevel="0" collapsed="false">
      <c r="A3938" s="51" t="s">
        <v>339</v>
      </c>
      <c r="B3938" s="55" t="n">
        <v>44650</v>
      </c>
      <c r="C3938" s="51" t="s">
        <v>82</v>
      </c>
      <c r="D3938" s="51" t="n">
        <v>0</v>
      </c>
    </row>
    <row r="3939" customFormat="false" ht="15" hidden="true" customHeight="false" outlineLevel="0" collapsed="false">
      <c r="A3939" s="51" t="s">
        <v>344</v>
      </c>
      <c r="B3939" s="55" t="n">
        <v>44650</v>
      </c>
      <c r="C3939" s="51" t="s">
        <v>82</v>
      </c>
      <c r="D3939" s="51" t="n">
        <v>0</v>
      </c>
    </row>
    <row r="3940" customFormat="false" ht="15" hidden="true" customHeight="false" outlineLevel="0" collapsed="false">
      <c r="A3940" s="51" t="s">
        <v>349</v>
      </c>
      <c r="B3940" s="55" t="n">
        <v>44650</v>
      </c>
      <c r="C3940" s="51" t="s">
        <v>82</v>
      </c>
      <c r="D3940" s="51" t="n">
        <v>0</v>
      </c>
    </row>
    <row r="3941" customFormat="false" ht="15" hidden="true" customHeight="false" outlineLevel="0" collapsed="false">
      <c r="A3941" s="51" t="s">
        <v>354</v>
      </c>
      <c r="B3941" s="55" t="n">
        <v>44650</v>
      </c>
      <c r="C3941" s="51" t="s">
        <v>82</v>
      </c>
      <c r="D3941" s="51" t="n">
        <v>0</v>
      </c>
    </row>
    <row r="3942" customFormat="false" ht="15" hidden="true" customHeight="false" outlineLevel="0" collapsed="false">
      <c r="A3942" s="51" t="s">
        <v>359</v>
      </c>
      <c r="B3942" s="55" t="n">
        <v>44650</v>
      </c>
      <c r="C3942" s="51" t="s">
        <v>82</v>
      </c>
      <c r="D3942" s="51" t="n">
        <v>0</v>
      </c>
    </row>
    <row r="3943" customFormat="false" ht="15" hidden="true" customHeight="false" outlineLevel="0" collapsed="false">
      <c r="A3943" s="51" t="s">
        <v>364</v>
      </c>
      <c r="B3943" s="55" t="n">
        <v>44650</v>
      </c>
      <c r="C3943" s="51" t="s">
        <v>82</v>
      </c>
      <c r="D3943" s="51" t="n">
        <v>0</v>
      </c>
    </row>
    <row r="3944" customFormat="false" ht="15" hidden="true" customHeight="false" outlineLevel="0" collapsed="false">
      <c r="A3944" s="51" t="s">
        <v>369</v>
      </c>
      <c r="B3944" s="55" t="n">
        <v>44650</v>
      </c>
      <c r="C3944" s="51" t="s">
        <v>82</v>
      </c>
      <c r="D3944" s="51" t="n">
        <v>0</v>
      </c>
    </row>
    <row r="3945" customFormat="false" ht="15" hidden="true" customHeight="false" outlineLevel="0" collapsed="false">
      <c r="A3945" s="51" t="s">
        <v>374</v>
      </c>
      <c r="B3945" s="55" t="n">
        <v>44650</v>
      </c>
      <c r="C3945" s="51" t="s">
        <v>82</v>
      </c>
      <c r="D3945" s="51" t="n">
        <v>0</v>
      </c>
    </row>
    <row r="3946" customFormat="false" ht="15" hidden="true" customHeight="false" outlineLevel="0" collapsed="false">
      <c r="A3946" s="51" t="s">
        <v>379</v>
      </c>
      <c r="B3946" s="55" t="n">
        <v>44650</v>
      </c>
      <c r="C3946" s="51" t="s">
        <v>82</v>
      </c>
      <c r="D3946" s="51" t="n">
        <v>0</v>
      </c>
    </row>
    <row r="3947" customFormat="false" ht="15" hidden="true" customHeight="false" outlineLevel="0" collapsed="false">
      <c r="A3947" s="51" t="s">
        <v>384</v>
      </c>
      <c r="B3947" s="55" t="n">
        <v>44650</v>
      </c>
      <c r="C3947" s="51" t="s">
        <v>82</v>
      </c>
      <c r="D3947" s="51" t="n">
        <v>0</v>
      </c>
    </row>
    <row r="3948" customFormat="false" ht="15" hidden="true" customHeight="false" outlineLevel="0" collapsed="false">
      <c r="A3948" s="51" t="s">
        <v>389</v>
      </c>
      <c r="B3948" s="55" t="n">
        <v>44650</v>
      </c>
      <c r="C3948" s="51" t="s">
        <v>82</v>
      </c>
      <c r="D3948" s="51" t="n">
        <v>0</v>
      </c>
    </row>
    <row r="3949" customFormat="false" ht="15" hidden="true" customHeight="false" outlineLevel="0" collapsed="false">
      <c r="A3949" s="51" t="s">
        <v>394</v>
      </c>
      <c r="B3949" s="55" t="n">
        <v>44650</v>
      </c>
      <c r="C3949" s="51" t="s">
        <v>82</v>
      </c>
      <c r="D3949" s="51" t="n">
        <v>0</v>
      </c>
    </row>
    <row r="3950" customFormat="false" ht="15" hidden="true" customHeight="false" outlineLevel="0" collapsed="false">
      <c r="A3950" s="51" t="s">
        <v>399</v>
      </c>
      <c r="B3950" s="55" t="n">
        <v>44650</v>
      </c>
      <c r="C3950" s="51" t="s">
        <v>82</v>
      </c>
      <c r="D3950" s="51" t="n">
        <v>0</v>
      </c>
    </row>
    <row r="3951" customFormat="false" ht="15" hidden="true" customHeight="false" outlineLevel="0" collapsed="false">
      <c r="A3951" s="51" t="s">
        <v>404</v>
      </c>
      <c r="B3951" s="55" t="n">
        <v>44650</v>
      </c>
      <c r="C3951" s="51" t="s">
        <v>82</v>
      </c>
      <c r="D3951" s="51" t="n">
        <v>0</v>
      </c>
    </row>
    <row r="3952" customFormat="false" ht="15" hidden="true" customHeight="false" outlineLevel="0" collapsed="false">
      <c r="A3952" s="51" t="s">
        <v>409</v>
      </c>
      <c r="B3952" s="55" t="n">
        <v>44650</v>
      </c>
      <c r="C3952" s="51" t="s">
        <v>82</v>
      </c>
      <c r="D3952" s="51" t="n">
        <v>0</v>
      </c>
    </row>
    <row r="3953" customFormat="false" ht="15" hidden="true" customHeight="false" outlineLevel="0" collapsed="false">
      <c r="A3953" s="51" t="s">
        <v>414</v>
      </c>
      <c r="B3953" s="55" t="n">
        <v>44650</v>
      </c>
      <c r="C3953" s="51" t="s">
        <v>82</v>
      </c>
      <c r="D3953" s="51" t="n">
        <v>0</v>
      </c>
    </row>
    <row r="3954" customFormat="false" ht="15" hidden="true" customHeight="false" outlineLevel="0" collapsed="false">
      <c r="A3954" s="51" t="s">
        <v>419</v>
      </c>
      <c r="B3954" s="55" t="n">
        <v>44650</v>
      </c>
      <c r="C3954" s="51" t="s">
        <v>82</v>
      </c>
      <c r="D3954" s="51" t="n">
        <v>0</v>
      </c>
    </row>
    <row r="3955" customFormat="false" ht="15" hidden="true" customHeight="false" outlineLevel="0" collapsed="false">
      <c r="A3955" s="51" t="s">
        <v>424</v>
      </c>
      <c r="B3955" s="55" t="n">
        <v>44650</v>
      </c>
      <c r="C3955" s="51" t="s">
        <v>82</v>
      </c>
      <c r="D3955" s="51" t="n">
        <v>0</v>
      </c>
    </row>
    <row r="3956" customFormat="false" ht="15" hidden="true" customHeight="false" outlineLevel="0" collapsed="false">
      <c r="A3956" s="51" t="s">
        <v>429</v>
      </c>
      <c r="B3956" s="55" t="n">
        <v>44650</v>
      </c>
      <c r="C3956" s="51" t="s">
        <v>82</v>
      </c>
      <c r="D3956" s="51" t="n">
        <v>0</v>
      </c>
    </row>
    <row r="3957" customFormat="false" ht="15" hidden="true" customHeight="false" outlineLevel="0" collapsed="false">
      <c r="A3957" s="51" t="s">
        <v>434</v>
      </c>
      <c r="B3957" s="55" t="n">
        <v>44650</v>
      </c>
      <c r="C3957" s="51" t="s">
        <v>82</v>
      </c>
      <c r="D3957" s="51" t="n">
        <v>0</v>
      </c>
    </row>
    <row r="3958" customFormat="false" ht="15" hidden="true" customHeight="false" outlineLevel="0" collapsed="false">
      <c r="A3958" s="51" t="s">
        <v>438</v>
      </c>
      <c r="B3958" s="55" t="n">
        <v>44650</v>
      </c>
      <c r="C3958" s="51" t="s">
        <v>82</v>
      </c>
      <c r="D3958" s="51" t="n">
        <v>0</v>
      </c>
    </row>
    <row r="3959" customFormat="false" ht="15" hidden="true" customHeight="false" outlineLevel="0" collapsed="false">
      <c r="A3959" s="51" t="s">
        <v>443</v>
      </c>
      <c r="B3959" s="55" t="n">
        <v>44650</v>
      </c>
      <c r="C3959" s="51" t="s">
        <v>82</v>
      </c>
      <c r="D3959" s="51" t="n">
        <v>0</v>
      </c>
    </row>
    <row r="3960" customFormat="false" ht="15" hidden="true" customHeight="false" outlineLevel="0" collapsed="false">
      <c r="A3960" s="51" t="s">
        <v>448</v>
      </c>
      <c r="B3960" s="55" t="n">
        <v>44650</v>
      </c>
      <c r="C3960" s="51" t="s">
        <v>82</v>
      </c>
      <c r="D3960" s="51" t="n">
        <v>0</v>
      </c>
    </row>
    <row r="3961" customFormat="false" ht="15" hidden="true" customHeight="false" outlineLevel="0" collapsed="false">
      <c r="A3961" s="51" t="s">
        <v>453</v>
      </c>
      <c r="B3961" s="55" t="n">
        <v>44650</v>
      </c>
      <c r="C3961" s="51" t="s">
        <v>82</v>
      </c>
      <c r="D3961" s="51" t="n">
        <v>0</v>
      </c>
    </row>
    <row r="3962" customFormat="false" ht="15" hidden="true" customHeight="false" outlineLevel="0" collapsed="false">
      <c r="A3962" s="51" t="s">
        <v>458</v>
      </c>
      <c r="B3962" s="55" t="n">
        <v>44650</v>
      </c>
      <c r="C3962" s="51" t="s">
        <v>82</v>
      </c>
      <c r="D3962" s="51" t="n">
        <v>0</v>
      </c>
    </row>
    <row r="3963" customFormat="false" ht="15" hidden="true" customHeight="false" outlineLevel="0" collapsed="false">
      <c r="A3963" s="51" t="s">
        <v>473</v>
      </c>
      <c r="B3963" s="55" t="n">
        <v>44650</v>
      </c>
      <c r="C3963" s="51" t="s">
        <v>82</v>
      </c>
      <c r="D3963" s="51" t="n">
        <v>0</v>
      </c>
    </row>
    <row r="3964" customFormat="false" ht="15" hidden="true" customHeight="false" outlineLevel="0" collapsed="false">
      <c r="A3964" s="51" t="s">
        <v>479</v>
      </c>
      <c r="B3964" s="55" t="n">
        <v>44650</v>
      </c>
      <c r="C3964" s="51" t="s">
        <v>82</v>
      </c>
      <c r="D3964" s="51" t="n">
        <v>0</v>
      </c>
    </row>
    <row r="3965" customFormat="false" ht="15" hidden="true" customHeight="false" outlineLevel="0" collapsed="false">
      <c r="A3965" s="51" t="s">
        <v>484</v>
      </c>
      <c r="B3965" s="55" t="n">
        <v>44650</v>
      </c>
      <c r="C3965" s="51" t="s">
        <v>82</v>
      </c>
      <c r="D3965" s="51" t="n">
        <v>0</v>
      </c>
    </row>
    <row r="3966" customFormat="false" ht="15" hidden="true" customHeight="false" outlineLevel="0" collapsed="false">
      <c r="A3966" s="51" t="s">
        <v>489</v>
      </c>
      <c r="B3966" s="55" t="n">
        <v>44650</v>
      </c>
      <c r="C3966" s="51" t="s">
        <v>82</v>
      </c>
      <c r="D3966" s="51" t="n">
        <v>0</v>
      </c>
    </row>
    <row r="3967" customFormat="false" ht="15" hidden="true" customHeight="false" outlineLevel="0" collapsed="false">
      <c r="A3967" s="51" t="s">
        <v>494</v>
      </c>
      <c r="B3967" s="55" t="n">
        <v>44650</v>
      </c>
      <c r="C3967" s="51" t="s">
        <v>82</v>
      </c>
      <c r="D3967" s="51" t="n">
        <v>0</v>
      </c>
    </row>
    <row r="3968" customFormat="false" ht="15" hidden="true" customHeight="false" outlineLevel="0" collapsed="false">
      <c r="A3968" s="51" t="s">
        <v>499</v>
      </c>
      <c r="B3968" s="55" t="n">
        <v>44650</v>
      </c>
      <c r="C3968" s="51" t="s">
        <v>82</v>
      </c>
      <c r="D3968" s="51" t="n">
        <v>0</v>
      </c>
    </row>
    <row r="3969" customFormat="false" ht="15" hidden="true" customHeight="false" outlineLevel="0" collapsed="false">
      <c r="A3969" s="51" t="s">
        <v>504</v>
      </c>
      <c r="B3969" s="55" t="n">
        <v>44650</v>
      </c>
      <c r="C3969" s="51" t="s">
        <v>82</v>
      </c>
      <c r="D3969" s="51" t="n">
        <v>0</v>
      </c>
    </row>
    <row r="3970" customFormat="false" ht="15" hidden="true" customHeight="false" outlineLevel="0" collapsed="false">
      <c r="A3970" s="51" t="s">
        <v>509</v>
      </c>
      <c r="B3970" s="55" t="n">
        <v>44650</v>
      </c>
      <c r="C3970" s="51" t="s">
        <v>82</v>
      </c>
      <c r="D3970" s="51" t="n">
        <v>0</v>
      </c>
    </row>
    <row r="3971" customFormat="false" ht="15" hidden="true" customHeight="false" outlineLevel="0" collapsed="false">
      <c r="A3971" s="51" t="s">
        <v>515</v>
      </c>
      <c r="B3971" s="55" t="n">
        <v>44650</v>
      </c>
      <c r="C3971" s="51" t="s">
        <v>82</v>
      </c>
      <c r="D3971" s="51" t="n">
        <v>0</v>
      </c>
    </row>
    <row r="3972" customFormat="false" ht="15" hidden="true" customHeight="false" outlineLevel="0" collapsed="false">
      <c r="A3972" s="51" t="s">
        <v>520</v>
      </c>
      <c r="B3972" s="55" t="n">
        <v>44650</v>
      </c>
      <c r="C3972" s="51" t="s">
        <v>82</v>
      </c>
      <c r="D3972" s="51" t="n">
        <v>0</v>
      </c>
    </row>
    <row r="3973" customFormat="false" ht="15" hidden="true" customHeight="false" outlineLevel="0" collapsed="false">
      <c r="A3973" s="51" t="s">
        <v>525</v>
      </c>
      <c r="B3973" s="55" t="n">
        <v>44650</v>
      </c>
      <c r="C3973" s="51" t="s">
        <v>82</v>
      </c>
      <c r="D3973" s="51" t="n">
        <v>0</v>
      </c>
    </row>
    <row r="3974" customFormat="false" ht="15" hidden="true" customHeight="false" outlineLevel="0" collapsed="false">
      <c r="A3974" s="51" t="s">
        <v>531</v>
      </c>
      <c r="B3974" s="55" t="n">
        <v>44650</v>
      </c>
      <c r="C3974" s="51" t="s">
        <v>82</v>
      </c>
      <c r="D3974" s="51" t="n">
        <v>0</v>
      </c>
    </row>
    <row r="3975" customFormat="false" ht="15" hidden="true" customHeight="false" outlineLevel="0" collapsed="false">
      <c r="A3975" s="51" t="s">
        <v>536</v>
      </c>
      <c r="B3975" s="55" t="n">
        <v>44650</v>
      </c>
      <c r="C3975" s="51" t="s">
        <v>82</v>
      </c>
      <c r="D3975" s="51" t="n">
        <v>0</v>
      </c>
    </row>
    <row r="3976" customFormat="false" ht="15" hidden="true" customHeight="false" outlineLevel="0" collapsed="false">
      <c r="A3976" s="51" t="s">
        <v>541</v>
      </c>
      <c r="B3976" s="55" t="n">
        <v>44650</v>
      </c>
      <c r="C3976" s="51" t="s">
        <v>82</v>
      </c>
      <c r="D3976" s="51" t="n">
        <v>0</v>
      </c>
    </row>
    <row r="3977" customFormat="false" ht="15" hidden="true" customHeight="false" outlineLevel="0" collapsed="false">
      <c r="A3977" s="51" t="s">
        <v>549</v>
      </c>
      <c r="B3977" s="55" t="n">
        <v>44650</v>
      </c>
      <c r="C3977" s="51" t="s">
        <v>82</v>
      </c>
      <c r="D3977" s="51" t="n">
        <v>0</v>
      </c>
    </row>
    <row r="3978" customFormat="false" ht="15" hidden="true" customHeight="false" outlineLevel="0" collapsed="false">
      <c r="A3978" s="51" t="s">
        <v>554</v>
      </c>
      <c r="B3978" s="55" t="n">
        <v>44650</v>
      </c>
      <c r="C3978" s="51" t="s">
        <v>82</v>
      </c>
      <c r="D3978" s="51" t="n">
        <v>0</v>
      </c>
    </row>
    <row r="3979" customFormat="false" ht="15" hidden="true" customHeight="false" outlineLevel="0" collapsed="false">
      <c r="A3979" s="51" t="s">
        <v>559</v>
      </c>
      <c r="B3979" s="55" t="n">
        <v>44650</v>
      </c>
      <c r="C3979" s="51" t="s">
        <v>82</v>
      </c>
      <c r="D3979" s="51" t="n">
        <v>0</v>
      </c>
    </row>
    <row r="3980" customFormat="false" ht="15" hidden="true" customHeight="false" outlineLevel="0" collapsed="false">
      <c r="A3980" s="51" t="s">
        <v>564</v>
      </c>
      <c r="B3980" s="55" t="n">
        <v>44650</v>
      </c>
      <c r="C3980" s="51" t="s">
        <v>82</v>
      </c>
      <c r="D3980" s="51" t="n">
        <v>0</v>
      </c>
    </row>
    <row r="3981" customFormat="false" ht="15" hidden="true" customHeight="false" outlineLevel="0" collapsed="false">
      <c r="A3981" s="51" t="s">
        <v>569</v>
      </c>
      <c r="B3981" s="55" t="n">
        <v>44650</v>
      </c>
      <c r="C3981" s="51" t="s">
        <v>82</v>
      </c>
      <c r="D3981" s="51" t="n">
        <v>0</v>
      </c>
    </row>
    <row r="3982" customFormat="false" ht="15" hidden="true" customHeight="false" outlineLevel="0" collapsed="false">
      <c r="A3982" s="51" t="s">
        <v>574</v>
      </c>
      <c r="B3982" s="55" t="n">
        <v>44650</v>
      </c>
      <c r="C3982" s="51" t="s">
        <v>82</v>
      </c>
      <c r="D3982" s="51" t="n">
        <v>0</v>
      </c>
    </row>
    <row r="3983" customFormat="false" ht="15" hidden="true" customHeight="false" outlineLevel="0" collapsed="false">
      <c r="A3983" s="51" t="s">
        <v>579</v>
      </c>
      <c r="B3983" s="55" t="n">
        <v>44650</v>
      </c>
      <c r="C3983" s="51" t="s">
        <v>82</v>
      </c>
      <c r="D3983" s="51" t="n">
        <v>0</v>
      </c>
    </row>
    <row r="3984" customFormat="false" ht="15" hidden="true" customHeight="false" outlineLevel="0" collapsed="false">
      <c r="A3984" s="51" t="s">
        <v>584</v>
      </c>
      <c r="B3984" s="55" t="n">
        <v>44650</v>
      </c>
      <c r="C3984" s="51" t="s">
        <v>82</v>
      </c>
      <c r="D3984" s="51" t="n">
        <v>0</v>
      </c>
    </row>
    <row r="3985" customFormat="false" ht="15" hidden="true" customHeight="false" outlineLevel="0" collapsed="false">
      <c r="A3985" s="51" t="s">
        <v>589</v>
      </c>
      <c r="B3985" s="55" t="n">
        <v>44650</v>
      </c>
      <c r="C3985" s="51" t="s">
        <v>82</v>
      </c>
      <c r="D3985" s="51" t="n">
        <v>0</v>
      </c>
    </row>
    <row r="3986" customFormat="false" ht="15" hidden="true" customHeight="false" outlineLevel="0" collapsed="false">
      <c r="A3986" s="51" t="s">
        <v>756</v>
      </c>
      <c r="B3986" s="55" t="n">
        <v>44650</v>
      </c>
      <c r="C3986" s="51" t="s">
        <v>82</v>
      </c>
      <c r="D3986" s="51" t="n">
        <v>0</v>
      </c>
    </row>
    <row r="3987" customFormat="false" ht="15" hidden="true" customHeight="false" outlineLevel="0" collapsed="false">
      <c r="A3987" s="51" t="s">
        <v>594</v>
      </c>
      <c r="B3987" s="55" t="n">
        <v>44650</v>
      </c>
      <c r="C3987" s="51" t="s">
        <v>82</v>
      </c>
      <c r="D3987" s="51" t="n">
        <v>0</v>
      </c>
    </row>
    <row r="3988" customFormat="false" ht="15" hidden="true" customHeight="false" outlineLevel="0" collapsed="false">
      <c r="A3988" s="51" t="s">
        <v>761</v>
      </c>
      <c r="B3988" s="55" t="n">
        <v>44650</v>
      </c>
      <c r="C3988" s="51" t="s">
        <v>82</v>
      </c>
      <c r="D3988" s="51" t="n">
        <v>0</v>
      </c>
    </row>
    <row r="3989" customFormat="false" ht="15" hidden="true" customHeight="false" outlineLevel="0" collapsed="false">
      <c r="A3989" s="51" t="s">
        <v>599</v>
      </c>
      <c r="B3989" s="55" t="n">
        <v>44650</v>
      </c>
      <c r="C3989" s="51" t="s">
        <v>82</v>
      </c>
      <c r="D3989" s="51" t="n">
        <v>0</v>
      </c>
    </row>
    <row r="3990" customFormat="false" ht="15" hidden="true" customHeight="false" outlineLevel="0" collapsed="false">
      <c r="A3990" s="51" t="s">
        <v>604</v>
      </c>
      <c r="B3990" s="55" t="n">
        <v>44650</v>
      </c>
      <c r="C3990" s="51" t="s">
        <v>82</v>
      </c>
      <c r="D3990" s="51" t="n">
        <v>0</v>
      </c>
    </row>
    <row r="3991" customFormat="false" ht="15" hidden="true" customHeight="false" outlineLevel="0" collapsed="false">
      <c r="A3991" s="51" t="s">
        <v>609</v>
      </c>
      <c r="B3991" s="55" t="n">
        <v>44650</v>
      </c>
      <c r="C3991" s="51" t="s">
        <v>82</v>
      </c>
      <c r="D3991" s="51" t="n">
        <v>0</v>
      </c>
    </row>
    <row r="3992" customFormat="false" ht="15" hidden="true" customHeight="false" outlineLevel="0" collapsed="false">
      <c r="A3992" s="51" t="s">
        <v>614</v>
      </c>
      <c r="B3992" s="55" t="n">
        <v>44650</v>
      </c>
      <c r="C3992" s="51" t="s">
        <v>82</v>
      </c>
      <c r="D3992" s="51" t="n">
        <v>0</v>
      </c>
    </row>
    <row r="3993" customFormat="false" ht="15" hidden="true" customHeight="false" outlineLevel="0" collapsed="false">
      <c r="A3993" s="51" t="s">
        <v>619</v>
      </c>
      <c r="B3993" s="55" t="n">
        <v>44650</v>
      </c>
      <c r="C3993" s="51" t="s">
        <v>82</v>
      </c>
      <c r="D3993" s="51" t="n">
        <v>0</v>
      </c>
    </row>
    <row r="3994" customFormat="false" ht="15" hidden="true" customHeight="false" outlineLevel="0" collapsed="false">
      <c r="A3994" s="51" t="s">
        <v>624</v>
      </c>
      <c r="B3994" s="55" t="n">
        <v>44650</v>
      </c>
      <c r="C3994" s="51" t="s">
        <v>82</v>
      </c>
      <c r="D3994" s="51" t="n">
        <v>0</v>
      </c>
    </row>
    <row r="3995" customFormat="false" ht="15" hidden="true" customHeight="false" outlineLevel="0" collapsed="false">
      <c r="A3995" s="51" t="s">
        <v>629</v>
      </c>
      <c r="B3995" s="55" t="n">
        <v>44650</v>
      </c>
      <c r="C3995" s="51" t="s">
        <v>82</v>
      </c>
      <c r="D3995" s="51" t="n">
        <v>0</v>
      </c>
    </row>
    <row r="3996" customFormat="false" ht="15" hidden="true" customHeight="false" outlineLevel="0" collapsed="false">
      <c r="A3996" s="51" t="s">
        <v>633</v>
      </c>
      <c r="B3996" s="55" t="n">
        <v>44650</v>
      </c>
      <c r="C3996" s="51" t="s">
        <v>82</v>
      </c>
      <c r="D3996" s="51" t="n">
        <v>0</v>
      </c>
    </row>
    <row r="3997" customFormat="false" ht="15" hidden="true" customHeight="false" outlineLevel="0" collapsed="false">
      <c r="A3997" s="51" t="s">
        <v>638</v>
      </c>
      <c r="B3997" s="55" t="n">
        <v>44650</v>
      </c>
      <c r="C3997" s="51" t="s">
        <v>82</v>
      </c>
      <c r="D3997" s="51" t="n">
        <v>0</v>
      </c>
    </row>
    <row r="3998" customFormat="false" ht="15" hidden="true" customHeight="false" outlineLevel="0" collapsed="false">
      <c r="A3998" s="51" t="s">
        <v>642</v>
      </c>
      <c r="B3998" s="55" t="n">
        <v>44650</v>
      </c>
      <c r="C3998" s="51" t="s">
        <v>82</v>
      </c>
      <c r="D3998" s="51" t="n">
        <v>0</v>
      </c>
    </row>
    <row r="3999" customFormat="false" ht="15" hidden="true" customHeight="false" outlineLevel="0" collapsed="false">
      <c r="A3999" s="51" t="s">
        <v>646</v>
      </c>
      <c r="B3999" s="55" t="n">
        <v>44650</v>
      </c>
      <c r="C3999" s="51" t="s">
        <v>82</v>
      </c>
      <c r="D3999" s="51" t="n">
        <v>0</v>
      </c>
    </row>
    <row r="4000" customFormat="false" ht="15" hidden="true" customHeight="false" outlineLevel="0" collapsed="false">
      <c r="A4000" s="51" t="s">
        <v>651</v>
      </c>
      <c r="B4000" s="55" t="n">
        <v>44650</v>
      </c>
      <c r="C4000" s="51" t="s">
        <v>82</v>
      </c>
      <c r="D4000" s="51" t="n">
        <v>0</v>
      </c>
    </row>
    <row r="4001" customFormat="false" ht="15" hidden="true" customHeight="false" outlineLevel="0" collapsed="false">
      <c r="A4001" s="51" t="s">
        <v>656</v>
      </c>
      <c r="B4001" s="55" t="n">
        <v>44650</v>
      </c>
      <c r="C4001" s="51" t="s">
        <v>82</v>
      </c>
      <c r="D4001" s="51" t="n">
        <v>0</v>
      </c>
    </row>
    <row r="4002" customFormat="false" ht="15" hidden="true" customHeight="false" outlineLevel="0" collapsed="false">
      <c r="A4002" s="51" t="s">
        <v>661</v>
      </c>
      <c r="B4002" s="55" t="n">
        <v>44650</v>
      </c>
      <c r="C4002" s="51" t="s">
        <v>82</v>
      </c>
      <c r="D4002" s="51" t="n">
        <v>0</v>
      </c>
    </row>
    <row r="4003" customFormat="false" ht="15" hidden="true" customHeight="false" outlineLevel="0" collapsed="false">
      <c r="A4003" s="51" t="s">
        <v>666</v>
      </c>
      <c r="B4003" s="55" t="n">
        <v>44650</v>
      </c>
      <c r="C4003" s="51" t="s">
        <v>82</v>
      </c>
      <c r="D4003" s="51" t="n">
        <v>0</v>
      </c>
    </row>
    <row r="4004" customFormat="false" ht="15" hidden="true" customHeight="false" outlineLevel="0" collapsed="false">
      <c r="A4004" s="51" t="s">
        <v>671</v>
      </c>
      <c r="B4004" s="55" t="n">
        <v>44650</v>
      </c>
      <c r="C4004" s="51" t="s">
        <v>82</v>
      </c>
      <c r="D4004" s="51" t="n">
        <v>0</v>
      </c>
    </row>
    <row r="4005" customFormat="false" ht="15" hidden="true" customHeight="false" outlineLevel="0" collapsed="false">
      <c r="A4005" s="51" t="s">
        <v>676</v>
      </c>
      <c r="B4005" s="55" t="n">
        <v>44650</v>
      </c>
      <c r="C4005" s="51" t="s">
        <v>82</v>
      </c>
      <c r="D4005" s="51" t="n">
        <v>0</v>
      </c>
    </row>
    <row r="4006" customFormat="false" ht="15" hidden="true" customHeight="false" outlineLevel="0" collapsed="false">
      <c r="A4006" s="51" t="s">
        <v>681</v>
      </c>
      <c r="B4006" s="55" t="n">
        <v>44650</v>
      </c>
      <c r="C4006" s="51" t="s">
        <v>82</v>
      </c>
      <c r="D4006" s="51" t="n">
        <v>0</v>
      </c>
    </row>
    <row r="4007" customFormat="false" ht="15" hidden="true" customHeight="false" outlineLevel="0" collapsed="false">
      <c r="A4007" s="51" t="s">
        <v>686</v>
      </c>
      <c r="B4007" s="55" t="n">
        <v>44650</v>
      </c>
      <c r="C4007" s="51" t="s">
        <v>82</v>
      </c>
      <c r="D4007" s="51" t="n">
        <v>0</v>
      </c>
    </row>
    <row r="4008" customFormat="false" ht="15" hidden="true" customHeight="false" outlineLevel="0" collapsed="false">
      <c r="A4008" s="51" t="s">
        <v>691</v>
      </c>
      <c r="B4008" s="55" t="n">
        <v>44650</v>
      </c>
      <c r="C4008" s="51" t="s">
        <v>82</v>
      </c>
      <c r="D4008" s="51" t="n">
        <v>0</v>
      </c>
    </row>
    <row r="4009" customFormat="false" ht="15" hidden="true" customHeight="false" outlineLevel="0" collapsed="false">
      <c r="A4009" s="51" t="s">
        <v>696</v>
      </c>
      <c r="B4009" s="55" t="n">
        <v>44650</v>
      </c>
      <c r="C4009" s="51" t="s">
        <v>82</v>
      </c>
      <c r="D4009" s="51" t="n">
        <v>0</v>
      </c>
    </row>
    <row r="4010" customFormat="false" ht="15" hidden="true" customHeight="false" outlineLevel="0" collapsed="false">
      <c r="A4010" s="51" t="s">
        <v>701</v>
      </c>
      <c r="B4010" s="55" t="n">
        <v>44650</v>
      </c>
      <c r="C4010" s="51" t="s">
        <v>82</v>
      </c>
      <c r="D4010" s="51" t="n">
        <v>0</v>
      </c>
    </row>
    <row r="4011" customFormat="false" ht="15" hidden="true" customHeight="false" outlineLevel="0" collapsed="false">
      <c r="A4011" s="51" t="s">
        <v>707</v>
      </c>
      <c r="B4011" s="55" t="n">
        <v>44650</v>
      </c>
      <c r="C4011" s="51" t="s">
        <v>82</v>
      </c>
      <c r="D4011" s="51" t="n">
        <v>0</v>
      </c>
    </row>
    <row r="4012" customFormat="false" ht="15" hidden="true" customHeight="false" outlineLevel="0" collapsed="false">
      <c r="A4012" s="51" t="s">
        <v>712</v>
      </c>
      <c r="B4012" s="55" t="n">
        <v>44650</v>
      </c>
      <c r="C4012" s="51" t="s">
        <v>82</v>
      </c>
      <c r="D4012" s="51" t="n">
        <v>0</v>
      </c>
    </row>
    <row r="4013" customFormat="false" ht="15" hidden="true" customHeight="false" outlineLevel="0" collapsed="false">
      <c r="A4013" s="51" t="s">
        <v>717</v>
      </c>
      <c r="B4013" s="55" t="n">
        <v>44650</v>
      </c>
      <c r="C4013" s="51" t="s">
        <v>82</v>
      </c>
      <c r="D4013" s="51" t="n">
        <v>0</v>
      </c>
    </row>
    <row r="4014" customFormat="false" ht="15" hidden="true" customHeight="false" outlineLevel="0" collapsed="false">
      <c r="A4014" s="51" t="s">
        <v>767</v>
      </c>
      <c r="B4014" s="55" t="n">
        <v>44650</v>
      </c>
      <c r="C4014" s="51" t="s">
        <v>82</v>
      </c>
      <c r="D4014" s="51" t="n">
        <v>0</v>
      </c>
    </row>
    <row r="4015" customFormat="false" ht="15" hidden="true" customHeight="false" outlineLevel="0" collapsed="false">
      <c r="A4015" s="51" t="s">
        <v>722</v>
      </c>
      <c r="B4015" s="55" t="n">
        <v>44650</v>
      </c>
      <c r="C4015" s="51" t="s">
        <v>82</v>
      </c>
      <c r="D4015" s="51" t="n">
        <v>0</v>
      </c>
    </row>
    <row r="4016" customFormat="false" ht="15" hidden="true" customHeight="false" outlineLevel="0" collapsed="false">
      <c r="A4016" s="51" t="s">
        <v>727</v>
      </c>
      <c r="B4016" s="55" t="n">
        <v>44650</v>
      </c>
      <c r="C4016" s="51" t="s">
        <v>82</v>
      </c>
      <c r="D4016" s="51" t="n">
        <v>0</v>
      </c>
    </row>
    <row r="4017" customFormat="false" ht="15" hidden="true" customHeight="false" outlineLevel="0" collapsed="false">
      <c r="A4017" s="51" t="s">
        <v>732</v>
      </c>
      <c r="B4017" s="55" t="n">
        <v>44650</v>
      </c>
      <c r="C4017" s="51" t="s">
        <v>82</v>
      </c>
      <c r="D4017" s="51" t="n">
        <v>0</v>
      </c>
    </row>
    <row r="4018" customFormat="false" ht="15" hidden="true" customHeight="false" outlineLevel="0" collapsed="false">
      <c r="A4018" s="51" t="s">
        <v>736</v>
      </c>
      <c r="B4018" s="55" t="n">
        <v>44650</v>
      </c>
      <c r="C4018" s="51" t="s">
        <v>82</v>
      </c>
      <c r="D4018" s="51" t="n">
        <v>0</v>
      </c>
    </row>
    <row r="4019" customFormat="false" ht="15" hidden="true" customHeight="false" outlineLevel="0" collapsed="false">
      <c r="A4019" s="51" t="s">
        <v>741</v>
      </c>
      <c r="B4019" s="55" t="n">
        <v>44650</v>
      </c>
      <c r="C4019" s="51" t="s">
        <v>82</v>
      </c>
      <c r="D4019" s="51" t="n">
        <v>0</v>
      </c>
    </row>
    <row r="4020" customFormat="false" ht="15" hidden="true" customHeight="false" outlineLevel="0" collapsed="false">
      <c r="A4020" s="51" t="s">
        <v>746</v>
      </c>
      <c r="B4020" s="55" t="n">
        <v>44650</v>
      </c>
      <c r="C4020" s="51" t="s">
        <v>82</v>
      </c>
      <c r="D4020" s="51" t="n">
        <v>0</v>
      </c>
    </row>
    <row r="4021" customFormat="false" ht="15" hidden="true" customHeight="false" outlineLevel="0" collapsed="false">
      <c r="A4021" s="51" t="s">
        <v>751</v>
      </c>
      <c r="B4021" s="55" t="n">
        <v>44650</v>
      </c>
      <c r="C4021" s="51" t="s">
        <v>82</v>
      </c>
      <c r="D4021" s="51" t="n">
        <v>0</v>
      </c>
    </row>
    <row r="4022" customFormat="false" ht="15" hidden="false" customHeight="false" outlineLevel="0" collapsed="false">
      <c r="A4022" s="51" t="s">
        <v>781</v>
      </c>
      <c r="B4022" s="55" t="n">
        <v>44650</v>
      </c>
      <c r="C4022" s="51" t="s">
        <v>73</v>
      </c>
      <c r="D4022" s="51" t="n">
        <v>0</v>
      </c>
    </row>
    <row r="4023" customFormat="false" ht="15" hidden="true" customHeight="false" outlineLevel="0" collapsed="false">
      <c r="A4023" s="51" t="s">
        <v>783</v>
      </c>
      <c r="B4023" s="55" t="n">
        <v>44650</v>
      </c>
      <c r="C4023" s="51" t="s">
        <v>73</v>
      </c>
      <c r="D4023" s="51" t="n">
        <v>0</v>
      </c>
    </row>
    <row r="4024" customFormat="false" ht="15" hidden="true" customHeight="false" outlineLevel="0" collapsed="false">
      <c r="A4024" s="51" t="s">
        <v>96</v>
      </c>
      <c r="B4024" s="55" t="n">
        <v>44650</v>
      </c>
      <c r="C4024" s="51" t="s">
        <v>73</v>
      </c>
      <c r="D4024" s="51" t="n">
        <v>0</v>
      </c>
    </row>
    <row r="4025" customFormat="false" ht="15" hidden="true" customHeight="false" outlineLevel="0" collapsed="false">
      <c r="A4025" s="51" t="s">
        <v>101</v>
      </c>
      <c r="B4025" s="55" t="n">
        <v>44650</v>
      </c>
      <c r="C4025" s="51" t="s">
        <v>73</v>
      </c>
      <c r="D4025" s="51" t="n">
        <v>0</v>
      </c>
    </row>
    <row r="4026" customFormat="false" ht="15" hidden="true" customHeight="false" outlineLevel="0" collapsed="false">
      <c r="A4026" s="51" t="s">
        <v>106</v>
      </c>
      <c r="B4026" s="55" t="n">
        <v>44650</v>
      </c>
      <c r="C4026" s="51" t="s">
        <v>73</v>
      </c>
      <c r="D4026" s="51" t="n">
        <v>0</v>
      </c>
    </row>
    <row r="4027" customFormat="false" ht="15" hidden="true" customHeight="false" outlineLevel="0" collapsed="false">
      <c r="A4027" s="51" t="s">
        <v>110</v>
      </c>
      <c r="B4027" s="55" t="n">
        <v>44650</v>
      </c>
      <c r="C4027" s="51" t="s">
        <v>73</v>
      </c>
      <c r="D4027" s="51" t="n">
        <v>200000</v>
      </c>
    </row>
    <row r="4028" customFormat="false" ht="15" hidden="true" customHeight="false" outlineLevel="0" collapsed="false">
      <c r="A4028" s="51" t="s">
        <v>115</v>
      </c>
      <c r="B4028" s="55" t="n">
        <v>44650</v>
      </c>
      <c r="C4028" s="51" t="s">
        <v>73</v>
      </c>
      <c r="D4028" s="51" t="n">
        <v>0</v>
      </c>
    </row>
    <row r="4029" customFormat="false" ht="15" hidden="true" customHeight="false" outlineLevel="0" collapsed="false">
      <c r="A4029" s="51" t="s">
        <v>120</v>
      </c>
      <c r="B4029" s="55" t="n">
        <v>44650</v>
      </c>
      <c r="C4029" s="51" t="s">
        <v>73</v>
      </c>
      <c r="D4029" s="51" t="n">
        <v>0</v>
      </c>
    </row>
    <row r="4030" customFormat="false" ht="15" hidden="true" customHeight="false" outlineLevel="0" collapsed="false">
      <c r="A4030" s="51" t="s">
        <v>124</v>
      </c>
      <c r="B4030" s="55" t="n">
        <v>44650</v>
      </c>
      <c r="C4030" s="51" t="s">
        <v>73</v>
      </c>
      <c r="D4030" s="51" t="n">
        <v>1065166.67</v>
      </c>
    </row>
    <row r="4031" customFormat="false" ht="15" hidden="true" customHeight="false" outlineLevel="0" collapsed="false">
      <c r="A4031" s="51" t="s">
        <v>129</v>
      </c>
      <c r="B4031" s="55" t="n">
        <v>44650</v>
      </c>
      <c r="C4031" s="51" t="s">
        <v>73</v>
      </c>
      <c r="D4031" s="51" t="n">
        <v>175780</v>
      </c>
    </row>
    <row r="4032" customFormat="false" ht="15" hidden="true" customHeight="false" outlineLevel="0" collapsed="false">
      <c r="A4032" s="51" t="s">
        <v>134</v>
      </c>
      <c r="B4032" s="55" t="n">
        <v>44650</v>
      </c>
      <c r="C4032" s="51" t="s">
        <v>73</v>
      </c>
      <c r="D4032" s="51" t="n">
        <v>180919.25</v>
      </c>
    </row>
    <row r="4033" customFormat="false" ht="15" hidden="true" customHeight="false" outlineLevel="0" collapsed="false">
      <c r="A4033" s="51" t="s">
        <v>141</v>
      </c>
      <c r="B4033" s="55" t="n">
        <v>44650</v>
      </c>
      <c r="C4033" s="51" t="s">
        <v>73</v>
      </c>
      <c r="D4033" s="51" t="n">
        <v>0</v>
      </c>
    </row>
    <row r="4034" customFormat="false" ht="15" hidden="true" customHeight="false" outlineLevel="0" collapsed="false">
      <c r="A4034" s="51" t="s">
        <v>146</v>
      </c>
      <c r="B4034" s="55" t="n">
        <v>44650</v>
      </c>
      <c r="C4034" s="51" t="s">
        <v>73</v>
      </c>
      <c r="D4034" s="51" t="n">
        <v>0</v>
      </c>
    </row>
    <row r="4035" customFormat="false" ht="15" hidden="true" customHeight="false" outlineLevel="0" collapsed="false">
      <c r="A4035" s="51" t="s">
        <v>151</v>
      </c>
      <c r="B4035" s="55" t="n">
        <v>44650</v>
      </c>
      <c r="C4035" s="51" t="s">
        <v>73</v>
      </c>
      <c r="D4035" s="51" t="n">
        <v>128000</v>
      </c>
    </row>
    <row r="4036" customFormat="false" ht="15" hidden="true" customHeight="false" outlineLevel="0" collapsed="false">
      <c r="A4036" s="51" t="s">
        <v>156</v>
      </c>
      <c r="B4036" s="55" t="n">
        <v>44650</v>
      </c>
      <c r="C4036" s="51" t="s">
        <v>73</v>
      </c>
      <c r="D4036" s="51" t="n">
        <v>0</v>
      </c>
    </row>
    <row r="4037" customFormat="false" ht="15" hidden="true" customHeight="false" outlineLevel="0" collapsed="false">
      <c r="A4037" s="51" t="s">
        <v>161</v>
      </c>
      <c r="B4037" s="55" t="n">
        <v>44650</v>
      </c>
      <c r="C4037" s="51" t="s">
        <v>73</v>
      </c>
      <c r="D4037" s="51" t="n">
        <v>50000</v>
      </c>
    </row>
    <row r="4038" customFormat="false" ht="15" hidden="true" customHeight="false" outlineLevel="0" collapsed="false">
      <c r="A4038" s="51" t="s">
        <v>166</v>
      </c>
      <c r="B4038" s="55" t="n">
        <v>44650</v>
      </c>
      <c r="C4038" s="51" t="s">
        <v>73</v>
      </c>
      <c r="D4038" s="51" t="n">
        <v>713250</v>
      </c>
    </row>
    <row r="4039" customFormat="false" ht="15" hidden="true" customHeight="false" outlineLevel="0" collapsed="false">
      <c r="A4039" s="51" t="s">
        <v>171</v>
      </c>
      <c r="B4039" s="55" t="n">
        <v>44650</v>
      </c>
      <c r="C4039" s="51" t="s">
        <v>73</v>
      </c>
      <c r="D4039" s="51" t="n">
        <v>0</v>
      </c>
    </row>
    <row r="4040" customFormat="false" ht="15" hidden="true" customHeight="false" outlineLevel="0" collapsed="false">
      <c r="A4040" s="51" t="s">
        <v>176</v>
      </c>
      <c r="B4040" s="55" t="n">
        <v>44650</v>
      </c>
      <c r="C4040" s="51" t="s">
        <v>73</v>
      </c>
      <c r="D4040" s="51" t="n">
        <v>0</v>
      </c>
    </row>
    <row r="4041" customFormat="false" ht="15" hidden="true" customHeight="false" outlineLevel="0" collapsed="false">
      <c r="A4041" s="51" t="s">
        <v>181</v>
      </c>
      <c r="B4041" s="55" t="n">
        <v>44650</v>
      </c>
      <c r="C4041" s="51" t="s">
        <v>73</v>
      </c>
      <c r="D4041" s="51" t="n">
        <v>600000</v>
      </c>
    </row>
    <row r="4042" customFormat="false" ht="15" hidden="true" customHeight="false" outlineLevel="0" collapsed="false">
      <c r="A4042" s="51" t="s">
        <v>186</v>
      </c>
      <c r="B4042" s="55" t="n">
        <v>44650</v>
      </c>
      <c r="C4042" s="51" t="s">
        <v>73</v>
      </c>
      <c r="D4042" s="51" t="n">
        <v>33333.33</v>
      </c>
    </row>
    <row r="4043" customFormat="false" ht="15" hidden="true" customHeight="false" outlineLevel="0" collapsed="false">
      <c r="A4043" s="51" t="s">
        <v>191</v>
      </c>
      <c r="B4043" s="55" t="n">
        <v>44650</v>
      </c>
      <c r="C4043" s="51" t="s">
        <v>73</v>
      </c>
      <c r="D4043" s="51" t="n">
        <v>0</v>
      </c>
    </row>
    <row r="4044" customFormat="false" ht="15" hidden="true" customHeight="false" outlineLevel="0" collapsed="false">
      <c r="A4044" s="51" t="s">
        <v>196</v>
      </c>
      <c r="B4044" s="55" t="n">
        <v>44650</v>
      </c>
      <c r="C4044" s="51" t="s">
        <v>73</v>
      </c>
      <c r="D4044" s="51" t="n">
        <v>0</v>
      </c>
    </row>
    <row r="4045" customFormat="false" ht="15" hidden="true" customHeight="false" outlineLevel="0" collapsed="false">
      <c r="A4045" s="51" t="s">
        <v>201</v>
      </c>
      <c r="B4045" s="55" t="n">
        <v>44650</v>
      </c>
      <c r="C4045" s="51" t="s">
        <v>73</v>
      </c>
      <c r="D4045" s="51" t="n">
        <v>330924.61</v>
      </c>
    </row>
    <row r="4046" customFormat="false" ht="15" hidden="true" customHeight="false" outlineLevel="0" collapsed="false">
      <c r="A4046" s="51" t="s">
        <v>206</v>
      </c>
      <c r="B4046" s="55" t="n">
        <v>44650</v>
      </c>
      <c r="C4046" s="51" t="s">
        <v>73</v>
      </c>
      <c r="D4046" s="51" t="n">
        <v>518001.31</v>
      </c>
    </row>
    <row r="4047" customFormat="false" ht="15" hidden="true" customHeight="false" outlineLevel="0" collapsed="false">
      <c r="A4047" s="51" t="s">
        <v>210</v>
      </c>
      <c r="B4047" s="55" t="n">
        <v>44650</v>
      </c>
      <c r="C4047" s="51" t="s">
        <v>73</v>
      </c>
      <c r="D4047" s="51" t="n">
        <v>0</v>
      </c>
    </row>
    <row r="4048" customFormat="false" ht="15" hidden="true" customHeight="false" outlineLevel="0" collapsed="false">
      <c r="A4048" s="51" t="s">
        <v>215</v>
      </c>
      <c r="B4048" s="55" t="n">
        <v>44650</v>
      </c>
      <c r="C4048" s="51" t="s">
        <v>73</v>
      </c>
      <c r="D4048" s="51" t="n">
        <v>150000</v>
      </c>
    </row>
    <row r="4049" customFormat="false" ht="15" hidden="true" customHeight="false" outlineLevel="0" collapsed="false">
      <c r="A4049" s="51" t="s">
        <v>790</v>
      </c>
      <c r="B4049" s="55" t="n">
        <v>44650</v>
      </c>
      <c r="C4049" s="51" t="s">
        <v>73</v>
      </c>
      <c r="D4049" s="51" t="n">
        <v>0</v>
      </c>
    </row>
    <row r="4050" customFormat="false" ht="15" hidden="true" customHeight="false" outlineLevel="0" collapsed="false">
      <c r="A4050" s="51" t="s">
        <v>225</v>
      </c>
      <c r="B4050" s="55" t="n">
        <v>44650</v>
      </c>
      <c r="C4050" s="51" t="s">
        <v>73</v>
      </c>
      <c r="D4050" s="51" t="n">
        <v>102000</v>
      </c>
    </row>
    <row r="4051" customFormat="false" ht="15" hidden="true" customHeight="false" outlineLevel="0" collapsed="false">
      <c r="A4051" s="51" t="s">
        <v>230</v>
      </c>
      <c r="B4051" s="55" t="n">
        <v>44650</v>
      </c>
      <c r="C4051" s="51" t="s">
        <v>73</v>
      </c>
      <c r="D4051" s="51" t="n">
        <v>200000</v>
      </c>
    </row>
    <row r="4052" customFormat="false" ht="15" hidden="true" customHeight="false" outlineLevel="0" collapsed="false">
      <c r="A4052" s="51" t="s">
        <v>235</v>
      </c>
      <c r="B4052" s="55" t="n">
        <v>44650</v>
      </c>
      <c r="C4052" s="51" t="s">
        <v>73</v>
      </c>
      <c r="D4052" s="51" t="n">
        <v>164000</v>
      </c>
    </row>
    <row r="4053" customFormat="false" ht="15" hidden="true" customHeight="false" outlineLevel="0" collapsed="false">
      <c r="A4053" s="51" t="s">
        <v>240</v>
      </c>
      <c r="B4053" s="55" t="n">
        <v>44650</v>
      </c>
      <c r="C4053" s="51" t="s">
        <v>73</v>
      </c>
      <c r="D4053" s="51" t="n">
        <v>200000</v>
      </c>
    </row>
    <row r="4054" customFormat="false" ht="15" hidden="true" customHeight="false" outlineLevel="0" collapsed="false">
      <c r="A4054" s="51" t="s">
        <v>246</v>
      </c>
      <c r="B4054" s="55" t="n">
        <v>44650</v>
      </c>
      <c r="C4054" s="51" t="s">
        <v>73</v>
      </c>
      <c r="D4054" s="51" t="n">
        <v>320000</v>
      </c>
    </row>
    <row r="4055" customFormat="false" ht="15" hidden="true" customHeight="false" outlineLevel="0" collapsed="false">
      <c r="A4055" s="51" t="s">
        <v>252</v>
      </c>
      <c r="B4055" s="55" t="n">
        <v>44650</v>
      </c>
      <c r="C4055" s="51" t="s">
        <v>73</v>
      </c>
      <c r="D4055" s="51" t="n">
        <v>200000</v>
      </c>
    </row>
    <row r="4056" customFormat="false" ht="15" hidden="true" customHeight="false" outlineLevel="0" collapsed="false">
      <c r="A4056" s="51" t="s">
        <v>257</v>
      </c>
      <c r="B4056" s="55" t="n">
        <v>44650</v>
      </c>
      <c r="C4056" s="51" t="s">
        <v>73</v>
      </c>
      <c r="D4056" s="51" t="n">
        <v>450000</v>
      </c>
    </row>
    <row r="4057" customFormat="false" ht="15" hidden="true" customHeight="false" outlineLevel="0" collapsed="false">
      <c r="A4057" s="51" t="s">
        <v>262</v>
      </c>
      <c r="B4057" s="55" t="n">
        <v>44650</v>
      </c>
      <c r="C4057" s="51" t="s">
        <v>73</v>
      </c>
      <c r="D4057" s="51" t="n">
        <v>0</v>
      </c>
    </row>
    <row r="4058" customFormat="false" ht="15" hidden="true" customHeight="false" outlineLevel="0" collapsed="false">
      <c r="A4058" s="51" t="s">
        <v>267</v>
      </c>
      <c r="B4058" s="55" t="n">
        <v>44650</v>
      </c>
      <c r="C4058" s="51" t="s">
        <v>73</v>
      </c>
      <c r="D4058" s="51" t="n">
        <v>1600000</v>
      </c>
    </row>
    <row r="4059" customFormat="false" ht="15" hidden="true" customHeight="false" outlineLevel="0" collapsed="false">
      <c r="A4059" s="51" t="s">
        <v>272</v>
      </c>
      <c r="B4059" s="55" t="n">
        <v>44650</v>
      </c>
      <c r="C4059" s="51" t="s">
        <v>73</v>
      </c>
      <c r="D4059" s="51" t="n">
        <v>136000</v>
      </c>
    </row>
    <row r="4060" customFormat="false" ht="15" hidden="true" customHeight="false" outlineLevel="0" collapsed="false">
      <c r="A4060" s="51" t="s">
        <v>277</v>
      </c>
      <c r="B4060" s="55" t="n">
        <v>44650</v>
      </c>
      <c r="C4060" s="51" t="s">
        <v>73</v>
      </c>
      <c r="D4060" s="51" t="n">
        <v>0</v>
      </c>
    </row>
    <row r="4061" customFormat="false" ht="15" hidden="true" customHeight="false" outlineLevel="0" collapsed="false">
      <c r="A4061" s="51" t="s">
        <v>282</v>
      </c>
      <c r="B4061" s="55" t="n">
        <v>44650</v>
      </c>
      <c r="C4061" s="51" t="s">
        <v>73</v>
      </c>
      <c r="D4061" s="51" t="n">
        <v>0</v>
      </c>
    </row>
    <row r="4062" customFormat="false" ht="15" hidden="true" customHeight="false" outlineLevel="0" collapsed="false">
      <c r="A4062" s="51" t="s">
        <v>287</v>
      </c>
      <c r="B4062" s="55" t="n">
        <v>44650</v>
      </c>
      <c r="C4062" s="51" t="s">
        <v>73</v>
      </c>
      <c r="D4062" s="51" t="n">
        <v>0</v>
      </c>
    </row>
    <row r="4063" customFormat="false" ht="15" hidden="true" customHeight="false" outlineLevel="0" collapsed="false">
      <c r="A4063" s="51" t="s">
        <v>292</v>
      </c>
      <c r="B4063" s="55" t="n">
        <v>44650</v>
      </c>
      <c r="C4063" s="51" t="s">
        <v>73</v>
      </c>
      <c r="D4063" s="51" t="n">
        <v>0</v>
      </c>
    </row>
    <row r="4064" customFormat="false" ht="15" hidden="true" customHeight="false" outlineLevel="0" collapsed="false">
      <c r="A4064" s="51" t="s">
        <v>297</v>
      </c>
      <c r="B4064" s="55" t="n">
        <v>44650</v>
      </c>
      <c r="C4064" s="51" t="s">
        <v>73</v>
      </c>
      <c r="D4064" s="51" t="n">
        <v>0</v>
      </c>
    </row>
    <row r="4065" customFormat="false" ht="15" hidden="true" customHeight="false" outlineLevel="0" collapsed="false">
      <c r="A4065" s="51" t="s">
        <v>302</v>
      </c>
      <c r="B4065" s="55" t="n">
        <v>44650</v>
      </c>
      <c r="C4065" s="51" t="s">
        <v>73</v>
      </c>
      <c r="D4065" s="51" t="n">
        <v>0</v>
      </c>
    </row>
    <row r="4066" customFormat="false" ht="15" hidden="true" customHeight="false" outlineLevel="0" collapsed="false">
      <c r="A4066" s="51" t="s">
        <v>307</v>
      </c>
      <c r="B4066" s="55" t="n">
        <v>44650</v>
      </c>
      <c r="C4066" s="51" t="s">
        <v>73</v>
      </c>
      <c r="D4066" s="51" t="n">
        <v>0</v>
      </c>
    </row>
    <row r="4067" customFormat="false" ht="15" hidden="true" customHeight="false" outlineLevel="0" collapsed="false">
      <c r="A4067" s="51" t="s">
        <v>311</v>
      </c>
      <c r="B4067" s="55" t="n">
        <v>44650</v>
      </c>
      <c r="C4067" s="51" t="s">
        <v>73</v>
      </c>
      <c r="D4067" s="51" t="n">
        <v>0</v>
      </c>
    </row>
    <row r="4068" customFormat="false" ht="15" hidden="true" customHeight="false" outlineLevel="0" collapsed="false">
      <c r="A4068" s="51" t="s">
        <v>317</v>
      </c>
      <c r="B4068" s="55" t="n">
        <v>44650</v>
      </c>
      <c r="C4068" s="51" t="s">
        <v>73</v>
      </c>
      <c r="D4068" s="51" t="n">
        <v>0</v>
      </c>
    </row>
    <row r="4069" customFormat="false" ht="15" hidden="true" customHeight="false" outlineLevel="0" collapsed="false">
      <c r="A4069" s="51" t="s">
        <v>322</v>
      </c>
      <c r="B4069" s="55" t="n">
        <v>44650</v>
      </c>
      <c r="C4069" s="51" t="s">
        <v>73</v>
      </c>
      <c r="D4069" s="51" t="n">
        <v>0</v>
      </c>
    </row>
    <row r="4070" customFormat="false" ht="15" hidden="true" customHeight="false" outlineLevel="0" collapsed="false">
      <c r="A4070" s="51" t="s">
        <v>327</v>
      </c>
      <c r="B4070" s="55" t="n">
        <v>44650</v>
      </c>
      <c r="C4070" s="51" t="s">
        <v>73</v>
      </c>
      <c r="D4070" s="51" t="n">
        <v>0</v>
      </c>
    </row>
    <row r="4071" customFormat="false" ht="15" hidden="true" customHeight="false" outlineLevel="0" collapsed="false">
      <c r="A4071" s="51" t="s">
        <v>332</v>
      </c>
      <c r="B4071" s="55" t="n">
        <v>44650</v>
      </c>
      <c r="C4071" s="51" t="s">
        <v>73</v>
      </c>
      <c r="D4071" s="51" t="n">
        <v>0</v>
      </c>
    </row>
    <row r="4072" customFormat="false" ht="15" hidden="true" customHeight="false" outlineLevel="0" collapsed="false">
      <c r="A4072" s="51" t="s">
        <v>339</v>
      </c>
      <c r="B4072" s="55" t="n">
        <v>44650</v>
      </c>
      <c r="C4072" s="51" t="s">
        <v>73</v>
      </c>
      <c r="D4072" s="51" t="n">
        <v>0</v>
      </c>
    </row>
    <row r="4073" customFormat="false" ht="15" hidden="true" customHeight="false" outlineLevel="0" collapsed="false">
      <c r="A4073" s="51" t="s">
        <v>344</v>
      </c>
      <c r="B4073" s="55" t="n">
        <v>44650</v>
      </c>
      <c r="C4073" s="51" t="s">
        <v>73</v>
      </c>
      <c r="D4073" s="51" t="n">
        <v>0</v>
      </c>
    </row>
    <row r="4074" customFormat="false" ht="15" hidden="true" customHeight="false" outlineLevel="0" collapsed="false">
      <c r="A4074" s="51" t="s">
        <v>349</v>
      </c>
      <c r="B4074" s="55" t="n">
        <v>44650</v>
      </c>
      <c r="C4074" s="51" t="s">
        <v>73</v>
      </c>
      <c r="D4074" s="51" t="n">
        <v>0</v>
      </c>
    </row>
    <row r="4075" customFormat="false" ht="15" hidden="true" customHeight="false" outlineLevel="0" collapsed="false">
      <c r="A4075" s="51" t="s">
        <v>354</v>
      </c>
      <c r="B4075" s="55" t="n">
        <v>44650</v>
      </c>
      <c r="C4075" s="51" t="s">
        <v>73</v>
      </c>
      <c r="D4075" s="51" t="n">
        <v>0</v>
      </c>
    </row>
    <row r="4076" customFormat="false" ht="15" hidden="true" customHeight="false" outlineLevel="0" collapsed="false">
      <c r="A4076" s="51" t="s">
        <v>359</v>
      </c>
      <c r="B4076" s="55" t="n">
        <v>44650</v>
      </c>
      <c r="C4076" s="51" t="s">
        <v>73</v>
      </c>
      <c r="D4076" s="51" t="n">
        <v>0</v>
      </c>
    </row>
    <row r="4077" customFormat="false" ht="15" hidden="true" customHeight="false" outlineLevel="0" collapsed="false">
      <c r="A4077" s="51" t="s">
        <v>364</v>
      </c>
      <c r="B4077" s="55" t="n">
        <v>44650</v>
      </c>
      <c r="C4077" s="51" t="s">
        <v>73</v>
      </c>
      <c r="D4077" s="51" t="n">
        <v>0</v>
      </c>
    </row>
    <row r="4078" customFormat="false" ht="15" hidden="true" customHeight="false" outlineLevel="0" collapsed="false">
      <c r="A4078" s="51" t="s">
        <v>369</v>
      </c>
      <c r="B4078" s="55" t="n">
        <v>44650</v>
      </c>
      <c r="C4078" s="51" t="s">
        <v>73</v>
      </c>
      <c r="D4078" s="51" t="n">
        <v>0</v>
      </c>
    </row>
    <row r="4079" customFormat="false" ht="15" hidden="true" customHeight="false" outlineLevel="0" collapsed="false">
      <c r="A4079" s="51" t="s">
        <v>374</v>
      </c>
      <c r="B4079" s="55" t="n">
        <v>44650</v>
      </c>
      <c r="C4079" s="51" t="s">
        <v>73</v>
      </c>
      <c r="D4079" s="51" t="n">
        <v>0</v>
      </c>
    </row>
    <row r="4080" customFormat="false" ht="15" hidden="true" customHeight="false" outlineLevel="0" collapsed="false">
      <c r="A4080" s="51" t="s">
        <v>379</v>
      </c>
      <c r="B4080" s="55" t="n">
        <v>44650</v>
      </c>
      <c r="C4080" s="51" t="s">
        <v>73</v>
      </c>
      <c r="D4080" s="51" t="n">
        <v>0</v>
      </c>
    </row>
    <row r="4081" customFormat="false" ht="15" hidden="true" customHeight="false" outlineLevel="0" collapsed="false">
      <c r="A4081" s="51" t="s">
        <v>384</v>
      </c>
      <c r="B4081" s="55" t="n">
        <v>44650</v>
      </c>
      <c r="C4081" s="51" t="s">
        <v>73</v>
      </c>
      <c r="D4081" s="51" t="n">
        <v>0</v>
      </c>
    </row>
    <row r="4082" customFormat="false" ht="15" hidden="true" customHeight="false" outlineLevel="0" collapsed="false">
      <c r="A4082" s="51" t="s">
        <v>389</v>
      </c>
      <c r="B4082" s="55" t="n">
        <v>44650</v>
      </c>
      <c r="C4082" s="51" t="s">
        <v>73</v>
      </c>
      <c r="D4082" s="51" t="n">
        <v>0</v>
      </c>
    </row>
    <row r="4083" customFormat="false" ht="15" hidden="true" customHeight="false" outlineLevel="0" collapsed="false">
      <c r="A4083" s="51" t="s">
        <v>394</v>
      </c>
      <c r="B4083" s="55" t="n">
        <v>44650</v>
      </c>
      <c r="C4083" s="51" t="s">
        <v>73</v>
      </c>
      <c r="D4083" s="51" t="n">
        <v>0</v>
      </c>
    </row>
    <row r="4084" customFormat="false" ht="15" hidden="true" customHeight="false" outlineLevel="0" collapsed="false">
      <c r="A4084" s="51" t="s">
        <v>399</v>
      </c>
      <c r="B4084" s="55" t="n">
        <v>44650</v>
      </c>
      <c r="C4084" s="51" t="s">
        <v>73</v>
      </c>
      <c r="D4084" s="51" t="n">
        <v>0</v>
      </c>
    </row>
    <row r="4085" customFormat="false" ht="15" hidden="true" customHeight="false" outlineLevel="0" collapsed="false">
      <c r="A4085" s="51" t="s">
        <v>404</v>
      </c>
      <c r="B4085" s="55" t="n">
        <v>44650</v>
      </c>
      <c r="C4085" s="51" t="s">
        <v>73</v>
      </c>
      <c r="D4085" s="51" t="n">
        <v>0</v>
      </c>
    </row>
    <row r="4086" customFormat="false" ht="15" hidden="true" customHeight="false" outlineLevel="0" collapsed="false">
      <c r="A4086" s="51" t="s">
        <v>409</v>
      </c>
      <c r="B4086" s="55" t="n">
        <v>44650</v>
      </c>
      <c r="C4086" s="51" t="s">
        <v>73</v>
      </c>
      <c r="D4086" s="51" t="n">
        <v>0</v>
      </c>
    </row>
    <row r="4087" customFormat="false" ht="15" hidden="true" customHeight="false" outlineLevel="0" collapsed="false">
      <c r="A4087" s="51" t="s">
        <v>414</v>
      </c>
      <c r="B4087" s="55" t="n">
        <v>44650</v>
      </c>
      <c r="C4087" s="51" t="s">
        <v>73</v>
      </c>
      <c r="D4087" s="51" t="n">
        <v>0</v>
      </c>
    </row>
    <row r="4088" customFormat="false" ht="15" hidden="true" customHeight="false" outlineLevel="0" collapsed="false">
      <c r="A4088" s="51" t="s">
        <v>419</v>
      </c>
      <c r="B4088" s="55" t="n">
        <v>44650</v>
      </c>
      <c r="C4088" s="51" t="s">
        <v>73</v>
      </c>
      <c r="D4088" s="51" t="n">
        <v>0</v>
      </c>
    </row>
    <row r="4089" customFormat="false" ht="15" hidden="true" customHeight="false" outlineLevel="0" collapsed="false">
      <c r="A4089" s="51" t="s">
        <v>424</v>
      </c>
      <c r="B4089" s="55" t="n">
        <v>44650</v>
      </c>
      <c r="C4089" s="51" t="s">
        <v>73</v>
      </c>
      <c r="D4089" s="51" t="n">
        <v>0</v>
      </c>
    </row>
    <row r="4090" customFormat="false" ht="15" hidden="true" customHeight="false" outlineLevel="0" collapsed="false">
      <c r="A4090" s="51" t="s">
        <v>429</v>
      </c>
      <c r="B4090" s="55" t="n">
        <v>44650</v>
      </c>
      <c r="C4090" s="51" t="s">
        <v>73</v>
      </c>
      <c r="D4090" s="51" t="n">
        <v>0</v>
      </c>
    </row>
    <row r="4091" customFormat="false" ht="15" hidden="true" customHeight="false" outlineLevel="0" collapsed="false">
      <c r="A4091" s="51" t="s">
        <v>434</v>
      </c>
      <c r="B4091" s="55" t="n">
        <v>44650</v>
      </c>
      <c r="C4091" s="51" t="s">
        <v>73</v>
      </c>
      <c r="D4091" s="51" t="n">
        <v>0</v>
      </c>
    </row>
    <row r="4092" customFormat="false" ht="15" hidden="true" customHeight="false" outlineLevel="0" collapsed="false">
      <c r="A4092" s="51" t="s">
        <v>438</v>
      </c>
      <c r="B4092" s="55" t="n">
        <v>44650</v>
      </c>
      <c r="C4092" s="51" t="s">
        <v>73</v>
      </c>
      <c r="D4092" s="51" t="n">
        <v>0</v>
      </c>
    </row>
    <row r="4093" customFormat="false" ht="15" hidden="true" customHeight="false" outlineLevel="0" collapsed="false">
      <c r="A4093" s="51" t="s">
        <v>443</v>
      </c>
      <c r="B4093" s="55" t="n">
        <v>44650</v>
      </c>
      <c r="C4093" s="51" t="s">
        <v>73</v>
      </c>
      <c r="D4093" s="51" t="n">
        <v>0</v>
      </c>
    </row>
    <row r="4094" customFormat="false" ht="15" hidden="true" customHeight="false" outlineLevel="0" collapsed="false">
      <c r="A4094" s="51" t="s">
        <v>448</v>
      </c>
      <c r="B4094" s="55" t="n">
        <v>44650</v>
      </c>
      <c r="C4094" s="51" t="s">
        <v>73</v>
      </c>
      <c r="D4094" s="51" t="n">
        <v>0</v>
      </c>
    </row>
    <row r="4095" customFormat="false" ht="15" hidden="true" customHeight="false" outlineLevel="0" collapsed="false">
      <c r="A4095" s="51" t="s">
        <v>453</v>
      </c>
      <c r="B4095" s="55" t="n">
        <v>44650</v>
      </c>
      <c r="C4095" s="51" t="s">
        <v>73</v>
      </c>
      <c r="D4095" s="51" t="n">
        <v>0</v>
      </c>
    </row>
    <row r="4096" customFormat="false" ht="15" hidden="true" customHeight="false" outlineLevel="0" collapsed="false">
      <c r="A4096" s="51" t="s">
        <v>458</v>
      </c>
      <c r="B4096" s="55" t="n">
        <v>44650</v>
      </c>
      <c r="C4096" s="51" t="s">
        <v>73</v>
      </c>
      <c r="D4096" s="51" t="n">
        <v>0</v>
      </c>
    </row>
    <row r="4097" customFormat="false" ht="15" hidden="true" customHeight="false" outlineLevel="0" collapsed="false">
      <c r="A4097" s="51" t="s">
        <v>473</v>
      </c>
      <c r="B4097" s="55" t="n">
        <v>44650</v>
      </c>
      <c r="C4097" s="51" t="s">
        <v>73</v>
      </c>
      <c r="D4097" s="51" t="n">
        <v>0</v>
      </c>
    </row>
    <row r="4098" customFormat="false" ht="15" hidden="true" customHeight="false" outlineLevel="0" collapsed="false">
      <c r="A4098" s="51" t="s">
        <v>479</v>
      </c>
      <c r="B4098" s="55" t="n">
        <v>44650</v>
      </c>
      <c r="C4098" s="51" t="s">
        <v>73</v>
      </c>
      <c r="D4098" s="51" t="n">
        <v>0</v>
      </c>
    </row>
    <row r="4099" customFormat="false" ht="15" hidden="true" customHeight="false" outlineLevel="0" collapsed="false">
      <c r="A4099" s="51" t="s">
        <v>484</v>
      </c>
      <c r="B4099" s="55" t="n">
        <v>44650</v>
      </c>
      <c r="C4099" s="51" t="s">
        <v>73</v>
      </c>
      <c r="D4099" s="51" t="n">
        <v>0</v>
      </c>
    </row>
    <row r="4100" customFormat="false" ht="15" hidden="true" customHeight="false" outlineLevel="0" collapsed="false">
      <c r="A4100" s="51" t="s">
        <v>489</v>
      </c>
      <c r="B4100" s="55" t="n">
        <v>44650</v>
      </c>
      <c r="C4100" s="51" t="s">
        <v>73</v>
      </c>
      <c r="D4100" s="51" t="n">
        <v>0</v>
      </c>
    </row>
    <row r="4101" customFormat="false" ht="15" hidden="true" customHeight="false" outlineLevel="0" collapsed="false">
      <c r="A4101" s="51" t="s">
        <v>494</v>
      </c>
      <c r="B4101" s="55" t="n">
        <v>44650</v>
      </c>
      <c r="C4101" s="51" t="s">
        <v>73</v>
      </c>
      <c r="D4101" s="51" t="n">
        <v>0</v>
      </c>
    </row>
    <row r="4102" customFormat="false" ht="15" hidden="true" customHeight="false" outlineLevel="0" collapsed="false">
      <c r="A4102" s="51" t="s">
        <v>499</v>
      </c>
      <c r="B4102" s="55" t="n">
        <v>44650</v>
      </c>
      <c r="C4102" s="51" t="s">
        <v>73</v>
      </c>
      <c r="D4102" s="51" t="n">
        <v>0</v>
      </c>
    </row>
    <row r="4103" customFormat="false" ht="15" hidden="true" customHeight="false" outlineLevel="0" collapsed="false">
      <c r="A4103" s="51" t="s">
        <v>504</v>
      </c>
      <c r="B4103" s="55" t="n">
        <v>44650</v>
      </c>
      <c r="C4103" s="51" t="s">
        <v>73</v>
      </c>
      <c r="D4103" s="51" t="n">
        <v>0</v>
      </c>
    </row>
    <row r="4104" customFormat="false" ht="15" hidden="true" customHeight="false" outlineLevel="0" collapsed="false">
      <c r="A4104" s="51" t="s">
        <v>509</v>
      </c>
      <c r="B4104" s="55" t="n">
        <v>44650</v>
      </c>
      <c r="C4104" s="51" t="s">
        <v>73</v>
      </c>
      <c r="D4104" s="51" t="n">
        <v>0</v>
      </c>
    </row>
    <row r="4105" customFormat="false" ht="15" hidden="true" customHeight="false" outlineLevel="0" collapsed="false">
      <c r="A4105" s="51" t="s">
        <v>515</v>
      </c>
      <c r="B4105" s="55" t="n">
        <v>44650</v>
      </c>
      <c r="C4105" s="51" t="s">
        <v>73</v>
      </c>
      <c r="D4105" s="51" t="n">
        <v>0</v>
      </c>
    </row>
    <row r="4106" customFormat="false" ht="15" hidden="true" customHeight="false" outlineLevel="0" collapsed="false">
      <c r="A4106" s="51" t="s">
        <v>520</v>
      </c>
      <c r="B4106" s="55" t="n">
        <v>44650</v>
      </c>
      <c r="C4106" s="51" t="s">
        <v>73</v>
      </c>
      <c r="D4106" s="51" t="n">
        <v>0</v>
      </c>
    </row>
    <row r="4107" customFormat="false" ht="15" hidden="true" customHeight="false" outlineLevel="0" collapsed="false">
      <c r="A4107" s="51" t="s">
        <v>525</v>
      </c>
      <c r="B4107" s="55" t="n">
        <v>44650</v>
      </c>
      <c r="C4107" s="51" t="s">
        <v>73</v>
      </c>
      <c r="D4107" s="51" t="n">
        <v>0</v>
      </c>
    </row>
    <row r="4108" customFormat="false" ht="15" hidden="true" customHeight="false" outlineLevel="0" collapsed="false">
      <c r="A4108" s="51" t="s">
        <v>531</v>
      </c>
      <c r="B4108" s="55" t="n">
        <v>44650</v>
      </c>
      <c r="C4108" s="51" t="s">
        <v>73</v>
      </c>
      <c r="D4108" s="51" t="n">
        <v>0</v>
      </c>
    </row>
    <row r="4109" customFormat="false" ht="15" hidden="true" customHeight="false" outlineLevel="0" collapsed="false">
      <c r="A4109" s="51" t="s">
        <v>536</v>
      </c>
      <c r="B4109" s="55" t="n">
        <v>44650</v>
      </c>
      <c r="C4109" s="51" t="s">
        <v>73</v>
      </c>
      <c r="D4109" s="51" t="n">
        <v>0</v>
      </c>
    </row>
    <row r="4110" customFormat="false" ht="15" hidden="true" customHeight="false" outlineLevel="0" collapsed="false">
      <c r="A4110" s="51" t="s">
        <v>541</v>
      </c>
      <c r="B4110" s="55" t="n">
        <v>44650</v>
      </c>
      <c r="C4110" s="51" t="s">
        <v>73</v>
      </c>
      <c r="D4110" s="51" t="n">
        <v>0</v>
      </c>
    </row>
    <row r="4111" customFormat="false" ht="15" hidden="true" customHeight="false" outlineLevel="0" collapsed="false">
      <c r="A4111" s="51" t="s">
        <v>549</v>
      </c>
      <c r="B4111" s="55" t="n">
        <v>44650</v>
      </c>
      <c r="C4111" s="51" t="s">
        <v>73</v>
      </c>
      <c r="D4111" s="51" t="n">
        <v>0</v>
      </c>
    </row>
    <row r="4112" customFormat="false" ht="15" hidden="true" customHeight="false" outlineLevel="0" collapsed="false">
      <c r="A4112" s="51" t="s">
        <v>554</v>
      </c>
      <c r="B4112" s="55" t="n">
        <v>44650</v>
      </c>
      <c r="C4112" s="51" t="s">
        <v>73</v>
      </c>
      <c r="D4112" s="51" t="n">
        <v>0</v>
      </c>
    </row>
    <row r="4113" customFormat="false" ht="15" hidden="true" customHeight="false" outlineLevel="0" collapsed="false">
      <c r="A4113" s="51" t="s">
        <v>559</v>
      </c>
      <c r="B4113" s="55" t="n">
        <v>44650</v>
      </c>
      <c r="C4113" s="51" t="s">
        <v>73</v>
      </c>
      <c r="D4113" s="51" t="n">
        <v>0</v>
      </c>
    </row>
    <row r="4114" customFormat="false" ht="15" hidden="true" customHeight="false" outlineLevel="0" collapsed="false">
      <c r="A4114" s="51" t="s">
        <v>564</v>
      </c>
      <c r="B4114" s="55" t="n">
        <v>44650</v>
      </c>
      <c r="C4114" s="51" t="s">
        <v>73</v>
      </c>
      <c r="D4114" s="51" t="n">
        <v>0</v>
      </c>
    </row>
    <row r="4115" customFormat="false" ht="15" hidden="true" customHeight="false" outlineLevel="0" collapsed="false">
      <c r="A4115" s="51" t="s">
        <v>569</v>
      </c>
      <c r="B4115" s="55" t="n">
        <v>44650</v>
      </c>
      <c r="C4115" s="51" t="s">
        <v>73</v>
      </c>
      <c r="D4115" s="51" t="n">
        <v>0</v>
      </c>
    </row>
    <row r="4116" customFormat="false" ht="15" hidden="true" customHeight="false" outlineLevel="0" collapsed="false">
      <c r="A4116" s="51" t="s">
        <v>574</v>
      </c>
      <c r="B4116" s="55" t="n">
        <v>44650</v>
      </c>
      <c r="C4116" s="51" t="s">
        <v>73</v>
      </c>
      <c r="D4116" s="51" t="n">
        <v>0</v>
      </c>
    </row>
    <row r="4117" customFormat="false" ht="15" hidden="true" customHeight="false" outlineLevel="0" collapsed="false">
      <c r="A4117" s="51" t="s">
        <v>579</v>
      </c>
      <c r="B4117" s="55" t="n">
        <v>44650</v>
      </c>
      <c r="C4117" s="51" t="s">
        <v>73</v>
      </c>
      <c r="D4117" s="51" t="n">
        <v>0</v>
      </c>
    </row>
    <row r="4118" customFormat="false" ht="15" hidden="true" customHeight="false" outlineLevel="0" collapsed="false">
      <c r="A4118" s="51" t="s">
        <v>584</v>
      </c>
      <c r="B4118" s="55" t="n">
        <v>44650</v>
      </c>
      <c r="C4118" s="51" t="s">
        <v>73</v>
      </c>
      <c r="D4118" s="51" t="n">
        <v>0</v>
      </c>
    </row>
    <row r="4119" customFormat="false" ht="15" hidden="true" customHeight="false" outlineLevel="0" collapsed="false">
      <c r="A4119" s="51" t="s">
        <v>589</v>
      </c>
      <c r="B4119" s="55" t="n">
        <v>44650</v>
      </c>
      <c r="C4119" s="51" t="s">
        <v>73</v>
      </c>
      <c r="D4119" s="51" t="n">
        <v>0</v>
      </c>
    </row>
    <row r="4120" customFormat="false" ht="15" hidden="true" customHeight="false" outlineLevel="0" collapsed="false">
      <c r="A4120" s="51" t="s">
        <v>756</v>
      </c>
      <c r="B4120" s="55" t="n">
        <v>44650</v>
      </c>
      <c r="C4120" s="51" t="s">
        <v>73</v>
      </c>
      <c r="D4120" s="51" t="n">
        <v>0</v>
      </c>
    </row>
    <row r="4121" customFormat="false" ht="15" hidden="true" customHeight="false" outlineLevel="0" collapsed="false">
      <c r="A4121" s="51" t="s">
        <v>594</v>
      </c>
      <c r="B4121" s="55" t="n">
        <v>44650</v>
      </c>
      <c r="C4121" s="51" t="s">
        <v>73</v>
      </c>
      <c r="D4121" s="51" t="n">
        <v>0</v>
      </c>
    </row>
    <row r="4122" customFormat="false" ht="15" hidden="true" customHeight="false" outlineLevel="0" collapsed="false">
      <c r="A4122" s="51" t="s">
        <v>761</v>
      </c>
      <c r="B4122" s="55" t="n">
        <v>44650</v>
      </c>
      <c r="C4122" s="51" t="s">
        <v>73</v>
      </c>
      <c r="D4122" s="51" t="n">
        <v>0</v>
      </c>
    </row>
    <row r="4123" customFormat="false" ht="15" hidden="true" customHeight="false" outlineLevel="0" collapsed="false">
      <c r="A4123" s="51" t="s">
        <v>599</v>
      </c>
      <c r="B4123" s="55" t="n">
        <v>44650</v>
      </c>
      <c r="C4123" s="51" t="s">
        <v>73</v>
      </c>
      <c r="D4123" s="51" t="n">
        <v>0</v>
      </c>
    </row>
    <row r="4124" customFormat="false" ht="15" hidden="true" customHeight="false" outlineLevel="0" collapsed="false">
      <c r="A4124" s="51" t="s">
        <v>604</v>
      </c>
      <c r="B4124" s="55" t="n">
        <v>44650</v>
      </c>
      <c r="C4124" s="51" t="s">
        <v>73</v>
      </c>
      <c r="D4124" s="51" t="n">
        <v>0</v>
      </c>
    </row>
    <row r="4125" customFormat="false" ht="15" hidden="true" customHeight="false" outlineLevel="0" collapsed="false">
      <c r="A4125" s="51" t="s">
        <v>609</v>
      </c>
      <c r="B4125" s="55" t="n">
        <v>44650</v>
      </c>
      <c r="C4125" s="51" t="s">
        <v>73</v>
      </c>
      <c r="D4125" s="51" t="n">
        <v>0</v>
      </c>
    </row>
    <row r="4126" customFormat="false" ht="15" hidden="true" customHeight="false" outlineLevel="0" collapsed="false">
      <c r="A4126" s="51" t="s">
        <v>614</v>
      </c>
      <c r="B4126" s="55" t="n">
        <v>44650</v>
      </c>
      <c r="C4126" s="51" t="s">
        <v>73</v>
      </c>
      <c r="D4126" s="51" t="n">
        <v>0</v>
      </c>
    </row>
    <row r="4127" customFormat="false" ht="15" hidden="true" customHeight="false" outlineLevel="0" collapsed="false">
      <c r="A4127" s="51" t="s">
        <v>619</v>
      </c>
      <c r="B4127" s="55" t="n">
        <v>44650</v>
      </c>
      <c r="C4127" s="51" t="s">
        <v>73</v>
      </c>
      <c r="D4127" s="51" t="n">
        <v>0</v>
      </c>
    </row>
    <row r="4128" customFormat="false" ht="15" hidden="true" customHeight="false" outlineLevel="0" collapsed="false">
      <c r="A4128" s="51" t="s">
        <v>624</v>
      </c>
      <c r="B4128" s="55" t="n">
        <v>44650</v>
      </c>
      <c r="C4128" s="51" t="s">
        <v>73</v>
      </c>
      <c r="D4128" s="51" t="n">
        <v>0</v>
      </c>
    </row>
    <row r="4129" customFormat="false" ht="15" hidden="true" customHeight="false" outlineLevel="0" collapsed="false">
      <c r="A4129" s="51" t="s">
        <v>629</v>
      </c>
      <c r="B4129" s="55" t="n">
        <v>44650</v>
      </c>
      <c r="C4129" s="51" t="s">
        <v>73</v>
      </c>
      <c r="D4129" s="51" t="n">
        <v>0</v>
      </c>
    </row>
    <row r="4130" customFormat="false" ht="15" hidden="true" customHeight="false" outlineLevel="0" collapsed="false">
      <c r="A4130" s="51" t="s">
        <v>633</v>
      </c>
      <c r="B4130" s="55" t="n">
        <v>44650</v>
      </c>
      <c r="C4130" s="51" t="s">
        <v>73</v>
      </c>
      <c r="D4130" s="51" t="n">
        <v>0</v>
      </c>
    </row>
    <row r="4131" customFormat="false" ht="15" hidden="true" customHeight="false" outlineLevel="0" collapsed="false">
      <c r="A4131" s="51" t="s">
        <v>638</v>
      </c>
      <c r="B4131" s="55" t="n">
        <v>44650</v>
      </c>
      <c r="C4131" s="51" t="s">
        <v>73</v>
      </c>
      <c r="D4131" s="51" t="n">
        <v>0</v>
      </c>
    </row>
    <row r="4132" customFormat="false" ht="15" hidden="true" customHeight="false" outlineLevel="0" collapsed="false">
      <c r="A4132" s="51" t="s">
        <v>642</v>
      </c>
      <c r="B4132" s="55" t="n">
        <v>44650</v>
      </c>
      <c r="C4132" s="51" t="s">
        <v>73</v>
      </c>
      <c r="D4132" s="51" t="n">
        <v>0</v>
      </c>
    </row>
    <row r="4133" customFormat="false" ht="15" hidden="true" customHeight="false" outlineLevel="0" collapsed="false">
      <c r="A4133" s="51" t="s">
        <v>646</v>
      </c>
      <c r="B4133" s="55" t="n">
        <v>44650</v>
      </c>
      <c r="C4133" s="51" t="s">
        <v>73</v>
      </c>
      <c r="D4133" s="51" t="n">
        <v>0</v>
      </c>
    </row>
    <row r="4134" customFormat="false" ht="15" hidden="true" customHeight="false" outlineLevel="0" collapsed="false">
      <c r="A4134" s="51" t="s">
        <v>651</v>
      </c>
      <c r="B4134" s="55" t="n">
        <v>44650</v>
      </c>
      <c r="C4134" s="51" t="s">
        <v>73</v>
      </c>
      <c r="D4134" s="51" t="n">
        <v>0</v>
      </c>
    </row>
    <row r="4135" customFormat="false" ht="15" hidden="true" customHeight="false" outlineLevel="0" collapsed="false">
      <c r="A4135" s="51" t="s">
        <v>656</v>
      </c>
      <c r="B4135" s="55" t="n">
        <v>44650</v>
      </c>
      <c r="C4135" s="51" t="s">
        <v>73</v>
      </c>
      <c r="D4135" s="51" t="n">
        <v>0</v>
      </c>
    </row>
    <row r="4136" customFormat="false" ht="15" hidden="true" customHeight="false" outlineLevel="0" collapsed="false">
      <c r="A4136" s="51" t="s">
        <v>661</v>
      </c>
      <c r="B4136" s="55" t="n">
        <v>44650</v>
      </c>
      <c r="C4136" s="51" t="s">
        <v>73</v>
      </c>
      <c r="D4136" s="51" t="n">
        <v>0</v>
      </c>
    </row>
    <row r="4137" customFormat="false" ht="15" hidden="true" customHeight="false" outlineLevel="0" collapsed="false">
      <c r="A4137" s="51" t="s">
        <v>666</v>
      </c>
      <c r="B4137" s="55" t="n">
        <v>44650</v>
      </c>
      <c r="C4137" s="51" t="s">
        <v>73</v>
      </c>
      <c r="D4137" s="51" t="n">
        <v>0</v>
      </c>
    </row>
    <row r="4138" customFormat="false" ht="15" hidden="true" customHeight="false" outlineLevel="0" collapsed="false">
      <c r="A4138" s="51" t="s">
        <v>671</v>
      </c>
      <c r="B4138" s="55" t="n">
        <v>44650</v>
      </c>
      <c r="C4138" s="51" t="s">
        <v>73</v>
      </c>
      <c r="D4138" s="51" t="n">
        <v>0</v>
      </c>
    </row>
    <row r="4139" customFormat="false" ht="15" hidden="true" customHeight="false" outlineLevel="0" collapsed="false">
      <c r="A4139" s="51" t="s">
        <v>676</v>
      </c>
      <c r="B4139" s="55" t="n">
        <v>44650</v>
      </c>
      <c r="C4139" s="51" t="s">
        <v>73</v>
      </c>
      <c r="D4139" s="51" t="n">
        <v>0</v>
      </c>
    </row>
    <row r="4140" customFormat="false" ht="15" hidden="true" customHeight="false" outlineLevel="0" collapsed="false">
      <c r="A4140" s="51" t="s">
        <v>681</v>
      </c>
      <c r="B4140" s="55" t="n">
        <v>44650</v>
      </c>
      <c r="C4140" s="51" t="s">
        <v>73</v>
      </c>
      <c r="D4140" s="51" t="n">
        <v>0</v>
      </c>
    </row>
    <row r="4141" customFormat="false" ht="15" hidden="true" customHeight="false" outlineLevel="0" collapsed="false">
      <c r="A4141" s="51" t="s">
        <v>686</v>
      </c>
      <c r="B4141" s="55" t="n">
        <v>44650</v>
      </c>
      <c r="C4141" s="51" t="s">
        <v>73</v>
      </c>
      <c r="D4141" s="51" t="n">
        <v>0</v>
      </c>
    </row>
    <row r="4142" customFormat="false" ht="15" hidden="true" customHeight="false" outlineLevel="0" collapsed="false">
      <c r="A4142" s="51" t="s">
        <v>691</v>
      </c>
      <c r="B4142" s="55" t="n">
        <v>44650</v>
      </c>
      <c r="C4142" s="51" t="s">
        <v>73</v>
      </c>
      <c r="D4142" s="51" t="n">
        <v>0</v>
      </c>
    </row>
    <row r="4143" customFormat="false" ht="15" hidden="true" customHeight="false" outlineLevel="0" collapsed="false">
      <c r="A4143" s="51" t="s">
        <v>696</v>
      </c>
      <c r="B4143" s="55" t="n">
        <v>44650</v>
      </c>
      <c r="C4143" s="51" t="s">
        <v>73</v>
      </c>
      <c r="D4143" s="51" t="n">
        <v>0</v>
      </c>
    </row>
    <row r="4144" customFormat="false" ht="15" hidden="true" customHeight="false" outlineLevel="0" collapsed="false">
      <c r="A4144" s="51" t="s">
        <v>701</v>
      </c>
      <c r="B4144" s="55" t="n">
        <v>44650</v>
      </c>
      <c r="C4144" s="51" t="s">
        <v>73</v>
      </c>
      <c r="D4144" s="51" t="n">
        <v>0</v>
      </c>
    </row>
    <row r="4145" customFormat="false" ht="15" hidden="true" customHeight="false" outlineLevel="0" collapsed="false">
      <c r="A4145" s="51" t="s">
        <v>707</v>
      </c>
      <c r="B4145" s="55" t="n">
        <v>44650</v>
      </c>
      <c r="C4145" s="51" t="s">
        <v>73</v>
      </c>
      <c r="D4145" s="51" t="n">
        <v>0</v>
      </c>
    </row>
    <row r="4146" customFormat="false" ht="15" hidden="true" customHeight="false" outlineLevel="0" collapsed="false">
      <c r="A4146" s="51" t="s">
        <v>712</v>
      </c>
      <c r="B4146" s="55" t="n">
        <v>44650</v>
      </c>
      <c r="C4146" s="51" t="s">
        <v>73</v>
      </c>
      <c r="D4146" s="51" t="n">
        <v>0</v>
      </c>
    </row>
    <row r="4147" customFormat="false" ht="15" hidden="true" customHeight="false" outlineLevel="0" collapsed="false">
      <c r="A4147" s="51" t="s">
        <v>717</v>
      </c>
      <c r="B4147" s="55" t="n">
        <v>44650</v>
      </c>
      <c r="C4147" s="51" t="s">
        <v>73</v>
      </c>
      <c r="D4147" s="51" t="n">
        <v>0</v>
      </c>
    </row>
    <row r="4148" customFormat="false" ht="15" hidden="true" customHeight="false" outlineLevel="0" collapsed="false">
      <c r="A4148" s="51" t="s">
        <v>767</v>
      </c>
      <c r="B4148" s="55" t="n">
        <v>44650</v>
      </c>
      <c r="C4148" s="51" t="s">
        <v>73</v>
      </c>
      <c r="D4148" s="51" t="n">
        <v>0</v>
      </c>
    </row>
    <row r="4149" customFormat="false" ht="15" hidden="true" customHeight="false" outlineLevel="0" collapsed="false">
      <c r="A4149" s="51" t="s">
        <v>722</v>
      </c>
      <c r="B4149" s="55" t="n">
        <v>44650</v>
      </c>
      <c r="C4149" s="51" t="s">
        <v>73</v>
      </c>
      <c r="D4149" s="51" t="n">
        <v>0</v>
      </c>
    </row>
    <row r="4150" customFormat="false" ht="15" hidden="true" customHeight="false" outlineLevel="0" collapsed="false">
      <c r="A4150" s="51" t="s">
        <v>727</v>
      </c>
      <c r="B4150" s="55" t="n">
        <v>44650</v>
      </c>
      <c r="C4150" s="51" t="s">
        <v>73</v>
      </c>
      <c r="D4150" s="51" t="n">
        <v>0</v>
      </c>
    </row>
    <row r="4151" customFormat="false" ht="15" hidden="true" customHeight="false" outlineLevel="0" collapsed="false">
      <c r="A4151" s="51" t="s">
        <v>732</v>
      </c>
      <c r="B4151" s="55" t="n">
        <v>44650</v>
      </c>
      <c r="C4151" s="51" t="s">
        <v>73</v>
      </c>
      <c r="D4151" s="51" t="n">
        <v>0</v>
      </c>
    </row>
    <row r="4152" customFormat="false" ht="15" hidden="true" customHeight="false" outlineLevel="0" collapsed="false">
      <c r="A4152" s="51" t="s">
        <v>736</v>
      </c>
      <c r="B4152" s="55" t="n">
        <v>44650</v>
      </c>
      <c r="C4152" s="51" t="s">
        <v>73</v>
      </c>
      <c r="D4152" s="51" t="n">
        <v>0</v>
      </c>
    </row>
    <row r="4153" customFormat="false" ht="15" hidden="true" customHeight="false" outlineLevel="0" collapsed="false">
      <c r="A4153" s="51" t="s">
        <v>741</v>
      </c>
      <c r="B4153" s="55" t="n">
        <v>44650</v>
      </c>
      <c r="C4153" s="51" t="s">
        <v>73</v>
      </c>
      <c r="D4153" s="51" t="n">
        <v>0</v>
      </c>
    </row>
    <row r="4154" customFormat="false" ht="15" hidden="true" customHeight="false" outlineLevel="0" collapsed="false">
      <c r="A4154" s="51" t="s">
        <v>746</v>
      </c>
      <c r="B4154" s="55" t="n">
        <v>44650</v>
      </c>
      <c r="C4154" s="51" t="s">
        <v>73</v>
      </c>
      <c r="D4154" s="51" t="n">
        <v>0</v>
      </c>
    </row>
    <row r="4155" customFormat="false" ht="15" hidden="true" customHeight="false" outlineLevel="0" collapsed="false">
      <c r="A4155" s="51" t="s">
        <v>751</v>
      </c>
      <c r="B4155" s="55" t="n">
        <v>44650</v>
      </c>
      <c r="C4155" s="51" t="s">
        <v>73</v>
      </c>
      <c r="D4155" s="51" t="n">
        <v>0</v>
      </c>
    </row>
    <row r="4156" customFormat="false" ht="15" hidden="false" customHeight="false" outlineLevel="0" collapsed="false">
      <c r="A4156" s="51" t="s">
        <v>781</v>
      </c>
      <c r="B4156" s="55" t="n">
        <v>44650</v>
      </c>
      <c r="C4156" s="51" t="s">
        <v>791</v>
      </c>
      <c r="D4156" s="51" t="n">
        <v>0</v>
      </c>
    </row>
    <row r="4157" customFormat="false" ht="15" hidden="true" customHeight="false" outlineLevel="0" collapsed="false">
      <c r="A4157" s="51" t="s">
        <v>783</v>
      </c>
      <c r="B4157" s="55" t="n">
        <v>44650</v>
      </c>
      <c r="C4157" s="51" t="s">
        <v>791</v>
      </c>
      <c r="D4157" s="51" t="n">
        <v>0</v>
      </c>
    </row>
    <row r="4158" customFormat="false" ht="15" hidden="true" customHeight="false" outlineLevel="0" collapsed="false">
      <c r="A4158" s="51" t="s">
        <v>96</v>
      </c>
      <c r="B4158" s="55" t="n">
        <v>44650</v>
      </c>
      <c r="C4158" s="51" t="s">
        <v>791</v>
      </c>
      <c r="D4158" s="51" t="n">
        <v>0</v>
      </c>
    </row>
    <row r="4159" customFormat="false" ht="15" hidden="true" customHeight="false" outlineLevel="0" collapsed="false">
      <c r="A4159" s="51" t="s">
        <v>101</v>
      </c>
      <c r="B4159" s="55" t="n">
        <v>44650</v>
      </c>
      <c r="C4159" s="51" t="s">
        <v>791</v>
      </c>
      <c r="D4159" s="51" t="n">
        <v>0</v>
      </c>
    </row>
    <row r="4160" customFormat="false" ht="15" hidden="true" customHeight="false" outlineLevel="0" collapsed="false">
      <c r="A4160" s="51" t="s">
        <v>106</v>
      </c>
      <c r="B4160" s="55" t="n">
        <v>44650</v>
      </c>
      <c r="C4160" s="51" t="s">
        <v>791</v>
      </c>
      <c r="D4160" s="51" t="n">
        <v>0</v>
      </c>
    </row>
    <row r="4161" customFormat="false" ht="15" hidden="true" customHeight="false" outlineLevel="0" collapsed="false">
      <c r="A4161" s="51" t="s">
        <v>110</v>
      </c>
      <c r="B4161" s="55" t="n">
        <v>44650</v>
      </c>
      <c r="C4161" s="51" t="s">
        <v>791</v>
      </c>
      <c r="D4161" s="51" t="n">
        <v>-200000</v>
      </c>
    </row>
    <row r="4162" customFormat="false" ht="15" hidden="true" customHeight="false" outlineLevel="0" collapsed="false">
      <c r="A4162" s="51" t="s">
        <v>115</v>
      </c>
      <c r="B4162" s="55" t="n">
        <v>44650</v>
      </c>
      <c r="C4162" s="51" t="s">
        <v>791</v>
      </c>
      <c r="D4162" s="51" t="n">
        <v>0</v>
      </c>
    </row>
    <row r="4163" customFormat="false" ht="15" hidden="true" customHeight="false" outlineLevel="0" collapsed="false">
      <c r="A4163" s="51" t="s">
        <v>120</v>
      </c>
      <c r="B4163" s="55" t="n">
        <v>44650</v>
      </c>
      <c r="C4163" s="51" t="s">
        <v>791</v>
      </c>
      <c r="D4163" s="51" t="n">
        <v>0</v>
      </c>
    </row>
    <row r="4164" customFormat="false" ht="15" hidden="true" customHeight="false" outlineLevel="0" collapsed="false">
      <c r="A4164" s="51" t="s">
        <v>124</v>
      </c>
      <c r="B4164" s="55" t="n">
        <v>44650</v>
      </c>
      <c r="C4164" s="51" t="s">
        <v>791</v>
      </c>
      <c r="D4164" s="51" t="n">
        <v>-1065166.67</v>
      </c>
    </row>
    <row r="4165" customFormat="false" ht="15" hidden="true" customHeight="false" outlineLevel="0" collapsed="false">
      <c r="A4165" s="51" t="s">
        <v>129</v>
      </c>
      <c r="B4165" s="55" t="n">
        <v>44650</v>
      </c>
      <c r="C4165" s="51" t="s">
        <v>791</v>
      </c>
      <c r="D4165" s="51" t="n">
        <v>-175780</v>
      </c>
    </row>
    <row r="4166" customFormat="false" ht="15" hidden="true" customHeight="false" outlineLevel="0" collapsed="false">
      <c r="A4166" s="51" t="s">
        <v>134</v>
      </c>
      <c r="B4166" s="55" t="n">
        <v>44650</v>
      </c>
      <c r="C4166" s="51" t="s">
        <v>791</v>
      </c>
      <c r="D4166" s="51" t="n">
        <v>-180919.25</v>
      </c>
    </row>
    <row r="4167" customFormat="false" ht="15" hidden="true" customHeight="false" outlineLevel="0" collapsed="false">
      <c r="A4167" s="51" t="s">
        <v>141</v>
      </c>
      <c r="B4167" s="55" t="n">
        <v>44650</v>
      </c>
      <c r="C4167" s="51" t="s">
        <v>791</v>
      </c>
      <c r="D4167" s="51" t="n">
        <v>0</v>
      </c>
    </row>
    <row r="4168" customFormat="false" ht="15" hidden="true" customHeight="false" outlineLevel="0" collapsed="false">
      <c r="A4168" s="51" t="s">
        <v>146</v>
      </c>
      <c r="B4168" s="55" t="n">
        <v>44650</v>
      </c>
      <c r="C4168" s="51" t="s">
        <v>791</v>
      </c>
      <c r="D4168" s="51" t="n">
        <v>0</v>
      </c>
    </row>
    <row r="4169" customFormat="false" ht="15" hidden="true" customHeight="false" outlineLevel="0" collapsed="false">
      <c r="A4169" s="51" t="s">
        <v>151</v>
      </c>
      <c r="B4169" s="55" t="n">
        <v>44650</v>
      </c>
      <c r="C4169" s="51" t="s">
        <v>791</v>
      </c>
      <c r="D4169" s="51" t="n">
        <v>-128000</v>
      </c>
    </row>
    <row r="4170" customFormat="false" ht="15" hidden="true" customHeight="false" outlineLevel="0" collapsed="false">
      <c r="A4170" s="51" t="s">
        <v>156</v>
      </c>
      <c r="B4170" s="55" t="n">
        <v>44650</v>
      </c>
      <c r="C4170" s="51" t="s">
        <v>791</v>
      </c>
      <c r="D4170" s="51" t="n">
        <v>0</v>
      </c>
    </row>
    <row r="4171" customFormat="false" ht="15" hidden="true" customHeight="false" outlineLevel="0" collapsed="false">
      <c r="A4171" s="51" t="s">
        <v>161</v>
      </c>
      <c r="B4171" s="55" t="n">
        <v>44650</v>
      </c>
      <c r="C4171" s="51" t="s">
        <v>791</v>
      </c>
      <c r="D4171" s="51" t="n">
        <v>-50000</v>
      </c>
    </row>
    <row r="4172" customFormat="false" ht="15" hidden="true" customHeight="false" outlineLevel="0" collapsed="false">
      <c r="A4172" s="51" t="s">
        <v>166</v>
      </c>
      <c r="B4172" s="55" t="n">
        <v>44650</v>
      </c>
      <c r="C4172" s="51" t="s">
        <v>791</v>
      </c>
      <c r="D4172" s="51" t="n">
        <v>-713250</v>
      </c>
    </row>
    <row r="4173" customFormat="false" ht="15" hidden="true" customHeight="false" outlineLevel="0" collapsed="false">
      <c r="A4173" s="51" t="s">
        <v>171</v>
      </c>
      <c r="B4173" s="55" t="n">
        <v>44650</v>
      </c>
      <c r="C4173" s="51" t="s">
        <v>791</v>
      </c>
      <c r="D4173" s="51" t="n">
        <v>0</v>
      </c>
    </row>
    <row r="4174" customFormat="false" ht="15" hidden="true" customHeight="false" outlineLevel="0" collapsed="false">
      <c r="A4174" s="51" t="s">
        <v>176</v>
      </c>
      <c r="B4174" s="55" t="n">
        <v>44650</v>
      </c>
      <c r="C4174" s="51" t="s">
        <v>791</v>
      </c>
      <c r="D4174" s="51" t="n">
        <v>0</v>
      </c>
    </row>
    <row r="4175" customFormat="false" ht="15" hidden="true" customHeight="false" outlineLevel="0" collapsed="false">
      <c r="A4175" s="51" t="s">
        <v>181</v>
      </c>
      <c r="B4175" s="55" t="n">
        <v>44650</v>
      </c>
      <c r="C4175" s="51" t="s">
        <v>791</v>
      </c>
      <c r="D4175" s="51" t="n">
        <v>-600000</v>
      </c>
    </row>
    <row r="4176" customFormat="false" ht="15" hidden="true" customHeight="false" outlineLevel="0" collapsed="false">
      <c r="A4176" s="51" t="s">
        <v>186</v>
      </c>
      <c r="B4176" s="55" t="n">
        <v>44650</v>
      </c>
      <c r="C4176" s="51" t="s">
        <v>791</v>
      </c>
      <c r="D4176" s="51" t="n">
        <v>-33333.33</v>
      </c>
    </row>
    <row r="4177" customFormat="false" ht="15" hidden="true" customHeight="false" outlineLevel="0" collapsed="false">
      <c r="A4177" s="51" t="s">
        <v>191</v>
      </c>
      <c r="B4177" s="55" t="n">
        <v>44650</v>
      </c>
      <c r="C4177" s="51" t="s">
        <v>791</v>
      </c>
      <c r="D4177" s="51" t="n">
        <v>0</v>
      </c>
    </row>
    <row r="4178" customFormat="false" ht="15" hidden="true" customHeight="false" outlineLevel="0" collapsed="false">
      <c r="A4178" s="51" t="s">
        <v>196</v>
      </c>
      <c r="B4178" s="55" t="n">
        <v>44650</v>
      </c>
      <c r="C4178" s="51" t="s">
        <v>791</v>
      </c>
      <c r="D4178" s="51" t="n">
        <v>0</v>
      </c>
    </row>
    <row r="4179" customFormat="false" ht="15" hidden="true" customHeight="false" outlineLevel="0" collapsed="false">
      <c r="A4179" s="51" t="s">
        <v>201</v>
      </c>
      <c r="B4179" s="55" t="n">
        <v>44650</v>
      </c>
      <c r="C4179" s="51" t="s">
        <v>791</v>
      </c>
      <c r="D4179" s="51" t="n">
        <v>-330924.61</v>
      </c>
    </row>
    <row r="4180" customFormat="false" ht="15" hidden="true" customHeight="false" outlineLevel="0" collapsed="false">
      <c r="A4180" s="51" t="s">
        <v>206</v>
      </c>
      <c r="B4180" s="55" t="n">
        <v>44650</v>
      </c>
      <c r="C4180" s="51" t="s">
        <v>791</v>
      </c>
      <c r="D4180" s="51" t="n">
        <v>-518001.31</v>
      </c>
    </row>
    <row r="4181" customFormat="false" ht="15" hidden="true" customHeight="false" outlineLevel="0" collapsed="false">
      <c r="A4181" s="51" t="s">
        <v>210</v>
      </c>
      <c r="B4181" s="55" t="n">
        <v>44650</v>
      </c>
      <c r="C4181" s="51" t="s">
        <v>791</v>
      </c>
      <c r="D4181" s="51" t="n">
        <v>0</v>
      </c>
    </row>
    <row r="4182" customFormat="false" ht="15" hidden="true" customHeight="false" outlineLevel="0" collapsed="false">
      <c r="A4182" s="51" t="s">
        <v>215</v>
      </c>
      <c r="B4182" s="55" t="n">
        <v>44650</v>
      </c>
      <c r="C4182" s="51" t="s">
        <v>791</v>
      </c>
      <c r="D4182" s="51" t="n">
        <v>-150000</v>
      </c>
    </row>
    <row r="4183" customFormat="false" ht="15" hidden="true" customHeight="false" outlineLevel="0" collapsed="false">
      <c r="A4183" s="51" t="s">
        <v>790</v>
      </c>
      <c r="B4183" s="55" t="n">
        <v>44650</v>
      </c>
      <c r="C4183" s="51" t="s">
        <v>791</v>
      </c>
      <c r="D4183" s="51" t="n">
        <v>0</v>
      </c>
    </row>
    <row r="4184" customFormat="false" ht="15" hidden="true" customHeight="false" outlineLevel="0" collapsed="false">
      <c r="A4184" s="51" t="s">
        <v>225</v>
      </c>
      <c r="B4184" s="55" t="n">
        <v>44650</v>
      </c>
      <c r="C4184" s="51" t="s">
        <v>791</v>
      </c>
      <c r="D4184" s="51" t="n">
        <v>-102000</v>
      </c>
    </row>
    <row r="4185" customFormat="false" ht="15" hidden="true" customHeight="false" outlineLevel="0" collapsed="false">
      <c r="A4185" s="51" t="s">
        <v>230</v>
      </c>
      <c r="B4185" s="55" t="n">
        <v>44650</v>
      </c>
      <c r="C4185" s="51" t="s">
        <v>791</v>
      </c>
      <c r="D4185" s="51" t="n">
        <v>-200000</v>
      </c>
    </row>
    <row r="4186" customFormat="false" ht="15" hidden="true" customHeight="false" outlineLevel="0" collapsed="false">
      <c r="A4186" s="51" t="s">
        <v>235</v>
      </c>
      <c r="B4186" s="55" t="n">
        <v>44650</v>
      </c>
      <c r="C4186" s="51" t="s">
        <v>791</v>
      </c>
      <c r="D4186" s="51" t="n">
        <v>-164000</v>
      </c>
    </row>
    <row r="4187" customFormat="false" ht="15" hidden="true" customHeight="false" outlineLevel="0" collapsed="false">
      <c r="A4187" s="51" t="s">
        <v>240</v>
      </c>
      <c r="B4187" s="55" t="n">
        <v>44650</v>
      </c>
      <c r="C4187" s="51" t="s">
        <v>791</v>
      </c>
      <c r="D4187" s="51" t="n">
        <v>-200000</v>
      </c>
    </row>
    <row r="4188" customFormat="false" ht="15" hidden="true" customHeight="false" outlineLevel="0" collapsed="false">
      <c r="A4188" s="51" t="s">
        <v>246</v>
      </c>
      <c r="B4188" s="55" t="n">
        <v>44650</v>
      </c>
      <c r="C4188" s="51" t="s">
        <v>791</v>
      </c>
      <c r="D4188" s="51" t="n">
        <v>-320000</v>
      </c>
    </row>
    <row r="4189" customFormat="false" ht="15" hidden="true" customHeight="false" outlineLevel="0" collapsed="false">
      <c r="A4189" s="51" t="s">
        <v>252</v>
      </c>
      <c r="B4189" s="55" t="n">
        <v>44650</v>
      </c>
      <c r="C4189" s="51" t="s">
        <v>791</v>
      </c>
      <c r="D4189" s="51" t="n">
        <v>-200000</v>
      </c>
    </row>
    <row r="4190" customFormat="false" ht="15" hidden="true" customHeight="false" outlineLevel="0" collapsed="false">
      <c r="A4190" s="51" t="s">
        <v>257</v>
      </c>
      <c r="B4190" s="55" t="n">
        <v>44650</v>
      </c>
      <c r="C4190" s="51" t="s">
        <v>791</v>
      </c>
      <c r="D4190" s="51" t="n">
        <v>-450000</v>
      </c>
    </row>
    <row r="4191" customFormat="false" ht="15" hidden="true" customHeight="false" outlineLevel="0" collapsed="false">
      <c r="A4191" s="51" t="s">
        <v>262</v>
      </c>
      <c r="B4191" s="55" t="n">
        <v>44650</v>
      </c>
      <c r="C4191" s="51" t="s">
        <v>791</v>
      </c>
      <c r="D4191" s="51" t="n">
        <v>0</v>
      </c>
    </row>
    <row r="4192" customFormat="false" ht="15" hidden="true" customHeight="false" outlineLevel="0" collapsed="false">
      <c r="A4192" s="51" t="s">
        <v>267</v>
      </c>
      <c r="B4192" s="55" t="n">
        <v>44650</v>
      </c>
      <c r="C4192" s="51" t="s">
        <v>791</v>
      </c>
      <c r="D4192" s="51" t="n">
        <v>-1600000</v>
      </c>
    </row>
    <row r="4193" customFormat="false" ht="15" hidden="true" customHeight="false" outlineLevel="0" collapsed="false">
      <c r="A4193" s="51" t="s">
        <v>272</v>
      </c>
      <c r="B4193" s="55" t="n">
        <v>44650</v>
      </c>
      <c r="C4193" s="51" t="s">
        <v>791</v>
      </c>
      <c r="D4193" s="51" t="n">
        <v>697000</v>
      </c>
    </row>
    <row r="4194" customFormat="false" ht="15" hidden="true" customHeight="false" outlineLevel="0" collapsed="false">
      <c r="A4194" s="51" t="s">
        <v>277</v>
      </c>
      <c r="B4194" s="55" t="n">
        <v>44650</v>
      </c>
      <c r="C4194" s="51" t="s">
        <v>791</v>
      </c>
      <c r="D4194" s="51" t="n">
        <v>0</v>
      </c>
    </row>
    <row r="4195" customFormat="false" ht="15" hidden="true" customHeight="false" outlineLevel="0" collapsed="false">
      <c r="A4195" s="51" t="s">
        <v>282</v>
      </c>
      <c r="B4195" s="55" t="n">
        <v>44650</v>
      </c>
      <c r="C4195" s="51" t="s">
        <v>791</v>
      </c>
      <c r="D4195" s="51" t="n">
        <v>0</v>
      </c>
    </row>
    <row r="4196" customFormat="false" ht="15" hidden="true" customHeight="false" outlineLevel="0" collapsed="false">
      <c r="A4196" s="51" t="s">
        <v>287</v>
      </c>
      <c r="B4196" s="55" t="n">
        <v>44650</v>
      </c>
      <c r="C4196" s="51" t="s">
        <v>791</v>
      </c>
      <c r="D4196" s="51" t="n">
        <v>0</v>
      </c>
    </row>
    <row r="4197" customFormat="false" ht="15" hidden="true" customHeight="false" outlineLevel="0" collapsed="false">
      <c r="A4197" s="51" t="s">
        <v>292</v>
      </c>
      <c r="B4197" s="55" t="n">
        <v>44650</v>
      </c>
      <c r="C4197" s="51" t="s">
        <v>791</v>
      </c>
      <c r="D4197" s="51" t="n">
        <v>0</v>
      </c>
    </row>
    <row r="4198" customFormat="false" ht="15" hidden="true" customHeight="false" outlineLevel="0" collapsed="false">
      <c r="A4198" s="51" t="s">
        <v>297</v>
      </c>
      <c r="B4198" s="55" t="n">
        <v>44650</v>
      </c>
      <c r="C4198" s="51" t="s">
        <v>791</v>
      </c>
      <c r="D4198" s="51" t="n">
        <v>0</v>
      </c>
    </row>
    <row r="4199" customFormat="false" ht="15" hidden="true" customHeight="false" outlineLevel="0" collapsed="false">
      <c r="A4199" s="51" t="s">
        <v>302</v>
      </c>
      <c r="B4199" s="55" t="n">
        <v>44650</v>
      </c>
      <c r="C4199" s="51" t="s">
        <v>791</v>
      </c>
      <c r="D4199" s="51" t="n">
        <v>0</v>
      </c>
    </row>
    <row r="4200" customFormat="false" ht="15" hidden="true" customHeight="false" outlineLevel="0" collapsed="false">
      <c r="A4200" s="51" t="s">
        <v>307</v>
      </c>
      <c r="B4200" s="55" t="n">
        <v>44650</v>
      </c>
      <c r="C4200" s="51" t="s">
        <v>791</v>
      </c>
      <c r="D4200" s="51" t="n">
        <v>0</v>
      </c>
    </row>
    <row r="4201" customFormat="false" ht="15" hidden="true" customHeight="false" outlineLevel="0" collapsed="false">
      <c r="A4201" s="51" t="s">
        <v>311</v>
      </c>
      <c r="B4201" s="55" t="n">
        <v>44650</v>
      </c>
      <c r="C4201" s="51" t="s">
        <v>791</v>
      </c>
      <c r="D4201" s="51" t="n">
        <v>0</v>
      </c>
    </row>
    <row r="4202" customFormat="false" ht="15" hidden="true" customHeight="false" outlineLevel="0" collapsed="false">
      <c r="A4202" s="51" t="s">
        <v>317</v>
      </c>
      <c r="B4202" s="55" t="n">
        <v>44650</v>
      </c>
      <c r="C4202" s="51" t="s">
        <v>791</v>
      </c>
      <c r="D4202" s="51" t="n">
        <v>0</v>
      </c>
    </row>
    <row r="4203" customFormat="false" ht="15" hidden="true" customHeight="false" outlineLevel="0" collapsed="false">
      <c r="A4203" s="51" t="s">
        <v>322</v>
      </c>
      <c r="B4203" s="55" t="n">
        <v>44650</v>
      </c>
      <c r="C4203" s="51" t="s">
        <v>791</v>
      </c>
      <c r="D4203" s="51" t="n">
        <v>0</v>
      </c>
    </row>
    <row r="4204" customFormat="false" ht="15" hidden="true" customHeight="false" outlineLevel="0" collapsed="false">
      <c r="A4204" s="51" t="s">
        <v>327</v>
      </c>
      <c r="B4204" s="55" t="n">
        <v>44650</v>
      </c>
      <c r="C4204" s="51" t="s">
        <v>791</v>
      </c>
      <c r="D4204" s="51" t="n">
        <v>0</v>
      </c>
    </row>
    <row r="4205" customFormat="false" ht="15" hidden="true" customHeight="false" outlineLevel="0" collapsed="false">
      <c r="A4205" s="51" t="s">
        <v>332</v>
      </c>
      <c r="B4205" s="55" t="n">
        <v>44650</v>
      </c>
      <c r="C4205" s="51" t="s">
        <v>791</v>
      </c>
      <c r="D4205" s="51" t="n">
        <v>0</v>
      </c>
    </row>
    <row r="4206" customFormat="false" ht="15" hidden="true" customHeight="false" outlineLevel="0" collapsed="false">
      <c r="A4206" s="51" t="s">
        <v>339</v>
      </c>
      <c r="B4206" s="55" t="n">
        <v>44650</v>
      </c>
      <c r="C4206" s="51" t="s">
        <v>791</v>
      </c>
      <c r="D4206" s="51" t="n">
        <v>0</v>
      </c>
    </row>
    <row r="4207" customFormat="false" ht="15" hidden="true" customHeight="false" outlineLevel="0" collapsed="false">
      <c r="A4207" s="51" t="s">
        <v>344</v>
      </c>
      <c r="B4207" s="55" t="n">
        <v>44650</v>
      </c>
      <c r="C4207" s="51" t="s">
        <v>791</v>
      </c>
      <c r="D4207" s="51" t="n">
        <v>0</v>
      </c>
    </row>
    <row r="4208" customFormat="false" ht="15" hidden="true" customHeight="false" outlineLevel="0" collapsed="false">
      <c r="A4208" s="51" t="s">
        <v>349</v>
      </c>
      <c r="B4208" s="55" t="n">
        <v>44650</v>
      </c>
      <c r="C4208" s="51" t="s">
        <v>791</v>
      </c>
      <c r="D4208" s="51" t="n">
        <v>0</v>
      </c>
    </row>
    <row r="4209" customFormat="false" ht="15" hidden="true" customHeight="false" outlineLevel="0" collapsed="false">
      <c r="A4209" s="51" t="s">
        <v>354</v>
      </c>
      <c r="B4209" s="55" t="n">
        <v>44650</v>
      </c>
      <c r="C4209" s="51" t="s">
        <v>791</v>
      </c>
      <c r="D4209" s="51" t="n">
        <v>0</v>
      </c>
    </row>
    <row r="4210" customFormat="false" ht="15" hidden="true" customHeight="false" outlineLevel="0" collapsed="false">
      <c r="A4210" s="51" t="s">
        <v>359</v>
      </c>
      <c r="B4210" s="55" t="n">
        <v>44650</v>
      </c>
      <c r="C4210" s="51" t="s">
        <v>791</v>
      </c>
      <c r="D4210" s="51" t="n">
        <v>0</v>
      </c>
    </row>
    <row r="4211" customFormat="false" ht="15" hidden="true" customHeight="false" outlineLevel="0" collapsed="false">
      <c r="A4211" s="51" t="s">
        <v>364</v>
      </c>
      <c r="B4211" s="55" t="n">
        <v>44650</v>
      </c>
      <c r="C4211" s="51" t="s">
        <v>791</v>
      </c>
      <c r="D4211" s="51" t="n">
        <v>0</v>
      </c>
    </row>
    <row r="4212" customFormat="false" ht="15" hidden="true" customHeight="false" outlineLevel="0" collapsed="false">
      <c r="A4212" s="51" t="s">
        <v>369</v>
      </c>
      <c r="B4212" s="55" t="n">
        <v>44650</v>
      </c>
      <c r="C4212" s="51" t="s">
        <v>791</v>
      </c>
      <c r="D4212" s="51" t="n">
        <v>0</v>
      </c>
    </row>
    <row r="4213" customFormat="false" ht="15" hidden="true" customHeight="false" outlineLevel="0" collapsed="false">
      <c r="A4213" s="51" t="s">
        <v>374</v>
      </c>
      <c r="B4213" s="55" t="n">
        <v>44650</v>
      </c>
      <c r="C4213" s="51" t="s">
        <v>791</v>
      </c>
      <c r="D4213" s="51" t="n">
        <v>0</v>
      </c>
    </row>
    <row r="4214" customFormat="false" ht="15" hidden="true" customHeight="false" outlineLevel="0" collapsed="false">
      <c r="A4214" s="51" t="s">
        <v>379</v>
      </c>
      <c r="B4214" s="55" t="n">
        <v>44650</v>
      </c>
      <c r="C4214" s="51" t="s">
        <v>791</v>
      </c>
      <c r="D4214" s="51" t="n">
        <v>0</v>
      </c>
    </row>
    <row r="4215" customFormat="false" ht="15" hidden="true" customHeight="false" outlineLevel="0" collapsed="false">
      <c r="A4215" s="51" t="s">
        <v>384</v>
      </c>
      <c r="B4215" s="55" t="n">
        <v>44650</v>
      </c>
      <c r="C4215" s="51" t="s">
        <v>791</v>
      </c>
      <c r="D4215" s="51" t="n">
        <v>0</v>
      </c>
    </row>
    <row r="4216" customFormat="false" ht="15" hidden="true" customHeight="false" outlineLevel="0" collapsed="false">
      <c r="A4216" s="51" t="s">
        <v>389</v>
      </c>
      <c r="B4216" s="55" t="n">
        <v>44650</v>
      </c>
      <c r="C4216" s="51" t="s">
        <v>791</v>
      </c>
      <c r="D4216" s="51" t="n">
        <v>0</v>
      </c>
    </row>
    <row r="4217" customFormat="false" ht="15" hidden="true" customHeight="false" outlineLevel="0" collapsed="false">
      <c r="A4217" s="51" t="s">
        <v>394</v>
      </c>
      <c r="B4217" s="55" t="n">
        <v>44650</v>
      </c>
      <c r="C4217" s="51" t="s">
        <v>791</v>
      </c>
      <c r="D4217" s="51" t="n">
        <v>0</v>
      </c>
    </row>
    <row r="4218" customFormat="false" ht="15" hidden="true" customHeight="false" outlineLevel="0" collapsed="false">
      <c r="A4218" s="51" t="s">
        <v>399</v>
      </c>
      <c r="B4218" s="55" t="n">
        <v>44650</v>
      </c>
      <c r="C4218" s="51" t="s">
        <v>791</v>
      </c>
      <c r="D4218" s="51" t="n">
        <v>0</v>
      </c>
    </row>
    <row r="4219" customFormat="false" ht="15" hidden="true" customHeight="false" outlineLevel="0" collapsed="false">
      <c r="A4219" s="51" t="s">
        <v>404</v>
      </c>
      <c r="B4219" s="55" t="n">
        <v>44650</v>
      </c>
      <c r="C4219" s="51" t="s">
        <v>791</v>
      </c>
      <c r="D4219" s="51" t="n">
        <v>0</v>
      </c>
    </row>
    <row r="4220" customFormat="false" ht="15" hidden="true" customHeight="false" outlineLevel="0" collapsed="false">
      <c r="A4220" s="51" t="s">
        <v>409</v>
      </c>
      <c r="B4220" s="55" t="n">
        <v>44650</v>
      </c>
      <c r="C4220" s="51" t="s">
        <v>791</v>
      </c>
      <c r="D4220" s="51" t="n">
        <v>0</v>
      </c>
    </row>
    <row r="4221" customFormat="false" ht="15" hidden="true" customHeight="false" outlineLevel="0" collapsed="false">
      <c r="A4221" s="51" t="s">
        <v>414</v>
      </c>
      <c r="B4221" s="55" t="n">
        <v>44650</v>
      </c>
      <c r="C4221" s="51" t="s">
        <v>791</v>
      </c>
      <c r="D4221" s="51" t="n">
        <v>0</v>
      </c>
    </row>
    <row r="4222" customFormat="false" ht="15" hidden="true" customHeight="false" outlineLevel="0" collapsed="false">
      <c r="A4222" s="51" t="s">
        <v>419</v>
      </c>
      <c r="B4222" s="55" t="n">
        <v>44650</v>
      </c>
      <c r="C4222" s="51" t="s">
        <v>791</v>
      </c>
      <c r="D4222" s="51" t="n">
        <v>0</v>
      </c>
    </row>
    <row r="4223" customFormat="false" ht="15" hidden="true" customHeight="false" outlineLevel="0" collapsed="false">
      <c r="A4223" s="51" t="s">
        <v>424</v>
      </c>
      <c r="B4223" s="55" t="n">
        <v>44650</v>
      </c>
      <c r="C4223" s="51" t="s">
        <v>791</v>
      </c>
      <c r="D4223" s="51" t="n">
        <v>0</v>
      </c>
    </row>
    <row r="4224" customFormat="false" ht="15" hidden="true" customHeight="false" outlineLevel="0" collapsed="false">
      <c r="A4224" s="51" t="s">
        <v>429</v>
      </c>
      <c r="B4224" s="55" t="n">
        <v>44650</v>
      </c>
      <c r="C4224" s="51" t="s">
        <v>791</v>
      </c>
      <c r="D4224" s="51" t="n">
        <v>0</v>
      </c>
    </row>
    <row r="4225" customFormat="false" ht="15" hidden="true" customHeight="false" outlineLevel="0" collapsed="false">
      <c r="A4225" s="51" t="s">
        <v>434</v>
      </c>
      <c r="B4225" s="55" t="n">
        <v>44650</v>
      </c>
      <c r="C4225" s="51" t="s">
        <v>791</v>
      </c>
      <c r="D4225" s="51" t="n">
        <v>0</v>
      </c>
    </row>
    <row r="4226" customFormat="false" ht="15" hidden="true" customHeight="false" outlineLevel="0" collapsed="false">
      <c r="A4226" s="51" t="s">
        <v>438</v>
      </c>
      <c r="B4226" s="55" t="n">
        <v>44650</v>
      </c>
      <c r="C4226" s="51" t="s">
        <v>791</v>
      </c>
      <c r="D4226" s="51" t="n">
        <v>0</v>
      </c>
    </row>
    <row r="4227" customFormat="false" ht="15" hidden="true" customHeight="false" outlineLevel="0" collapsed="false">
      <c r="A4227" s="51" t="s">
        <v>443</v>
      </c>
      <c r="B4227" s="55" t="n">
        <v>44650</v>
      </c>
      <c r="C4227" s="51" t="s">
        <v>791</v>
      </c>
      <c r="D4227" s="51" t="n">
        <v>0</v>
      </c>
    </row>
    <row r="4228" customFormat="false" ht="15" hidden="true" customHeight="false" outlineLevel="0" collapsed="false">
      <c r="A4228" s="51" t="s">
        <v>448</v>
      </c>
      <c r="B4228" s="55" t="n">
        <v>44650</v>
      </c>
      <c r="C4228" s="51" t="s">
        <v>791</v>
      </c>
      <c r="D4228" s="51" t="n">
        <v>0</v>
      </c>
    </row>
    <row r="4229" customFormat="false" ht="15" hidden="true" customHeight="false" outlineLevel="0" collapsed="false">
      <c r="A4229" s="51" t="s">
        <v>453</v>
      </c>
      <c r="B4229" s="55" t="n">
        <v>44650</v>
      </c>
      <c r="C4229" s="51" t="s">
        <v>791</v>
      </c>
      <c r="D4229" s="51" t="n">
        <v>0</v>
      </c>
    </row>
    <row r="4230" customFormat="false" ht="15" hidden="true" customHeight="false" outlineLevel="0" collapsed="false">
      <c r="A4230" s="51" t="s">
        <v>458</v>
      </c>
      <c r="B4230" s="55" t="n">
        <v>44650</v>
      </c>
      <c r="C4230" s="51" t="s">
        <v>791</v>
      </c>
      <c r="D4230" s="51" t="n">
        <v>0</v>
      </c>
    </row>
    <row r="4231" customFormat="false" ht="15" hidden="true" customHeight="false" outlineLevel="0" collapsed="false">
      <c r="A4231" s="51" t="s">
        <v>473</v>
      </c>
      <c r="B4231" s="55" t="n">
        <v>44650</v>
      </c>
      <c r="C4231" s="51" t="s">
        <v>791</v>
      </c>
      <c r="D4231" s="51" t="n">
        <v>0</v>
      </c>
    </row>
    <row r="4232" customFormat="false" ht="15" hidden="true" customHeight="false" outlineLevel="0" collapsed="false">
      <c r="A4232" s="51" t="s">
        <v>479</v>
      </c>
      <c r="B4232" s="55" t="n">
        <v>44650</v>
      </c>
      <c r="C4232" s="51" t="s">
        <v>791</v>
      </c>
      <c r="D4232" s="51" t="n">
        <v>0</v>
      </c>
    </row>
    <row r="4233" customFormat="false" ht="15" hidden="true" customHeight="false" outlineLevel="0" collapsed="false">
      <c r="A4233" s="51" t="s">
        <v>484</v>
      </c>
      <c r="B4233" s="55" t="n">
        <v>44650</v>
      </c>
      <c r="C4233" s="51" t="s">
        <v>791</v>
      </c>
      <c r="D4233" s="51" t="n">
        <v>0</v>
      </c>
    </row>
    <row r="4234" customFormat="false" ht="15" hidden="true" customHeight="false" outlineLevel="0" collapsed="false">
      <c r="A4234" s="51" t="s">
        <v>489</v>
      </c>
      <c r="B4234" s="55" t="n">
        <v>44650</v>
      </c>
      <c r="C4234" s="51" t="s">
        <v>791</v>
      </c>
      <c r="D4234" s="51" t="n">
        <v>0</v>
      </c>
    </row>
    <row r="4235" customFormat="false" ht="15" hidden="true" customHeight="false" outlineLevel="0" collapsed="false">
      <c r="A4235" s="51" t="s">
        <v>494</v>
      </c>
      <c r="B4235" s="55" t="n">
        <v>44650</v>
      </c>
      <c r="C4235" s="51" t="s">
        <v>791</v>
      </c>
      <c r="D4235" s="51" t="n">
        <v>0</v>
      </c>
    </row>
    <row r="4236" customFormat="false" ht="15" hidden="true" customHeight="false" outlineLevel="0" collapsed="false">
      <c r="A4236" s="51" t="s">
        <v>499</v>
      </c>
      <c r="B4236" s="55" t="n">
        <v>44650</v>
      </c>
      <c r="C4236" s="51" t="s">
        <v>791</v>
      </c>
      <c r="D4236" s="51" t="n">
        <v>0</v>
      </c>
    </row>
    <row r="4237" customFormat="false" ht="15" hidden="true" customHeight="false" outlineLevel="0" collapsed="false">
      <c r="A4237" s="51" t="s">
        <v>504</v>
      </c>
      <c r="B4237" s="55" t="n">
        <v>44650</v>
      </c>
      <c r="C4237" s="51" t="s">
        <v>791</v>
      </c>
      <c r="D4237" s="51" t="n">
        <v>0</v>
      </c>
    </row>
    <row r="4238" customFormat="false" ht="15" hidden="true" customHeight="false" outlineLevel="0" collapsed="false">
      <c r="A4238" s="51" t="s">
        <v>509</v>
      </c>
      <c r="B4238" s="55" t="n">
        <v>44650</v>
      </c>
      <c r="C4238" s="51" t="s">
        <v>791</v>
      </c>
      <c r="D4238" s="51" t="n">
        <v>0</v>
      </c>
    </row>
    <row r="4239" customFormat="false" ht="15" hidden="true" customHeight="false" outlineLevel="0" collapsed="false">
      <c r="A4239" s="51" t="s">
        <v>515</v>
      </c>
      <c r="B4239" s="55" t="n">
        <v>44650</v>
      </c>
      <c r="C4239" s="51" t="s">
        <v>791</v>
      </c>
      <c r="D4239" s="51" t="n">
        <v>0</v>
      </c>
    </row>
    <row r="4240" customFormat="false" ht="15" hidden="true" customHeight="false" outlineLevel="0" collapsed="false">
      <c r="A4240" s="51" t="s">
        <v>520</v>
      </c>
      <c r="B4240" s="55" t="n">
        <v>44650</v>
      </c>
      <c r="C4240" s="51" t="s">
        <v>791</v>
      </c>
      <c r="D4240" s="51" t="n">
        <v>0</v>
      </c>
    </row>
    <row r="4241" customFormat="false" ht="15" hidden="true" customHeight="false" outlineLevel="0" collapsed="false">
      <c r="A4241" s="51" t="s">
        <v>525</v>
      </c>
      <c r="B4241" s="55" t="n">
        <v>44650</v>
      </c>
      <c r="C4241" s="51" t="s">
        <v>791</v>
      </c>
      <c r="D4241" s="51" t="n">
        <v>0</v>
      </c>
    </row>
    <row r="4242" customFormat="false" ht="15" hidden="true" customHeight="false" outlineLevel="0" collapsed="false">
      <c r="A4242" s="51" t="s">
        <v>531</v>
      </c>
      <c r="B4242" s="55" t="n">
        <v>44650</v>
      </c>
      <c r="C4242" s="51" t="s">
        <v>791</v>
      </c>
      <c r="D4242" s="51" t="n">
        <v>0</v>
      </c>
    </row>
    <row r="4243" customFormat="false" ht="15" hidden="true" customHeight="false" outlineLevel="0" collapsed="false">
      <c r="A4243" s="51" t="s">
        <v>536</v>
      </c>
      <c r="B4243" s="55" t="n">
        <v>44650</v>
      </c>
      <c r="C4243" s="51" t="s">
        <v>791</v>
      </c>
      <c r="D4243" s="51" t="n">
        <v>0</v>
      </c>
    </row>
    <row r="4244" customFormat="false" ht="15" hidden="true" customHeight="false" outlineLevel="0" collapsed="false">
      <c r="A4244" s="51" t="s">
        <v>541</v>
      </c>
      <c r="B4244" s="55" t="n">
        <v>44650</v>
      </c>
      <c r="C4244" s="51" t="s">
        <v>791</v>
      </c>
      <c r="D4244" s="51" t="n">
        <v>0</v>
      </c>
    </row>
    <row r="4245" customFormat="false" ht="15" hidden="true" customHeight="false" outlineLevel="0" collapsed="false">
      <c r="A4245" s="51" t="s">
        <v>549</v>
      </c>
      <c r="B4245" s="55" t="n">
        <v>44650</v>
      </c>
      <c r="C4245" s="51" t="s">
        <v>791</v>
      </c>
      <c r="D4245" s="51" t="n">
        <v>0</v>
      </c>
    </row>
    <row r="4246" customFormat="false" ht="15" hidden="true" customHeight="false" outlineLevel="0" collapsed="false">
      <c r="A4246" s="51" t="s">
        <v>554</v>
      </c>
      <c r="B4246" s="55" t="n">
        <v>44650</v>
      </c>
      <c r="C4246" s="51" t="s">
        <v>791</v>
      </c>
      <c r="D4246" s="51" t="n">
        <v>0</v>
      </c>
    </row>
    <row r="4247" customFormat="false" ht="15" hidden="true" customHeight="false" outlineLevel="0" collapsed="false">
      <c r="A4247" s="51" t="s">
        <v>559</v>
      </c>
      <c r="B4247" s="55" t="n">
        <v>44650</v>
      </c>
      <c r="C4247" s="51" t="s">
        <v>791</v>
      </c>
      <c r="D4247" s="51" t="n">
        <v>0</v>
      </c>
    </row>
    <row r="4248" customFormat="false" ht="15" hidden="true" customHeight="false" outlineLevel="0" collapsed="false">
      <c r="A4248" s="51" t="s">
        <v>564</v>
      </c>
      <c r="B4248" s="55" t="n">
        <v>44650</v>
      </c>
      <c r="C4248" s="51" t="s">
        <v>791</v>
      </c>
      <c r="D4248" s="51" t="n">
        <v>0</v>
      </c>
    </row>
    <row r="4249" customFormat="false" ht="15" hidden="true" customHeight="false" outlineLevel="0" collapsed="false">
      <c r="A4249" s="51" t="s">
        <v>569</v>
      </c>
      <c r="B4249" s="55" t="n">
        <v>44650</v>
      </c>
      <c r="C4249" s="51" t="s">
        <v>791</v>
      </c>
      <c r="D4249" s="51" t="n">
        <v>0</v>
      </c>
    </row>
    <row r="4250" customFormat="false" ht="15" hidden="true" customHeight="false" outlineLevel="0" collapsed="false">
      <c r="A4250" s="51" t="s">
        <v>574</v>
      </c>
      <c r="B4250" s="55" t="n">
        <v>44650</v>
      </c>
      <c r="C4250" s="51" t="s">
        <v>791</v>
      </c>
      <c r="D4250" s="51" t="n">
        <v>0</v>
      </c>
    </row>
    <row r="4251" customFormat="false" ht="15" hidden="true" customHeight="false" outlineLevel="0" collapsed="false">
      <c r="A4251" s="51" t="s">
        <v>579</v>
      </c>
      <c r="B4251" s="55" t="n">
        <v>44650</v>
      </c>
      <c r="C4251" s="51" t="s">
        <v>791</v>
      </c>
      <c r="D4251" s="51" t="n">
        <v>0</v>
      </c>
    </row>
    <row r="4252" customFormat="false" ht="15" hidden="true" customHeight="false" outlineLevel="0" collapsed="false">
      <c r="A4252" s="51" t="s">
        <v>584</v>
      </c>
      <c r="B4252" s="55" t="n">
        <v>44650</v>
      </c>
      <c r="C4252" s="51" t="s">
        <v>791</v>
      </c>
      <c r="D4252" s="51" t="n">
        <v>0</v>
      </c>
    </row>
    <row r="4253" customFormat="false" ht="15" hidden="true" customHeight="false" outlineLevel="0" collapsed="false">
      <c r="A4253" s="51" t="s">
        <v>589</v>
      </c>
      <c r="B4253" s="55" t="n">
        <v>44650</v>
      </c>
      <c r="C4253" s="51" t="s">
        <v>791</v>
      </c>
      <c r="D4253" s="51" t="n">
        <v>0</v>
      </c>
    </row>
    <row r="4254" customFormat="false" ht="15" hidden="true" customHeight="false" outlineLevel="0" collapsed="false">
      <c r="A4254" s="51" t="s">
        <v>756</v>
      </c>
      <c r="B4254" s="55" t="n">
        <v>44650</v>
      </c>
      <c r="C4254" s="51" t="s">
        <v>791</v>
      </c>
      <c r="D4254" s="51" t="n">
        <v>0</v>
      </c>
    </row>
    <row r="4255" customFormat="false" ht="15" hidden="true" customHeight="false" outlineLevel="0" collapsed="false">
      <c r="A4255" s="51" t="s">
        <v>594</v>
      </c>
      <c r="B4255" s="55" t="n">
        <v>44650</v>
      </c>
      <c r="C4255" s="51" t="s">
        <v>791</v>
      </c>
      <c r="D4255" s="51" t="n">
        <v>0</v>
      </c>
    </row>
    <row r="4256" customFormat="false" ht="15" hidden="true" customHeight="false" outlineLevel="0" collapsed="false">
      <c r="A4256" s="51" t="s">
        <v>761</v>
      </c>
      <c r="B4256" s="55" t="n">
        <v>44650</v>
      </c>
      <c r="C4256" s="51" t="s">
        <v>791</v>
      </c>
      <c r="D4256" s="51" t="n">
        <v>0</v>
      </c>
    </row>
    <row r="4257" customFormat="false" ht="15" hidden="true" customHeight="false" outlineLevel="0" collapsed="false">
      <c r="A4257" s="51" t="s">
        <v>599</v>
      </c>
      <c r="B4257" s="55" t="n">
        <v>44650</v>
      </c>
      <c r="C4257" s="51" t="s">
        <v>791</v>
      </c>
      <c r="D4257" s="51" t="n">
        <v>0</v>
      </c>
    </row>
    <row r="4258" customFormat="false" ht="15" hidden="true" customHeight="false" outlineLevel="0" collapsed="false">
      <c r="A4258" s="51" t="s">
        <v>604</v>
      </c>
      <c r="B4258" s="55" t="n">
        <v>44650</v>
      </c>
      <c r="C4258" s="51" t="s">
        <v>791</v>
      </c>
      <c r="D4258" s="51" t="n">
        <v>0</v>
      </c>
    </row>
    <row r="4259" customFormat="false" ht="15" hidden="true" customHeight="false" outlineLevel="0" collapsed="false">
      <c r="A4259" s="51" t="s">
        <v>609</v>
      </c>
      <c r="B4259" s="55" t="n">
        <v>44650</v>
      </c>
      <c r="C4259" s="51" t="s">
        <v>791</v>
      </c>
      <c r="D4259" s="51" t="n">
        <v>0</v>
      </c>
    </row>
    <row r="4260" customFormat="false" ht="15" hidden="true" customHeight="false" outlineLevel="0" collapsed="false">
      <c r="A4260" s="51" t="s">
        <v>614</v>
      </c>
      <c r="B4260" s="55" t="n">
        <v>44650</v>
      </c>
      <c r="C4260" s="51" t="s">
        <v>791</v>
      </c>
      <c r="D4260" s="51" t="n">
        <v>0</v>
      </c>
    </row>
    <row r="4261" customFormat="false" ht="15" hidden="true" customHeight="false" outlineLevel="0" collapsed="false">
      <c r="A4261" s="51" t="s">
        <v>619</v>
      </c>
      <c r="B4261" s="55" t="n">
        <v>44650</v>
      </c>
      <c r="C4261" s="51" t="s">
        <v>791</v>
      </c>
      <c r="D4261" s="51" t="n">
        <v>0</v>
      </c>
    </row>
    <row r="4262" customFormat="false" ht="15" hidden="true" customHeight="false" outlineLevel="0" collapsed="false">
      <c r="A4262" s="51" t="s">
        <v>624</v>
      </c>
      <c r="B4262" s="55" t="n">
        <v>44650</v>
      </c>
      <c r="C4262" s="51" t="s">
        <v>791</v>
      </c>
      <c r="D4262" s="51" t="n">
        <v>0</v>
      </c>
    </row>
    <row r="4263" customFormat="false" ht="15" hidden="true" customHeight="false" outlineLevel="0" collapsed="false">
      <c r="A4263" s="51" t="s">
        <v>629</v>
      </c>
      <c r="B4263" s="55" t="n">
        <v>44650</v>
      </c>
      <c r="C4263" s="51" t="s">
        <v>791</v>
      </c>
      <c r="D4263" s="51" t="n">
        <v>0</v>
      </c>
    </row>
    <row r="4264" customFormat="false" ht="15" hidden="true" customHeight="false" outlineLevel="0" collapsed="false">
      <c r="A4264" s="51" t="s">
        <v>633</v>
      </c>
      <c r="B4264" s="55" t="n">
        <v>44650</v>
      </c>
      <c r="C4264" s="51" t="s">
        <v>791</v>
      </c>
      <c r="D4264" s="51" t="n">
        <v>0</v>
      </c>
    </row>
    <row r="4265" customFormat="false" ht="15" hidden="true" customHeight="false" outlineLevel="0" collapsed="false">
      <c r="A4265" s="51" t="s">
        <v>638</v>
      </c>
      <c r="B4265" s="55" t="n">
        <v>44650</v>
      </c>
      <c r="C4265" s="51" t="s">
        <v>791</v>
      </c>
      <c r="D4265" s="51" t="n">
        <v>0</v>
      </c>
    </row>
    <row r="4266" customFormat="false" ht="15" hidden="true" customHeight="false" outlineLevel="0" collapsed="false">
      <c r="A4266" s="51" t="s">
        <v>642</v>
      </c>
      <c r="B4266" s="55" t="n">
        <v>44650</v>
      </c>
      <c r="C4266" s="51" t="s">
        <v>791</v>
      </c>
      <c r="D4266" s="51" t="n">
        <v>0</v>
      </c>
    </row>
    <row r="4267" customFormat="false" ht="15" hidden="true" customHeight="false" outlineLevel="0" collapsed="false">
      <c r="A4267" s="51" t="s">
        <v>646</v>
      </c>
      <c r="B4267" s="55" t="n">
        <v>44650</v>
      </c>
      <c r="C4267" s="51" t="s">
        <v>791</v>
      </c>
      <c r="D4267" s="51" t="n">
        <v>0</v>
      </c>
    </row>
    <row r="4268" customFormat="false" ht="15" hidden="true" customHeight="false" outlineLevel="0" collapsed="false">
      <c r="A4268" s="51" t="s">
        <v>651</v>
      </c>
      <c r="B4268" s="55" t="n">
        <v>44650</v>
      </c>
      <c r="C4268" s="51" t="s">
        <v>791</v>
      </c>
      <c r="D4268" s="51" t="n">
        <v>0</v>
      </c>
    </row>
    <row r="4269" customFormat="false" ht="15" hidden="true" customHeight="false" outlineLevel="0" collapsed="false">
      <c r="A4269" s="51" t="s">
        <v>656</v>
      </c>
      <c r="B4269" s="55" t="n">
        <v>44650</v>
      </c>
      <c r="C4269" s="51" t="s">
        <v>791</v>
      </c>
      <c r="D4269" s="51" t="n">
        <v>0</v>
      </c>
    </row>
    <row r="4270" customFormat="false" ht="15" hidden="true" customHeight="false" outlineLevel="0" collapsed="false">
      <c r="A4270" s="51" t="s">
        <v>661</v>
      </c>
      <c r="B4270" s="55" t="n">
        <v>44650</v>
      </c>
      <c r="C4270" s="51" t="s">
        <v>791</v>
      </c>
      <c r="D4270" s="51" t="n">
        <v>0</v>
      </c>
    </row>
    <row r="4271" customFormat="false" ht="15" hidden="true" customHeight="false" outlineLevel="0" collapsed="false">
      <c r="A4271" s="51" t="s">
        <v>666</v>
      </c>
      <c r="B4271" s="55" t="n">
        <v>44650</v>
      </c>
      <c r="C4271" s="51" t="s">
        <v>791</v>
      </c>
      <c r="D4271" s="51" t="n">
        <v>0</v>
      </c>
    </row>
    <row r="4272" customFormat="false" ht="15" hidden="true" customHeight="false" outlineLevel="0" collapsed="false">
      <c r="A4272" s="51" t="s">
        <v>671</v>
      </c>
      <c r="B4272" s="55" t="n">
        <v>44650</v>
      </c>
      <c r="C4272" s="51" t="s">
        <v>791</v>
      </c>
      <c r="D4272" s="51" t="n">
        <v>0</v>
      </c>
    </row>
    <row r="4273" customFormat="false" ht="15" hidden="true" customHeight="false" outlineLevel="0" collapsed="false">
      <c r="A4273" s="51" t="s">
        <v>676</v>
      </c>
      <c r="B4273" s="55" t="n">
        <v>44650</v>
      </c>
      <c r="C4273" s="51" t="s">
        <v>791</v>
      </c>
      <c r="D4273" s="51" t="n">
        <v>0</v>
      </c>
    </row>
    <row r="4274" customFormat="false" ht="15" hidden="true" customHeight="false" outlineLevel="0" collapsed="false">
      <c r="A4274" s="51" t="s">
        <v>681</v>
      </c>
      <c r="B4274" s="55" t="n">
        <v>44650</v>
      </c>
      <c r="C4274" s="51" t="s">
        <v>791</v>
      </c>
      <c r="D4274" s="51" t="n">
        <v>0</v>
      </c>
    </row>
    <row r="4275" customFormat="false" ht="15" hidden="true" customHeight="false" outlineLevel="0" collapsed="false">
      <c r="A4275" s="51" t="s">
        <v>686</v>
      </c>
      <c r="B4275" s="55" t="n">
        <v>44650</v>
      </c>
      <c r="C4275" s="51" t="s">
        <v>791</v>
      </c>
      <c r="D4275" s="51" t="n">
        <v>0</v>
      </c>
    </row>
    <row r="4276" customFormat="false" ht="15" hidden="true" customHeight="false" outlineLevel="0" collapsed="false">
      <c r="A4276" s="51" t="s">
        <v>691</v>
      </c>
      <c r="B4276" s="55" t="n">
        <v>44650</v>
      </c>
      <c r="C4276" s="51" t="s">
        <v>791</v>
      </c>
      <c r="D4276" s="51" t="n">
        <v>0</v>
      </c>
    </row>
    <row r="4277" customFormat="false" ht="15" hidden="true" customHeight="false" outlineLevel="0" collapsed="false">
      <c r="A4277" s="51" t="s">
        <v>696</v>
      </c>
      <c r="B4277" s="55" t="n">
        <v>44650</v>
      </c>
      <c r="C4277" s="51" t="s">
        <v>791</v>
      </c>
      <c r="D4277" s="51" t="n">
        <v>0</v>
      </c>
    </row>
    <row r="4278" customFormat="false" ht="15" hidden="true" customHeight="false" outlineLevel="0" collapsed="false">
      <c r="A4278" s="51" t="s">
        <v>701</v>
      </c>
      <c r="B4278" s="55" t="n">
        <v>44650</v>
      </c>
      <c r="C4278" s="51" t="s">
        <v>791</v>
      </c>
      <c r="D4278" s="51" t="n">
        <v>0</v>
      </c>
    </row>
    <row r="4279" customFormat="false" ht="15" hidden="true" customHeight="false" outlineLevel="0" collapsed="false">
      <c r="A4279" s="51" t="s">
        <v>707</v>
      </c>
      <c r="B4279" s="55" t="n">
        <v>44650</v>
      </c>
      <c r="C4279" s="51" t="s">
        <v>791</v>
      </c>
      <c r="D4279" s="51" t="n">
        <v>0</v>
      </c>
    </row>
    <row r="4280" customFormat="false" ht="15" hidden="true" customHeight="false" outlineLevel="0" collapsed="false">
      <c r="A4280" s="51" t="s">
        <v>712</v>
      </c>
      <c r="B4280" s="55" t="n">
        <v>44650</v>
      </c>
      <c r="C4280" s="51" t="s">
        <v>791</v>
      </c>
      <c r="D4280" s="51" t="n">
        <v>0</v>
      </c>
    </row>
    <row r="4281" customFormat="false" ht="15" hidden="true" customHeight="false" outlineLevel="0" collapsed="false">
      <c r="A4281" s="51" t="s">
        <v>717</v>
      </c>
      <c r="B4281" s="55" t="n">
        <v>44650</v>
      </c>
      <c r="C4281" s="51" t="s">
        <v>791</v>
      </c>
      <c r="D4281" s="51" t="n">
        <v>0</v>
      </c>
    </row>
    <row r="4282" customFormat="false" ht="15" hidden="true" customHeight="false" outlineLevel="0" collapsed="false">
      <c r="A4282" s="51" t="s">
        <v>767</v>
      </c>
      <c r="B4282" s="55" t="n">
        <v>44650</v>
      </c>
      <c r="C4282" s="51" t="s">
        <v>791</v>
      </c>
      <c r="D4282" s="51" t="n">
        <v>0</v>
      </c>
    </row>
    <row r="4283" customFormat="false" ht="15" hidden="true" customHeight="false" outlineLevel="0" collapsed="false">
      <c r="A4283" s="51" t="s">
        <v>722</v>
      </c>
      <c r="B4283" s="55" t="n">
        <v>44650</v>
      </c>
      <c r="C4283" s="51" t="s">
        <v>791</v>
      </c>
      <c r="D4283" s="51" t="n">
        <v>0</v>
      </c>
    </row>
    <row r="4284" customFormat="false" ht="15" hidden="true" customHeight="false" outlineLevel="0" collapsed="false">
      <c r="A4284" s="51" t="s">
        <v>727</v>
      </c>
      <c r="B4284" s="55" t="n">
        <v>44650</v>
      </c>
      <c r="C4284" s="51" t="s">
        <v>791</v>
      </c>
      <c r="D4284" s="51" t="n">
        <v>0</v>
      </c>
    </row>
    <row r="4285" customFormat="false" ht="15" hidden="true" customHeight="false" outlineLevel="0" collapsed="false">
      <c r="A4285" s="51" t="s">
        <v>732</v>
      </c>
      <c r="B4285" s="55" t="n">
        <v>44650</v>
      </c>
      <c r="C4285" s="51" t="s">
        <v>791</v>
      </c>
      <c r="D4285" s="51" t="n">
        <v>0</v>
      </c>
    </row>
    <row r="4286" customFormat="false" ht="15" hidden="true" customHeight="false" outlineLevel="0" collapsed="false">
      <c r="A4286" s="51" t="s">
        <v>736</v>
      </c>
      <c r="B4286" s="55" t="n">
        <v>44650</v>
      </c>
      <c r="C4286" s="51" t="s">
        <v>791</v>
      </c>
      <c r="D4286" s="51" t="n">
        <v>0</v>
      </c>
    </row>
    <row r="4287" customFormat="false" ht="15" hidden="true" customHeight="false" outlineLevel="0" collapsed="false">
      <c r="A4287" s="51" t="s">
        <v>741</v>
      </c>
      <c r="B4287" s="55" t="n">
        <v>44650</v>
      </c>
      <c r="C4287" s="51" t="s">
        <v>791</v>
      </c>
      <c r="D4287" s="51" t="n">
        <v>0</v>
      </c>
    </row>
    <row r="4288" customFormat="false" ht="15" hidden="true" customHeight="false" outlineLevel="0" collapsed="false">
      <c r="A4288" s="51" t="s">
        <v>746</v>
      </c>
      <c r="B4288" s="55" t="n">
        <v>44650</v>
      </c>
      <c r="C4288" s="51" t="s">
        <v>791</v>
      </c>
      <c r="D4288" s="51" t="n">
        <v>0</v>
      </c>
    </row>
    <row r="4289" customFormat="false" ht="15" hidden="true" customHeight="false" outlineLevel="0" collapsed="false">
      <c r="A4289" s="51" t="s">
        <v>751</v>
      </c>
      <c r="B4289" s="55" t="n">
        <v>44650</v>
      </c>
      <c r="C4289" s="51" t="s">
        <v>791</v>
      </c>
      <c r="D4289" s="51" t="n">
        <v>0</v>
      </c>
    </row>
    <row r="4290" customFormat="false" ht="15" hidden="false" customHeight="false" outlineLevel="0" collapsed="false">
      <c r="A4290" s="51" t="s">
        <v>781</v>
      </c>
      <c r="B4290" s="55" t="n">
        <v>44742</v>
      </c>
      <c r="C4290" s="51" t="s">
        <v>782</v>
      </c>
      <c r="D4290" s="51" t="n">
        <v>0</v>
      </c>
    </row>
    <row r="4291" customFormat="false" ht="15" hidden="true" customHeight="false" outlineLevel="0" collapsed="false">
      <c r="A4291" s="51" t="s">
        <v>783</v>
      </c>
      <c r="B4291" s="55" t="n">
        <v>44742</v>
      </c>
      <c r="C4291" s="51" t="s">
        <v>782</v>
      </c>
      <c r="D4291" s="51" t="n">
        <v>0</v>
      </c>
    </row>
    <row r="4292" customFormat="false" ht="15" hidden="true" customHeight="false" outlineLevel="0" collapsed="false">
      <c r="A4292" s="51" t="s">
        <v>96</v>
      </c>
      <c r="B4292" s="55" t="n">
        <v>44742</v>
      </c>
      <c r="C4292" s="51" t="s">
        <v>782</v>
      </c>
      <c r="D4292" s="51" t="n">
        <v>0</v>
      </c>
    </row>
    <row r="4293" customFormat="false" ht="15" hidden="true" customHeight="false" outlineLevel="0" collapsed="false">
      <c r="A4293" s="51" t="s">
        <v>101</v>
      </c>
      <c r="B4293" s="55" t="n">
        <v>44742</v>
      </c>
      <c r="C4293" s="51" t="s">
        <v>782</v>
      </c>
      <c r="D4293" s="51" t="n">
        <v>0</v>
      </c>
    </row>
    <row r="4294" customFormat="false" ht="15" hidden="true" customHeight="false" outlineLevel="0" collapsed="false">
      <c r="A4294" s="51" t="s">
        <v>106</v>
      </c>
      <c r="B4294" s="55" t="n">
        <v>44742</v>
      </c>
      <c r="C4294" s="51" t="s">
        <v>782</v>
      </c>
      <c r="D4294" s="51" t="n">
        <v>0</v>
      </c>
    </row>
    <row r="4295" customFormat="false" ht="15" hidden="true" customHeight="false" outlineLevel="0" collapsed="false">
      <c r="A4295" s="51" t="s">
        <v>110</v>
      </c>
      <c r="B4295" s="55" t="n">
        <v>44742</v>
      </c>
      <c r="C4295" s="51" t="s">
        <v>782</v>
      </c>
      <c r="D4295" s="51" t="n">
        <v>0</v>
      </c>
    </row>
    <row r="4296" customFormat="false" ht="15" hidden="true" customHeight="false" outlineLevel="0" collapsed="false">
      <c r="A4296" s="51" t="s">
        <v>115</v>
      </c>
      <c r="B4296" s="55" t="n">
        <v>44742</v>
      </c>
      <c r="C4296" s="51" t="s">
        <v>782</v>
      </c>
      <c r="D4296" s="51" t="n">
        <v>0</v>
      </c>
    </row>
    <row r="4297" customFormat="false" ht="15" hidden="true" customHeight="false" outlineLevel="0" collapsed="false">
      <c r="A4297" s="51" t="s">
        <v>120</v>
      </c>
      <c r="B4297" s="55" t="n">
        <v>44742</v>
      </c>
      <c r="C4297" s="51" t="s">
        <v>782</v>
      </c>
      <c r="D4297" s="51" t="n">
        <v>0</v>
      </c>
    </row>
    <row r="4298" customFormat="false" ht="15" hidden="true" customHeight="false" outlineLevel="0" collapsed="false">
      <c r="A4298" s="51" t="s">
        <v>124</v>
      </c>
      <c r="B4298" s="55" t="n">
        <v>44742</v>
      </c>
      <c r="C4298" s="51" t="s">
        <v>782</v>
      </c>
      <c r="D4298" s="51" t="n">
        <v>0</v>
      </c>
    </row>
    <row r="4299" customFormat="false" ht="15" hidden="true" customHeight="false" outlineLevel="0" collapsed="false">
      <c r="A4299" s="51" t="s">
        <v>129</v>
      </c>
      <c r="B4299" s="55" t="n">
        <v>44742</v>
      </c>
      <c r="C4299" s="51" t="s">
        <v>782</v>
      </c>
      <c r="D4299" s="51" t="n">
        <v>0</v>
      </c>
    </row>
    <row r="4300" customFormat="false" ht="15" hidden="true" customHeight="false" outlineLevel="0" collapsed="false">
      <c r="A4300" s="51" t="s">
        <v>134</v>
      </c>
      <c r="B4300" s="55" t="n">
        <v>44742</v>
      </c>
      <c r="C4300" s="51" t="s">
        <v>782</v>
      </c>
      <c r="D4300" s="51" t="n">
        <v>0</v>
      </c>
    </row>
    <row r="4301" customFormat="false" ht="15" hidden="true" customHeight="false" outlineLevel="0" collapsed="false">
      <c r="A4301" s="51" t="s">
        <v>141</v>
      </c>
      <c r="B4301" s="55" t="n">
        <v>44742</v>
      </c>
      <c r="C4301" s="51" t="s">
        <v>782</v>
      </c>
      <c r="D4301" s="51" t="n">
        <v>0</v>
      </c>
    </row>
    <row r="4302" customFormat="false" ht="15" hidden="true" customHeight="false" outlineLevel="0" collapsed="false">
      <c r="A4302" s="51" t="s">
        <v>146</v>
      </c>
      <c r="B4302" s="55" t="n">
        <v>44742</v>
      </c>
      <c r="C4302" s="51" t="s">
        <v>782</v>
      </c>
      <c r="D4302" s="51" t="n">
        <v>0</v>
      </c>
    </row>
    <row r="4303" customFormat="false" ht="15" hidden="true" customHeight="false" outlineLevel="0" collapsed="false">
      <c r="A4303" s="51" t="s">
        <v>151</v>
      </c>
      <c r="B4303" s="55" t="n">
        <v>44742</v>
      </c>
      <c r="C4303" s="51" t="s">
        <v>782</v>
      </c>
      <c r="D4303" s="51" t="n">
        <v>0</v>
      </c>
    </row>
    <row r="4304" customFormat="false" ht="15" hidden="true" customHeight="false" outlineLevel="0" collapsed="false">
      <c r="A4304" s="51" t="s">
        <v>156</v>
      </c>
      <c r="B4304" s="55" t="n">
        <v>44742</v>
      </c>
      <c r="C4304" s="51" t="s">
        <v>782</v>
      </c>
      <c r="D4304" s="51" t="n">
        <v>0</v>
      </c>
    </row>
    <row r="4305" customFormat="false" ht="15" hidden="true" customHeight="false" outlineLevel="0" collapsed="false">
      <c r="A4305" s="51" t="s">
        <v>161</v>
      </c>
      <c r="B4305" s="55" t="n">
        <v>44742</v>
      </c>
      <c r="C4305" s="51" t="s">
        <v>782</v>
      </c>
      <c r="D4305" s="51" t="n">
        <v>0</v>
      </c>
    </row>
    <row r="4306" customFormat="false" ht="15" hidden="true" customHeight="false" outlineLevel="0" collapsed="false">
      <c r="A4306" s="51" t="s">
        <v>166</v>
      </c>
      <c r="B4306" s="55" t="n">
        <v>44742</v>
      </c>
      <c r="C4306" s="51" t="s">
        <v>782</v>
      </c>
      <c r="D4306" s="51" t="n">
        <v>0</v>
      </c>
    </row>
    <row r="4307" customFormat="false" ht="15" hidden="true" customHeight="false" outlineLevel="0" collapsed="false">
      <c r="A4307" s="51" t="s">
        <v>171</v>
      </c>
      <c r="B4307" s="55" t="n">
        <v>44742</v>
      </c>
      <c r="C4307" s="51" t="s">
        <v>782</v>
      </c>
      <c r="D4307" s="51" t="n">
        <v>0</v>
      </c>
    </row>
    <row r="4308" customFormat="false" ht="15" hidden="true" customHeight="false" outlineLevel="0" collapsed="false">
      <c r="A4308" s="51" t="s">
        <v>176</v>
      </c>
      <c r="B4308" s="55" t="n">
        <v>44742</v>
      </c>
      <c r="C4308" s="51" t="s">
        <v>782</v>
      </c>
      <c r="D4308" s="51" t="n">
        <v>0</v>
      </c>
    </row>
    <row r="4309" customFormat="false" ht="15" hidden="true" customHeight="false" outlineLevel="0" collapsed="false">
      <c r="A4309" s="51" t="s">
        <v>181</v>
      </c>
      <c r="B4309" s="55" t="n">
        <v>44742</v>
      </c>
      <c r="C4309" s="51" t="s">
        <v>782</v>
      </c>
      <c r="D4309" s="51" t="n">
        <v>0</v>
      </c>
    </row>
    <row r="4310" customFormat="false" ht="15" hidden="true" customHeight="false" outlineLevel="0" collapsed="false">
      <c r="A4310" s="51" t="s">
        <v>186</v>
      </c>
      <c r="B4310" s="55" t="n">
        <v>44742</v>
      </c>
      <c r="C4310" s="51" t="s">
        <v>782</v>
      </c>
      <c r="D4310" s="51" t="n">
        <v>0</v>
      </c>
    </row>
    <row r="4311" customFormat="false" ht="15" hidden="true" customHeight="false" outlineLevel="0" collapsed="false">
      <c r="A4311" s="51" t="s">
        <v>191</v>
      </c>
      <c r="B4311" s="55" t="n">
        <v>44742</v>
      </c>
      <c r="C4311" s="51" t="s">
        <v>782</v>
      </c>
      <c r="D4311" s="51" t="n">
        <v>0</v>
      </c>
    </row>
    <row r="4312" customFormat="false" ht="15" hidden="true" customHeight="false" outlineLevel="0" collapsed="false">
      <c r="A4312" s="51" t="s">
        <v>196</v>
      </c>
      <c r="B4312" s="55" t="n">
        <v>44742</v>
      </c>
      <c r="C4312" s="51" t="s">
        <v>782</v>
      </c>
      <c r="D4312" s="51" t="n">
        <v>0</v>
      </c>
    </row>
    <row r="4313" customFormat="false" ht="15" hidden="true" customHeight="false" outlineLevel="0" collapsed="false">
      <c r="A4313" s="51" t="s">
        <v>201</v>
      </c>
      <c r="B4313" s="55" t="n">
        <v>44742</v>
      </c>
      <c r="C4313" s="51" t="s">
        <v>782</v>
      </c>
      <c r="D4313" s="51" t="n">
        <v>0</v>
      </c>
    </row>
    <row r="4314" customFormat="false" ht="15" hidden="true" customHeight="false" outlineLevel="0" collapsed="false">
      <c r="A4314" s="51" t="s">
        <v>206</v>
      </c>
      <c r="B4314" s="55" t="n">
        <v>44742</v>
      </c>
      <c r="C4314" s="51" t="s">
        <v>782</v>
      </c>
      <c r="D4314" s="51" t="n">
        <v>0</v>
      </c>
    </row>
    <row r="4315" customFormat="false" ht="15" hidden="true" customHeight="false" outlineLevel="0" collapsed="false">
      <c r="A4315" s="51" t="s">
        <v>210</v>
      </c>
      <c r="B4315" s="55" t="n">
        <v>44742</v>
      </c>
      <c r="C4315" s="51" t="s">
        <v>782</v>
      </c>
      <c r="D4315" s="51" t="n">
        <v>0</v>
      </c>
    </row>
    <row r="4316" customFormat="false" ht="15" hidden="true" customHeight="false" outlineLevel="0" collapsed="false">
      <c r="A4316" s="51" t="s">
        <v>215</v>
      </c>
      <c r="B4316" s="55" t="n">
        <v>44742</v>
      </c>
      <c r="C4316" s="51" t="s">
        <v>782</v>
      </c>
      <c r="D4316" s="51" t="n">
        <v>0</v>
      </c>
    </row>
    <row r="4317" customFormat="false" ht="15" hidden="true" customHeight="false" outlineLevel="0" collapsed="false">
      <c r="A4317" s="51" t="s">
        <v>790</v>
      </c>
      <c r="B4317" s="55" t="n">
        <v>44742</v>
      </c>
      <c r="C4317" s="51" t="s">
        <v>782</v>
      </c>
      <c r="D4317" s="51" t="n">
        <v>0</v>
      </c>
    </row>
    <row r="4318" customFormat="false" ht="15" hidden="true" customHeight="false" outlineLevel="0" collapsed="false">
      <c r="A4318" s="51" t="s">
        <v>225</v>
      </c>
      <c r="B4318" s="55" t="n">
        <v>44742</v>
      </c>
      <c r="C4318" s="51" t="s">
        <v>782</v>
      </c>
      <c r="D4318" s="51" t="n">
        <v>0</v>
      </c>
    </row>
    <row r="4319" customFormat="false" ht="15" hidden="true" customHeight="false" outlineLevel="0" collapsed="false">
      <c r="A4319" s="51" t="s">
        <v>230</v>
      </c>
      <c r="B4319" s="55" t="n">
        <v>44742</v>
      </c>
      <c r="C4319" s="51" t="s">
        <v>782</v>
      </c>
      <c r="D4319" s="51" t="n">
        <v>0</v>
      </c>
    </row>
    <row r="4320" customFormat="false" ht="15" hidden="true" customHeight="false" outlineLevel="0" collapsed="false">
      <c r="A4320" s="51" t="s">
        <v>235</v>
      </c>
      <c r="B4320" s="55" t="n">
        <v>44742</v>
      </c>
      <c r="C4320" s="51" t="s">
        <v>782</v>
      </c>
      <c r="D4320" s="51" t="n">
        <v>0</v>
      </c>
    </row>
    <row r="4321" customFormat="false" ht="15" hidden="true" customHeight="false" outlineLevel="0" collapsed="false">
      <c r="A4321" s="51" t="s">
        <v>240</v>
      </c>
      <c r="B4321" s="55" t="n">
        <v>44742</v>
      </c>
      <c r="C4321" s="51" t="s">
        <v>782</v>
      </c>
      <c r="D4321" s="51" t="n">
        <v>0</v>
      </c>
    </row>
    <row r="4322" customFormat="false" ht="15" hidden="true" customHeight="false" outlineLevel="0" collapsed="false">
      <c r="A4322" s="51" t="s">
        <v>246</v>
      </c>
      <c r="B4322" s="55" t="n">
        <v>44742</v>
      </c>
      <c r="C4322" s="51" t="s">
        <v>782</v>
      </c>
      <c r="D4322" s="51" t="n">
        <v>0</v>
      </c>
    </row>
    <row r="4323" customFormat="false" ht="15" hidden="true" customHeight="false" outlineLevel="0" collapsed="false">
      <c r="A4323" s="51" t="s">
        <v>252</v>
      </c>
      <c r="B4323" s="55" t="n">
        <v>44742</v>
      </c>
      <c r="C4323" s="51" t="s">
        <v>782</v>
      </c>
      <c r="D4323" s="51" t="n">
        <v>0</v>
      </c>
    </row>
    <row r="4324" customFormat="false" ht="15" hidden="true" customHeight="false" outlineLevel="0" collapsed="false">
      <c r="A4324" s="51" t="s">
        <v>257</v>
      </c>
      <c r="B4324" s="55" t="n">
        <v>44742</v>
      </c>
      <c r="C4324" s="51" t="s">
        <v>782</v>
      </c>
      <c r="D4324" s="51" t="n">
        <v>0</v>
      </c>
    </row>
    <row r="4325" customFormat="false" ht="15" hidden="true" customHeight="false" outlineLevel="0" collapsed="false">
      <c r="A4325" s="51" t="s">
        <v>262</v>
      </c>
      <c r="B4325" s="55" t="n">
        <v>44742</v>
      </c>
      <c r="C4325" s="51" t="s">
        <v>782</v>
      </c>
      <c r="D4325" s="51" t="n">
        <v>0</v>
      </c>
    </row>
    <row r="4326" customFormat="false" ht="15" hidden="true" customHeight="false" outlineLevel="0" collapsed="false">
      <c r="A4326" s="51" t="s">
        <v>267</v>
      </c>
      <c r="B4326" s="55" t="n">
        <v>44742</v>
      </c>
      <c r="C4326" s="51" t="s">
        <v>782</v>
      </c>
      <c r="D4326" s="51" t="n">
        <v>0</v>
      </c>
    </row>
    <row r="4327" customFormat="false" ht="15" hidden="true" customHeight="false" outlineLevel="0" collapsed="false">
      <c r="A4327" s="51" t="s">
        <v>272</v>
      </c>
      <c r="B4327" s="55" t="n">
        <v>44742</v>
      </c>
      <c r="C4327" s="51" t="s">
        <v>782</v>
      </c>
      <c r="D4327" s="51" t="n">
        <v>0</v>
      </c>
    </row>
    <row r="4328" customFormat="false" ht="15" hidden="true" customHeight="false" outlineLevel="0" collapsed="false">
      <c r="A4328" s="51" t="s">
        <v>277</v>
      </c>
      <c r="B4328" s="55" t="n">
        <v>44742</v>
      </c>
      <c r="C4328" s="51" t="s">
        <v>782</v>
      </c>
      <c r="D4328" s="51" t="n">
        <v>0</v>
      </c>
    </row>
    <row r="4329" customFormat="false" ht="15" hidden="true" customHeight="false" outlineLevel="0" collapsed="false">
      <c r="A4329" s="51" t="s">
        <v>282</v>
      </c>
      <c r="B4329" s="55" t="n">
        <v>44742</v>
      </c>
      <c r="C4329" s="51" t="s">
        <v>782</v>
      </c>
      <c r="D4329" s="51" t="n">
        <v>1000000</v>
      </c>
    </row>
    <row r="4330" customFormat="false" ht="15" hidden="true" customHeight="false" outlineLevel="0" collapsed="false">
      <c r="A4330" s="51" t="s">
        <v>287</v>
      </c>
      <c r="B4330" s="55" t="n">
        <v>44742</v>
      </c>
      <c r="C4330" s="51" t="s">
        <v>782</v>
      </c>
      <c r="D4330" s="51" t="n">
        <v>903000</v>
      </c>
    </row>
    <row r="4331" customFormat="false" ht="15" hidden="true" customHeight="false" outlineLevel="0" collapsed="false">
      <c r="A4331" s="51" t="s">
        <v>292</v>
      </c>
      <c r="B4331" s="55" t="n">
        <v>44742</v>
      </c>
      <c r="C4331" s="51" t="s">
        <v>782</v>
      </c>
      <c r="D4331" s="51" t="n">
        <v>700000</v>
      </c>
    </row>
    <row r="4332" customFormat="false" ht="15" hidden="true" customHeight="false" outlineLevel="0" collapsed="false">
      <c r="A4332" s="51" t="s">
        <v>297</v>
      </c>
      <c r="B4332" s="55" t="n">
        <v>44742</v>
      </c>
      <c r="C4332" s="51" t="s">
        <v>782</v>
      </c>
      <c r="D4332" s="51" t="n">
        <v>650000</v>
      </c>
    </row>
    <row r="4333" customFormat="false" ht="15" hidden="true" customHeight="false" outlineLevel="0" collapsed="false">
      <c r="A4333" s="51" t="s">
        <v>302</v>
      </c>
      <c r="B4333" s="55" t="n">
        <v>44742</v>
      </c>
      <c r="C4333" s="51" t="s">
        <v>782</v>
      </c>
      <c r="D4333" s="51" t="n">
        <v>500000</v>
      </c>
    </row>
    <row r="4334" customFormat="false" ht="15" hidden="true" customHeight="false" outlineLevel="0" collapsed="false">
      <c r="A4334" s="51" t="s">
        <v>307</v>
      </c>
      <c r="B4334" s="55" t="n">
        <v>44742</v>
      </c>
      <c r="C4334" s="51" t="s">
        <v>782</v>
      </c>
      <c r="D4334" s="51" t="n">
        <v>1650000</v>
      </c>
    </row>
    <row r="4335" customFormat="false" ht="15" hidden="true" customHeight="false" outlineLevel="0" collapsed="false">
      <c r="A4335" s="51" t="s">
        <v>311</v>
      </c>
      <c r="B4335" s="55" t="n">
        <v>44742</v>
      </c>
      <c r="C4335" s="51" t="s">
        <v>782</v>
      </c>
      <c r="D4335" s="51" t="n">
        <v>2674297.49</v>
      </c>
    </row>
    <row r="4336" customFormat="false" ht="15" hidden="true" customHeight="false" outlineLevel="0" collapsed="false">
      <c r="A4336" s="51" t="s">
        <v>317</v>
      </c>
      <c r="B4336" s="55" t="n">
        <v>44742</v>
      </c>
      <c r="C4336" s="51" t="s">
        <v>782</v>
      </c>
      <c r="D4336" s="51" t="n">
        <v>3858000</v>
      </c>
    </row>
    <row r="4337" customFormat="false" ht="15" hidden="true" customHeight="false" outlineLevel="0" collapsed="false">
      <c r="A4337" s="51" t="s">
        <v>322</v>
      </c>
      <c r="B4337" s="55" t="n">
        <v>44742</v>
      </c>
      <c r="C4337" s="51" t="s">
        <v>782</v>
      </c>
      <c r="D4337" s="51" t="n">
        <v>0</v>
      </c>
    </row>
    <row r="4338" customFormat="false" ht="15" hidden="true" customHeight="false" outlineLevel="0" collapsed="false">
      <c r="A4338" s="51" t="s">
        <v>327</v>
      </c>
      <c r="B4338" s="55" t="n">
        <v>44742</v>
      </c>
      <c r="C4338" s="51" t="s">
        <v>782</v>
      </c>
      <c r="D4338" s="51" t="n">
        <v>0</v>
      </c>
    </row>
    <row r="4339" customFormat="false" ht="15" hidden="true" customHeight="false" outlineLevel="0" collapsed="false">
      <c r="A4339" s="51" t="s">
        <v>332</v>
      </c>
      <c r="B4339" s="55" t="n">
        <v>44742</v>
      </c>
      <c r="C4339" s="51" t="s">
        <v>782</v>
      </c>
      <c r="D4339" s="51" t="n">
        <v>0</v>
      </c>
    </row>
    <row r="4340" customFormat="false" ht="15" hidden="true" customHeight="false" outlineLevel="0" collapsed="false">
      <c r="A4340" s="51" t="s">
        <v>339</v>
      </c>
      <c r="B4340" s="55" t="n">
        <v>44742</v>
      </c>
      <c r="C4340" s="51" t="s">
        <v>782</v>
      </c>
      <c r="D4340" s="51" t="n">
        <v>0</v>
      </c>
    </row>
    <row r="4341" customFormat="false" ht="15" hidden="true" customHeight="false" outlineLevel="0" collapsed="false">
      <c r="A4341" s="51" t="s">
        <v>344</v>
      </c>
      <c r="B4341" s="55" t="n">
        <v>44742</v>
      </c>
      <c r="C4341" s="51" t="s">
        <v>782</v>
      </c>
      <c r="D4341" s="51" t="n">
        <v>0</v>
      </c>
    </row>
    <row r="4342" customFormat="false" ht="15" hidden="true" customHeight="false" outlineLevel="0" collapsed="false">
      <c r="A4342" s="51" t="s">
        <v>349</v>
      </c>
      <c r="B4342" s="55" t="n">
        <v>44742</v>
      </c>
      <c r="C4342" s="51" t="s">
        <v>782</v>
      </c>
      <c r="D4342" s="51" t="n">
        <v>0</v>
      </c>
    </row>
    <row r="4343" customFormat="false" ht="15" hidden="true" customHeight="false" outlineLevel="0" collapsed="false">
      <c r="A4343" s="51" t="s">
        <v>354</v>
      </c>
      <c r="B4343" s="55" t="n">
        <v>44742</v>
      </c>
      <c r="C4343" s="51" t="s">
        <v>782</v>
      </c>
      <c r="D4343" s="51" t="n">
        <v>0</v>
      </c>
    </row>
    <row r="4344" customFormat="false" ht="15" hidden="true" customHeight="false" outlineLevel="0" collapsed="false">
      <c r="A4344" s="51" t="s">
        <v>359</v>
      </c>
      <c r="B4344" s="55" t="n">
        <v>44742</v>
      </c>
      <c r="C4344" s="51" t="s">
        <v>782</v>
      </c>
      <c r="D4344" s="51" t="n">
        <v>0</v>
      </c>
    </row>
    <row r="4345" customFormat="false" ht="15" hidden="true" customHeight="false" outlineLevel="0" collapsed="false">
      <c r="A4345" s="51" t="s">
        <v>364</v>
      </c>
      <c r="B4345" s="55" t="n">
        <v>44742</v>
      </c>
      <c r="C4345" s="51" t="s">
        <v>782</v>
      </c>
      <c r="D4345" s="51" t="n">
        <v>0</v>
      </c>
    </row>
    <row r="4346" customFormat="false" ht="15" hidden="true" customHeight="false" outlineLevel="0" collapsed="false">
      <c r="A4346" s="51" t="s">
        <v>369</v>
      </c>
      <c r="B4346" s="55" t="n">
        <v>44742</v>
      </c>
      <c r="C4346" s="51" t="s">
        <v>782</v>
      </c>
      <c r="D4346" s="51" t="n">
        <v>0</v>
      </c>
    </row>
    <row r="4347" customFormat="false" ht="15" hidden="true" customHeight="false" outlineLevel="0" collapsed="false">
      <c r="A4347" s="51" t="s">
        <v>374</v>
      </c>
      <c r="B4347" s="55" t="n">
        <v>44742</v>
      </c>
      <c r="C4347" s="51" t="s">
        <v>782</v>
      </c>
      <c r="D4347" s="51" t="n">
        <v>0</v>
      </c>
    </row>
    <row r="4348" customFormat="false" ht="15" hidden="true" customHeight="false" outlineLevel="0" collapsed="false">
      <c r="A4348" s="51" t="s">
        <v>379</v>
      </c>
      <c r="B4348" s="55" t="n">
        <v>44742</v>
      </c>
      <c r="C4348" s="51" t="s">
        <v>782</v>
      </c>
      <c r="D4348" s="51" t="n">
        <v>0</v>
      </c>
    </row>
    <row r="4349" customFormat="false" ht="15" hidden="true" customHeight="false" outlineLevel="0" collapsed="false">
      <c r="A4349" s="51" t="s">
        <v>384</v>
      </c>
      <c r="B4349" s="55" t="n">
        <v>44742</v>
      </c>
      <c r="C4349" s="51" t="s">
        <v>782</v>
      </c>
      <c r="D4349" s="51" t="n">
        <v>0</v>
      </c>
    </row>
    <row r="4350" customFormat="false" ht="15" hidden="true" customHeight="false" outlineLevel="0" collapsed="false">
      <c r="A4350" s="51" t="s">
        <v>389</v>
      </c>
      <c r="B4350" s="55" t="n">
        <v>44742</v>
      </c>
      <c r="C4350" s="51" t="s">
        <v>782</v>
      </c>
      <c r="D4350" s="51" t="n">
        <v>0</v>
      </c>
    </row>
    <row r="4351" customFormat="false" ht="15" hidden="true" customHeight="false" outlineLevel="0" collapsed="false">
      <c r="A4351" s="51" t="s">
        <v>394</v>
      </c>
      <c r="B4351" s="55" t="n">
        <v>44742</v>
      </c>
      <c r="C4351" s="51" t="s">
        <v>782</v>
      </c>
      <c r="D4351" s="51" t="n">
        <v>0</v>
      </c>
    </row>
    <row r="4352" customFormat="false" ht="15" hidden="true" customHeight="false" outlineLevel="0" collapsed="false">
      <c r="A4352" s="51" t="s">
        <v>399</v>
      </c>
      <c r="B4352" s="55" t="n">
        <v>44742</v>
      </c>
      <c r="C4352" s="51" t="s">
        <v>782</v>
      </c>
      <c r="D4352" s="51" t="n">
        <v>0</v>
      </c>
    </row>
    <row r="4353" customFormat="false" ht="15" hidden="true" customHeight="false" outlineLevel="0" collapsed="false">
      <c r="A4353" s="51" t="s">
        <v>404</v>
      </c>
      <c r="B4353" s="55" t="n">
        <v>44742</v>
      </c>
      <c r="C4353" s="51" t="s">
        <v>782</v>
      </c>
      <c r="D4353" s="51" t="n">
        <v>0</v>
      </c>
    </row>
    <row r="4354" customFormat="false" ht="15" hidden="true" customHeight="false" outlineLevel="0" collapsed="false">
      <c r="A4354" s="51" t="s">
        <v>409</v>
      </c>
      <c r="B4354" s="55" t="n">
        <v>44742</v>
      </c>
      <c r="C4354" s="51" t="s">
        <v>782</v>
      </c>
      <c r="D4354" s="51" t="n">
        <v>0</v>
      </c>
    </row>
    <row r="4355" customFormat="false" ht="15" hidden="true" customHeight="false" outlineLevel="0" collapsed="false">
      <c r="A4355" s="51" t="s">
        <v>414</v>
      </c>
      <c r="B4355" s="55" t="n">
        <v>44742</v>
      </c>
      <c r="C4355" s="51" t="s">
        <v>782</v>
      </c>
      <c r="D4355" s="51" t="n">
        <v>0</v>
      </c>
    </row>
    <row r="4356" customFormat="false" ht="15" hidden="true" customHeight="false" outlineLevel="0" collapsed="false">
      <c r="A4356" s="51" t="s">
        <v>419</v>
      </c>
      <c r="B4356" s="55" t="n">
        <v>44742</v>
      </c>
      <c r="C4356" s="51" t="s">
        <v>782</v>
      </c>
      <c r="D4356" s="51" t="n">
        <v>0</v>
      </c>
    </row>
    <row r="4357" customFormat="false" ht="15" hidden="true" customHeight="false" outlineLevel="0" collapsed="false">
      <c r="A4357" s="51" t="s">
        <v>424</v>
      </c>
      <c r="B4357" s="55" t="n">
        <v>44742</v>
      </c>
      <c r="C4357" s="51" t="s">
        <v>782</v>
      </c>
      <c r="D4357" s="51" t="n">
        <v>0</v>
      </c>
    </row>
    <row r="4358" customFormat="false" ht="15" hidden="true" customHeight="false" outlineLevel="0" collapsed="false">
      <c r="A4358" s="51" t="s">
        <v>429</v>
      </c>
      <c r="B4358" s="55" t="n">
        <v>44742</v>
      </c>
      <c r="C4358" s="51" t="s">
        <v>782</v>
      </c>
      <c r="D4358" s="51" t="n">
        <v>0</v>
      </c>
    </row>
    <row r="4359" customFormat="false" ht="15" hidden="true" customHeight="false" outlineLevel="0" collapsed="false">
      <c r="A4359" s="51" t="s">
        <v>434</v>
      </c>
      <c r="B4359" s="55" t="n">
        <v>44742</v>
      </c>
      <c r="C4359" s="51" t="s">
        <v>782</v>
      </c>
      <c r="D4359" s="51" t="n">
        <v>0</v>
      </c>
    </row>
    <row r="4360" customFormat="false" ht="15" hidden="true" customHeight="false" outlineLevel="0" collapsed="false">
      <c r="A4360" s="51" t="s">
        <v>438</v>
      </c>
      <c r="B4360" s="55" t="n">
        <v>44742</v>
      </c>
      <c r="C4360" s="51" t="s">
        <v>782</v>
      </c>
      <c r="D4360" s="51" t="n">
        <v>0</v>
      </c>
    </row>
    <row r="4361" customFormat="false" ht="15" hidden="true" customHeight="false" outlineLevel="0" collapsed="false">
      <c r="A4361" s="51" t="s">
        <v>443</v>
      </c>
      <c r="B4361" s="55" t="n">
        <v>44742</v>
      </c>
      <c r="C4361" s="51" t="s">
        <v>782</v>
      </c>
      <c r="D4361" s="51" t="n">
        <v>0</v>
      </c>
    </row>
    <row r="4362" customFormat="false" ht="15" hidden="true" customHeight="false" outlineLevel="0" collapsed="false">
      <c r="A4362" s="51" t="s">
        <v>448</v>
      </c>
      <c r="B4362" s="55" t="n">
        <v>44742</v>
      </c>
      <c r="C4362" s="51" t="s">
        <v>782</v>
      </c>
      <c r="D4362" s="51" t="n">
        <v>0</v>
      </c>
    </row>
    <row r="4363" customFormat="false" ht="15" hidden="true" customHeight="false" outlineLevel="0" collapsed="false">
      <c r="A4363" s="51" t="s">
        <v>453</v>
      </c>
      <c r="B4363" s="55" t="n">
        <v>44742</v>
      </c>
      <c r="C4363" s="51" t="s">
        <v>782</v>
      </c>
      <c r="D4363" s="51" t="n">
        <v>0</v>
      </c>
    </row>
    <row r="4364" customFormat="false" ht="15" hidden="true" customHeight="false" outlineLevel="0" collapsed="false">
      <c r="A4364" s="51" t="s">
        <v>458</v>
      </c>
      <c r="B4364" s="55" t="n">
        <v>44742</v>
      </c>
      <c r="C4364" s="51" t="s">
        <v>782</v>
      </c>
      <c r="D4364" s="51" t="n">
        <v>0</v>
      </c>
    </row>
    <row r="4365" customFormat="false" ht="15" hidden="true" customHeight="false" outlineLevel="0" collapsed="false">
      <c r="A4365" s="51" t="s">
        <v>473</v>
      </c>
      <c r="B4365" s="55" t="n">
        <v>44742</v>
      </c>
      <c r="C4365" s="51" t="s">
        <v>782</v>
      </c>
      <c r="D4365" s="51" t="n">
        <v>0</v>
      </c>
    </row>
    <row r="4366" customFormat="false" ht="15" hidden="true" customHeight="false" outlineLevel="0" collapsed="false">
      <c r="A4366" s="51" t="s">
        <v>479</v>
      </c>
      <c r="B4366" s="55" t="n">
        <v>44742</v>
      </c>
      <c r="C4366" s="51" t="s">
        <v>782</v>
      </c>
      <c r="D4366" s="51" t="n">
        <v>0</v>
      </c>
    </row>
    <row r="4367" customFormat="false" ht="15" hidden="true" customHeight="false" outlineLevel="0" collapsed="false">
      <c r="A4367" s="51" t="s">
        <v>484</v>
      </c>
      <c r="B4367" s="55" t="n">
        <v>44742</v>
      </c>
      <c r="C4367" s="51" t="s">
        <v>782</v>
      </c>
      <c r="D4367" s="51" t="n">
        <v>0</v>
      </c>
    </row>
    <row r="4368" customFormat="false" ht="15" hidden="true" customHeight="false" outlineLevel="0" collapsed="false">
      <c r="A4368" s="51" t="s">
        <v>489</v>
      </c>
      <c r="B4368" s="55" t="n">
        <v>44742</v>
      </c>
      <c r="C4368" s="51" t="s">
        <v>782</v>
      </c>
      <c r="D4368" s="51" t="n">
        <v>0</v>
      </c>
    </row>
    <row r="4369" customFormat="false" ht="15" hidden="true" customHeight="false" outlineLevel="0" collapsed="false">
      <c r="A4369" s="51" t="s">
        <v>494</v>
      </c>
      <c r="B4369" s="55" t="n">
        <v>44742</v>
      </c>
      <c r="C4369" s="51" t="s">
        <v>782</v>
      </c>
      <c r="D4369" s="51" t="n">
        <v>0</v>
      </c>
    </row>
    <row r="4370" customFormat="false" ht="15" hidden="true" customHeight="false" outlineLevel="0" collapsed="false">
      <c r="A4370" s="51" t="s">
        <v>499</v>
      </c>
      <c r="B4370" s="55" t="n">
        <v>44742</v>
      </c>
      <c r="C4370" s="51" t="s">
        <v>782</v>
      </c>
      <c r="D4370" s="51" t="n">
        <v>0</v>
      </c>
    </row>
    <row r="4371" customFormat="false" ht="15" hidden="true" customHeight="false" outlineLevel="0" collapsed="false">
      <c r="A4371" s="51" t="s">
        <v>504</v>
      </c>
      <c r="B4371" s="55" t="n">
        <v>44742</v>
      </c>
      <c r="C4371" s="51" t="s">
        <v>782</v>
      </c>
      <c r="D4371" s="51" t="n">
        <v>0</v>
      </c>
    </row>
    <row r="4372" customFormat="false" ht="15" hidden="true" customHeight="false" outlineLevel="0" collapsed="false">
      <c r="A4372" s="51" t="s">
        <v>509</v>
      </c>
      <c r="B4372" s="55" t="n">
        <v>44742</v>
      </c>
      <c r="C4372" s="51" t="s">
        <v>782</v>
      </c>
      <c r="D4372" s="51" t="n">
        <v>0</v>
      </c>
    </row>
    <row r="4373" customFormat="false" ht="15" hidden="true" customHeight="false" outlineLevel="0" collapsed="false">
      <c r="A4373" s="51" t="s">
        <v>515</v>
      </c>
      <c r="B4373" s="55" t="n">
        <v>44742</v>
      </c>
      <c r="C4373" s="51" t="s">
        <v>782</v>
      </c>
      <c r="D4373" s="51" t="n">
        <v>0</v>
      </c>
    </row>
    <row r="4374" customFormat="false" ht="15" hidden="true" customHeight="false" outlineLevel="0" collapsed="false">
      <c r="A4374" s="51" t="s">
        <v>520</v>
      </c>
      <c r="B4374" s="55" t="n">
        <v>44742</v>
      </c>
      <c r="C4374" s="51" t="s">
        <v>782</v>
      </c>
      <c r="D4374" s="51" t="n">
        <v>0</v>
      </c>
    </row>
    <row r="4375" customFormat="false" ht="15" hidden="true" customHeight="false" outlineLevel="0" collapsed="false">
      <c r="A4375" s="51" t="s">
        <v>525</v>
      </c>
      <c r="B4375" s="55" t="n">
        <v>44742</v>
      </c>
      <c r="C4375" s="51" t="s">
        <v>782</v>
      </c>
      <c r="D4375" s="51" t="n">
        <v>0</v>
      </c>
    </row>
    <row r="4376" customFormat="false" ht="15" hidden="true" customHeight="false" outlineLevel="0" collapsed="false">
      <c r="A4376" s="51" t="s">
        <v>531</v>
      </c>
      <c r="B4376" s="55" t="n">
        <v>44742</v>
      </c>
      <c r="C4376" s="51" t="s">
        <v>782</v>
      </c>
      <c r="D4376" s="51" t="n">
        <v>0</v>
      </c>
    </row>
    <row r="4377" customFormat="false" ht="15" hidden="true" customHeight="false" outlineLevel="0" collapsed="false">
      <c r="A4377" s="51" t="s">
        <v>536</v>
      </c>
      <c r="B4377" s="55" t="n">
        <v>44742</v>
      </c>
      <c r="C4377" s="51" t="s">
        <v>782</v>
      </c>
      <c r="D4377" s="51" t="n">
        <v>0</v>
      </c>
    </row>
    <row r="4378" customFormat="false" ht="15" hidden="true" customHeight="false" outlineLevel="0" collapsed="false">
      <c r="A4378" s="51" t="s">
        <v>541</v>
      </c>
      <c r="B4378" s="55" t="n">
        <v>44742</v>
      </c>
      <c r="C4378" s="51" t="s">
        <v>782</v>
      </c>
      <c r="D4378" s="51" t="n">
        <v>0</v>
      </c>
    </row>
    <row r="4379" customFormat="false" ht="15" hidden="true" customHeight="false" outlineLevel="0" collapsed="false">
      <c r="A4379" s="51" t="s">
        <v>549</v>
      </c>
      <c r="B4379" s="55" t="n">
        <v>44742</v>
      </c>
      <c r="C4379" s="51" t="s">
        <v>782</v>
      </c>
      <c r="D4379" s="51" t="n">
        <v>0</v>
      </c>
    </row>
    <row r="4380" customFormat="false" ht="15" hidden="true" customHeight="false" outlineLevel="0" collapsed="false">
      <c r="A4380" s="51" t="s">
        <v>554</v>
      </c>
      <c r="B4380" s="55" t="n">
        <v>44742</v>
      </c>
      <c r="C4380" s="51" t="s">
        <v>782</v>
      </c>
      <c r="D4380" s="51" t="n">
        <v>0</v>
      </c>
    </row>
    <row r="4381" customFormat="false" ht="15" hidden="true" customHeight="false" outlineLevel="0" collapsed="false">
      <c r="A4381" s="51" t="s">
        <v>559</v>
      </c>
      <c r="B4381" s="55" t="n">
        <v>44742</v>
      </c>
      <c r="C4381" s="51" t="s">
        <v>782</v>
      </c>
      <c r="D4381" s="51" t="n">
        <v>0</v>
      </c>
    </row>
    <row r="4382" customFormat="false" ht="15" hidden="true" customHeight="false" outlineLevel="0" collapsed="false">
      <c r="A4382" s="51" t="s">
        <v>564</v>
      </c>
      <c r="B4382" s="55" t="n">
        <v>44742</v>
      </c>
      <c r="C4382" s="51" t="s">
        <v>782</v>
      </c>
      <c r="D4382" s="51" t="n">
        <v>0</v>
      </c>
    </row>
    <row r="4383" customFormat="false" ht="15" hidden="true" customHeight="false" outlineLevel="0" collapsed="false">
      <c r="A4383" s="51" t="s">
        <v>569</v>
      </c>
      <c r="B4383" s="55" t="n">
        <v>44742</v>
      </c>
      <c r="C4383" s="51" t="s">
        <v>782</v>
      </c>
      <c r="D4383" s="51" t="n">
        <v>0</v>
      </c>
    </row>
    <row r="4384" customFormat="false" ht="15" hidden="true" customHeight="false" outlineLevel="0" collapsed="false">
      <c r="A4384" s="51" t="s">
        <v>574</v>
      </c>
      <c r="B4384" s="55" t="n">
        <v>44742</v>
      </c>
      <c r="C4384" s="51" t="s">
        <v>782</v>
      </c>
      <c r="D4384" s="51" t="n">
        <v>0</v>
      </c>
    </row>
    <row r="4385" customFormat="false" ht="15" hidden="true" customHeight="false" outlineLevel="0" collapsed="false">
      <c r="A4385" s="51" t="s">
        <v>579</v>
      </c>
      <c r="B4385" s="55" t="n">
        <v>44742</v>
      </c>
      <c r="C4385" s="51" t="s">
        <v>782</v>
      </c>
      <c r="D4385" s="51" t="n">
        <v>0</v>
      </c>
    </row>
    <row r="4386" customFormat="false" ht="15" hidden="true" customHeight="false" outlineLevel="0" collapsed="false">
      <c r="A4386" s="51" t="s">
        <v>584</v>
      </c>
      <c r="B4386" s="55" t="n">
        <v>44742</v>
      </c>
      <c r="C4386" s="51" t="s">
        <v>782</v>
      </c>
      <c r="D4386" s="51" t="n">
        <v>0</v>
      </c>
    </row>
    <row r="4387" customFormat="false" ht="15" hidden="true" customHeight="false" outlineLevel="0" collapsed="false">
      <c r="A4387" s="51" t="s">
        <v>589</v>
      </c>
      <c r="B4387" s="55" t="n">
        <v>44742</v>
      </c>
      <c r="C4387" s="51" t="s">
        <v>782</v>
      </c>
      <c r="D4387" s="51" t="n">
        <v>0</v>
      </c>
    </row>
    <row r="4388" customFormat="false" ht="15" hidden="true" customHeight="false" outlineLevel="0" collapsed="false">
      <c r="A4388" s="51" t="s">
        <v>756</v>
      </c>
      <c r="B4388" s="55" t="n">
        <v>44742</v>
      </c>
      <c r="C4388" s="51" t="s">
        <v>782</v>
      </c>
      <c r="D4388" s="51" t="n">
        <v>0</v>
      </c>
    </row>
    <row r="4389" customFormat="false" ht="15" hidden="true" customHeight="false" outlineLevel="0" collapsed="false">
      <c r="A4389" s="51" t="s">
        <v>594</v>
      </c>
      <c r="B4389" s="55" t="n">
        <v>44742</v>
      </c>
      <c r="C4389" s="51" t="s">
        <v>782</v>
      </c>
      <c r="D4389" s="51" t="n">
        <v>0</v>
      </c>
    </row>
    <row r="4390" customFormat="false" ht="15" hidden="true" customHeight="false" outlineLevel="0" collapsed="false">
      <c r="A4390" s="51" t="s">
        <v>761</v>
      </c>
      <c r="B4390" s="55" t="n">
        <v>44742</v>
      </c>
      <c r="C4390" s="51" t="s">
        <v>782</v>
      </c>
      <c r="D4390" s="51" t="n">
        <v>0</v>
      </c>
    </row>
    <row r="4391" customFormat="false" ht="15" hidden="true" customHeight="false" outlineLevel="0" collapsed="false">
      <c r="A4391" s="51" t="s">
        <v>599</v>
      </c>
      <c r="B4391" s="55" t="n">
        <v>44742</v>
      </c>
      <c r="C4391" s="51" t="s">
        <v>782</v>
      </c>
      <c r="D4391" s="51" t="n">
        <v>0</v>
      </c>
    </row>
    <row r="4392" customFormat="false" ht="15" hidden="true" customHeight="false" outlineLevel="0" collapsed="false">
      <c r="A4392" s="51" t="s">
        <v>604</v>
      </c>
      <c r="B4392" s="55" t="n">
        <v>44742</v>
      </c>
      <c r="C4392" s="51" t="s">
        <v>782</v>
      </c>
      <c r="D4392" s="51" t="n">
        <v>0</v>
      </c>
    </row>
    <row r="4393" customFormat="false" ht="15" hidden="true" customHeight="false" outlineLevel="0" collapsed="false">
      <c r="A4393" s="51" t="s">
        <v>609</v>
      </c>
      <c r="B4393" s="55" t="n">
        <v>44742</v>
      </c>
      <c r="C4393" s="51" t="s">
        <v>782</v>
      </c>
      <c r="D4393" s="51" t="n">
        <v>0</v>
      </c>
    </row>
    <row r="4394" customFormat="false" ht="15" hidden="true" customHeight="false" outlineLevel="0" collapsed="false">
      <c r="A4394" s="51" t="s">
        <v>614</v>
      </c>
      <c r="B4394" s="55" t="n">
        <v>44742</v>
      </c>
      <c r="C4394" s="51" t="s">
        <v>782</v>
      </c>
      <c r="D4394" s="51" t="n">
        <v>0</v>
      </c>
    </row>
    <row r="4395" customFormat="false" ht="15" hidden="true" customHeight="false" outlineLevel="0" collapsed="false">
      <c r="A4395" s="51" t="s">
        <v>619</v>
      </c>
      <c r="B4395" s="55" t="n">
        <v>44742</v>
      </c>
      <c r="C4395" s="51" t="s">
        <v>782</v>
      </c>
      <c r="D4395" s="51" t="n">
        <v>0</v>
      </c>
    </row>
    <row r="4396" customFormat="false" ht="15" hidden="true" customHeight="false" outlineLevel="0" collapsed="false">
      <c r="A4396" s="51" t="s">
        <v>624</v>
      </c>
      <c r="B4396" s="55" t="n">
        <v>44742</v>
      </c>
      <c r="C4396" s="51" t="s">
        <v>782</v>
      </c>
      <c r="D4396" s="51" t="n">
        <v>0</v>
      </c>
    </row>
    <row r="4397" customFormat="false" ht="15" hidden="true" customHeight="false" outlineLevel="0" collapsed="false">
      <c r="A4397" s="51" t="s">
        <v>629</v>
      </c>
      <c r="B4397" s="55" t="n">
        <v>44742</v>
      </c>
      <c r="C4397" s="51" t="s">
        <v>782</v>
      </c>
      <c r="D4397" s="51" t="n">
        <v>0</v>
      </c>
    </row>
    <row r="4398" customFormat="false" ht="15" hidden="true" customHeight="false" outlineLevel="0" collapsed="false">
      <c r="A4398" s="51" t="s">
        <v>633</v>
      </c>
      <c r="B4398" s="55" t="n">
        <v>44742</v>
      </c>
      <c r="C4398" s="51" t="s">
        <v>782</v>
      </c>
      <c r="D4398" s="51" t="n">
        <v>0</v>
      </c>
    </row>
    <row r="4399" customFormat="false" ht="15" hidden="true" customHeight="false" outlineLevel="0" collapsed="false">
      <c r="A4399" s="51" t="s">
        <v>638</v>
      </c>
      <c r="B4399" s="55" t="n">
        <v>44742</v>
      </c>
      <c r="C4399" s="51" t="s">
        <v>782</v>
      </c>
      <c r="D4399" s="51" t="n">
        <v>0</v>
      </c>
    </row>
    <row r="4400" customFormat="false" ht="15" hidden="true" customHeight="false" outlineLevel="0" collapsed="false">
      <c r="A4400" s="51" t="s">
        <v>642</v>
      </c>
      <c r="B4400" s="55" t="n">
        <v>44742</v>
      </c>
      <c r="C4400" s="51" t="s">
        <v>782</v>
      </c>
      <c r="D4400" s="51" t="n">
        <v>0</v>
      </c>
    </row>
    <row r="4401" customFormat="false" ht="15" hidden="true" customHeight="false" outlineLevel="0" collapsed="false">
      <c r="A4401" s="51" t="s">
        <v>646</v>
      </c>
      <c r="B4401" s="55" t="n">
        <v>44742</v>
      </c>
      <c r="C4401" s="51" t="s">
        <v>782</v>
      </c>
      <c r="D4401" s="51" t="n">
        <v>0</v>
      </c>
    </row>
    <row r="4402" customFormat="false" ht="15" hidden="true" customHeight="false" outlineLevel="0" collapsed="false">
      <c r="A4402" s="51" t="s">
        <v>651</v>
      </c>
      <c r="B4402" s="55" t="n">
        <v>44742</v>
      </c>
      <c r="C4402" s="51" t="s">
        <v>782</v>
      </c>
      <c r="D4402" s="51" t="n">
        <v>0</v>
      </c>
    </row>
    <row r="4403" customFormat="false" ht="15" hidden="true" customHeight="false" outlineLevel="0" collapsed="false">
      <c r="A4403" s="51" t="s">
        <v>656</v>
      </c>
      <c r="B4403" s="55" t="n">
        <v>44742</v>
      </c>
      <c r="C4403" s="51" t="s">
        <v>782</v>
      </c>
      <c r="D4403" s="51" t="n">
        <v>0</v>
      </c>
    </row>
    <row r="4404" customFormat="false" ht="15" hidden="true" customHeight="false" outlineLevel="0" collapsed="false">
      <c r="A4404" s="51" t="s">
        <v>661</v>
      </c>
      <c r="B4404" s="55" t="n">
        <v>44742</v>
      </c>
      <c r="C4404" s="51" t="s">
        <v>782</v>
      </c>
      <c r="D4404" s="51" t="n">
        <v>0</v>
      </c>
    </row>
    <row r="4405" customFormat="false" ht="15" hidden="true" customHeight="false" outlineLevel="0" collapsed="false">
      <c r="A4405" s="51" t="s">
        <v>666</v>
      </c>
      <c r="B4405" s="55" t="n">
        <v>44742</v>
      </c>
      <c r="C4405" s="51" t="s">
        <v>782</v>
      </c>
      <c r="D4405" s="51" t="n">
        <v>0</v>
      </c>
    </row>
    <row r="4406" customFormat="false" ht="15" hidden="true" customHeight="false" outlineLevel="0" collapsed="false">
      <c r="A4406" s="51" t="s">
        <v>671</v>
      </c>
      <c r="B4406" s="55" t="n">
        <v>44742</v>
      </c>
      <c r="C4406" s="51" t="s">
        <v>782</v>
      </c>
      <c r="D4406" s="51" t="n">
        <v>0</v>
      </c>
    </row>
    <row r="4407" customFormat="false" ht="15" hidden="true" customHeight="false" outlineLevel="0" collapsed="false">
      <c r="A4407" s="51" t="s">
        <v>676</v>
      </c>
      <c r="B4407" s="55" t="n">
        <v>44742</v>
      </c>
      <c r="C4407" s="51" t="s">
        <v>782</v>
      </c>
      <c r="D4407" s="51" t="n">
        <v>0</v>
      </c>
    </row>
    <row r="4408" customFormat="false" ht="15" hidden="true" customHeight="false" outlineLevel="0" collapsed="false">
      <c r="A4408" s="51" t="s">
        <v>681</v>
      </c>
      <c r="B4408" s="55" t="n">
        <v>44742</v>
      </c>
      <c r="C4408" s="51" t="s">
        <v>782</v>
      </c>
      <c r="D4408" s="51" t="n">
        <v>0</v>
      </c>
    </row>
    <row r="4409" customFormat="false" ht="15" hidden="true" customHeight="false" outlineLevel="0" collapsed="false">
      <c r="A4409" s="51" t="s">
        <v>686</v>
      </c>
      <c r="B4409" s="55" t="n">
        <v>44742</v>
      </c>
      <c r="C4409" s="51" t="s">
        <v>782</v>
      </c>
      <c r="D4409" s="51" t="n">
        <v>0</v>
      </c>
    </row>
    <row r="4410" customFormat="false" ht="15" hidden="true" customHeight="false" outlineLevel="0" collapsed="false">
      <c r="A4410" s="51" t="s">
        <v>691</v>
      </c>
      <c r="B4410" s="55" t="n">
        <v>44742</v>
      </c>
      <c r="C4410" s="51" t="s">
        <v>782</v>
      </c>
      <c r="D4410" s="51" t="n">
        <v>0</v>
      </c>
    </row>
    <row r="4411" customFormat="false" ht="15" hidden="true" customHeight="false" outlineLevel="0" collapsed="false">
      <c r="A4411" s="51" t="s">
        <v>696</v>
      </c>
      <c r="B4411" s="55" t="n">
        <v>44742</v>
      </c>
      <c r="C4411" s="51" t="s">
        <v>782</v>
      </c>
      <c r="D4411" s="51" t="n">
        <v>0</v>
      </c>
    </row>
    <row r="4412" customFormat="false" ht="15" hidden="true" customHeight="false" outlineLevel="0" collapsed="false">
      <c r="A4412" s="51" t="s">
        <v>701</v>
      </c>
      <c r="B4412" s="55" t="n">
        <v>44742</v>
      </c>
      <c r="C4412" s="51" t="s">
        <v>782</v>
      </c>
      <c r="D4412" s="51" t="n">
        <v>0</v>
      </c>
    </row>
    <row r="4413" customFormat="false" ht="15" hidden="true" customHeight="false" outlineLevel="0" collapsed="false">
      <c r="A4413" s="51" t="s">
        <v>707</v>
      </c>
      <c r="B4413" s="55" t="n">
        <v>44742</v>
      </c>
      <c r="C4413" s="51" t="s">
        <v>782</v>
      </c>
      <c r="D4413" s="51" t="n">
        <v>0</v>
      </c>
    </row>
    <row r="4414" customFormat="false" ht="15" hidden="true" customHeight="false" outlineLevel="0" collapsed="false">
      <c r="A4414" s="51" t="s">
        <v>712</v>
      </c>
      <c r="B4414" s="55" t="n">
        <v>44742</v>
      </c>
      <c r="C4414" s="51" t="s">
        <v>782</v>
      </c>
      <c r="D4414" s="51" t="n">
        <v>0</v>
      </c>
    </row>
    <row r="4415" customFormat="false" ht="15" hidden="true" customHeight="false" outlineLevel="0" collapsed="false">
      <c r="A4415" s="51" t="s">
        <v>717</v>
      </c>
      <c r="B4415" s="55" t="n">
        <v>44742</v>
      </c>
      <c r="C4415" s="51" t="s">
        <v>782</v>
      </c>
      <c r="D4415" s="51" t="n">
        <v>0</v>
      </c>
    </row>
    <row r="4416" customFormat="false" ht="15" hidden="true" customHeight="false" outlineLevel="0" collapsed="false">
      <c r="A4416" s="51" t="s">
        <v>767</v>
      </c>
      <c r="B4416" s="55" t="n">
        <v>44742</v>
      </c>
      <c r="C4416" s="51" t="s">
        <v>782</v>
      </c>
      <c r="D4416" s="51" t="n">
        <v>0</v>
      </c>
    </row>
    <row r="4417" customFormat="false" ht="15" hidden="true" customHeight="false" outlineLevel="0" collapsed="false">
      <c r="A4417" s="51" t="s">
        <v>722</v>
      </c>
      <c r="B4417" s="55" t="n">
        <v>44742</v>
      </c>
      <c r="C4417" s="51" t="s">
        <v>782</v>
      </c>
      <c r="D4417" s="51" t="n">
        <v>0</v>
      </c>
    </row>
    <row r="4418" customFormat="false" ht="15" hidden="true" customHeight="false" outlineLevel="0" collapsed="false">
      <c r="A4418" s="51" t="s">
        <v>727</v>
      </c>
      <c r="B4418" s="55" t="n">
        <v>44742</v>
      </c>
      <c r="C4418" s="51" t="s">
        <v>782</v>
      </c>
      <c r="D4418" s="51" t="n">
        <v>0</v>
      </c>
    </row>
    <row r="4419" customFormat="false" ht="15" hidden="true" customHeight="false" outlineLevel="0" collapsed="false">
      <c r="A4419" s="51" t="s">
        <v>732</v>
      </c>
      <c r="B4419" s="55" t="n">
        <v>44742</v>
      </c>
      <c r="C4419" s="51" t="s">
        <v>782</v>
      </c>
      <c r="D4419" s="51" t="n">
        <v>0</v>
      </c>
    </row>
    <row r="4420" customFormat="false" ht="15" hidden="true" customHeight="false" outlineLevel="0" collapsed="false">
      <c r="A4420" s="51" t="s">
        <v>736</v>
      </c>
      <c r="B4420" s="55" t="n">
        <v>44742</v>
      </c>
      <c r="C4420" s="51" t="s">
        <v>782</v>
      </c>
      <c r="D4420" s="51" t="n">
        <v>0</v>
      </c>
    </row>
    <row r="4421" customFormat="false" ht="15" hidden="true" customHeight="false" outlineLevel="0" collapsed="false">
      <c r="A4421" s="51" t="s">
        <v>741</v>
      </c>
      <c r="B4421" s="55" t="n">
        <v>44742</v>
      </c>
      <c r="C4421" s="51" t="s">
        <v>782</v>
      </c>
      <c r="D4421" s="51" t="n">
        <v>0</v>
      </c>
    </row>
    <row r="4422" customFormat="false" ht="15" hidden="true" customHeight="false" outlineLevel="0" collapsed="false">
      <c r="A4422" s="51" t="s">
        <v>746</v>
      </c>
      <c r="B4422" s="55" t="n">
        <v>44742</v>
      </c>
      <c r="C4422" s="51" t="s">
        <v>782</v>
      </c>
      <c r="D4422" s="51" t="n">
        <v>0</v>
      </c>
    </row>
    <row r="4423" customFormat="false" ht="15" hidden="true" customHeight="false" outlineLevel="0" collapsed="false">
      <c r="A4423" s="51" t="s">
        <v>751</v>
      </c>
      <c r="B4423" s="55" t="n">
        <v>44742</v>
      </c>
      <c r="C4423" s="51" t="s">
        <v>782</v>
      </c>
      <c r="D4423" s="51" t="n">
        <v>0</v>
      </c>
    </row>
    <row r="4424" customFormat="false" ht="15" hidden="false" customHeight="false" outlineLevel="0" collapsed="false">
      <c r="A4424" s="51" t="s">
        <v>781</v>
      </c>
      <c r="B4424" s="55" t="n">
        <v>44742</v>
      </c>
      <c r="C4424" s="51" t="s">
        <v>82</v>
      </c>
      <c r="D4424" s="51" t="n">
        <v>0</v>
      </c>
    </row>
    <row r="4425" customFormat="false" ht="15" hidden="true" customHeight="false" outlineLevel="0" collapsed="false">
      <c r="A4425" s="51" t="s">
        <v>783</v>
      </c>
      <c r="B4425" s="55" t="n">
        <v>44742</v>
      </c>
      <c r="C4425" s="51" t="s">
        <v>82</v>
      </c>
      <c r="D4425" s="51" t="n">
        <v>0</v>
      </c>
    </row>
    <row r="4426" customFormat="false" ht="15" hidden="true" customHeight="false" outlineLevel="0" collapsed="false">
      <c r="A4426" s="51" t="s">
        <v>96</v>
      </c>
      <c r="B4426" s="55" t="n">
        <v>44742</v>
      </c>
      <c r="C4426" s="51" t="s">
        <v>82</v>
      </c>
      <c r="D4426" s="51" t="n">
        <v>0</v>
      </c>
    </row>
    <row r="4427" customFormat="false" ht="15" hidden="true" customHeight="false" outlineLevel="0" collapsed="false">
      <c r="A4427" s="51" t="s">
        <v>101</v>
      </c>
      <c r="B4427" s="55" t="n">
        <v>44742</v>
      </c>
      <c r="C4427" s="51" t="s">
        <v>82</v>
      </c>
      <c r="D4427" s="51" t="n">
        <v>0</v>
      </c>
    </row>
    <row r="4428" customFormat="false" ht="15" hidden="true" customHeight="false" outlineLevel="0" collapsed="false">
      <c r="A4428" s="51" t="s">
        <v>106</v>
      </c>
      <c r="B4428" s="55" t="n">
        <v>44742</v>
      </c>
      <c r="C4428" s="51" t="s">
        <v>82</v>
      </c>
      <c r="D4428" s="51" t="n">
        <v>0</v>
      </c>
    </row>
    <row r="4429" customFormat="false" ht="15" hidden="true" customHeight="false" outlineLevel="0" collapsed="false">
      <c r="A4429" s="51" t="s">
        <v>110</v>
      </c>
      <c r="B4429" s="55" t="n">
        <v>44742</v>
      </c>
      <c r="C4429" s="51" t="s">
        <v>82</v>
      </c>
      <c r="D4429" s="51" t="n">
        <v>0</v>
      </c>
    </row>
    <row r="4430" customFormat="false" ht="15" hidden="true" customHeight="false" outlineLevel="0" collapsed="false">
      <c r="A4430" s="51" t="s">
        <v>115</v>
      </c>
      <c r="B4430" s="55" t="n">
        <v>44742</v>
      </c>
      <c r="C4430" s="51" t="s">
        <v>82</v>
      </c>
      <c r="D4430" s="51" t="n">
        <v>0</v>
      </c>
    </row>
    <row r="4431" customFormat="false" ht="15" hidden="true" customHeight="false" outlineLevel="0" collapsed="false">
      <c r="A4431" s="51" t="s">
        <v>120</v>
      </c>
      <c r="B4431" s="55" t="n">
        <v>44742</v>
      </c>
      <c r="C4431" s="51" t="s">
        <v>82</v>
      </c>
      <c r="D4431" s="51" t="n">
        <v>0</v>
      </c>
    </row>
    <row r="4432" customFormat="false" ht="15" hidden="true" customHeight="false" outlineLevel="0" collapsed="false">
      <c r="A4432" s="51" t="s">
        <v>124</v>
      </c>
      <c r="B4432" s="55" t="n">
        <v>44742</v>
      </c>
      <c r="C4432" s="51" t="s">
        <v>82</v>
      </c>
      <c r="D4432" s="51" t="n">
        <v>0</v>
      </c>
    </row>
    <row r="4433" customFormat="false" ht="15" hidden="true" customHeight="false" outlineLevel="0" collapsed="false">
      <c r="A4433" s="51" t="s">
        <v>129</v>
      </c>
      <c r="B4433" s="55" t="n">
        <v>44742</v>
      </c>
      <c r="C4433" s="51" t="s">
        <v>82</v>
      </c>
      <c r="D4433" s="51" t="n">
        <v>0</v>
      </c>
    </row>
    <row r="4434" customFormat="false" ht="15" hidden="true" customHeight="false" outlineLevel="0" collapsed="false">
      <c r="A4434" s="51" t="s">
        <v>134</v>
      </c>
      <c r="B4434" s="55" t="n">
        <v>44742</v>
      </c>
      <c r="C4434" s="51" t="s">
        <v>82</v>
      </c>
      <c r="D4434" s="51" t="n">
        <v>0</v>
      </c>
    </row>
    <row r="4435" customFormat="false" ht="15" hidden="true" customHeight="false" outlineLevel="0" collapsed="false">
      <c r="A4435" s="51" t="s">
        <v>141</v>
      </c>
      <c r="B4435" s="55" t="n">
        <v>44742</v>
      </c>
      <c r="C4435" s="51" t="s">
        <v>82</v>
      </c>
      <c r="D4435" s="51" t="n">
        <v>0</v>
      </c>
    </row>
    <row r="4436" customFormat="false" ht="15" hidden="true" customHeight="false" outlineLevel="0" collapsed="false">
      <c r="A4436" s="51" t="s">
        <v>146</v>
      </c>
      <c r="B4436" s="55" t="n">
        <v>44742</v>
      </c>
      <c r="C4436" s="51" t="s">
        <v>82</v>
      </c>
      <c r="D4436" s="51" t="n">
        <v>0</v>
      </c>
    </row>
    <row r="4437" customFormat="false" ht="15" hidden="true" customHeight="false" outlineLevel="0" collapsed="false">
      <c r="A4437" s="51" t="s">
        <v>151</v>
      </c>
      <c r="B4437" s="55" t="n">
        <v>44742</v>
      </c>
      <c r="C4437" s="51" t="s">
        <v>82</v>
      </c>
      <c r="D4437" s="51" t="n">
        <v>0</v>
      </c>
    </row>
    <row r="4438" customFormat="false" ht="15" hidden="true" customHeight="false" outlineLevel="0" collapsed="false">
      <c r="A4438" s="51" t="s">
        <v>156</v>
      </c>
      <c r="B4438" s="55" t="n">
        <v>44742</v>
      </c>
      <c r="C4438" s="51" t="s">
        <v>82</v>
      </c>
      <c r="D4438" s="51" t="n">
        <v>0</v>
      </c>
    </row>
    <row r="4439" customFormat="false" ht="15" hidden="true" customHeight="false" outlineLevel="0" collapsed="false">
      <c r="A4439" s="51" t="s">
        <v>161</v>
      </c>
      <c r="B4439" s="55" t="n">
        <v>44742</v>
      </c>
      <c r="C4439" s="51" t="s">
        <v>82</v>
      </c>
      <c r="D4439" s="51" t="n">
        <v>0</v>
      </c>
    </row>
    <row r="4440" customFormat="false" ht="15" hidden="true" customHeight="false" outlineLevel="0" collapsed="false">
      <c r="A4440" s="51" t="s">
        <v>166</v>
      </c>
      <c r="B4440" s="55" t="n">
        <v>44742</v>
      </c>
      <c r="C4440" s="51" t="s">
        <v>82</v>
      </c>
      <c r="D4440" s="51" t="n">
        <v>0</v>
      </c>
    </row>
    <row r="4441" customFormat="false" ht="15" hidden="true" customHeight="false" outlineLevel="0" collapsed="false">
      <c r="A4441" s="51" t="s">
        <v>171</v>
      </c>
      <c r="B4441" s="55" t="n">
        <v>44742</v>
      </c>
      <c r="C4441" s="51" t="s">
        <v>82</v>
      </c>
      <c r="D4441" s="51" t="n">
        <v>0</v>
      </c>
    </row>
    <row r="4442" customFormat="false" ht="15" hidden="true" customHeight="false" outlineLevel="0" collapsed="false">
      <c r="A4442" s="51" t="s">
        <v>176</v>
      </c>
      <c r="B4442" s="55" t="n">
        <v>44742</v>
      </c>
      <c r="C4442" s="51" t="s">
        <v>82</v>
      </c>
      <c r="D4442" s="51" t="n">
        <v>0</v>
      </c>
    </row>
    <row r="4443" customFormat="false" ht="15" hidden="true" customHeight="false" outlineLevel="0" collapsed="false">
      <c r="A4443" s="51" t="s">
        <v>181</v>
      </c>
      <c r="B4443" s="55" t="n">
        <v>44742</v>
      </c>
      <c r="C4443" s="51" t="s">
        <v>82</v>
      </c>
      <c r="D4443" s="51" t="n">
        <v>0</v>
      </c>
    </row>
    <row r="4444" customFormat="false" ht="15" hidden="true" customHeight="false" outlineLevel="0" collapsed="false">
      <c r="A4444" s="51" t="s">
        <v>186</v>
      </c>
      <c r="B4444" s="55" t="n">
        <v>44742</v>
      </c>
      <c r="C4444" s="51" t="s">
        <v>82</v>
      </c>
      <c r="D4444" s="51" t="n">
        <v>0</v>
      </c>
    </row>
    <row r="4445" customFormat="false" ht="15" hidden="true" customHeight="false" outlineLevel="0" collapsed="false">
      <c r="A4445" s="51" t="s">
        <v>191</v>
      </c>
      <c r="B4445" s="55" t="n">
        <v>44742</v>
      </c>
      <c r="C4445" s="51" t="s">
        <v>82</v>
      </c>
      <c r="D4445" s="51" t="n">
        <v>0</v>
      </c>
    </row>
    <row r="4446" customFormat="false" ht="15" hidden="true" customHeight="false" outlineLevel="0" collapsed="false">
      <c r="A4446" s="51" t="s">
        <v>196</v>
      </c>
      <c r="B4446" s="55" t="n">
        <v>44742</v>
      </c>
      <c r="C4446" s="51" t="s">
        <v>82</v>
      </c>
      <c r="D4446" s="51" t="n">
        <v>0</v>
      </c>
    </row>
    <row r="4447" customFormat="false" ht="15" hidden="true" customHeight="false" outlineLevel="0" collapsed="false">
      <c r="A4447" s="51" t="s">
        <v>201</v>
      </c>
      <c r="B4447" s="55" t="n">
        <v>44742</v>
      </c>
      <c r="C4447" s="51" t="s">
        <v>82</v>
      </c>
      <c r="D4447" s="51" t="n">
        <v>0</v>
      </c>
    </row>
    <row r="4448" customFormat="false" ht="15" hidden="true" customHeight="false" outlineLevel="0" collapsed="false">
      <c r="A4448" s="51" t="s">
        <v>206</v>
      </c>
      <c r="B4448" s="55" t="n">
        <v>44742</v>
      </c>
      <c r="C4448" s="51" t="s">
        <v>82</v>
      </c>
      <c r="D4448" s="51" t="n">
        <v>0</v>
      </c>
    </row>
    <row r="4449" customFormat="false" ht="15" hidden="true" customHeight="false" outlineLevel="0" collapsed="false">
      <c r="A4449" s="51" t="s">
        <v>210</v>
      </c>
      <c r="B4449" s="55" t="n">
        <v>44742</v>
      </c>
      <c r="C4449" s="51" t="s">
        <v>82</v>
      </c>
      <c r="D4449" s="51" t="n">
        <v>0</v>
      </c>
    </row>
    <row r="4450" customFormat="false" ht="15" hidden="true" customHeight="false" outlineLevel="0" collapsed="false">
      <c r="A4450" s="51" t="s">
        <v>215</v>
      </c>
      <c r="B4450" s="55" t="n">
        <v>44742</v>
      </c>
      <c r="C4450" s="51" t="s">
        <v>82</v>
      </c>
      <c r="D4450" s="51" t="n">
        <v>0</v>
      </c>
    </row>
    <row r="4451" customFormat="false" ht="15" hidden="true" customHeight="false" outlineLevel="0" collapsed="false">
      <c r="A4451" s="51" t="s">
        <v>790</v>
      </c>
      <c r="B4451" s="55" t="n">
        <v>44742</v>
      </c>
      <c r="C4451" s="51" t="s">
        <v>82</v>
      </c>
      <c r="D4451" s="51" t="n">
        <v>0</v>
      </c>
    </row>
    <row r="4452" customFormat="false" ht="15" hidden="true" customHeight="false" outlineLevel="0" collapsed="false">
      <c r="A4452" s="51" t="s">
        <v>225</v>
      </c>
      <c r="B4452" s="55" t="n">
        <v>44742</v>
      </c>
      <c r="C4452" s="51" t="s">
        <v>82</v>
      </c>
      <c r="D4452" s="51" t="n">
        <v>0</v>
      </c>
    </row>
    <row r="4453" customFormat="false" ht="15" hidden="true" customHeight="false" outlineLevel="0" collapsed="false">
      <c r="A4453" s="51" t="s">
        <v>230</v>
      </c>
      <c r="B4453" s="55" t="n">
        <v>44742</v>
      </c>
      <c r="C4453" s="51" t="s">
        <v>82</v>
      </c>
      <c r="D4453" s="51" t="n">
        <v>0</v>
      </c>
    </row>
    <row r="4454" customFormat="false" ht="15" hidden="true" customHeight="false" outlineLevel="0" collapsed="false">
      <c r="A4454" s="51" t="s">
        <v>235</v>
      </c>
      <c r="B4454" s="55" t="n">
        <v>44742</v>
      </c>
      <c r="C4454" s="51" t="s">
        <v>82</v>
      </c>
      <c r="D4454" s="51" t="n">
        <v>0</v>
      </c>
    </row>
    <row r="4455" customFormat="false" ht="15" hidden="true" customHeight="false" outlineLevel="0" collapsed="false">
      <c r="A4455" s="51" t="s">
        <v>240</v>
      </c>
      <c r="B4455" s="55" t="n">
        <v>44742</v>
      </c>
      <c r="C4455" s="51" t="s">
        <v>82</v>
      </c>
      <c r="D4455" s="51" t="n">
        <v>0</v>
      </c>
    </row>
    <row r="4456" customFormat="false" ht="15" hidden="true" customHeight="false" outlineLevel="0" collapsed="false">
      <c r="A4456" s="51" t="s">
        <v>246</v>
      </c>
      <c r="B4456" s="55" t="n">
        <v>44742</v>
      </c>
      <c r="C4456" s="51" t="s">
        <v>82</v>
      </c>
      <c r="D4456" s="51" t="n">
        <v>0</v>
      </c>
    </row>
    <row r="4457" customFormat="false" ht="15" hidden="true" customHeight="false" outlineLevel="0" collapsed="false">
      <c r="A4457" s="51" t="s">
        <v>252</v>
      </c>
      <c r="B4457" s="55" t="n">
        <v>44742</v>
      </c>
      <c r="C4457" s="51" t="s">
        <v>82</v>
      </c>
      <c r="D4457" s="51" t="n">
        <v>0</v>
      </c>
    </row>
    <row r="4458" customFormat="false" ht="15" hidden="true" customHeight="false" outlineLevel="0" collapsed="false">
      <c r="A4458" s="51" t="s">
        <v>257</v>
      </c>
      <c r="B4458" s="55" t="n">
        <v>44742</v>
      </c>
      <c r="C4458" s="51" t="s">
        <v>82</v>
      </c>
      <c r="D4458" s="51" t="n">
        <v>0</v>
      </c>
    </row>
    <row r="4459" customFormat="false" ht="15" hidden="true" customHeight="false" outlineLevel="0" collapsed="false">
      <c r="A4459" s="51" t="s">
        <v>262</v>
      </c>
      <c r="B4459" s="55" t="n">
        <v>44742</v>
      </c>
      <c r="C4459" s="51" t="s">
        <v>82</v>
      </c>
      <c r="D4459" s="51" t="n">
        <v>0</v>
      </c>
    </row>
    <row r="4460" customFormat="false" ht="15" hidden="true" customHeight="false" outlineLevel="0" collapsed="false">
      <c r="A4460" s="51" t="s">
        <v>267</v>
      </c>
      <c r="B4460" s="55" t="n">
        <v>44742</v>
      </c>
      <c r="C4460" s="51" t="s">
        <v>82</v>
      </c>
      <c r="D4460" s="51" t="n">
        <v>0</v>
      </c>
    </row>
    <row r="4461" customFormat="false" ht="15" hidden="true" customHeight="false" outlineLevel="0" collapsed="false">
      <c r="A4461" s="51" t="s">
        <v>272</v>
      </c>
      <c r="B4461" s="55" t="n">
        <v>44742</v>
      </c>
      <c r="C4461" s="51" t="s">
        <v>82</v>
      </c>
      <c r="D4461" s="51" t="n">
        <v>0</v>
      </c>
    </row>
    <row r="4462" customFormat="false" ht="15" hidden="true" customHeight="false" outlineLevel="0" collapsed="false">
      <c r="A4462" s="51" t="s">
        <v>277</v>
      </c>
      <c r="B4462" s="55" t="n">
        <v>44742</v>
      </c>
      <c r="C4462" s="51" t="s">
        <v>82</v>
      </c>
      <c r="D4462" s="51" t="n">
        <v>0</v>
      </c>
    </row>
    <row r="4463" customFormat="false" ht="15" hidden="true" customHeight="false" outlineLevel="0" collapsed="false">
      <c r="A4463" s="51" t="s">
        <v>282</v>
      </c>
      <c r="B4463" s="55" t="n">
        <v>44742</v>
      </c>
      <c r="C4463" s="51" t="s">
        <v>82</v>
      </c>
      <c r="D4463" s="51" t="n">
        <v>1000000</v>
      </c>
    </row>
    <row r="4464" customFormat="false" ht="15" hidden="true" customHeight="false" outlineLevel="0" collapsed="false">
      <c r="A4464" s="51" t="s">
        <v>287</v>
      </c>
      <c r="B4464" s="55" t="n">
        <v>44742</v>
      </c>
      <c r="C4464" s="51" t="s">
        <v>82</v>
      </c>
      <c r="D4464" s="51" t="n">
        <v>903000</v>
      </c>
    </row>
    <row r="4465" customFormat="false" ht="15" hidden="true" customHeight="false" outlineLevel="0" collapsed="false">
      <c r="A4465" s="51" t="s">
        <v>292</v>
      </c>
      <c r="B4465" s="55" t="n">
        <v>44742</v>
      </c>
      <c r="C4465" s="51" t="s">
        <v>82</v>
      </c>
      <c r="D4465" s="51" t="n">
        <v>700000</v>
      </c>
    </row>
    <row r="4466" customFormat="false" ht="15" hidden="true" customHeight="false" outlineLevel="0" collapsed="false">
      <c r="A4466" s="51" t="s">
        <v>297</v>
      </c>
      <c r="B4466" s="55" t="n">
        <v>44742</v>
      </c>
      <c r="C4466" s="51" t="s">
        <v>82</v>
      </c>
      <c r="D4466" s="51" t="n">
        <v>650000</v>
      </c>
    </row>
    <row r="4467" customFormat="false" ht="15" hidden="true" customHeight="false" outlineLevel="0" collapsed="false">
      <c r="A4467" s="51" t="s">
        <v>302</v>
      </c>
      <c r="B4467" s="55" t="n">
        <v>44742</v>
      </c>
      <c r="C4467" s="51" t="s">
        <v>82</v>
      </c>
      <c r="D4467" s="51" t="n">
        <v>500000</v>
      </c>
    </row>
    <row r="4468" customFormat="false" ht="15" hidden="true" customHeight="false" outlineLevel="0" collapsed="false">
      <c r="A4468" s="51" t="s">
        <v>307</v>
      </c>
      <c r="B4468" s="55" t="n">
        <v>44742</v>
      </c>
      <c r="C4468" s="51" t="s">
        <v>82</v>
      </c>
      <c r="D4468" s="51" t="n">
        <v>1650000</v>
      </c>
    </row>
    <row r="4469" customFormat="false" ht="15" hidden="true" customHeight="false" outlineLevel="0" collapsed="false">
      <c r="A4469" s="51" t="s">
        <v>311</v>
      </c>
      <c r="B4469" s="55" t="n">
        <v>44742</v>
      </c>
      <c r="C4469" s="51" t="s">
        <v>82</v>
      </c>
      <c r="D4469" s="51" t="n">
        <v>2674297.49</v>
      </c>
    </row>
    <row r="4470" customFormat="false" ht="15" hidden="true" customHeight="false" outlineLevel="0" collapsed="false">
      <c r="A4470" s="51" t="s">
        <v>317</v>
      </c>
      <c r="B4470" s="55" t="n">
        <v>44742</v>
      </c>
      <c r="C4470" s="51" t="s">
        <v>82</v>
      </c>
      <c r="D4470" s="51" t="n">
        <v>3858000</v>
      </c>
    </row>
    <row r="4471" customFormat="false" ht="15" hidden="true" customHeight="false" outlineLevel="0" collapsed="false">
      <c r="A4471" s="51" t="s">
        <v>322</v>
      </c>
      <c r="B4471" s="55" t="n">
        <v>44742</v>
      </c>
      <c r="C4471" s="51" t="s">
        <v>82</v>
      </c>
      <c r="D4471" s="51" t="n">
        <v>0</v>
      </c>
    </row>
    <row r="4472" customFormat="false" ht="15" hidden="true" customHeight="false" outlineLevel="0" collapsed="false">
      <c r="A4472" s="51" t="s">
        <v>327</v>
      </c>
      <c r="B4472" s="55" t="n">
        <v>44742</v>
      </c>
      <c r="C4472" s="51" t="s">
        <v>82</v>
      </c>
      <c r="D4472" s="51" t="n">
        <v>0</v>
      </c>
    </row>
    <row r="4473" customFormat="false" ht="15" hidden="true" customHeight="false" outlineLevel="0" collapsed="false">
      <c r="A4473" s="51" t="s">
        <v>332</v>
      </c>
      <c r="B4473" s="55" t="n">
        <v>44742</v>
      </c>
      <c r="C4473" s="51" t="s">
        <v>82</v>
      </c>
      <c r="D4473" s="51" t="n">
        <v>0</v>
      </c>
    </row>
    <row r="4474" customFormat="false" ht="15" hidden="true" customHeight="false" outlineLevel="0" collapsed="false">
      <c r="A4474" s="51" t="s">
        <v>339</v>
      </c>
      <c r="B4474" s="55" t="n">
        <v>44742</v>
      </c>
      <c r="C4474" s="51" t="s">
        <v>82</v>
      </c>
      <c r="D4474" s="51" t="n">
        <v>0</v>
      </c>
    </row>
    <row r="4475" customFormat="false" ht="15" hidden="true" customHeight="false" outlineLevel="0" collapsed="false">
      <c r="A4475" s="51" t="s">
        <v>344</v>
      </c>
      <c r="B4475" s="55" t="n">
        <v>44742</v>
      </c>
      <c r="C4475" s="51" t="s">
        <v>82</v>
      </c>
      <c r="D4475" s="51" t="n">
        <v>0</v>
      </c>
    </row>
    <row r="4476" customFormat="false" ht="15" hidden="true" customHeight="false" outlineLevel="0" collapsed="false">
      <c r="A4476" s="51" t="s">
        <v>349</v>
      </c>
      <c r="B4476" s="55" t="n">
        <v>44742</v>
      </c>
      <c r="C4476" s="51" t="s">
        <v>82</v>
      </c>
      <c r="D4476" s="51" t="n">
        <v>0</v>
      </c>
    </row>
    <row r="4477" customFormat="false" ht="15" hidden="true" customHeight="false" outlineLevel="0" collapsed="false">
      <c r="A4477" s="51" t="s">
        <v>354</v>
      </c>
      <c r="B4477" s="55" t="n">
        <v>44742</v>
      </c>
      <c r="C4477" s="51" t="s">
        <v>82</v>
      </c>
      <c r="D4477" s="51" t="n">
        <v>0</v>
      </c>
    </row>
    <row r="4478" customFormat="false" ht="15" hidden="true" customHeight="false" outlineLevel="0" collapsed="false">
      <c r="A4478" s="51" t="s">
        <v>359</v>
      </c>
      <c r="B4478" s="55" t="n">
        <v>44742</v>
      </c>
      <c r="C4478" s="51" t="s">
        <v>82</v>
      </c>
      <c r="D4478" s="51" t="n">
        <v>0</v>
      </c>
    </row>
    <row r="4479" customFormat="false" ht="15" hidden="true" customHeight="false" outlineLevel="0" collapsed="false">
      <c r="A4479" s="51" t="s">
        <v>364</v>
      </c>
      <c r="B4479" s="55" t="n">
        <v>44742</v>
      </c>
      <c r="C4479" s="51" t="s">
        <v>82</v>
      </c>
      <c r="D4479" s="51" t="n">
        <v>0</v>
      </c>
    </row>
    <row r="4480" customFormat="false" ht="15" hidden="true" customHeight="false" outlineLevel="0" collapsed="false">
      <c r="A4480" s="51" t="s">
        <v>369</v>
      </c>
      <c r="B4480" s="55" t="n">
        <v>44742</v>
      </c>
      <c r="C4480" s="51" t="s">
        <v>82</v>
      </c>
      <c r="D4480" s="51" t="n">
        <v>0</v>
      </c>
    </row>
    <row r="4481" customFormat="false" ht="15" hidden="true" customHeight="false" outlineLevel="0" collapsed="false">
      <c r="A4481" s="51" t="s">
        <v>374</v>
      </c>
      <c r="B4481" s="55" t="n">
        <v>44742</v>
      </c>
      <c r="C4481" s="51" t="s">
        <v>82</v>
      </c>
      <c r="D4481" s="51" t="n">
        <v>0</v>
      </c>
    </row>
    <row r="4482" customFormat="false" ht="15" hidden="true" customHeight="false" outlineLevel="0" collapsed="false">
      <c r="A4482" s="51" t="s">
        <v>379</v>
      </c>
      <c r="B4482" s="55" t="n">
        <v>44742</v>
      </c>
      <c r="C4482" s="51" t="s">
        <v>82</v>
      </c>
      <c r="D4482" s="51" t="n">
        <v>0</v>
      </c>
    </row>
    <row r="4483" customFormat="false" ht="15" hidden="true" customHeight="false" outlineLevel="0" collapsed="false">
      <c r="A4483" s="51" t="s">
        <v>384</v>
      </c>
      <c r="B4483" s="55" t="n">
        <v>44742</v>
      </c>
      <c r="C4483" s="51" t="s">
        <v>82</v>
      </c>
      <c r="D4483" s="51" t="n">
        <v>0</v>
      </c>
    </row>
    <row r="4484" customFormat="false" ht="15" hidden="true" customHeight="false" outlineLevel="0" collapsed="false">
      <c r="A4484" s="51" t="s">
        <v>389</v>
      </c>
      <c r="B4484" s="55" t="n">
        <v>44742</v>
      </c>
      <c r="C4484" s="51" t="s">
        <v>82</v>
      </c>
      <c r="D4484" s="51" t="n">
        <v>0</v>
      </c>
    </row>
    <row r="4485" customFormat="false" ht="15" hidden="true" customHeight="false" outlineLevel="0" collapsed="false">
      <c r="A4485" s="51" t="s">
        <v>394</v>
      </c>
      <c r="B4485" s="55" t="n">
        <v>44742</v>
      </c>
      <c r="C4485" s="51" t="s">
        <v>82</v>
      </c>
      <c r="D4485" s="51" t="n">
        <v>0</v>
      </c>
    </row>
    <row r="4486" customFormat="false" ht="15" hidden="true" customHeight="false" outlineLevel="0" collapsed="false">
      <c r="A4486" s="51" t="s">
        <v>399</v>
      </c>
      <c r="B4486" s="55" t="n">
        <v>44742</v>
      </c>
      <c r="C4486" s="51" t="s">
        <v>82</v>
      </c>
      <c r="D4486" s="51" t="n">
        <v>0</v>
      </c>
    </row>
    <row r="4487" customFormat="false" ht="15" hidden="true" customHeight="false" outlineLevel="0" collapsed="false">
      <c r="A4487" s="51" t="s">
        <v>404</v>
      </c>
      <c r="B4487" s="55" t="n">
        <v>44742</v>
      </c>
      <c r="C4487" s="51" t="s">
        <v>82</v>
      </c>
      <c r="D4487" s="51" t="n">
        <v>0</v>
      </c>
    </row>
    <row r="4488" customFormat="false" ht="15" hidden="true" customHeight="false" outlineLevel="0" collapsed="false">
      <c r="A4488" s="51" t="s">
        <v>409</v>
      </c>
      <c r="B4488" s="55" t="n">
        <v>44742</v>
      </c>
      <c r="C4488" s="51" t="s">
        <v>82</v>
      </c>
      <c r="D4488" s="51" t="n">
        <v>0</v>
      </c>
    </row>
    <row r="4489" customFormat="false" ht="15" hidden="true" customHeight="false" outlineLevel="0" collapsed="false">
      <c r="A4489" s="51" t="s">
        <v>414</v>
      </c>
      <c r="B4489" s="55" t="n">
        <v>44742</v>
      </c>
      <c r="C4489" s="51" t="s">
        <v>82</v>
      </c>
      <c r="D4489" s="51" t="n">
        <v>0</v>
      </c>
    </row>
    <row r="4490" customFormat="false" ht="15" hidden="true" customHeight="false" outlineLevel="0" collapsed="false">
      <c r="A4490" s="51" t="s">
        <v>419</v>
      </c>
      <c r="B4490" s="55" t="n">
        <v>44742</v>
      </c>
      <c r="C4490" s="51" t="s">
        <v>82</v>
      </c>
      <c r="D4490" s="51" t="n">
        <v>0</v>
      </c>
    </row>
    <row r="4491" customFormat="false" ht="15" hidden="true" customHeight="false" outlineLevel="0" collapsed="false">
      <c r="A4491" s="51" t="s">
        <v>424</v>
      </c>
      <c r="B4491" s="55" t="n">
        <v>44742</v>
      </c>
      <c r="C4491" s="51" t="s">
        <v>82</v>
      </c>
      <c r="D4491" s="51" t="n">
        <v>0</v>
      </c>
    </row>
    <row r="4492" customFormat="false" ht="15" hidden="true" customHeight="false" outlineLevel="0" collapsed="false">
      <c r="A4492" s="51" t="s">
        <v>429</v>
      </c>
      <c r="B4492" s="55" t="n">
        <v>44742</v>
      </c>
      <c r="C4492" s="51" t="s">
        <v>82</v>
      </c>
      <c r="D4492" s="51" t="n">
        <v>0</v>
      </c>
    </row>
    <row r="4493" customFormat="false" ht="15" hidden="true" customHeight="false" outlineLevel="0" collapsed="false">
      <c r="A4493" s="51" t="s">
        <v>434</v>
      </c>
      <c r="B4493" s="55" t="n">
        <v>44742</v>
      </c>
      <c r="C4493" s="51" t="s">
        <v>82</v>
      </c>
      <c r="D4493" s="51" t="n">
        <v>0</v>
      </c>
    </row>
    <row r="4494" customFormat="false" ht="15" hidden="true" customHeight="false" outlineLevel="0" collapsed="false">
      <c r="A4494" s="51" t="s">
        <v>438</v>
      </c>
      <c r="B4494" s="55" t="n">
        <v>44742</v>
      </c>
      <c r="C4494" s="51" t="s">
        <v>82</v>
      </c>
      <c r="D4494" s="51" t="n">
        <v>0</v>
      </c>
    </row>
    <row r="4495" customFormat="false" ht="15" hidden="true" customHeight="false" outlineLevel="0" collapsed="false">
      <c r="A4495" s="51" t="s">
        <v>443</v>
      </c>
      <c r="B4495" s="55" t="n">
        <v>44742</v>
      </c>
      <c r="C4495" s="51" t="s">
        <v>82</v>
      </c>
      <c r="D4495" s="51" t="n">
        <v>0</v>
      </c>
    </row>
    <row r="4496" customFormat="false" ht="15" hidden="true" customHeight="false" outlineLevel="0" collapsed="false">
      <c r="A4496" s="51" t="s">
        <v>448</v>
      </c>
      <c r="B4496" s="55" t="n">
        <v>44742</v>
      </c>
      <c r="C4496" s="51" t="s">
        <v>82</v>
      </c>
      <c r="D4496" s="51" t="n">
        <v>0</v>
      </c>
    </row>
    <row r="4497" customFormat="false" ht="15" hidden="true" customHeight="false" outlineLevel="0" collapsed="false">
      <c r="A4497" s="51" t="s">
        <v>453</v>
      </c>
      <c r="B4497" s="55" t="n">
        <v>44742</v>
      </c>
      <c r="C4497" s="51" t="s">
        <v>82</v>
      </c>
      <c r="D4497" s="51" t="n">
        <v>0</v>
      </c>
    </row>
    <row r="4498" customFormat="false" ht="15" hidden="true" customHeight="false" outlineLevel="0" collapsed="false">
      <c r="A4498" s="51" t="s">
        <v>458</v>
      </c>
      <c r="B4498" s="55" t="n">
        <v>44742</v>
      </c>
      <c r="C4498" s="51" t="s">
        <v>82</v>
      </c>
      <c r="D4498" s="51" t="n">
        <v>0</v>
      </c>
    </row>
    <row r="4499" customFormat="false" ht="15" hidden="true" customHeight="false" outlineLevel="0" collapsed="false">
      <c r="A4499" s="51" t="s">
        <v>473</v>
      </c>
      <c r="B4499" s="55" t="n">
        <v>44742</v>
      </c>
      <c r="C4499" s="51" t="s">
        <v>82</v>
      </c>
      <c r="D4499" s="51" t="n">
        <v>0</v>
      </c>
    </row>
    <row r="4500" customFormat="false" ht="15" hidden="true" customHeight="false" outlineLevel="0" collapsed="false">
      <c r="A4500" s="51" t="s">
        <v>479</v>
      </c>
      <c r="B4500" s="55" t="n">
        <v>44742</v>
      </c>
      <c r="C4500" s="51" t="s">
        <v>82</v>
      </c>
      <c r="D4500" s="51" t="n">
        <v>0</v>
      </c>
    </row>
    <row r="4501" customFormat="false" ht="15" hidden="true" customHeight="false" outlineLevel="0" collapsed="false">
      <c r="A4501" s="51" t="s">
        <v>484</v>
      </c>
      <c r="B4501" s="55" t="n">
        <v>44742</v>
      </c>
      <c r="C4501" s="51" t="s">
        <v>82</v>
      </c>
      <c r="D4501" s="51" t="n">
        <v>0</v>
      </c>
    </row>
    <row r="4502" customFormat="false" ht="15" hidden="true" customHeight="false" outlineLevel="0" collapsed="false">
      <c r="A4502" s="51" t="s">
        <v>489</v>
      </c>
      <c r="B4502" s="55" t="n">
        <v>44742</v>
      </c>
      <c r="C4502" s="51" t="s">
        <v>82</v>
      </c>
      <c r="D4502" s="51" t="n">
        <v>0</v>
      </c>
    </row>
    <row r="4503" customFormat="false" ht="15" hidden="true" customHeight="false" outlineLevel="0" collapsed="false">
      <c r="A4503" s="51" t="s">
        <v>494</v>
      </c>
      <c r="B4503" s="55" t="n">
        <v>44742</v>
      </c>
      <c r="C4503" s="51" t="s">
        <v>82</v>
      </c>
      <c r="D4503" s="51" t="n">
        <v>0</v>
      </c>
    </row>
    <row r="4504" customFormat="false" ht="15" hidden="true" customHeight="false" outlineLevel="0" collapsed="false">
      <c r="A4504" s="51" t="s">
        <v>499</v>
      </c>
      <c r="B4504" s="55" t="n">
        <v>44742</v>
      </c>
      <c r="C4504" s="51" t="s">
        <v>82</v>
      </c>
      <c r="D4504" s="51" t="n">
        <v>0</v>
      </c>
    </row>
    <row r="4505" customFormat="false" ht="15" hidden="true" customHeight="false" outlineLevel="0" collapsed="false">
      <c r="A4505" s="51" t="s">
        <v>504</v>
      </c>
      <c r="B4505" s="55" t="n">
        <v>44742</v>
      </c>
      <c r="C4505" s="51" t="s">
        <v>82</v>
      </c>
      <c r="D4505" s="51" t="n">
        <v>0</v>
      </c>
    </row>
    <row r="4506" customFormat="false" ht="15" hidden="true" customHeight="false" outlineLevel="0" collapsed="false">
      <c r="A4506" s="51" t="s">
        <v>509</v>
      </c>
      <c r="B4506" s="55" t="n">
        <v>44742</v>
      </c>
      <c r="C4506" s="51" t="s">
        <v>82</v>
      </c>
      <c r="D4506" s="51" t="n">
        <v>0</v>
      </c>
    </row>
    <row r="4507" customFormat="false" ht="15" hidden="true" customHeight="false" outlineLevel="0" collapsed="false">
      <c r="A4507" s="51" t="s">
        <v>515</v>
      </c>
      <c r="B4507" s="55" t="n">
        <v>44742</v>
      </c>
      <c r="C4507" s="51" t="s">
        <v>82</v>
      </c>
      <c r="D4507" s="51" t="n">
        <v>0</v>
      </c>
    </row>
    <row r="4508" customFormat="false" ht="15" hidden="true" customHeight="false" outlineLevel="0" collapsed="false">
      <c r="A4508" s="51" t="s">
        <v>520</v>
      </c>
      <c r="B4508" s="55" t="n">
        <v>44742</v>
      </c>
      <c r="C4508" s="51" t="s">
        <v>82</v>
      </c>
      <c r="D4508" s="51" t="n">
        <v>0</v>
      </c>
    </row>
    <row r="4509" customFormat="false" ht="15" hidden="true" customHeight="false" outlineLevel="0" collapsed="false">
      <c r="A4509" s="51" t="s">
        <v>525</v>
      </c>
      <c r="B4509" s="55" t="n">
        <v>44742</v>
      </c>
      <c r="C4509" s="51" t="s">
        <v>82</v>
      </c>
      <c r="D4509" s="51" t="n">
        <v>0</v>
      </c>
    </row>
    <row r="4510" customFormat="false" ht="15" hidden="true" customHeight="false" outlineLevel="0" collapsed="false">
      <c r="A4510" s="51" t="s">
        <v>531</v>
      </c>
      <c r="B4510" s="55" t="n">
        <v>44742</v>
      </c>
      <c r="C4510" s="51" t="s">
        <v>82</v>
      </c>
      <c r="D4510" s="51" t="n">
        <v>0</v>
      </c>
    </row>
    <row r="4511" customFormat="false" ht="15" hidden="true" customHeight="false" outlineLevel="0" collapsed="false">
      <c r="A4511" s="51" t="s">
        <v>536</v>
      </c>
      <c r="B4511" s="55" t="n">
        <v>44742</v>
      </c>
      <c r="C4511" s="51" t="s">
        <v>82</v>
      </c>
      <c r="D4511" s="51" t="n">
        <v>0</v>
      </c>
    </row>
    <row r="4512" customFormat="false" ht="15" hidden="true" customHeight="false" outlineLevel="0" collapsed="false">
      <c r="A4512" s="51" t="s">
        <v>541</v>
      </c>
      <c r="B4512" s="55" t="n">
        <v>44742</v>
      </c>
      <c r="C4512" s="51" t="s">
        <v>82</v>
      </c>
      <c r="D4512" s="51" t="n">
        <v>0</v>
      </c>
    </row>
    <row r="4513" customFormat="false" ht="15" hidden="true" customHeight="false" outlineLevel="0" collapsed="false">
      <c r="A4513" s="51" t="s">
        <v>549</v>
      </c>
      <c r="B4513" s="55" t="n">
        <v>44742</v>
      </c>
      <c r="C4513" s="51" t="s">
        <v>82</v>
      </c>
      <c r="D4513" s="51" t="n">
        <v>0</v>
      </c>
    </row>
    <row r="4514" customFormat="false" ht="15" hidden="true" customHeight="false" outlineLevel="0" collapsed="false">
      <c r="A4514" s="51" t="s">
        <v>554</v>
      </c>
      <c r="B4514" s="55" t="n">
        <v>44742</v>
      </c>
      <c r="C4514" s="51" t="s">
        <v>82</v>
      </c>
      <c r="D4514" s="51" t="n">
        <v>0</v>
      </c>
    </row>
    <row r="4515" customFormat="false" ht="15" hidden="true" customHeight="false" outlineLevel="0" collapsed="false">
      <c r="A4515" s="51" t="s">
        <v>559</v>
      </c>
      <c r="B4515" s="55" t="n">
        <v>44742</v>
      </c>
      <c r="C4515" s="51" t="s">
        <v>82</v>
      </c>
      <c r="D4515" s="51" t="n">
        <v>0</v>
      </c>
    </row>
    <row r="4516" customFormat="false" ht="15" hidden="true" customHeight="false" outlineLevel="0" collapsed="false">
      <c r="A4516" s="51" t="s">
        <v>564</v>
      </c>
      <c r="B4516" s="55" t="n">
        <v>44742</v>
      </c>
      <c r="C4516" s="51" t="s">
        <v>82</v>
      </c>
      <c r="D4516" s="51" t="n">
        <v>0</v>
      </c>
    </row>
    <row r="4517" customFormat="false" ht="15" hidden="true" customHeight="false" outlineLevel="0" collapsed="false">
      <c r="A4517" s="51" t="s">
        <v>569</v>
      </c>
      <c r="B4517" s="55" t="n">
        <v>44742</v>
      </c>
      <c r="C4517" s="51" t="s">
        <v>82</v>
      </c>
      <c r="D4517" s="51" t="n">
        <v>0</v>
      </c>
    </row>
    <row r="4518" customFormat="false" ht="15" hidden="true" customHeight="false" outlineLevel="0" collapsed="false">
      <c r="A4518" s="51" t="s">
        <v>574</v>
      </c>
      <c r="B4518" s="55" t="n">
        <v>44742</v>
      </c>
      <c r="C4518" s="51" t="s">
        <v>82</v>
      </c>
      <c r="D4518" s="51" t="n">
        <v>0</v>
      </c>
    </row>
    <row r="4519" customFormat="false" ht="15" hidden="true" customHeight="false" outlineLevel="0" collapsed="false">
      <c r="A4519" s="51" t="s">
        <v>579</v>
      </c>
      <c r="B4519" s="55" t="n">
        <v>44742</v>
      </c>
      <c r="C4519" s="51" t="s">
        <v>82</v>
      </c>
      <c r="D4519" s="51" t="n">
        <v>0</v>
      </c>
    </row>
    <row r="4520" customFormat="false" ht="15" hidden="true" customHeight="false" outlineLevel="0" collapsed="false">
      <c r="A4520" s="51" t="s">
        <v>584</v>
      </c>
      <c r="B4520" s="55" t="n">
        <v>44742</v>
      </c>
      <c r="C4520" s="51" t="s">
        <v>82</v>
      </c>
      <c r="D4520" s="51" t="n">
        <v>0</v>
      </c>
    </row>
    <row r="4521" customFormat="false" ht="15" hidden="true" customHeight="false" outlineLevel="0" collapsed="false">
      <c r="A4521" s="51" t="s">
        <v>589</v>
      </c>
      <c r="B4521" s="55" t="n">
        <v>44742</v>
      </c>
      <c r="C4521" s="51" t="s">
        <v>82</v>
      </c>
      <c r="D4521" s="51" t="n">
        <v>0</v>
      </c>
    </row>
    <row r="4522" customFormat="false" ht="15" hidden="true" customHeight="false" outlineLevel="0" collapsed="false">
      <c r="A4522" s="51" t="s">
        <v>756</v>
      </c>
      <c r="B4522" s="55" t="n">
        <v>44742</v>
      </c>
      <c r="C4522" s="51" t="s">
        <v>82</v>
      </c>
      <c r="D4522" s="51" t="n">
        <v>0</v>
      </c>
    </row>
    <row r="4523" customFormat="false" ht="15" hidden="true" customHeight="false" outlineLevel="0" collapsed="false">
      <c r="A4523" s="51" t="s">
        <v>594</v>
      </c>
      <c r="B4523" s="55" t="n">
        <v>44742</v>
      </c>
      <c r="C4523" s="51" t="s">
        <v>82</v>
      </c>
      <c r="D4523" s="51" t="n">
        <v>0</v>
      </c>
    </row>
    <row r="4524" customFormat="false" ht="15" hidden="true" customHeight="false" outlineLevel="0" collapsed="false">
      <c r="A4524" s="51" t="s">
        <v>761</v>
      </c>
      <c r="B4524" s="55" t="n">
        <v>44742</v>
      </c>
      <c r="C4524" s="51" t="s">
        <v>82</v>
      </c>
      <c r="D4524" s="51" t="n">
        <v>0</v>
      </c>
    </row>
    <row r="4525" customFormat="false" ht="15" hidden="true" customHeight="false" outlineLevel="0" collapsed="false">
      <c r="A4525" s="51" t="s">
        <v>599</v>
      </c>
      <c r="B4525" s="55" t="n">
        <v>44742</v>
      </c>
      <c r="C4525" s="51" t="s">
        <v>82</v>
      </c>
      <c r="D4525" s="51" t="n">
        <v>0</v>
      </c>
    </row>
    <row r="4526" customFormat="false" ht="15" hidden="true" customHeight="false" outlineLevel="0" collapsed="false">
      <c r="A4526" s="51" t="s">
        <v>604</v>
      </c>
      <c r="B4526" s="55" t="n">
        <v>44742</v>
      </c>
      <c r="C4526" s="51" t="s">
        <v>82</v>
      </c>
      <c r="D4526" s="51" t="n">
        <v>0</v>
      </c>
    </row>
    <row r="4527" customFormat="false" ht="15" hidden="true" customHeight="false" outlineLevel="0" collapsed="false">
      <c r="A4527" s="51" t="s">
        <v>609</v>
      </c>
      <c r="B4527" s="55" t="n">
        <v>44742</v>
      </c>
      <c r="C4527" s="51" t="s">
        <v>82</v>
      </c>
      <c r="D4527" s="51" t="n">
        <v>0</v>
      </c>
    </row>
    <row r="4528" customFormat="false" ht="15" hidden="true" customHeight="false" outlineLevel="0" collapsed="false">
      <c r="A4528" s="51" t="s">
        <v>614</v>
      </c>
      <c r="B4528" s="55" t="n">
        <v>44742</v>
      </c>
      <c r="C4528" s="51" t="s">
        <v>82</v>
      </c>
      <c r="D4528" s="51" t="n">
        <v>0</v>
      </c>
    </row>
    <row r="4529" customFormat="false" ht="15" hidden="true" customHeight="false" outlineLevel="0" collapsed="false">
      <c r="A4529" s="51" t="s">
        <v>619</v>
      </c>
      <c r="B4529" s="55" t="n">
        <v>44742</v>
      </c>
      <c r="C4529" s="51" t="s">
        <v>82</v>
      </c>
      <c r="D4529" s="51" t="n">
        <v>0</v>
      </c>
    </row>
    <row r="4530" customFormat="false" ht="15" hidden="true" customHeight="false" outlineLevel="0" collapsed="false">
      <c r="A4530" s="51" t="s">
        <v>624</v>
      </c>
      <c r="B4530" s="55" t="n">
        <v>44742</v>
      </c>
      <c r="C4530" s="51" t="s">
        <v>82</v>
      </c>
      <c r="D4530" s="51" t="n">
        <v>0</v>
      </c>
    </row>
    <row r="4531" customFormat="false" ht="15" hidden="true" customHeight="false" outlineLevel="0" collapsed="false">
      <c r="A4531" s="51" t="s">
        <v>629</v>
      </c>
      <c r="B4531" s="55" t="n">
        <v>44742</v>
      </c>
      <c r="C4531" s="51" t="s">
        <v>82</v>
      </c>
      <c r="D4531" s="51" t="n">
        <v>0</v>
      </c>
    </row>
    <row r="4532" customFormat="false" ht="15" hidden="true" customHeight="false" outlineLevel="0" collapsed="false">
      <c r="A4532" s="51" t="s">
        <v>633</v>
      </c>
      <c r="B4532" s="55" t="n">
        <v>44742</v>
      </c>
      <c r="C4532" s="51" t="s">
        <v>82</v>
      </c>
      <c r="D4532" s="51" t="n">
        <v>0</v>
      </c>
    </row>
    <row r="4533" customFormat="false" ht="15" hidden="true" customHeight="false" outlineLevel="0" collapsed="false">
      <c r="A4533" s="51" t="s">
        <v>638</v>
      </c>
      <c r="B4533" s="55" t="n">
        <v>44742</v>
      </c>
      <c r="C4533" s="51" t="s">
        <v>82</v>
      </c>
      <c r="D4533" s="51" t="n">
        <v>0</v>
      </c>
    </row>
    <row r="4534" customFormat="false" ht="15" hidden="true" customHeight="false" outlineLevel="0" collapsed="false">
      <c r="A4534" s="51" t="s">
        <v>642</v>
      </c>
      <c r="B4534" s="55" t="n">
        <v>44742</v>
      </c>
      <c r="C4534" s="51" t="s">
        <v>82</v>
      </c>
      <c r="D4534" s="51" t="n">
        <v>0</v>
      </c>
    </row>
    <row r="4535" customFormat="false" ht="15" hidden="true" customHeight="false" outlineLevel="0" collapsed="false">
      <c r="A4535" s="51" t="s">
        <v>646</v>
      </c>
      <c r="B4535" s="55" t="n">
        <v>44742</v>
      </c>
      <c r="C4535" s="51" t="s">
        <v>82</v>
      </c>
      <c r="D4535" s="51" t="n">
        <v>0</v>
      </c>
    </row>
    <row r="4536" customFormat="false" ht="15" hidden="true" customHeight="false" outlineLevel="0" collapsed="false">
      <c r="A4536" s="51" t="s">
        <v>651</v>
      </c>
      <c r="B4536" s="55" t="n">
        <v>44742</v>
      </c>
      <c r="C4536" s="51" t="s">
        <v>82</v>
      </c>
      <c r="D4536" s="51" t="n">
        <v>0</v>
      </c>
    </row>
    <row r="4537" customFormat="false" ht="15" hidden="true" customHeight="false" outlineLevel="0" collapsed="false">
      <c r="A4537" s="51" t="s">
        <v>656</v>
      </c>
      <c r="B4537" s="55" t="n">
        <v>44742</v>
      </c>
      <c r="C4537" s="51" t="s">
        <v>82</v>
      </c>
      <c r="D4537" s="51" t="n">
        <v>0</v>
      </c>
    </row>
    <row r="4538" customFormat="false" ht="15" hidden="true" customHeight="false" outlineLevel="0" collapsed="false">
      <c r="A4538" s="51" t="s">
        <v>661</v>
      </c>
      <c r="B4538" s="55" t="n">
        <v>44742</v>
      </c>
      <c r="C4538" s="51" t="s">
        <v>82</v>
      </c>
      <c r="D4538" s="51" t="n">
        <v>0</v>
      </c>
    </row>
    <row r="4539" customFormat="false" ht="15" hidden="true" customHeight="false" outlineLevel="0" collapsed="false">
      <c r="A4539" s="51" t="s">
        <v>666</v>
      </c>
      <c r="B4539" s="55" t="n">
        <v>44742</v>
      </c>
      <c r="C4539" s="51" t="s">
        <v>82</v>
      </c>
      <c r="D4539" s="51" t="n">
        <v>0</v>
      </c>
    </row>
    <row r="4540" customFormat="false" ht="15" hidden="true" customHeight="false" outlineLevel="0" collapsed="false">
      <c r="A4540" s="51" t="s">
        <v>671</v>
      </c>
      <c r="B4540" s="55" t="n">
        <v>44742</v>
      </c>
      <c r="C4540" s="51" t="s">
        <v>82</v>
      </c>
      <c r="D4540" s="51" t="n">
        <v>0</v>
      </c>
    </row>
    <row r="4541" customFormat="false" ht="15" hidden="true" customHeight="false" outlineLevel="0" collapsed="false">
      <c r="A4541" s="51" t="s">
        <v>676</v>
      </c>
      <c r="B4541" s="55" t="n">
        <v>44742</v>
      </c>
      <c r="C4541" s="51" t="s">
        <v>82</v>
      </c>
      <c r="D4541" s="51" t="n">
        <v>0</v>
      </c>
    </row>
    <row r="4542" customFormat="false" ht="15" hidden="true" customHeight="false" outlineLevel="0" collapsed="false">
      <c r="A4542" s="51" t="s">
        <v>681</v>
      </c>
      <c r="B4542" s="55" t="n">
        <v>44742</v>
      </c>
      <c r="C4542" s="51" t="s">
        <v>82</v>
      </c>
      <c r="D4542" s="51" t="n">
        <v>0</v>
      </c>
    </row>
    <row r="4543" customFormat="false" ht="15" hidden="true" customHeight="false" outlineLevel="0" collapsed="false">
      <c r="A4543" s="51" t="s">
        <v>686</v>
      </c>
      <c r="B4543" s="55" t="n">
        <v>44742</v>
      </c>
      <c r="C4543" s="51" t="s">
        <v>82</v>
      </c>
      <c r="D4543" s="51" t="n">
        <v>0</v>
      </c>
    </row>
    <row r="4544" customFormat="false" ht="15" hidden="true" customHeight="false" outlineLevel="0" collapsed="false">
      <c r="A4544" s="51" t="s">
        <v>691</v>
      </c>
      <c r="B4544" s="55" t="n">
        <v>44742</v>
      </c>
      <c r="C4544" s="51" t="s">
        <v>82</v>
      </c>
      <c r="D4544" s="51" t="n">
        <v>0</v>
      </c>
    </row>
    <row r="4545" customFormat="false" ht="15" hidden="true" customHeight="false" outlineLevel="0" collapsed="false">
      <c r="A4545" s="51" t="s">
        <v>696</v>
      </c>
      <c r="B4545" s="55" t="n">
        <v>44742</v>
      </c>
      <c r="C4545" s="51" t="s">
        <v>82</v>
      </c>
      <c r="D4545" s="51" t="n">
        <v>0</v>
      </c>
    </row>
    <row r="4546" customFormat="false" ht="15" hidden="true" customHeight="false" outlineLevel="0" collapsed="false">
      <c r="A4546" s="51" t="s">
        <v>701</v>
      </c>
      <c r="B4546" s="55" t="n">
        <v>44742</v>
      </c>
      <c r="C4546" s="51" t="s">
        <v>82</v>
      </c>
      <c r="D4546" s="51" t="n">
        <v>0</v>
      </c>
    </row>
    <row r="4547" customFormat="false" ht="15" hidden="true" customHeight="false" outlineLevel="0" collapsed="false">
      <c r="A4547" s="51" t="s">
        <v>707</v>
      </c>
      <c r="B4547" s="55" t="n">
        <v>44742</v>
      </c>
      <c r="C4547" s="51" t="s">
        <v>82</v>
      </c>
      <c r="D4547" s="51" t="n">
        <v>0</v>
      </c>
    </row>
    <row r="4548" customFormat="false" ht="15" hidden="true" customHeight="false" outlineLevel="0" collapsed="false">
      <c r="A4548" s="51" t="s">
        <v>712</v>
      </c>
      <c r="B4548" s="55" t="n">
        <v>44742</v>
      </c>
      <c r="C4548" s="51" t="s">
        <v>82</v>
      </c>
      <c r="D4548" s="51" t="n">
        <v>0</v>
      </c>
    </row>
    <row r="4549" customFormat="false" ht="15" hidden="true" customHeight="false" outlineLevel="0" collapsed="false">
      <c r="A4549" s="51" t="s">
        <v>717</v>
      </c>
      <c r="B4549" s="55" t="n">
        <v>44742</v>
      </c>
      <c r="C4549" s="51" t="s">
        <v>82</v>
      </c>
      <c r="D4549" s="51" t="n">
        <v>0</v>
      </c>
    </row>
    <row r="4550" customFormat="false" ht="15" hidden="true" customHeight="false" outlineLevel="0" collapsed="false">
      <c r="A4550" s="51" t="s">
        <v>767</v>
      </c>
      <c r="B4550" s="55" t="n">
        <v>44742</v>
      </c>
      <c r="C4550" s="51" t="s">
        <v>82</v>
      </c>
      <c r="D4550" s="51" t="n">
        <v>0</v>
      </c>
    </row>
    <row r="4551" customFormat="false" ht="15" hidden="true" customHeight="false" outlineLevel="0" collapsed="false">
      <c r="A4551" s="51" t="s">
        <v>722</v>
      </c>
      <c r="B4551" s="55" t="n">
        <v>44742</v>
      </c>
      <c r="C4551" s="51" t="s">
        <v>82</v>
      </c>
      <c r="D4551" s="51" t="n">
        <v>0</v>
      </c>
    </row>
    <row r="4552" customFormat="false" ht="15" hidden="true" customHeight="false" outlineLevel="0" collapsed="false">
      <c r="A4552" s="51" t="s">
        <v>727</v>
      </c>
      <c r="B4552" s="55" t="n">
        <v>44742</v>
      </c>
      <c r="C4552" s="51" t="s">
        <v>82</v>
      </c>
      <c r="D4552" s="51" t="n">
        <v>0</v>
      </c>
    </row>
    <row r="4553" customFormat="false" ht="15" hidden="true" customHeight="false" outlineLevel="0" collapsed="false">
      <c r="A4553" s="51" t="s">
        <v>732</v>
      </c>
      <c r="B4553" s="55" t="n">
        <v>44742</v>
      </c>
      <c r="C4553" s="51" t="s">
        <v>82</v>
      </c>
      <c r="D4553" s="51" t="n">
        <v>0</v>
      </c>
    </row>
    <row r="4554" customFormat="false" ht="15" hidden="true" customHeight="false" outlineLevel="0" collapsed="false">
      <c r="A4554" s="51" t="s">
        <v>736</v>
      </c>
      <c r="B4554" s="55" t="n">
        <v>44742</v>
      </c>
      <c r="C4554" s="51" t="s">
        <v>82</v>
      </c>
      <c r="D4554" s="51" t="n">
        <v>0</v>
      </c>
    </row>
    <row r="4555" customFormat="false" ht="15" hidden="true" customHeight="false" outlineLevel="0" collapsed="false">
      <c r="A4555" s="51" t="s">
        <v>741</v>
      </c>
      <c r="B4555" s="55" t="n">
        <v>44742</v>
      </c>
      <c r="C4555" s="51" t="s">
        <v>82</v>
      </c>
      <c r="D4555" s="51" t="n">
        <v>0</v>
      </c>
    </row>
    <row r="4556" customFormat="false" ht="15" hidden="true" customHeight="false" outlineLevel="0" collapsed="false">
      <c r="A4556" s="51" t="s">
        <v>746</v>
      </c>
      <c r="B4556" s="55" t="n">
        <v>44742</v>
      </c>
      <c r="C4556" s="51" t="s">
        <v>82</v>
      </c>
      <c r="D4556" s="51" t="n">
        <v>0</v>
      </c>
    </row>
    <row r="4557" customFormat="false" ht="15" hidden="true" customHeight="false" outlineLevel="0" collapsed="false">
      <c r="A4557" s="51" t="s">
        <v>751</v>
      </c>
      <c r="B4557" s="55" t="n">
        <v>44742</v>
      </c>
      <c r="C4557" s="51" t="s">
        <v>82</v>
      </c>
      <c r="D4557" s="51" t="n">
        <v>0</v>
      </c>
    </row>
    <row r="4558" customFormat="false" ht="15" hidden="false" customHeight="false" outlineLevel="0" collapsed="false">
      <c r="A4558" s="51" t="s">
        <v>781</v>
      </c>
      <c r="B4558" s="55" t="n">
        <v>44742</v>
      </c>
      <c r="C4558" s="51" t="s">
        <v>73</v>
      </c>
      <c r="D4558" s="51" t="n">
        <v>0</v>
      </c>
    </row>
    <row r="4559" customFormat="false" ht="15" hidden="true" customHeight="false" outlineLevel="0" collapsed="false">
      <c r="A4559" s="51" t="s">
        <v>783</v>
      </c>
      <c r="B4559" s="55" t="n">
        <v>44742</v>
      </c>
      <c r="C4559" s="51" t="s">
        <v>73</v>
      </c>
      <c r="D4559" s="51" t="n">
        <v>0</v>
      </c>
    </row>
    <row r="4560" customFormat="false" ht="15" hidden="true" customHeight="false" outlineLevel="0" collapsed="false">
      <c r="A4560" s="51" t="s">
        <v>96</v>
      </c>
      <c r="B4560" s="55" t="n">
        <v>44742</v>
      </c>
      <c r="C4560" s="51" t="s">
        <v>73</v>
      </c>
      <c r="D4560" s="51" t="n">
        <v>0</v>
      </c>
    </row>
    <row r="4561" customFormat="false" ht="15" hidden="true" customHeight="false" outlineLevel="0" collapsed="false">
      <c r="A4561" s="51" t="s">
        <v>101</v>
      </c>
      <c r="B4561" s="55" t="n">
        <v>44742</v>
      </c>
      <c r="C4561" s="51" t="s">
        <v>73</v>
      </c>
      <c r="D4561" s="51" t="n">
        <v>0</v>
      </c>
    </row>
    <row r="4562" customFormat="false" ht="15" hidden="true" customHeight="false" outlineLevel="0" collapsed="false">
      <c r="A4562" s="51" t="s">
        <v>106</v>
      </c>
      <c r="B4562" s="55" t="n">
        <v>44742</v>
      </c>
      <c r="C4562" s="51" t="s">
        <v>73</v>
      </c>
      <c r="D4562" s="51" t="n">
        <v>0</v>
      </c>
    </row>
    <row r="4563" customFormat="false" ht="15" hidden="true" customHeight="false" outlineLevel="0" collapsed="false">
      <c r="A4563" s="51" t="s">
        <v>110</v>
      </c>
      <c r="B4563" s="55" t="n">
        <v>44742</v>
      </c>
      <c r="C4563" s="51" t="s">
        <v>73</v>
      </c>
      <c r="D4563" s="51" t="n">
        <v>250000</v>
      </c>
    </row>
    <row r="4564" customFormat="false" ht="15" hidden="true" customHeight="false" outlineLevel="0" collapsed="false">
      <c r="A4564" s="51" t="s">
        <v>115</v>
      </c>
      <c r="B4564" s="55" t="n">
        <v>44742</v>
      </c>
      <c r="C4564" s="51" t="s">
        <v>73</v>
      </c>
      <c r="D4564" s="51" t="n">
        <v>0</v>
      </c>
    </row>
    <row r="4565" customFormat="false" ht="15" hidden="true" customHeight="false" outlineLevel="0" collapsed="false">
      <c r="A4565" s="51" t="s">
        <v>120</v>
      </c>
      <c r="B4565" s="55" t="n">
        <v>44742</v>
      </c>
      <c r="C4565" s="51" t="s">
        <v>73</v>
      </c>
      <c r="D4565" s="51" t="n">
        <v>0</v>
      </c>
    </row>
    <row r="4566" customFormat="false" ht="15" hidden="true" customHeight="false" outlineLevel="0" collapsed="false">
      <c r="A4566" s="51" t="s">
        <v>124</v>
      </c>
      <c r="B4566" s="55" t="n">
        <v>44742</v>
      </c>
      <c r="C4566" s="51" t="s">
        <v>73</v>
      </c>
      <c r="D4566" s="51" t="n">
        <v>3000000</v>
      </c>
    </row>
    <row r="4567" customFormat="false" ht="15" hidden="true" customHeight="false" outlineLevel="0" collapsed="false">
      <c r="A4567" s="51" t="s">
        <v>129</v>
      </c>
      <c r="B4567" s="55" t="n">
        <v>44742</v>
      </c>
      <c r="C4567" s="51" t="s">
        <v>73</v>
      </c>
      <c r="D4567" s="51" t="n">
        <v>0</v>
      </c>
    </row>
    <row r="4568" customFormat="false" ht="15" hidden="true" customHeight="false" outlineLevel="0" collapsed="false">
      <c r="A4568" s="51" t="s">
        <v>134</v>
      </c>
      <c r="B4568" s="55" t="n">
        <v>44742</v>
      </c>
      <c r="C4568" s="51" t="s">
        <v>73</v>
      </c>
      <c r="D4568" s="51" t="n">
        <v>0</v>
      </c>
    </row>
    <row r="4569" customFormat="false" ht="15" hidden="true" customHeight="false" outlineLevel="0" collapsed="false">
      <c r="A4569" s="51" t="s">
        <v>141</v>
      </c>
      <c r="B4569" s="55" t="n">
        <v>44742</v>
      </c>
      <c r="C4569" s="51" t="s">
        <v>73</v>
      </c>
      <c r="D4569" s="51" t="n">
        <v>0</v>
      </c>
    </row>
    <row r="4570" customFormat="false" ht="15" hidden="true" customHeight="false" outlineLevel="0" collapsed="false">
      <c r="A4570" s="51" t="s">
        <v>146</v>
      </c>
      <c r="B4570" s="55" t="n">
        <v>44742</v>
      </c>
      <c r="C4570" s="51" t="s">
        <v>73</v>
      </c>
      <c r="D4570" s="51" t="n">
        <v>0</v>
      </c>
    </row>
    <row r="4571" customFormat="false" ht="15" hidden="true" customHeight="false" outlineLevel="0" collapsed="false">
      <c r="A4571" s="51" t="s">
        <v>151</v>
      </c>
      <c r="B4571" s="55" t="n">
        <v>44742</v>
      </c>
      <c r="C4571" s="51" t="s">
        <v>73</v>
      </c>
      <c r="D4571" s="51" t="n">
        <v>128000</v>
      </c>
    </row>
    <row r="4572" customFormat="false" ht="15" hidden="true" customHeight="false" outlineLevel="0" collapsed="false">
      <c r="A4572" s="51" t="s">
        <v>156</v>
      </c>
      <c r="B4572" s="55" t="n">
        <v>44742</v>
      </c>
      <c r="C4572" s="51" t="s">
        <v>73</v>
      </c>
      <c r="D4572" s="51" t="n">
        <v>0</v>
      </c>
    </row>
    <row r="4573" customFormat="false" ht="15" hidden="true" customHeight="false" outlineLevel="0" collapsed="false">
      <c r="A4573" s="51" t="s">
        <v>161</v>
      </c>
      <c r="B4573" s="55" t="n">
        <v>44742</v>
      </c>
      <c r="C4573" s="51" t="s">
        <v>73</v>
      </c>
      <c r="D4573" s="51" t="n">
        <v>75000</v>
      </c>
    </row>
    <row r="4574" customFormat="false" ht="15" hidden="true" customHeight="false" outlineLevel="0" collapsed="false">
      <c r="A4574" s="51" t="s">
        <v>166</v>
      </c>
      <c r="B4574" s="55" t="n">
        <v>44742</v>
      </c>
      <c r="C4574" s="51" t="s">
        <v>73</v>
      </c>
      <c r="D4574" s="51" t="n">
        <v>0</v>
      </c>
    </row>
    <row r="4575" customFormat="false" ht="15" hidden="true" customHeight="false" outlineLevel="0" collapsed="false">
      <c r="A4575" s="51" t="s">
        <v>171</v>
      </c>
      <c r="B4575" s="55" t="n">
        <v>44742</v>
      </c>
      <c r="C4575" s="51" t="s">
        <v>73</v>
      </c>
      <c r="D4575" s="51" t="n">
        <v>0</v>
      </c>
    </row>
    <row r="4576" customFormat="false" ht="15" hidden="true" customHeight="false" outlineLevel="0" collapsed="false">
      <c r="A4576" s="51" t="s">
        <v>176</v>
      </c>
      <c r="B4576" s="55" t="n">
        <v>44742</v>
      </c>
      <c r="C4576" s="51" t="s">
        <v>73</v>
      </c>
      <c r="D4576" s="51" t="n">
        <v>0</v>
      </c>
    </row>
    <row r="4577" customFormat="false" ht="15" hidden="true" customHeight="false" outlineLevel="0" collapsed="false">
      <c r="A4577" s="51" t="s">
        <v>181</v>
      </c>
      <c r="B4577" s="55" t="n">
        <v>44742</v>
      </c>
      <c r="C4577" s="51" t="s">
        <v>73</v>
      </c>
      <c r="D4577" s="51" t="n">
        <v>0</v>
      </c>
    </row>
    <row r="4578" customFormat="false" ht="15" hidden="true" customHeight="false" outlineLevel="0" collapsed="false">
      <c r="A4578" s="51" t="s">
        <v>186</v>
      </c>
      <c r="B4578" s="55" t="n">
        <v>44742</v>
      </c>
      <c r="C4578" s="51" t="s">
        <v>73</v>
      </c>
      <c r="D4578" s="51" t="n">
        <v>66666.67</v>
      </c>
    </row>
    <row r="4579" customFormat="false" ht="15" hidden="true" customHeight="false" outlineLevel="0" collapsed="false">
      <c r="A4579" s="51" t="s">
        <v>191</v>
      </c>
      <c r="B4579" s="55" t="n">
        <v>44742</v>
      </c>
      <c r="C4579" s="51" t="s">
        <v>73</v>
      </c>
      <c r="D4579" s="51" t="n">
        <v>0</v>
      </c>
    </row>
    <row r="4580" customFormat="false" ht="15" hidden="true" customHeight="false" outlineLevel="0" collapsed="false">
      <c r="A4580" s="51" t="s">
        <v>196</v>
      </c>
      <c r="B4580" s="55" t="n">
        <v>44742</v>
      </c>
      <c r="C4580" s="51" t="s">
        <v>73</v>
      </c>
      <c r="D4580" s="51" t="n">
        <v>0</v>
      </c>
    </row>
    <row r="4581" customFormat="false" ht="15" hidden="true" customHeight="false" outlineLevel="0" collapsed="false">
      <c r="A4581" s="51" t="s">
        <v>201</v>
      </c>
      <c r="B4581" s="55" t="n">
        <v>44742</v>
      </c>
      <c r="C4581" s="51" t="s">
        <v>73</v>
      </c>
      <c r="D4581" s="51" t="n">
        <v>0</v>
      </c>
    </row>
    <row r="4582" customFormat="false" ht="15" hidden="true" customHeight="false" outlineLevel="0" collapsed="false">
      <c r="A4582" s="51" t="s">
        <v>206</v>
      </c>
      <c r="B4582" s="55" t="n">
        <v>44742</v>
      </c>
      <c r="C4582" s="51" t="s">
        <v>73</v>
      </c>
      <c r="D4582" s="51" t="n">
        <v>0</v>
      </c>
    </row>
    <row r="4583" customFormat="false" ht="15" hidden="true" customHeight="false" outlineLevel="0" collapsed="false">
      <c r="A4583" s="51" t="s">
        <v>210</v>
      </c>
      <c r="B4583" s="55" t="n">
        <v>44742</v>
      </c>
      <c r="C4583" s="51" t="s">
        <v>73</v>
      </c>
      <c r="D4583" s="51" t="n">
        <v>0</v>
      </c>
    </row>
    <row r="4584" customFormat="false" ht="15" hidden="true" customHeight="false" outlineLevel="0" collapsed="false">
      <c r="A4584" s="51" t="s">
        <v>215</v>
      </c>
      <c r="B4584" s="55" t="n">
        <v>44742</v>
      </c>
      <c r="C4584" s="51" t="s">
        <v>73</v>
      </c>
      <c r="D4584" s="51" t="n">
        <v>0</v>
      </c>
    </row>
    <row r="4585" customFormat="false" ht="15" hidden="true" customHeight="false" outlineLevel="0" collapsed="false">
      <c r="A4585" s="51" t="s">
        <v>790</v>
      </c>
      <c r="B4585" s="55" t="n">
        <v>44742</v>
      </c>
      <c r="C4585" s="51" t="s">
        <v>73</v>
      </c>
      <c r="D4585" s="51" t="n">
        <v>0</v>
      </c>
    </row>
    <row r="4586" customFormat="false" ht="15" hidden="true" customHeight="false" outlineLevel="0" collapsed="false">
      <c r="A4586" s="51" t="s">
        <v>225</v>
      </c>
      <c r="B4586" s="55" t="n">
        <v>44742</v>
      </c>
      <c r="C4586" s="51" t="s">
        <v>73</v>
      </c>
      <c r="D4586" s="51" t="n">
        <v>0</v>
      </c>
    </row>
    <row r="4587" customFormat="false" ht="15" hidden="true" customHeight="false" outlineLevel="0" collapsed="false">
      <c r="A4587" s="51" t="s">
        <v>230</v>
      </c>
      <c r="B4587" s="55" t="n">
        <v>44742</v>
      </c>
      <c r="C4587" s="51" t="s">
        <v>73</v>
      </c>
      <c r="D4587" s="51" t="n">
        <v>0</v>
      </c>
    </row>
    <row r="4588" customFormat="false" ht="15" hidden="true" customHeight="false" outlineLevel="0" collapsed="false">
      <c r="A4588" s="51" t="s">
        <v>235</v>
      </c>
      <c r="B4588" s="55" t="n">
        <v>44742</v>
      </c>
      <c r="C4588" s="51" t="s">
        <v>73</v>
      </c>
      <c r="D4588" s="51" t="n">
        <v>164000</v>
      </c>
    </row>
    <row r="4589" customFormat="false" ht="15" hidden="true" customHeight="false" outlineLevel="0" collapsed="false">
      <c r="A4589" s="51" t="s">
        <v>240</v>
      </c>
      <c r="B4589" s="55" t="n">
        <v>44742</v>
      </c>
      <c r="C4589" s="51" t="s">
        <v>73</v>
      </c>
      <c r="D4589" s="51" t="n">
        <v>0</v>
      </c>
    </row>
    <row r="4590" customFormat="false" ht="15" hidden="true" customHeight="false" outlineLevel="0" collapsed="false">
      <c r="A4590" s="51" t="s">
        <v>246</v>
      </c>
      <c r="B4590" s="55" t="n">
        <v>44742</v>
      </c>
      <c r="C4590" s="51" t="s">
        <v>73</v>
      </c>
      <c r="D4590" s="51" t="n">
        <v>250000</v>
      </c>
    </row>
    <row r="4591" customFormat="false" ht="15" hidden="true" customHeight="false" outlineLevel="0" collapsed="false">
      <c r="A4591" s="51" t="s">
        <v>252</v>
      </c>
      <c r="B4591" s="55" t="n">
        <v>44742</v>
      </c>
      <c r="C4591" s="51" t="s">
        <v>73</v>
      </c>
      <c r="D4591" s="51" t="n">
        <v>0</v>
      </c>
    </row>
    <row r="4592" customFormat="false" ht="15" hidden="true" customHeight="false" outlineLevel="0" collapsed="false">
      <c r="A4592" s="51" t="s">
        <v>257</v>
      </c>
      <c r="B4592" s="55" t="n">
        <v>44742</v>
      </c>
      <c r="C4592" s="51" t="s">
        <v>73</v>
      </c>
      <c r="D4592" s="51" t="n">
        <v>500000</v>
      </c>
    </row>
    <row r="4593" customFormat="false" ht="15" hidden="true" customHeight="false" outlineLevel="0" collapsed="false">
      <c r="A4593" s="51" t="s">
        <v>262</v>
      </c>
      <c r="B4593" s="55" t="n">
        <v>44742</v>
      </c>
      <c r="C4593" s="51" t="s">
        <v>73</v>
      </c>
      <c r="D4593" s="51" t="n">
        <v>0</v>
      </c>
    </row>
    <row r="4594" customFormat="false" ht="15" hidden="true" customHeight="false" outlineLevel="0" collapsed="false">
      <c r="A4594" s="51" t="s">
        <v>267</v>
      </c>
      <c r="B4594" s="55" t="n">
        <v>44742</v>
      </c>
      <c r="C4594" s="51" t="s">
        <v>73</v>
      </c>
      <c r="D4594" s="51" t="n">
        <v>560000</v>
      </c>
    </row>
    <row r="4595" customFormat="false" ht="15" hidden="true" customHeight="false" outlineLevel="0" collapsed="false">
      <c r="A4595" s="51" t="s">
        <v>272</v>
      </c>
      <c r="B4595" s="55" t="n">
        <v>44742</v>
      </c>
      <c r="C4595" s="51" t="s">
        <v>73</v>
      </c>
      <c r="D4595" s="51" t="n">
        <v>60000</v>
      </c>
    </row>
    <row r="4596" customFormat="false" ht="15" hidden="true" customHeight="false" outlineLevel="0" collapsed="false">
      <c r="A4596" s="51" t="s">
        <v>277</v>
      </c>
      <c r="B4596" s="55" t="n">
        <v>44742</v>
      </c>
      <c r="C4596" s="51" t="s">
        <v>73</v>
      </c>
      <c r="D4596" s="51" t="n">
        <v>60000</v>
      </c>
    </row>
    <row r="4597" customFormat="false" ht="15" hidden="true" customHeight="false" outlineLevel="0" collapsed="false">
      <c r="A4597" s="51" t="s">
        <v>282</v>
      </c>
      <c r="B4597" s="55" t="n">
        <v>44742</v>
      </c>
      <c r="C4597" s="51" t="s">
        <v>73</v>
      </c>
      <c r="D4597" s="51" t="n">
        <v>0</v>
      </c>
    </row>
    <row r="4598" customFormat="false" ht="15" hidden="true" customHeight="false" outlineLevel="0" collapsed="false">
      <c r="A4598" s="51" t="s">
        <v>287</v>
      </c>
      <c r="B4598" s="55" t="n">
        <v>44742</v>
      </c>
      <c r="C4598" s="51" t="s">
        <v>73</v>
      </c>
      <c r="D4598" s="51" t="n">
        <v>0</v>
      </c>
    </row>
    <row r="4599" customFormat="false" ht="15" hidden="true" customHeight="false" outlineLevel="0" collapsed="false">
      <c r="A4599" s="51" t="s">
        <v>292</v>
      </c>
      <c r="B4599" s="55" t="n">
        <v>44742</v>
      </c>
      <c r="C4599" s="51" t="s">
        <v>73</v>
      </c>
      <c r="D4599" s="51" t="n">
        <v>0</v>
      </c>
    </row>
    <row r="4600" customFormat="false" ht="15" hidden="true" customHeight="false" outlineLevel="0" collapsed="false">
      <c r="A4600" s="51" t="s">
        <v>297</v>
      </c>
      <c r="B4600" s="55" t="n">
        <v>44742</v>
      </c>
      <c r="C4600" s="51" t="s">
        <v>73</v>
      </c>
      <c r="D4600" s="51" t="n">
        <v>0</v>
      </c>
    </row>
    <row r="4601" customFormat="false" ht="15" hidden="true" customHeight="false" outlineLevel="0" collapsed="false">
      <c r="A4601" s="51" t="s">
        <v>302</v>
      </c>
      <c r="B4601" s="55" t="n">
        <v>44742</v>
      </c>
      <c r="C4601" s="51" t="s">
        <v>73</v>
      </c>
      <c r="D4601" s="51" t="n">
        <v>0</v>
      </c>
    </row>
    <row r="4602" customFormat="false" ht="15" hidden="true" customHeight="false" outlineLevel="0" collapsed="false">
      <c r="A4602" s="51" t="s">
        <v>307</v>
      </c>
      <c r="B4602" s="55" t="n">
        <v>44742</v>
      </c>
      <c r="C4602" s="51" t="s">
        <v>73</v>
      </c>
      <c r="D4602" s="51" t="n">
        <v>0</v>
      </c>
    </row>
    <row r="4603" customFormat="false" ht="15" hidden="true" customHeight="false" outlineLevel="0" collapsed="false">
      <c r="A4603" s="51" t="s">
        <v>311</v>
      </c>
      <c r="B4603" s="55" t="n">
        <v>44742</v>
      </c>
      <c r="C4603" s="51" t="s">
        <v>73</v>
      </c>
      <c r="D4603" s="51" t="n">
        <v>0</v>
      </c>
    </row>
    <row r="4604" customFormat="false" ht="15" hidden="true" customHeight="false" outlineLevel="0" collapsed="false">
      <c r="A4604" s="51" t="s">
        <v>317</v>
      </c>
      <c r="B4604" s="55" t="n">
        <v>44742</v>
      </c>
      <c r="C4604" s="51" t="s">
        <v>73</v>
      </c>
      <c r="D4604" s="51" t="n">
        <v>0</v>
      </c>
    </row>
    <row r="4605" customFormat="false" ht="15" hidden="true" customHeight="false" outlineLevel="0" collapsed="false">
      <c r="A4605" s="51" t="s">
        <v>322</v>
      </c>
      <c r="B4605" s="55" t="n">
        <v>44742</v>
      </c>
      <c r="C4605" s="51" t="s">
        <v>73</v>
      </c>
      <c r="D4605" s="51" t="n">
        <v>0</v>
      </c>
    </row>
    <row r="4606" customFormat="false" ht="15" hidden="true" customHeight="false" outlineLevel="0" collapsed="false">
      <c r="A4606" s="51" t="s">
        <v>327</v>
      </c>
      <c r="B4606" s="55" t="n">
        <v>44742</v>
      </c>
      <c r="C4606" s="51" t="s">
        <v>73</v>
      </c>
      <c r="D4606" s="51" t="n">
        <v>0</v>
      </c>
    </row>
    <row r="4607" customFormat="false" ht="15" hidden="true" customHeight="false" outlineLevel="0" collapsed="false">
      <c r="A4607" s="51" t="s">
        <v>332</v>
      </c>
      <c r="B4607" s="55" t="n">
        <v>44742</v>
      </c>
      <c r="C4607" s="51" t="s">
        <v>73</v>
      </c>
      <c r="D4607" s="51" t="n">
        <v>0</v>
      </c>
    </row>
    <row r="4608" customFormat="false" ht="15" hidden="true" customHeight="false" outlineLevel="0" collapsed="false">
      <c r="A4608" s="51" t="s">
        <v>339</v>
      </c>
      <c r="B4608" s="55" t="n">
        <v>44742</v>
      </c>
      <c r="C4608" s="51" t="s">
        <v>73</v>
      </c>
      <c r="D4608" s="51" t="n">
        <v>0</v>
      </c>
    </row>
    <row r="4609" customFormat="false" ht="15" hidden="true" customHeight="false" outlineLevel="0" collapsed="false">
      <c r="A4609" s="51" t="s">
        <v>344</v>
      </c>
      <c r="B4609" s="55" t="n">
        <v>44742</v>
      </c>
      <c r="C4609" s="51" t="s">
        <v>73</v>
      </c>
      <c r="D4609" s="51" t="n">
        <v>0</v>
      </c>
    </row>
    <row r="4610" customFormat="false" ht="15" hidden="true" customHeight="false" outlineLevel="0" collapsed="false">
      <c r="A4610" s="51" t="s">
        <v>349</v>
      </c>
      <c r="B4610" s="55" t="n">
        <v>44742</v>
      </c>
      <c r="C4610" s="51" t="s">
        <v>73</v>
      </c>
      <c r="D4610" s="51" t="n">
        <v>0</v>
      </c>
    </row>
    <row r="4611" customFormat="false" ht="15" hidden="true" customHeight="false" outlineLevel="0" collapsed="false">
      <c r="A4611" s="51" t="s">
        <v>354</v>
      </c>
      <c r="B4611" s="55" t="n">
        <v>44742</v>
      </c>
      <c r="C4611" s="51" t="s">
        <v>73</v>
      </c>
      <c r="D4611" s="51" t="n">
        <v>0</v>
      </c>
    </row>
    <row r="4612" customFormat="false" ht="15" hidden="true" customHeight="false" outlineLevel="0" collapsed="false">
      <c r="A4612" s="51" t="s">
        <v>359</v>
      </c>
      <c r="B4612" s="55" t="n">
        <v>44742</v>
      </c>
      <c r="C4612" s="51" t="s">
        <v>73</v>
      </c>
      <c r="D4612" s="51" t="n">
        <v>0</v>
      </c>
    </row>
    <row r="4613" customFormat="false" ht="15" hidden="true" customHeight="false" outlineLevel="0" collapsed="false">
      <c r="A4613" s="51" t="s">
        <v>364</v>
      </c>
      <c r="B4613" s="55" t="n">
        <v>44742</v>
      </c>
      <c r="C4613" s="51" t="s">
        <v>73</v>
      </c>
      <c r="D4613" s="51" t="n">
        <v>0</v>
      </c>
    </row>
    <row r="4614" customFormat="false" ht="15" hidden="true" customHeight="false" outlineLevel="0" collapsed="false">
      <c r="A4614" s="51" t="s">
        <v>369</v>
      </c>
      <c r="B4614" s="55" t="n">
        <v>44742</v>
      </c>
      <c r="C4614" s="51" t="s">
        <v>73</v>
      </c>
      <c r="D4614" s="51" t="n">
        <v>0</v>
      </c>
    </row>
    <row r="4615" customFormat="false" ht="15" hidden="true" customHeight="false" outlineLevel="0" collapsed="false">
      <c r="A4615" s="51" t="s">
        <v>374</v>
      </c>
      <c r="B4615" s="55" t="n">
        <v>44742</v>
      </c>
      <c r="C4615" s="51" t="s">
        <v>73</v>
      </c>
      <c r="D4615" s="51" t="n">
        <v>0</v>
      </c>
    </row>
    <row r="4616" customFormat="false" ht="15" hidden="true" customHeight="false" outlineLevel="0" collapsed="false">
      <c r="A4616" s="51" t="s">
        <v>379</v>
      </c>
      <c r="B4616" s="55" t="n">
        <v>44742</v>
      </c>
      <c r="C4616" s="51" t="s">
        <v>73</v>
      </c>
      <c r="D4616" s="51" t="n">
        <v>0</v>
      </c>
    </row>
    <row r="4617" customFormat="false" ht="15" hidden="true" customHeight="false" outlineLevel="0" collapsed="false">
      <c r="A4617" s="51" t="s">
        <v>384</v>
      </c>
      <c r="B4617" s="55" t="n">
        <v>44742</v>
      </c>
      <c r="C4617" s="51" t="s">
        <v>73</v>
      </c>
      <c r="D4617" s="51" t="n">
        <v>0</v>
      </c>
    </row>
    <row r="4618" customFormat="false" ht="15" hidden="true" customHeight="false" outlineLevel="0" collapsed="false">
      <c r="A4618" s="51" t="s">
        <v>389</v>
      </c>
      <c r="B4618" s="55" t="n">
        <v>44742</v>
      </c>
      <c r="C4618" s="51" t="s">
        <v>73</v>
      </c>
      <c r="D4618" s="51" t="n">
        <v>0</v>
      </c>
    </row>
    <row r="4619" customFormat="false" ht="15" hidden="true" customHeight="false" outlineLevel="0" collapsed="false">
      <c r="A4619" s="51" t="s">
        <v>394</v>
      </c>
      <c r="B4619" s="55" t="n">
        <v>44742</v>
      </c>
      <c r="C4619" s="51" t="s">
        <v>73</v>
      </c>
      <c r="D4619" s="51" t="n">
        <v>0</v>
      </c>
    </row>
    <row r="4620" customFormat="false" ht="15" hidden="true" customHeight="false" outlineLevel="0" collapsed="false">
      <c r="A4620" s="51" t="s">
        <v>399</v>
      </c>
      <c r="B4620" s="55" t="n">
        <v>44742</v>
      </c>
      <c r="C4620" s="51" t="s">
        <v>73</v>
      </c>
      <c r="D4620" s="51" t="n">
        <v>0</v>
      </c>
    </row>
    <row r="4621" customFormat="false" ht="15" hidden="true" customHeight="false" outlineLevel="0" collapsed="false">
      <c r="A4621" s="51" t="s">
        <v>404</v>
      </c>
      <c r="B4621" s="55" t="n">
        <v>44742</v>
      </c>
      <c r="C4621" s="51" t="s">
        <v>73</v>
      </c>
      <c r="D4621" s="51" t="n">
        <v>0</v>
      </c>
    </row>
    <row r="4622" customFormat="false" ht="15" hidden="true" customHeight="false" outlineLevel="0" collapsed="false">
      <c r="A4622" s="51" t="s">
        <v>409</v>
      </c>
      <c r="B4622" s="55" t="n">
        <v>44742</v>
      </c>
      <c r="C4622" s="51" t="s">
        <v>73</v>
      </c>
      <c r="D4622" s="51" t="n">
        <v>0</v>
      </c>
    </row>
    <row r="4623" customFormat="false" ht="15" hidden="true" customHeight="false" outlineLevel="0" collapsed="false">
      <c r="A4623" s="51" t="s">
        <v>414</v>
      </c>
      <c r="B4623" s="55" t="n">
        <v>44742</v>
      </c>
      <c r="C4623" s="51" t="s">
        <v>73</v>
      </c>
      <c r="D4623" s="51" t="n">
        <v>0</v>
      </c>
    </row>
    <row r="4624" customFormat="false" ht="15" hidden="true" customHeight="false" outlineLevel="0" collapsed="false">
      <c r="A4624" s="51" t="s">
        <v>419</v>
      </c>
      <c r="B4624" s="55" t="n">
        <v>44742</v>
      </c>
      <c r="C4624" s="51" t="s">
        <v>73</v>
      </c>
      <c r="D4624" s="51" t="n">
        <v>0</v>
      </c>
    </row>
    <row r="4625" customFormat="false" ht="15" hidden="true" customHeight="false" outlineLevel="0" collapsed="false">
      <c r="A4625" s="51" t="s">
        <v>424</v>
      </c>
      <c r="B4625" s="55" t="n">
        <v>44742</v>
      </c>
      <c r="C4625" s="51" t="s">
        <v>73</v>
      </c>
      <c r="D4625" s="51" t="n">
        <v>0</v>
      </c>
    </row>
    <row r="4626" customFormat="false" ht="15" hidden="true" customHeight="false" outlineLevel="0" collapsed="false">
      <c r="A4626" s="51" t="s">
        <v>429</v>
      </c>
      <c r="B4626" s="55" t="n">
        <v>44742</v>
      </c>
      <c r="C4626" s="51" t="s">
        <v>73</v>
      </c>
      <c r="D4626" s="51" t="n">
        <v>0</v>
      </c>
    </row>
    <row r="4627" customFormat="false" ht="15" hidden="true" customHeight="false" outlineLevel="0" collapsed="false">
      <c r="A4627" s="51" t="s">
        <v>434</v>
      </c>
      <c r="B4627" s="55" t="n">
        <v>44742</v>
      </c>
      <c r="C4627" s="51" t="s">
        <v>73</v>
      </c>
      <c r="D4627" s="51" t="n">
        <v>0</v>
      </c>
    </row>
    <row r="4628" customFormat="false" ht="15" hidden="true" customHeight="false" outlineLevel="0" collapsed="false">
      <c r="A4628" s="51" t="s">
        <v>438</v>
      </c>
      <c r="B4628" s="55" t="n">
        <v>44742</v>
      </c>
      <c r="C4628" s="51" t="s">
        <v>73</v>
      </c>
      <c r="D4628" s="51" t="n">
        <v>0</v>
      </c>
    </row>
    <row r="4629" customFormat="false" ht="15" hidden="true" customHeight="false" outlineLevel="0" collapsed="false">
      <c r="A4629" s="51" t="s">
        <v>443</v>
      </c>
      <c r="B4629" s="55" t="n">
        <v>44742</v>
      </c>
      <c r="C4629" s="51" t="s">
        <v>73</v>
      </c>
      <c r="D4629" s="51" t="n">
        <v>0</v>
      </c>
    </row>
    <row r="4630" customFormat="false" ht="15" hidden="true" customHeight="false" outlineLevel="0" collapsed="false">
      <c r="A4630" s="51" t="s">
        <v>448</v>
      </c>
      <c r="B4630" s="55" t="n">
        <v>44742</v>
      </c>
      <c r="C4630" s="51" t="s">
        <v>73</v>
      </c>
      <c r="D4630" s="51" t="n">
        <v>0</v>
      </c>
    </row>
    <row r="4631" customFormat="false" ht="15" hidden="true" customHeight="false" outlineLevel="0" collapsed="false">
      <c r="A4631" s="51" t="s">
        <v>453</v>
      </c>
      <c r="B4631" s="55" t="n">
        <v>44742</v>
      </c>
      <c r="C4631" s="51" t="s">
        <v>73</v>
      </c>
      <c r="D4631" s="51" t="n">
        <v>0</v>
      </c>
    </row>
    <row r="4632" customFormat="false" ht="15" hidden="true" customHeight="false" outlineLevel="0" collapsed="false">
      <c r="A4632" s="51" t="s">
        <v>458</v>
      </c>
      <c r="B4632" s="55" t="n">
        <v>44742</v>
      </c>
      <c r="C4632" s="51" t="s">
        <v>73</v>
      </c>
      <c r="D4632" s="51" t="n">
        <v>0</v>
      </c>
    </row>
    <row r="4633" customFormat="false" ht="15" hidden="true" customHeight="false" outlineLevel="0" collapsed="false">
      <c r="A4633" s="51" t="s">
        <v>473</v>
      </c>
      <c r="B4633" s="55" t="n">
        <v>44742</v>
      </c>
      <c r="C4633" s="51" t="s">
        <v>73</v>
      </c>
      <c r="D4633" s="51" t="n">
        <v>0</v>
      </c>
    </row>
    <row r="4634" customFormat="false" ht="15" hidden="true" customHeight="false" outlineLevel="0" collapsed="false">
      <c r="A4634" s="51" t="s">
        <v>479</v>
      </c>
      <c r="B4634" s="55" t="n">
        <v>44742</v>
      </c>
      <c r="C4634" s="51" t="s">
        <v>73</v>
      </c>
      <c r="D4634" s="51" t="n">
        <v>0</v>
      </c>
    </row>
    <row r="4635" customFormat="false" ht="15" hidden="true" customHeight="false" outlineLevel="0" collapsed="false">
      <c r="A4635" s="51" t="s">
        <v>484</v>
      </c>
      <c r="B4635" s="55" t="n">
        <v>44742</v>
      </c>
      <c r="C4635" s="51" t="s">
        <v>73</v>
      </c>
      <c r="D4635" s="51" t="n">
        <v>0</v>
      </c>
    </row>
    <row r="4636" customFormat="false" ht="15" hidden="true" customHeight="false" outlineLevel="0" collapsed="false">
      <c r="A4636" s="51" t="s">
        <v>489</v>
      </c>
      <c r="B4636" s="55" t="n">
        <v>44742</v>
      </c>
      <c r="C4636" s="51" t="s">
        <v>73</v>
      </c>
      <c r="D4636" s="51" t="n">
        <v>0</v>
      </c>
    </row>
    <row r="4637" customFormat="false" ht="15" hidden="true" customHeight="false" outlineLevel="0" collapsed="false">
      <c r="A4637" s="51" t="s">
        <v>494</v>
      </c>
      <c r="B4637" s="55" t="n">
        <v>44742</v>
      </c>
      <c r="C4637" s="51" t="s">
        <v>73</v>
      </c>
      <c r="D4637" s="51" t="n">
        <v>0</v>
      </c>
    </row>
    <row r="4638" customFormat="false" ht="15" hidden="true" customHeight="false" outlineLevel="0" collapsed="false">
      <c r="A4638" s="51" t="s">
        <v>499</v>
      </c>
      <c r="B4638" s="55" t="n">
        <v>44742</v>
      </c>
      <c r="C4638" s="51" t="s">
        <v>73</v>
      </c>
      <c r="D4638" s="51" t="n">
        <v>0</v>
      </c>
    </row>
    <row r="4639" customFormat="false" ht="15" hidden="true" customHeight="false" outlineLevel="0" collapsed="false">
      <c r="A4639" s="51" t="s">
        <v>504</v>
      </c>
      <c r="B4639" s="55" t="n">
        <v>44742</v>
      </c>
      <c r="C4639" s="51" t="s">
        <v>73</v>
      </c>
      <c r="D4639" s="51" t="n">
        <v>0</v>
      </c>
    </row>
    <row r="4640" customFormat="false" ht="15" hidden="true" customHeight="false" outlineLevel="0" collapsed="false">
      <c r="A4640" s="51" t="s">
        <v>509</v>
      </c>
      <c r="B4640" s="55" t="n">
        <v>44742</v>
      </c>
      <c r="C4640" s="51" t="s">
        <v>73</v>
      </c>
      <c r="D4640" s="51" t="n">
        <v>0</v>
      </c>
    </row>
    <row r="4641" customFormat="false" ht="15" hidden="true" customHeight="false" outlineLevel="0" collapsed="false">
      <c r="A4641" s="51" t="s">
        <v>515</v>
      </c>
      <c r="B4641" s="55" t="n">
        <v>44742</v>
      </c>
      <c r="C4641" s="51" t="s">
        <v>73</v>
      </c>
      <c r="D4641" s="51" t="n">
        <v>0</v>
      </c>
    </row>
    <row r="4642" customFormat="false" ht="15" hidden="true" customHeight="false" outlineLevel="0" collapsed="false">
      <c r="A4642" s="51" t="s">
        <v>520</v>
      </c>
      <c r="B4642" s="55" t="n">
        <v>44742</v>
      </c>
      <c r="C4642" s="51" t="s">
        <v>73</v>
      </c>
      <c r="D4642" s="51" t="n">
        <v>0</v>
      </c>
    </row>
    <row r="4643" customFormat="false" ht="15" hidden="true" customHeight="false" outlineLevel="0" collapsed="false">
      <c r="A4643" s="51" t="s">
        <v>525</v>
      </c>
      <c r="B4643" s="55" t="n">
        <v>44742</v>
      </c>
      <c r="C4643" s="51" t="s">
        <v>73</v>
      </c>
      <c r="D4643" s="51" t="n">
        <v>0</v>
      </c>
    </row>
    <row r="4644" customFormat="false" ht="15" hidden="true" customHeight="false" outlineLevel="0" collapsed="false">
      <c r="A4644" s="51" t="s">
        <v>531</v>
      </c>
      <c r="B4644" s="55" t="n">
        <v>44742</v>
      </c>
      <c r="C4644" s="51" t="s">
        <v>73</v>
      </c>
      <c r="D4644" s="51" t="n">
        <v>0</v>
      </c>
    </row>
    <row r="4645" customFormat="false" ht="15" hidden="true" customHeight="false" outlineLevel="0" collapsed="false">
      <c r="A4645" s="51" t="s">
        <v>536</v>
      </c>
      <c r="B4645" s="55" t="n">
        <v>44742</v>
      </c>
      <c r="C4645" s="51" t="s">
        <v>73</v>
      </c>
      <c r="D4645" s="51" t="n">
        <v>0</v>
      </c>
    </row>
    <row r="4646" customFormat="false" ht="15" hidden="true" customHeight="false" outlineLevel="0" collapsed="false">
      <c r="A4646" s="51" t="s">
        <v>541</v>
      </c>
      <c r="B4646" s="55" t="n">
        <v>44742</v>
      </c>
      <c r="C4646" s="51" t="s">
        <v>73</v>
      </c>
      <c r="D4646" s="51" t="n">
        <v>0</v>
      </c>
    </row>
    <row r="4647" customFormat="false" ht="15" hidden="true" customHeight="false" outlineLevel="0" collapsed="false">
      <c r="A4647" s="51" t="s">
        <v>549</v>
      </c>
      <c r="B4647" s="55" t="n">
        <v>44742</v>
      </c>
      <c r="C4647" s="51" t="s">
        <v>73</v>
      </c>
      <c r="D4647" s="51" t="n">
        <v>0</v>
      </c>
    </row>
    <row r="4648" customFormat="false" ht="15" hidden="true" customHeight="false" outlineLevel="0" collapsed="false">
      <c r="A4648" s="51" t="s">
        <v>554</v>
      </c>
      <c r="B4648" s="55" t="n">
        <v>44742</v>
      </c>
      <c r="C4648" s="51" t="s">
        <v>73</v>
      </c>
      <c r="D4648" s="51" t="n">
        <v>0</v>
      </c>
    </row>
    <row r="4649" customFormat="false" ht="15" hidden="true" customHeight="false" outlineLevel="0" collapsed="false">
      <c r="A4649" s="51" t="s">
        <v>559</v>
      </c>
      <c r="B4649" s="55" t="n">
        <v>44742</v>
      </c>
      <c r="C4649" s="51" t="s">
        <v>73</v>
      </c>
      <c r="D4649" s="51" t="n">
        <v>0</v>
      </c>
    </row>
    <row r="4650" customFormat="false" ht="15" hidden="true" customHeight="false" outlineLevel="0" collapsed="false">
      <c r="A4650" s="51" t="s">
        <v>564</v>
      </c>
      <c r="B4650" s="55" t="n">
        <v>44742</v>
      </c>
      <c r="C4650" s="51" t="s">
        <v>73</v>
      </c>
      <c r="D4650" s="51" t="n">
        <v>0</v>
      </c>
    </row>
    <row r="4651" customFormat="false" ht="15" hidden="true" customHeight="false" outlineLevel="0" collapsed="false">
      <c r="A4651" s="51" t="s">
        <v>569</v>
      </c>
      <c r="B4651" s="55" t="n">
        <v>44742</v>
      </c>
      <c r="C4651" s="51" t="s">
        <v>73</v>
      </c>
      <c r="D4651" s="51" t="n">
        <v>0</v>
      </c>
    </row>
    <row r="4652" customFormat="false" ht="15" hidden="true" customHeight="false" outlineLevel="0" collapsed="false">
      <c r="A4652" s="51" t="s">
        <v>574</v>
      </c>
      <c r="B4652" s="55" t="n">
        <v>44742</v>
      </c>
      <c r="C4652" s="51" t="s">
        <v>73</v>
      </c>
      <c r="D4652" s="51" t="n">
        <v>0</v>
      </c>
    </row>
    <row r="4653" customFormat="false" ht="15" hidden="true" customHeight="false" outlineLevel="0" collapsed="false">
      <c r="A4653" s="51" t="s">
        <v>579</v>
      </c>
      <c r="B4653" s="55" t="n">
        <v>44742</v>
      </c>
      <c r="C4653" s="51" t="s">
        <v>73</v>
      </c>
      <c r="D4653" s="51" t="n">
        <v>0</v>
      </c>
    </row>
    <row r="4654" customFormat="false" ht="15" hidden="true" customHeight="false" outlineLevel="0" collapsed="false">
      <c r="A4654" s="51" t="s">
        <v>584</v>
      </c>
      <c r="B4654" s="55" t="n">
        <v>44742</v>
      </c>
      <c r="C4654" s="51" t="s">
        <v>73</v>
      </c>
      <c r="D4654" s="51" t="n">
        <v>0</v>
      </c>
    </row>
    <row r="4655" customFormat="false" ht="15" hidden="true" customHeight="false" outlineLevel="0" collapsed="false">
      <c r="A4655" s="51" t="s">
        <v>589</v>
      </c>
      <c r="B4655" s="55" t="n">
        <v>44742</v>
      </c>
      <c r="C4655" s="51" t="s">
        <v>73</v>
      </c>
      <c r="D4655" s="51" t="n">
        <v>0</v>
      </c>
    </row>
    <row r="4656" customFormat="false" ht="15" hidden="true" customHeight="false" outlineLevel="0" collapsed="false">
      <c r="A4656" s="51" t="s">
        <v>756</v>
      </c>
      <c r="B4656" s="55" t="n">
        <v>44742</v>
      </c>
      <c r="C4656" s="51" t="s">
        <v>73</v>
      </c>
      <c r="D4656" s="51" t="n">
        <v>0</v>
      </c>
    </row>
    <row r="4657" customFormat="false" ht="15" hidden="true" customHeight="false" outlineLevel="0" collapsed="false">
      <c r="A4657" s="51" t="s">
        <v>594</v>
      </c>
      <c r="B4657" s="55" t="n">
        <v>44742</v>
      </c>
      <c r="C4657" s="51" t="s">
        <v>73</v>
      </c>
      <c r="D4657" s="51" t="n">
        <v>0</v>
      </c>
    </row>
    <row r="4658" customFormat="false" ht="15" hidden="true" customHeight="false" outlineLevel="0" collapsed="false">
      <c r="A4658" s="51" t="s">
        <v>761</v>
      </c>
      <c r="B4658" s="55" t="n">
        <v>44742</v>
      </c>
      <c r="C4658" s="51" t="s">
        <v>73</v>
      </c>
      <c r="D4658" s="51" t="n">
        <v>0</v>
      </c>
    </row>
    <row r="4659" customFormat="false" ht="15" hidden="true" customHeight="false" outlineLevel="0" collapsed="false">
      <c r="A4659" s="51" t="s">
        <v>599</v>
      </c>
      <c r="B4659" s="55" t="n">
        <v>44742</v>
      </c>
      <c r="C4659" s="51" t="s">
        <v>73</v>
      </c>
      <c r="D4659" s="51" t="n">
        <v>0</v>
      </c>
    </row>
    <row r="4660" customFormat="false" ht="15" hidden="true" customHeight="false" outlineLevel="0" collapsed="false">
      <c r="A4660" s="51" t="s">
        <v>604</v>
      </c>
      <c r="B4660" s="55" t="n">
        <v>44742</v>
      </c>
      <c r="C4660" s="51" t="s">
        <v>73</v>
      </c>
      <c r="D4660" s="51" t="n">
        <v>0</v>
      </c>
    </row>
    <row r="4661" customFormat="false" ht="15" hidden="true" customHeight="false" outlineLevel="0" collapsed="false">
      <c r="A4661" s="51" t="s">
        <v>609</v>
      </c>
      <c r="B4661" s="55" t="n">
        <v>44742</v>
      </c>
      <c r="C4661" s="51" t="s">
        <v>73</v>
      </c>
      <c r="D4661" s="51" t="n">
        <v>0</v>
      </c>
    </row>
    <row r="4662" customFormat="false" ht="15" hidden="true" customHeight="false" outlineLevel="0" collapsed="false">
      <c r="A4662" s="51" t="s">
        <v>614</v>
      </c>
      <c r="B4662" s="55" t="n">
        <v>44742</v>
      </c>
      <c r="C4662" s="51" t="s">
        <v>73</v>
      </c>
      <c r="D4662" s="51" t="n">
        <v>0</v>
      </c>
    </row>
    <row r="4663" customFormat="false" ht="15" hidden="true" customHeight="false" outlineLevel="0" collapsed="false">
      <c r="A4663" s="51" t="s">
        <v>619</v>
      </c>
      <c r="B4663" s="55" t="n">
        <v>44742</v>
      </c>
      <c r="C4663" s="51" t="s">
        <v>73</v>
      </c>
      <c r="D4663" s="51" t="n">
        <v>0</v>
      </c>
    </row>
    <row r="4664" customFormat="false" ht="15" hidden="true" customHeight="false" outlineLevel="0" collapsed="false">
      <c r="A4664" s="51" t="s">
        <v>624</v>
      </c>
      <c r="B4664" s="55" t="n">
        <v>44742</v>
      </c>
      <c r="C4664" s="51" t="s">
        <v>73</v>
      </c>
      <c r="D4664" s="51" t="n">
        <v>0</v>
      </c>
    </row>
    <row r="4665" customFormat="false" ht="15" hidden="true" customHeight="false" outlineLevel="0" collapsed="false">
      <c r="A4665" s="51" t="s">
        <v>629</v>
      </c>
      <c r="B4665" s="55" t="n">
        <v>44742</v>
      </c>
      <c r="C4665" s="51" t="s">
        <v>73</v>
      </c>
      <c r="D4665" s="51" t="n">
        <v>0</v>
      </c>
    </row>
    <row r="4666" customFormat="false" ht="15" hidden="true" customHeight="false" outlineLevel="0" collapsed="false">
      <c r="A4666" s="51" t="s">
        <v>633</v>
      </c>
      <c r="B4666" s="55" t="n">
        <v>44742</v>
      </c>
      <c r="C4666" s="51" t="s">
        <v>73</v>
      </c>
      <c r="D4666" s="51" t="n">
        <v>0</v>
      </c>
    </row>
    <row r="4667" customFormat="false" ht="15" hidden="true" customHeight="false" outlineLevel="0" collapsed="false">
      <c r="A4667" s="51" t="s">
        <v>638</v>
      </c>
      <c r="B4667" s="55" t="n">
        <v>44742</v>
      </c>
      <c r="C4667" s="51" t="s">
        <v>73</v>
      </c>
      <c r="D4667" s="51" t="n">
        <v>0</v>
      </c>
    </row>
    <row r="4668" customFormat="false" ht="15" hidden="true" customHeight="false" outlineLevel="0" collapsed="false">
      <c r="A4668" s="51" t="s">
        <v>642</v>
      </c>
      <c r="B4668" s="55" t="n">
        <v>44742</v>
      </c>
      <c r="C4668" s="51" t="s">
        <v>73</v>
      </c>
      <c r="D4668" s="51" t="n">
        <v>0</v>
      </c>
    </row>
    <row r="4669" customFormat="false" ht="15" hidden="true" customHeight="false" outlineLevel="0" collapsed="false">
      <c r="A4669" s="51" t="s">
        <v>646</v>
      </c>
      <c r="B4669" s="55" t="n">
        <v>44742</v>
      </c>
      <c r="C4669" s="51" t="s">
        <v>73</v>
      </c>
      <c r="D4669" s="51" t="n">
        <v>0</v>
      </c>
    </row>
    <row r="4670" customFormat="false" ht="15" hidden="true" customHeight="false" outlineLevel="0" collapsed="false">
      <c r="A4670" s="51" t="s">
        <v>651</v>
      </c>
      <c r="B4670" s="55" t="n">
        <v>44742</v>
      </c>
      <c r="C4670" s="51" t="s">
        <v>73</v>
      </c>
      <c r="D4670" s="51" t="n">
        <v>0</v>
      </c>
    </row>
    <row r="4671" customFormat="false" ht="15" hidden="true" customHeight="false" outlineLevel="0" collapsed="false">
      <c r="A4671" s="51" t="s">
        <v>656</v>
      </c>
      <c r="B4671" s="55" t="n">
        <v>44742</v>
      </c>
      <c r="C4671" s="51" t="s">
        <v>73</v>
      </c>
      <c r="D4671" s="51" t="n">
        <v>0</v>
      </c>
    </row>
    <row r="4672" customFormat="false" ht="15" hidden="true" customHeight="false" outlineLevel="0" collapsed="false">
      <c r="A4672" s="51" t="s">
        <v>661</v>
      </c>
      <c r="B4672" s="55" t="n">
        <v>44742</v>
      </c>
      <c r="C4672" s="51" t="s">
        <v>73</v>
      </c>
      <c r="D4672" s="51" t="n">
        <v>0</v>
      </c>
    </row>
    <row r="4673" customFormat="false" ht="15" hidden="true" customHeight="false" outlineLevel="0" collapsed="false">
      <c r="A4673" s="51" t="s">
        <v>666</v>
      </c>
      <c r="B4673" s="55" t="n">
        <v>44742</v>
      </c>
      <c r="C4673" s="51" t="s">
        <v>73</v>
      </c>
      <c r="D4673" s="51" t="n">
        <v>0</v>
      </c>
    </row>
    <row r="4674" customFormat="false" ht="15" hidden="true" customHeight="false" outlineLevel="0" collapsed="false">
      <c r="A4674" s="51" t="s">
        <v>671</v>
      </c>
      <c r="B4674" s="55" t="n">
        <v>44742</v>
      </c>
      <c r="C4674" s="51" t="s">
        <v>73</v>
      </c>
      <c r="D4674" s="51" t="n">
        <v>0</v>
      </c>
    </row>
    <row r="4675" customFormat="false" ht="15" hidden="true" customHeight="false" outlineLevel="0" collapsed="false">
      <c r="A4675" s="51" t="s">
        <v>676</v>
      </c>
      <c r="B4675" s="55" t="n">
        <v>44742</v>
      </c>
      <c r="C4675" s="51" t="s">
        <v>73</v>
      </c>
      <c r="D4675" s="51" t="n">
        <v>0</v>
      </c>
    </row>
    <row r="4676" customFormat="false" ht="15" hidden="true" customHeight="false" outlineLevel="0" collapsed="false">
      <c r="A4676" s="51" t="s">
        <v>681</v>
      </c>
      <c r="B4676" s="55" t="n">
        <v>44742</v>
      </c>
      <c r="C4676" s="51" t="s">
        <v>73</v>
      </c>
      <c r="D4676" s="51" t="n">
        <v>0</v>
      </c>
    </row>
    <row r="4677" customFormat="false" ht="15" hidden="true" customHeight="false" outlineLevel="0" collapsed="false">
      <c r="A4677" s="51" t="s">
        <v>686</v>
      </c>
      <c r="B4677" s="55" t="n">
        <v>44742</v>
      </c>
      <c r="C4677" s="51" t="s">
        <v>73</v>
      </c>
      <c r="D4677" s="51" t="n">
        <v>0</v>
      </c>
    </row>
    <row r="4678" customFormat="false" ht="15" hidden="true" customHeight="false" outlineLevel="0" collapsed="false">
      <c r="A4678" s="51" t="s">
        <v>691</v>
      </c>
      <c r="B4678" s="55" t="n">
        <v>44742</v>
      </c>
      <c r="C4678" s="51" t="s">
        <v>73</v>
      </c>
      <c r="D4678" s="51" t="n">
        <v>0</v>
      </c>
    </row>
    <row r="4679" customFormat="false" ht="15" hidden="true" customHeight="false" outlineLevel="0" collapsed="false">
      <c r="A4679" s="51" t="s">
        <v>696</v>
      </c>
      <c r="B4679" s="55" t="n">
        <v>44742</v>
      </c>
      <c r="C4679" s="51" t="s">
        <v>73</v>
      </c>
      <c r="D4679" s="51" t="n">
        <v>0</v>
      </c>
    </row>
    <row r="4680" customFormat="false" ht="15" hidden="true" customHeight="false" outlineLevel="0" collapsed="false">
      <c r="A4680" s="51" t="s">
        <v>701</v>
      </c>
      <c r="B4680" s="55" t="n">
        <v>44742</v>
      </c>
      <c r="C4680" s="51" t="s">
        <v>73</v>
      </c>
      <c r="D4680" s="51" t="n">
        <v>0</v>
      </c>
    </row>
    <row r="4681" customFormat="false" ht="15" hidden="true" customHeight="false" outlineLevel="0" collapsed="false">
      <c r="A4681" s="51" t="s">
        <v>707</v>
      </c>
      <c r="B4681" s="55" t="n">
        <v>44742</v>
      </c>
      <c r="C4681" s="51" t="s">
        <v>73</v>
      </c>
      <c r="D4681" s="51" t="n">
        <v>0</v>
      </c>
    </row>
    <row r="4682" customFormat="false" ht="15" hidden="true" customHeight="false" outlineLevel="0" collapsed="false">
      <c r="A4682" s="51" t="s">
        <v>712</v>
      </c>
      <c r="B4682" s="55" t="n">
        <v>44742</v>
      </c>
      <c r="C4682" s="51" t="s">
        <v>73</v>
      </c>
      <c r="D4682" s="51" t="n">
        <v>0</v>
      </c>
    </row>
    <row r="4683" customFormat="false" ht="15" hidden="true" customHeight="false" outlineLevel="0" collapsed="false">
      <c r="A4683" s="51" t="s">
        <v>717</v>
      </c>
      <c r="B4683" s="55" t="n">
        <v>44742</v>
      </c>
      <c r="C4683" s="51" t="s">
        <v>73</v>
      </c>
      <c r="D4683" s="51" t="n">
        <v>0</v>
      </c>
    </row>
    <row r="4684" customFormat="false" ht="15" hidden="true" customHeight="false" outlineLevel="0" collapsed="false">
      <c r="A4684" s="51" t="s">
        <v>767</v>
      </c>
      <c r="B4684" s="55" t="n">
        <v>44742</v>
      </c>
      <c r="C4684" s="51" t="s">
        <v>73</v>
      </c>
      <c r="D4684" s="51" t="n">
        <v>0</v>
      </c>
    </row>
    <row r="4685" customFormat="false" ht="15" hidden="true" customHeight="false" outlineLevel="0" collapsed="false">
      <c r="A4685" s="51" t="s">
        <v>722</v>
      </c>
      <c r="B4685" s="55" t="n">
        <v>44742</v>
      </c>
      <c r="C4685" s="51" t="s">
        <v>73</v>
      </c>
      <c r="D4685" s="51" t="n">
        <v>0</v>
      </c>
    </row>
    <row r="4686" customFormat="false" ht="15" hidden="true" customHeight="false" outlineLevel="0" collapsed="false">
      <c r="A4686" s="51" t="s">
        <v>727</v>
      </c>
      <c r="B4686" s="55" t="n">
        <v>44742</v>
      </c>
      <c r="C4686" s="51" t="s">
        <v>73</v>
      </c>
      <c r="D4686" s="51" t="n">
        <v>0</v>
      </c>
    </row>
    <row r="4687" customFormat="false" ht="15" hidden="true" customHeight="false" outlineLevel="0" collapsed="false">
      <c r="A4687" s="51" t="s">
        <v>732</v>
      </c>
      <c r="B4687" s="55" t="n">
        <v>44742</v>
      </c>
      <c r="C4687" s="51" t="s">
        <v>73</v>
      </c>
      <c r="D4687" s="51" t="n">
        <v>0</v>
      </c>
    </row>
    <row r="4688" customFormat="false" ht="15" hidden="true" customHeight="false" outlineLevel="0" collapsed="false">
      <c r="A4688" s="51" t="s">
        <v>736</v>
      </c>
      <c r="B4688" s="55" t="n">
        <v>44742</v>
      </c>
      <c r="C4688" s="51" t="s">
        <v>73</v>
      </c>
      <c r="D4688" s="51" t="n">
        <v>0</v>
      </c>
    </row>
    <row r="4689" customFormat="false" ht="15" hidden="true" customHeight="false" outlineLevel="0" collapsed="false">
      <c r="A4689" s="51" t="s">
        <v>741</v>
      </c>
      <c r="B4689" s="55" t="n">
        <v>44742</v>
      </c>
      <c r="C4689" s="51" t="s">
        <v>73</v>
      </c>
      <c r="D4689" s="51" t="n">
        <v>0</v>
      </c>
    </row>
    <row r="4690" customFormat="false" ht="15" hidden="true" customHeight="false" outlineLevel="0" collapsed="false">
      <c r="A4690" s="51" t="s">
        <v>746</v>
      </c>
      <c r="B4690" s="55" t="n">
        <v>44742</v>
      </c>
      <c r="C4690" s="51" t="s">
        <v>73</v>
      </c>
      <c r="D4690" s="51" t="n">
        <v>0</v>
      </c>
    </row>
    <row r="4691" customFormat="false" ht="15" hidden="true" customHeight="false" outlineLevel="0" collapsed="false">
      <c r="A4691" s="51" t="s">
        <v>751</v>
      </c>
      <c r="B4691" s="55" t="n">
        <v>44742</v>
      </c>
      <c r="C4691" s="51" t="s">
        <v>73</v>
      </c>
      <c r="D4691" s="51" t="n">
        <v>0</v>
      </c>
    </row>
    <row r="4692" customFormat="false" ht="15" hidden="false" customHeight="false" outlineLevel="0" collapsed="false">
      <c r="A4692" s="51" t="s">
        <v>781</v>
      </c>
      <c r="B4692" s="55" t="n">
        <v>44742</v>
      </c>
      <c r="C4692" s="51" t="s">
        <v>791</v>
      </c>
      <c r="D4692" s="51" t="n">
        <v>0</v>
      </c>
    </row>
    <row r="4693" customFormat="false" ht="15" hidden="true" customHeight="false" outlineLevel="0" collapsed="false">
      <c r="A4693" s="51" t="s">
        <v>783</v>
      </c>
      <c r="B4693" s="55" t="n">
        <v>44742</v>
      </c>
      <c r="C4693" s="51" t="s">
        <v>791</v>
      </c>
      <c r="D4693" s="51" t="n">
        <v>0</v>
      </c>
    </row>
    <row r="4694" customFormat="false" ht="15" hidden="true" customHeight="false" outlineLevel="0" collapsed="false">
      <c r="A4694" s="51" t="s">
        <v>96</v>
      </c>
      <c r="B4694" s="55" t="n">
        <v>44742</v>
      </c>
      <c r="C4694" s="51" t="s">
        <v>791</v>
      </c>
      <c r="D4694" s="51" t="n">
        <v>0</v>
      </c>
    </row>
    <row r="4695" customFormat="false" ht="15" hidden="true" customHeight="false" outlineLevel="0" collapsed="false">
      <c r="A4695" s="51" t="s">
        <v>101</v>
      </c>
      <c r="B4695" s="55" t="n">
        <v>44742</v>
      </c>
      <c r="C4695" s="51" t="s">
        <v>791</v>
      </c>
      <c r="D4695" s="51" t="n">
        <v>0</v>
      </c>
    </row>
    <row r="4696" customFormat="false" ht="15" hidden="true" customHeight="false" outlineLevel="0" collapsed="false">
      <c r="A4696" s="51" t="s">
        <v>106</v>
      </c>
      <c r="B4696" s="55" t="n">
        <v>44742</v>
      </c>
      <c r="C4696" s="51" t="s">
        <v>791</v>
      </c>
      <c r="D4696" s="51" t="n">
        <v>0</v>
      </c>
    </row>
    <row r="4697" customFormat="false" ht="15" hidden="true" customHeight="false" outlineLevel="0" collapsed="false">
      <c r="A4697" s="51" t="s">
        <v>110</v>
      </c>
      <c r="B4697" s="55" t="n">
        <v>44742</v>
      </c>
      <c r="C4697" s="51" t="s">
        <v>791</v>
      </c>
      <c r="D4697" s="51" t="n">
        <v>-250000</v>
      </c>
    </row>
    <row r="4698" customFormat="false" ht="15" hidden="true" customHeight="false" outlineLevel="0" collapsed="false">
      <c r="A4698" s="51" t="s">
        <v>115</v>
      </c>
      <c r="B4698" s="55" t="n">
        <v>44742</v>
      </c>
      <c r="C4698" s="51" t="s">
        <v>791</v>
      </c>
      <c r="D4698" s="51" t="n">
        <v>0</v>
      </c>
    </row>
    <row r="4699" customFormat="false" ht="15" hidden="true" customHeight="false" outlineLevel="0" collapsed="false">
      <c r="A4699" s="51" t="s">
        <v>120</v>
      </c>
      <c r="B4699" s="55" t="n">
        <v>44742</v>
      </c>
      <c r="C4699" s="51" t="s">
        <v>791</v>
      </c>
      <c r="D4699" s="51" t="n">
        <v>0</v>
      </c>
    </row>
    <row r="4700" customFormat="false" ht="15" hidden="true" customHeight="false" outlineLevel="0" collapsed="false">
      <c r="A4700" s="51" t="s">
        <v>124</v>
      </c>
      <c r="B4700" s="55" t="n">
        <v>44742</v>
      </c>
      <c r="C4700" s="51" t="s">
        <v>791</v>
      </c>
      <c r="D4700" s="51" t="n">
        <v>-3000000</v>
      </c>
    </row>
    <row r="4701" customFormat="false" ht="15" hidden="true" customHeight="false" outlineLevel="0" collapsed="false">
      <c r="A4701" s="51" t="s">
        <v>129</v>
      </c>
      <c r="B4701" s="55" t="n">
        <v>44742</v>
      </c>
      <c r="C4701" s="51" t="s">
        <v>791</v>
      </c>
      <c r="D4701" s="51" t="n">
        <v>0</v>
      </c>
    </row>
    <row r="4702" customFormat="false" ht="15" hidden="true" customHeight="false" outlineLevel="0" collapsed="false">
      <c r="A4702" s="51" t="s">
        <v>134</v>
      </c>
      <c r="B4702" s="55" t="n">
        <v>44742</v>
      </c>
      <c r="C4702" s="51" t="s">
        <v>791</v>
      </c>
      <c r="D4702" s="51" t="n">
        <v>0</v>
      </c>
    </row>
    <row r="4703" customFormat="false" ht="15" hidden="true" customHeight="false" outlineLevel="0" collapsed="false">
      <c r="A4703" s="51" t="s">
        <v>141</v>
      </c>
      <c r="B4703" s="55" t="n">
        <v>44742</v>
      </c>
      <c r="C4703" s="51" t="s">
        <v>791</v>
      </c>
      <c r="D4703" s="51" t="n">
        <v>0</v>
      </c>
    </row>
    <row r="4704" customFormat="false" ht="15" hidden="true" customHeight="false" outlineLevel="0" collapsed="false">
      <c r="A4704" s="51" t="s">
        <v>146</v>
      </c>
      <c r="B4704" s="55" t="n">
        <v>44742</v>
      </c>
      <c r="C4704" s="51" t="s">
        <v>791</v>
      </c>
      <c r="D4704" s="51" t="n">
        <v>0</v>
      </c>
    </row>
    <row r="4705" customFormat="false" ht="15" hidden="true" customHeight="false" outlineLevel="0" collapsed="false">
      <c r="A4705" s="51" t="s">
        <v>151</v>
      </c>
      <c r="B4705" s="55" t="n">
        <v>44742</v>
      </c>
      <c r="C4705" s="51" t="s">
        <v>791</v>
      </c>
      <c r="D4705" s="51" t="n">
        <v>-128000</v>
      </c>
    </row>
    <row r="4706" customFormat="false" ht="15" hidden="true" customHeight="false" outlineLevel="0" collapsed="false">
      <c r="A4706" s="51" t="s">
        <v>156</v>
      </c>
      <c r="B4706" s="55" t="n">
        <v>44742</v>
      </c>
      <c r="C4706" s="51" t="s">
        <v>791</v>
      </c>
      <c r="D4706" s="51" t="n">
        <v>0</v>
      </c>
    </row>
    <row r="4707" customFormat="false" ht="15" hidden="true" customHeight="false" outlineLevel="0" collapsed="false">
      <c r="A4707" s="51" t="s">
        <v>161</v>
      </c>
      <c r="B4707" s="55" t="n">
        <v>44742</v>
      </c>
      <c r="C4707" s="51" t="s">
        <v>791</v>
      </c>
      <c r="D4707" s="51" t="n">
        <v>-75000</v>
      </c>
    </row>
    <row r="4708" customFormat="false" ht="15" hidden="true" customHeight="false" outlineLevel="0" collapsed="false">
      <c r="A4708" s="51" t="s">
        <v>166</v>
      </c>
      <c r="B4708" s="55" t="n">
        <v>44742</v>
      </c>
      <c r="C4708" s="51" t="s">
        <v>791</v>
      </c>
      <c r="D4708" s="51" t="n">
        <v>0</v>
      </c>
    </row>
    <row r="4709" customFormat="false" ht="15" hidden="true" customHeight="false" outlineLevel="0" collapsed="false">
      <c r="A4709" s="51" t="s">
        <v>171</v>
      </c>
      <c r="B4709" s="55" t="n">
        <v>44742</v>
      </c>
      <c r="C4709" s="51" t="s">
        <v>791</v>
      </c>
      <c r="D4709" s="51" t="n">
        <v>0</v>
      </c>
    </row>
    <row r="4710" customFormat="false" ht="15" hidden="true" customHeight="false" outlineLevel="0" collapsed="false">
      <c r="A4710" s="51" t="s">
        <v>176</v>
      </c>
      <c r="B4710" s="55" t="n">
        <v>44742</v>
      </c>
      <c r="C4710" s="51" t="s">
        <v>791</v>
      </c>
      <c r="D4710" s="51" t="n">
        <v>0</v>
      </c>
    </row>
    <row r="4711" customFormat="false" ht="15" hidden="true" customHeight="false" outlineLevel="0" collapsed="false">
      <c r="A4711" s="51" t="s">
        <v>181</v>
      </c>
      <c r="B4711" s="55" t="n">
        <v>44742</v>
      </c>
      <c r="C4711" s="51" t="s">
        <v>791</v>
      </c>
      <c r="D4711" s="51" t="n">
        <v>0</v>
      </c>
    </row>
    <row r="4712" customFormat="false" ht="15" hidden="true" customHeight="false" outlineLevel="0" collapsed="false">
      <c r="A4712" s="51" t="s">
        <v>186</v>
      </c>
      <c r="B4712" s="55" t="n">
        <v>44742</v>
      </c>
      <c r="C4712" s="51" t="s">
        <v>791</v>
      </c>
      <c r="D4712" s="51" t="n">
        <v>-66666.67</v>
      </c>
    </row>
    <row r="4713" customFormat="false" ht="15" hidden="true" customHeight="false" outlineLevel="0" collapsed="false">
      <c r="A4713" s="51" t="s">
        <v>191</v>
      </c>
      <c r="B4713" s="55" t="n">
        <v>44742</v>
      </c>
      <c r="C4713" s="51" t="s">
        <v>791</v>
      </c>
      <c r="D4713" s="51" t="n">
        <v>0</v>
      </c>
    </row>
    <row r="4714" customFormat="false" ht="15" hidden="true" customHeight="false" outlineLevel="0" collapsed="false">
      <c r="A4714" s="51" t="s">
        <v>196</v>
      </c>
      <c r="B4714" s="55" t="n">
        <v>44742</v>
      </c>
      <c r="C4714" s="51" t="s">
        <v>791</v>
      </c>
      <c r="D4714" s="51" t="n">
        <v>0</v>
      </c>
    </row>
    <row r="4715" customFormat="false" ht="15" hidden="true" customHeight="false" outlineLevel="0" collapsed="false">
      <c r="A4715" s="51" t="s">
        <v>201</v>
      </c>
      <c r="B4715" s="55" t="n">
        <v>44742</v>
      </c>
      <c r="C4715" s="51" t="s">
        <v>791</v>
      </c>
      <c r="D4715" s="51" t="n">
        <v>0</v>
      </c>
    </row>
    <row r="4716" customFormat="false" ht="15" hidden="true" customHeight="false" outlineLevel="0" collapsed="false">
      <c r="A4716" s="51" t="s">
        <v>206</v>
      </c>
      <c r="B4716" s="55" t="n">
        <v>44742</v>
      </c>
      <c r="C4716" s="51" t="s">
        <v>791</v>
      </c>
      <c r="D4716" s="51" t="n">
        <v>0</v>
      </c>
    </row>
    <row r="4717" customFormat="false" ht="15" hidden="true" customHeight="false" outlineLevel="0" collapsed="false">
      <c r="A4717" s="51" t="s">
        <v>210</v>
      </c>
      <c r="B4717" s="55" t="n">
        <v>44742</v>
      </c>
      <c r="C4717" s="51" t="s">
        <v>791</v>
      </c>
      <c r="D4717" s="51" t="n">
        <v>0</v>
      </c>
    </row>
    <row r="4718" customFormat="false" ht="15" hidden="true" customHeight="false" outlineLevel="0" collapsed="false">
      <c r="A4718" s="51" t="s">
        <v>215</v>
      </c>
      <c r="B4718" s="55" t="n">
        <v>44742</v>
      </c>
      <c r="C4718" s="51" t="s">
        <v>791</v>
      </c>
      <c r="D4718" s="51" t="n">
        <v>0</v>
      </c>
    </row>
    <row r="4719" customFormat="false" ht="15" hidden="true" customHeight="false" outlineLevel="0" collapsed="false">
      <c r="A4719" s="51" t="s">
        <v>790</v>
      </c>
      <c r="B4719" s="55" t="n">
        <v>44742</v>
      </c>
      <c r="C4719" s="51" t="s">
        <v>791</v>
      </c>
      <c r="D4719" s="51" t="n">
        <v>0</v>
      </c>
    </row>
    <row r="4720" customFormat="false" ht="15" hidden="true" customHeight="false" outlineLevel="0" collapsed="false">
      <c r="A4720" s="51" t="s">
        <v>225</v>
      </c>
      <c r="B4720" s="55" t="n">
        <v>44742</v>
      </c>
      <c r="C4720" s="51" t="s">
        <v>791</v>
      </c>
      <c r="D4720" s="51" t="n">
        <v>0</v>
      </c>
    </row>
    <row r="4721" customFormat="false" ht="15" hidden="true" customHeight="false" outlineLevel="0" collapsed="false">
      <c r="A4721" s="51" t="s">
        <v>230</v>
      </c>
      <c r="B4721" s="55" t="n">
        <v>44742</v>
      </c>
      <c r="C4721" s="51" t="s">
        <v>791</v>
      </c>
      <c r="D4721" s="51" t="n">
        <v>0</v>
      </c>
    </row>
    <row r="4722" customFormat="false" ht="15" hidden="true" customHeight="false" outlineLevel="0" collapsed="false">
      <c r="A4722" s="51" t="s">
        <v>235</v>
      </c>
      <c r="B4722" s="55" t="n">
        <v>44742</v>
      </c>
      <c r="C4722" s="51" t="s">
        <v>791</v>
      </c>
      <c r="D4722" s="51" t="n">
        <v>-164000</v>
      </c>
    </row>
    <row r="4723" customFormat="false" ht="15" hidden="true" customHeight="false" outlineLevel="0" collapsed="false">
      <c r="A4723" s="51" t="s">
        <v>240</v>
      </c>
      <c r="B4723" s="55" t="n">
        <v>44742</v>
      </c>
      <c r="C4723" s="51" t="s">
        <v>791</v>
      </c>
      <c r="D4723" s="51" t="n">
        <v>0</v>
      </c>
    </row>
    <row r="4724" customFormat="false" ht="15" hidden="true" customHeight="false" outlineLevel="0" collapsed="false">
      <c r="A4724" s="51" t="s">
        <v>246</v>
      </c>
      <c r="B4724" s="55" t="n">
        <v>44742</v>
      </c>
      <c r="C4724" s="51" t="s">
        <v>791</v>
      </c>
      <c r="D4724" s="51" t="n">
        <v>-250000</v>
      </c>
    </row>
    <row r="4725" customFormat="false" ht="15" hidden="true" customHeight="false" outlineLevel="0" collapsed="false">
      <c r="A4725" s="51" t="s">
        <v>252</v>
      </c>
      <c r="B4725" s="55" t="n">
        <v>44742</v>
      </c>
      <c r="C4725" s="51" t="s">
        <v>791</v>
      </c>
      <c r="D4725" s="51" t="n">
        <v>0</v>
      </c>
    </row>
    <row r="4726" customFormat="false" ht="15" hidden="true" customHeight="false" outlineLevel="0" collapsed="false">
      <c r="A4726" s="51" t="s">
        <v>257</v>
      </c>
      <c r="B4726" s="55" t="n">
        <v>44742</v>
      </c>
      <c r="C4726" s="51" t="s">
        <v>791</v>
      </c>
      <c r="D4726" s="51" t="n">
        <v>-500000</v>
      </c>
    </row>
    <row r="4727" customFormat="false" ht="15" hidden="true" customHeight="false" outlineLevel="0" collapsed="false">
      <c r="A4727" s="51" t="s">
        <v>262</v>
      </c>
      <c r="B4727" s="55" t="n">
        <v>44742</v>
      </c>
      <c r="C4727" s="51" t="s">
        <v>791</v>
      </c>
      <c r="D4727" s="51" t="n">
        <v>0</v>
      </c>
    </row>
    <row r="4728" customFormat="false" ht="15" hidden="true" customHeight="false" outlineLevel="0" collapsed="false">
      <c r="A4728" s="51" t="s">
        <v>267</v>
      </c>
      <c r="B4728" s="55" t="n">
        <v>44742</v>
      </c>
      <c r="C4728" s="51" t="s">
        <v>791</v>
      </c>
      <c r="D4728" s="51" t="n">
        <v>-560000</v>
      </c>
    </row>
    <row r="4729" customFormat="false" ht="15" hidden="true" customHeight="false" outlineLevel="0" collapsed="false">
      <c r="A4729" s="51" t="s">
        <v>272</v>
      </c>
      <c r="B4729" s="55" t="n">
        <v>44742</v>
      </c>
      <c r="C4729" s="51" t="s">
        <v>791</v>
      </c>
      <c r="D4729" s="51" t="n">
        <v>-60000</v>
      </c>
    </row>
    <row r="4730" customFormat="false" ht="15" hidden="true" customHeight="false" outlineLevel="0" collapsed="false">
      <c r="A4730" s="51" t="s">
        <v>277</v>
      </c>
      <c r="B4730" s="55" t="n">
        <v>44742</v>
      </c>
      <c r="C4730" s="51" t="s">
        <v>791</v>
      </c>
      <c r="D4730" s="51" t="n">
        <v>-60000</v>
      </c>
    </row>
    <row r="4731" customFormat="false" ht="15" hidden="true" customHeight="false" outlineLevel="0" collapsed="false">
      <c r="A4731" s="51" t="s">
        <v>282</v>
      </c>
      <c r="B4731" s="55" t="n">
        <v>44742</v>
      </c>
      <c r="C4731" s="51" t="s">
        <v>791</v>
      </c>
      <c r="D4731" s="51" t="n">
        <v>1000000</v>
      </c>
    </row>
    <row r="4732" customFormat="false" ht="15" hidden="true" customHeight="false" outlineLevel="0" collapsed="false">
      <c r="A4732" s="51" t="s">
        <v>287</v>
      </c>
      <c r="B4732" s="55" t="n">
        <v>44742</v>
      </c>
      <c r="C4732" s="51" t="s">
        <v>791</v>
      </c>
      <c r="D4732" s="51" t="n">
        <v>903000</v>
      </c>
    </row>
    <row r="4733" customFormat="false" ht="15" hidden="true" customHeight="false" outlineLevel="0" collapsed="false">
      <c r="A4733" s="51" t="s">
        <v>292</v>
      </c>
      <c r="B4733" s="55" t="n">
        <v>44742</v>
      </c>
      <c r="C4733" s="51" t="s">
        <v>791</v>
      </c>
      <c r="D4733" s="51" t="n">
        <v>700000</v>
      </c>
    </row>
    <row r="4734" customFormat="false" ht="15" hidden="true" customHeight="false" outlineLevel="0" collapsed="false">
      <c r="A4734" s="51" t="s">
        <v>297</v>
      </c>
      <c r="B4734" s="55" t="n">
        <v>44742</v>
      </c>
      <c r="C4734" s="51" t="s">
        <v>791</v>
      </c>
      <c r="D4734" s="51" t="n">
        <v>650000</v>
      </c>
    </row>
    <row r="4735" customFormat="false" ht="15" hidden="true" customHeight="false" outlineLevel="0" collapsed="false">
      <c r="A4735" s="51" t="s">
        <v>302</v>
      </c>
      <c r="B4735" s="55" t="n">
        <v>44742</v>
      </c>
      <c r="C4735" s="51" t="s">
        <v>791</v>
      </c>
      <c r="D4735" s="51" t="n">
        <v>500000</v>
      </c>
    </row>
    <row r="4736" customFormat="false" ht="15" hidden="true" customHeight="false" outlineLevel="0" collapsed="false">
      <c r="A4736" s="51" t="s">
        <v>307</v>
      </c>
      <c r="B4736" s="55" t="n">
        <v>44742</v>
      </c>
      <c r="C4736" s="51" t="s">
        <v>791</v>
      </c>
      <c r="D4736" s="51" t="n">
        <v>1650000</v>
      </c>
    </row>
    <row r="4737" customFormat="false" ht="15" hidden="true" customHeight="false" outlineLevel="0" collapsed="false">
      <c r="A4737" s="51" t="s">
        <v>311</v>
      </c>
      <c r="B4737" s="55" t="n">
        <v>44742</v>
      </c>
      <c r="C4737" s="51" t="s">
        <v>791</v>
      </c>
      <c r="D4737" s="51" t="n">
        <v>2674297.49</v>
      </c>
    </row>
    <row r="4738" customFormat="false" ht="15" hidden="true" customHeight="false" outlineLevel="0" collapsed="false">
      <c r="A4738" s="51" t="s">
        <v>317</v>
      </c>
      <c r="B4738" s="55" t="n">
        <v>44742</v>
      </c>
      <c r="C4738" s="51" t="s">
        <v>791</v>
      </c>
      <c r="D4738" s="51" t="n">
        <v>3858000</v>
      </c>
    </row>
    <row r="4739" customFormat="false" ht="15" hidden="true" customHeight="false" outlineLevel="0" collapsed="false">
      <c r="A4739" s="51" t="s">
        <v>322</v>
      </c>
      <c r="B4739" s="55" t="n">
        <v>44742</v>
      </c>
      <c r="C4739" s="51" t="s">
        <v>791</v>
      </c>
      <c r="D4739" s="51" t="n">
        <v>0</v>
      </c>
    </row>
    <row r="4740" customFormat="false" ht="15" hidden="true" customHeight="false" outlineLevel="0" collapsed="false">
      <c r="A4740" s="51" t="s">
        <v>327</v>
      </c>
      <c r="B4740" s="55" t="n">
        <v>44742</v>
      </c>
      <c r="C4740" s="51" t="s">
        <v>791</v>
      </c>
      <c r="D4740" s="51" t="n">
        <v>0</v>
      </c>
    </row>
    <row r="4741" customFormat="false" ht="15" hidden="true" customHeight="false" outlineLevel="0" collapsed="false">
      <c r="A4741" s="51" t="s">
        <v>332</v>
      </c>
      <c r="B4741" s="55" t="n">
        <v>44742</v>
      </c>
      <c r="C4741" s="51" t="s">
        <v>791</v>
      </c>
      <c r="D4741" s="51" t="n">
        <v>0</v>
      </c>
    </row>
    <row r="4742" customFormat="false" ht="15" hidden="true" customHeight="false" outlineLevel="0" collapsed="false">
      <c r="A4742" s="51" t="s">
        <v>339</v>
      </c>
      <c r="B4742" s="55" t="n">
        <v>44742</v>
      </c>
      <c r="C4742" s="51" t="s">
        <v>791</v>
      </c>
      <c r="D4742" s="51" t="n">
        <v>0</v>
      </c>
    </row>
    <row r="4743" customFormat="false" ht="15" hidden="true" customHeight="false" outlineLevel="0" collapsed="false">
      <c r="A4743" s="51" t="s">
        <v>344</v>
      </c>
      <c r="B4743" s="55" t="n">
        <v>44742</v>
      </c>
      <c r="C4743" s="51" t="s">
        <v>791</v>
      </c>
      <c r="D4743" s="51" t="n">
        <v>0</v>
      </c>
    </row>
    <row r="4744" customFormat="false" ht="15" hidden="true" customHeight="false" outlineLevel="0" collapsed="false">
      <c r="A4744" s="51" t="s">
        <v>349</v>
      </c>
      <c r="B4744" s="55" t="n">
        <v>44742</v>
      </c>
      <c r="C4744" s="51" t="s">
        <v>791</v>
      </c>
      <c r="D4744" s="51" t="n">
        <v>0</v>
      </c>
    </row>
    <row r="4745" customFormat="false" ht="15" hidden="true" customHeight="false" outlineLevel="0" collapsed="false">
      <c r="A4745" s="51" t="s">
        <v>354</v>
      </c>
      <c r="B4745" s="55" t="n">
        <v>44742</v>
      </c>
      <c r="C4745" s="51" t="s">
        <v>791</v>
      </c>
      <c r="D4745" s="51" t="n">
        <v>0</v>
      </c>
    </row>
    <row r="4746" customFormat="false" ht="15" hidden="true" customHeight="false" outlineLevel="0" collapsed="false">
      <c r="A4746" s="51" t="s">
        <v>359</v>
      </c>
      <c r="B4746" s="55" t="n">
        <v>44742</v>
      </c>
      <c r="C4746" s="51" t="s">
        <v>791</v>
      </c>
      <c r="D4746" s="51" t="n">
        <v>0</v>
      </c>
    </row>
    <row r="4747" customFormat="false" ht="15" hidden="true" customHeight="false" outlineLevel="0" collapsed="false">
      <c r="A4747" s="51" t="s">
        <v>364</v>
      </c>
      <c r="B4747" s="55" t="n">
        <v>44742</v>
      </c>
      <c r="C4747" s="51" t="s">
        <v>791</v>
      </c>
      <c r="D4747" s="51" t="n">
        <v>0</v>
      </c>
    </row>
    <row r="4748" customFormat="false" ht="15" hidden="true" customHeight="false" outlineLevel="0" collapsed="false">
      <c r="A4748" s="51" t="s">
        <v>369</v>
      </c>
      <c r="B4748" s="55" t="n">
        <v>44742</v>
      </c>
      <c r="C4748" s="51" t="s">
        <v>791</v>
      </c>
      <c r="D4748" s="51" t="n">
        <v>0</v>
      </c>
    </row>
    <row r="4749" customFormat="false" ht="15" hidden="true" customHeight="false" outlineLevel="0" collapsed="false">
      <c r="A4749" s="51" t="s">
        <v>374</v>
      </c>
      <c r="B4749" s="55" t="n">
        <v>44742</v>
      </c>
      <c r="C4749" s="51" t="s">
        <v>791</v>
      </c>
      <c r="D4749" s="51" t="n">
        <v>0</v>
      </c>
    </row>
    <row r="4750" customFormat="false" ht="15" hidden="true" customHeight="false" outlineLevel="0" collapsed="false">
      <c r="A4750" s="51" t="s">
        <v>379</v>
      </c>
      <c r="B4750" s="55" t="n">
        <v>44742</v>
      </c>
      <c r="C4750" s="51" t="s">
        <v>791</v>
      </c>
      <c r="D4750" s="51" t="n">
        <v>0</v>
      </c>
    </row>
    <row r="4751" customFormat="false" ht="15" hidden="true" customHeight="false" outlineLevel="0" collapsed="false">
      <c r="A4751" s="51" t="s">
        <v>384</v>
      </c>
      <c r="B4751" s="55" t="n">
        <v>44742</v>
      </c>
      <c r="C4751" s="51" t="s">
        <v>791</v>
      </c>
      <c r="D4751" s="51" t="n">
        <v>0</v>
      </c>
    </row>
    <row r="4752" customFormat="false" ht="15" hidden="true" customHeight="false" outlineLevel="0" collapsed="false">
      <c r="A4752" s="51" t="s">
        <v>389</v>
      </c>
      <c r="B4752" s="55" t="n">
        <v>44742</v>
      </c>
      <c r="C4752" s="51" t="s">
        <v>791</v>
      </c>
      <c r="D4752" s="51" t="n">
        <v>0</v>
      </c>
    </row>
    <row r="4753" customFormat="false" ht="15" hidden="true" customHeight="false" outlineLevel="0" collapsed="false">
      <c r="A4753" s="51" t="s">
        <v>394</v>
      </c>
      <c r="B4753" s="55" t="n">
        <v>44742</v>
      </c>
      <c r="C4753" s="51" t="s">
        <v>791</v>
      </c>
      <c r="D4753" s="51" t="n">
        <v>0</v>
      </c>
    </row>
    <row r="4754" customFormat="false" ht="15" hidden="true" customHeight="false" outlineLevel="0" collapsed="false">
      <c r="A4754" s="51" t="s">
        <v>399</v>
      </c>
      <c r="B4754" s="55" t="n">
        <v>44742</v>
      </c>
      <c r="C4754" s="51" t="s">
        <v>791</v>
      </c>
      <c r="D4754" s="51" t="n">
        <v>0</v>
      </c>
    </row>
    <row r="4755" customFormat="false" ht="15" hidden="true" customHeight="false" outlineLevel="0" collapsed="false">
      <c r="A4755" s="51" t="s">
        <v>404</v>
      </c>
      <c r="B4755" s="55" t="n">
        <v>44742</v>
      </c>
      <c r="C4755" s="51" t="s">
        <v>791</v>
      </c>
      <c r="D4755" s="51" t="n">
        <v>0</v>
      </c>
    </row>
    <row r="4756" customFormat="false" ht="15" hidden="true" customHeight="false" outlineLevel="0" collapsed="false">
      <c r="A4756" s="51" t="s">
        <v>409</v>
      </c>
      <c r="B4756" s="55" t="n">
        <v>44742</v>
      </c>
      <c r="C4756" s="51" t="s">
        <v>791</v>
      </c>
      <c r="D4756" s="51" t="n">
        <v>0</v>
      </c>
    </row>
    <row r="4757" customFormat="false" ht="15" hidden="true" customHeight="false" outlineLevel="0" collapsed="false">
      <c r="A4757" s="51" t="s">
        <v>414</v>
      </c>
      <c r="B4757" s="55" t="n">
        <v>44742</v>
      </c>
      <c r="C4757" s="51" t="s">
        <v>791</v>
      </c>
      <c r="D4757" s="51" t="n">
        <v>0</v>
      </c>
    </row>
    <row r="4758" customFormat="false" ht="15" hidden="true" customHeight="false" outlineLevel="0" collapsed="false">
      <c r="A4758" s="51" t="s">
        <v>419</v>
      </c>
      <c r="B4758" s="55" t="n">
        <v>44742</v>
      </c>
      <c r="C4758" s="51" t="s">
        <v>791</v>
      </c>
      <c r="D4758" s="51" t="n">
        <v>0</v>
      </c>
    </row>
    <row r="4759" customFormat="false" ht="15" hidden="true" customHeight="false" outlineLevel="0" collapsed="false">
      <c r="A4759" s="51" t="s">
        <v>424</v>
      </c>
      <c r="B4759" s="55" t="n">
        <v>44742</v>
      </c>
      <c r="C4759" s="51" t="s">
        <v>791</v>
      </c>
      <c r="D4759" s="51" t="n">
        <v>0</v>
      </c>
    </row>
    <row r="4760" customFormat="false" ht="15" hidden="true" customHeight="false" outlineLevel="0" collapsed="false">
      <c r="A4760" s="51" t="s">
        <v>429</v>
      </c>
      <c r="B4760" s="55" t="n">
        <v>44742</v>
      </c>
      <c r="C4760" s="51" t="s">
        <v>791</v>
      </c>
      <c r="D4760" s="51" t="n">
        <v>0</v>
      </c>
    </row>
    <row r="4761" customFormat="false" ht="15" hidden="true" customHeight="false" outlineLevel="0" collapsed="false">
      <c r="A4761" s="51" t="s">
        <v>434</v>
      </c>
      <c r="B4761" s="55" t="n">
        <v>44742</v>
      </c>
      <c r="C4761" s="51" t="s">
        <v>791</v>
      </c>
      <c r="D4761" s="51" t="n">
        <v>0</v>
      </c>
    </row>
    <row r="4762" customFormat="false" ht="15" hidden="true" customHeight="false" outlineLevel="0" collapsed="false">
      <c r="A4762" s="51" t="s">
        <v>438</v>
      </c>
      <c r="B4762" s="55" t="n">
        <v>44742</v>
      </c>
      <c r="C4762" s="51" t="s">
        <v>791</v>
      </c>
      <c r="D4762" s="51" t="n">
        <v>0</v>
      </c>
    </row>
    <row r="4763" customFormat="false" ht="15" hidden="true" customHeight="false" outlineLevel="0" collapsed="false">
      <c r="A4763" s="51" t="s">
        <v>443</v>
      </c>
      <c r="B4763" s="55" t="n">
        <v>44742</v>
      </c>
      <c r="C4763" s="51" t="s">
        <v>791</v>
      </c>
      <c r="D4763" s="51" t="n">
        <v>0</v>
      </c>
    </row>
    <row r="4764" customFormat="false" ht="15" hidden="true" customHeight="false" outlineLevel="0" collapsed="false">
      <c r="A4764" s="51" t="s">
        <v>448</v>
      </c>
      <c r="B4764" s="55" t="n">
        <v>44742</v>
      </c>
      <c r="C4764" s="51" t="s">
        <v>791</v>
      </c>
      <c r="D4764" s="51" t="n">
        <v>0</v>
      </c>
    </row>
    <row r="4765" customFormat="false" ht="15" hidden="true" customHeight="false" outlineLevel="0" collapsed="false">
      <c r="A4765" s="51" t="s">
        <v>453</v>
      </c>
      <c r="B4765" s="55" t="n">
        <v>44742</v>
      </c>
      <c r="C4765" s="51" t="s">
        <v>791</v>
      </c>
      <c r="D4765" s="51" t="n">
        <v>0</v>
      </c>
    </row>
    <row r="4766" customFormat="false" ht="15" hidden="true" customHeight="false" outlineLevel="0" collapsed="false">
      <c r="A4766" s="51" t="s">
        <v>458</v>
      </c>
      <c r="B4766" s="55" t="n">
        <v>44742</v>
      </c>
      <c r="C4766" s="51" t="s">
        <v>791</v>
      </c>
      <c r="D4766" s="51" t="n">
        <v>0</v>
      </c>
    </row>
    <row r="4767" customFormat="false" ht="15" hidden="true" customHeight="false" outlineLevel="0" collapsed="false">
      <c r="A4767" s="51" t="s">
        <v>473</v>
      </c>
      <c r="B4767" s="55" t="n">
        <v>44742</v>
      </c>
      <c r="C4767" s="51" t="s">
        <v>791</v>
      </c>
      <c r="D4767" s="51" t="n">
        <v>0</v>
      </c>
    </row>
    <row r="4768" customFormat="false" ht="15" hidden="true" customHeight="false" outlineLevel="0" collapsed="false">
      <c r="A4768" s="51" t="s">
        <v>479</v>
      </c>
      <c r="B4768" s="55" t="n">
        <v>44742</v>
      </c>
      <c r="C4768" s="51" t="s">
        <v>791</v>
      </c>
      <c r="D4768" s="51" t="n">
        <v>0</v>
      </c>
    </row>
    <row r="4769" customFormat="false" ht="15" hidden="true" customHeight="false" outlineLevel="0" collapsed="false">
      <c r="A4769" s="51" t="s">
        <v>484</v>
      </c>
      <c r="B4769" s="55" t="n">
        <v>44742</v>
      </c>
      <c r="C4769" s="51" t="s">
        <v>791</v>
      </c>
      <c r="D4769" s="51" t="n">
        <v>0</v>
      </c>
    </row>
    <row r="4770" customFormat="false" ht="15" hidden="true" customHeight="false" outlineLevel="0" collapsed="false">
      <c r="A4770" s="51" t="s">
        <v>489</v>
      </c>
      <c r="B4770" s="55" t="n">
        <v>44742</v>
      </c>
      <c r="C4770" s="51" t="s">
        <v>791</v>
      </c>
      <c r="D4770" s="51" t="n">
        <v>0</v>
      </c>
    </row>
    <row r="4771" customFormat="false" ht="15" hidden="true" customHeight="false" outlineLevel="0" collapsed="false">
      <c r="A4771" s="51" t="s">
        <v>494</v>
      </c>
      <c r="B4771" s="55" t="n">
        <v>44742</v>
      </c>
      <c r="C4771" s="51" t="s">
        <v>791</v>
      </c>
      <c r="D4771" s="51" t="n">
        <v>0</v>
      </c>
    </row>
    <row r="4772" customFormat="false" ht="15" hidden="true" customHeight="false" outlineLevel="0" collapsed="false">
      <c r="A4772" s="51" t="s">
        <v>499</v>
      </c>
      <c r="B4772" s="55" t="n">
        <v>44742</v>
      </c>
      <c r="C4772" s="51" t="s">
        <v>791</v>
      </c>
      <c r="D4772" s="51" t="n">
        <v>0</v>
      </c>
    </row>
    <row r="4773" customFormat="false" ht="15" hidden="true" customHeight="false" outlineLevel="0" collapsed="false">
      <c r="A4773" s="51" t="s">
        <v>504</v>
      </c>
      <c r="B4773" s="55" t="n">
        <v>44742</v>
      </c>
      <c r="C4773" s="51" t="s">
        <v>791</v>
      </c>
      <c r="D4773" s="51" t="n">
        <v>0</v>
      </c>
    </row>
    <row r="4774" customFormat="false" ht="15" hidden="true" customHeight="false" outlineLevel="0" collapsed="false">
      <c r="A4774" s="51" t="s">
        <v>509</v>
      </c>
      <c r="B4774" s="55" t="n">
        <v>44742</v>
      </c>
      <c r="C4774" s="51" t="s">
        <v>791</v>
      </c>
      <c r="D4774" s="51" t="n">
        <v>0</v>
      </c>
    </row>
    <row r="4775" customFormat="false" ht="15" hidden="true" customHeight="false" outlineLevel="0" collapsed="false">
      <c r="A4775" s="51" t="s">
        <v>515</v>
      </c>
      <c r="B4775" s="55" t="n">
        <v>44742</v>
      </c>
      <c r="C4775" s="51" t="s">
        <v>791</v>
      </c>
      <c r="D4775" s="51" t="n">
        <v>0</v>
      </c>
    </row>
    <row r="4776" customFormat="false" ht="15" hidden="true" customHeight="false" outlineLevel="0" collapsed="false">
      <c r="A4776" s="51" t="s">
        <v>520</v>
      </c>
      <c r="B4776" s="55" t="n">
        <v>44742</v>
      </c>
      <c r="C4776" s="51" t="s">
        <v>791</v>
      </c>
      <c r="D4776" s="51" t="n">
        <v>0</v>
      </c>
    </row>
    <row r="4777" customFormat="false" ht="15" hidden="true" customHeight="false" outlineLevel="0" collapsed="false">
      <c r="A4777" s="51" t="s">
        <v>525</v>
      </c>
      <c r="B4777" s="55" t="n">
        <v>44742</v>
      </c>
      <c r="C4777" s="51" t="s">
        <v>791</v>
      </c>
      <c r="D4777" s="51" t="n">
        <v>0</v>
      </c>
    </row>
    <row r="4778" customFormat="false" ht="15" hidden="true" customHeight="false" outlineLevel="0" collapsed="false">
      <c r="A4778" s="51" t="s">
        <v>531</v>
      </c>
      <c r="B4778" s="55" t="n">
        <v>44742</v>
      </c>
      <c r="C4778" s="51" t="s">
        <v>791</v>
      </c>
      <c r="D4778" s="51" t="n">
        <v>0</v>
      </c>
    </row>
    <row r="4779" customFormat="false" ht="15" hidden="true" customHeight="false" outlineLevel="0" collapsed="false">
      <c r="A4779" s="51" t="s">
        <v>536</v>
      </c>
      <c r="B4779" s="55" t="n">
        <v>44742</v>
      </c>
      <c r="C4779" s="51" t="s">
        <v>791</v>
      </c>
      <c r="D4779" s="51" t="n">
        <v>0</v>
      </c>
    </row>
    <row r="4780" customFormat="false" ht="15" hidden="true" customHeight="false" outlineLevel="0" collapsed="false">
      <c r="A4780" s="51" t="s">
        <v>541</v>
      </c>
      <c r="B4780" s="55" t="n">
        <v>44742</v>
      </c>
      <c r="C4780" s="51" t="s">
        <v>791</v>
      </c>
      <c r="D4780" s="51" t="n">
        <v>0</v>
      </c>
    </row>
    <row r="4781" customFormat="false" ht="15" hidden="true" customHeight="false" outlineLevel="0" collapsed="false">
      <c r="A4781" s="51" t="s">
        <v>549</v>
      </c>
      <c r="B4781" s="55" t="n">
        <v>44742</v>
      </c>
      <c r="C4781" s="51" t="s">
        <v>791</v>
      </c>
      <c r="D4781" s="51" t="n">
        <v>0</v>
      </c>
    </row>
    <row r="4782" customFormat="false" ht="15" hidden="true" customHeight="false" outlineLevel="0" collapsed="false">
      <c r="A4782" s="51" t="s">
        <v>554</v>
      </c>
      <c r="B4782" s="55" t="n">
        <v>44742</v>
      </c>
      <c r="C4782" s="51" t="s">
        <v>791</v>
      </c>
      <c r="D4782" s="51" t="n">
        <v>0</v>
      </c>
    </row>
    <row r="4783" customFormat="false" ht="15" hidden="true" customHeight="false" outlineLevel="0" collapsed="false">
      <c r="A4783" s="51" t="s">
        <v>559</v>
      </c>
      <c r="B4783" s="55" t="n">
        <v>44742</v>
      </c>
      <c r="C4783" s="51" t="s">
        <v>791</v>
      </c>
      <c r="D4783" s="51" t="n">
        <v>0</v>
      </c>
    </row>
    <row r="4784" customFormat="false" ht="15" hidden="true" customHeight="false" outlineLevel="0" collapsed="false">
      <c r="A4784" s="51" t="s">
        <v>564</v>
      </c>
      <c r="B4784" s="55" t="n">
        <v>44742</v>
      </c>
      <c r="C4784" s="51" t="s">
        <v>791</v>
      </c>
      <c r="D4784" s="51" t="n">
        <v>0</v>
      </c>
    </row>
    <row r="4785" customFormat="false" ht="15" hidden="true" customHeight="false" outlineLevel="0" collapsed="false">
      <c r="A4785" s="51" t="s">
        <v>569</v>
      </c>
      <c r="B4785" s="55" t="n">
        <v>44742</v>
      </c>
      <c r="C4785" s="51" t="s">
        <v>791</v>
      </c>
      <c r="D4785" s="51" t="n">
        <v>0</v>
      </c>
    </row>
    <row r="4786" customFormat="false" ht="15" hidden="true" customHeight="false" outlineLevel="0" collapsed="false">
      <c r="A4786" s="51" t="s">
        <v>574</v>
      </c>
      <c r="B4786" s="55" t="n">
        <v>44742</v>
      </c>
      <c r="C4786" s="51" t="s">
        <v>791</v>
      </c>
      <c r="D4786" s="51" t="n">
        <v>0</v>
      </c>
    </row>
    <row r="4787" customFormat="false" ht="15" hidden="true" customHeight="false" outlineLevel="0" collapsed="false">
      <c r="A4787" s="51" t="s">
        <v>579</v>
      </c>
      <c r="B4787" s="55" t="n">
        <v>44742</v>
      </c>
      <c r="C4787" s="51" t="s">
        <v>791</v>
      </c>
      <c r="D4787" s="51" t="n">
        <v>0</v>
      </c>
    </row>
    <row r="4788" customFormat="false" ht="15" hidden="true" customHeight="false" outlineLevel="0" collapsed="false">
      <c r="A4788" s="51" t="s">
        <v>584</v>
      </c>
      <c r="B4788" s="55" t="n">
        <v>44742</v>
      </c>
      <c r="C4788" s="51" t="s">
        <v>791</v>
      </c>
      <c r="D4788" s="51" t="n">
        <v>0</v>
      </c>
    </row>
    <row r="4789" customFormat="false" ht="15" hidden="true" customHeight="false" outlineLevel="0" collapsed="false">
      <c r="A4789" s="51" t="s">
        <v>589</v>
      </c>
      <c r="B4789" s="55" t="n">
        <v>44742</v>
      </c>
      <c r="C4789" s="51" t="s">
        <v>791</v>
      </c>
      <c r="D4789" s="51" t="n">
        <v>0</v>
      </c>
    </row>
    <row r="4790" customFormat="false" ht="15" hidden="true" customHeight="false" outlineLevel="0" collapsed="false">
      <c r="A4790" s="51" t="s">
        <v>756</v>
      </c>
      <c r="B4790" s="55" t="n">
        <v>44742</v>
      </c>
      <c r="C4790" s="51" t="s">
        <v>791</v>
      </c>
      <c r="D4790" s="51" t="n">
        <v>0</v>
      </c>
    </row>
    <row r="4791" customFormat="false" ht="15" hidden="true" customHeight="false" outlineLevel="0" collapsed="false">
      <c r="A4791" s="51" t="s">
        <v>594</v>
      </c>
      <c r="B4791" s="55" t="n">
        <v>44742</v>
      </c>
      <c r="C4791" s="51" t="s">
        <v>791</v>
      </c>
      <c r="D4791" s="51" t="n">
        <v>0</v>
      </c>
    </row>
    <row r="4792" customFormat="false" ht="15" hidden="true" customHeight="false" outlineLevel="0" collapsed="false">
      <c r="A4792" s="51" t="s">
        <v>761</v>
      </c>
      <c r="B4792" s="55" t="n">
        <v>44742</v>
      </c>
      <c r="C4792" s="51" t="s">
        <v>791</v>
      </c>
      <c r="D4792" s="51" t="n">
        <v>0</v>
      </c>
    </row>
    <row r="4793" customFormat="false" ht="15" hidden="true" customHeight="false" outlineLevel="0" collapsed="false">
      <c r="A4793" s="51" t="s">
        <v>599</v>
      </c>
      <c r="B4793" s="55" t="n">
        <v>44742</v>
      </c>
      <c r="C4793" s="51" t="s">
        <v>791</v>
      </c>
      <c r="D4793" s="51" t="n">
        <v>0</v>
      </c>
    </row>
    <row r="4794" customFormat="false" ht="15" hidden="true" customHeight="false" outlineLevel="0" collapsed="false">
      <c r="A4794" s="51" t="s">
        <v>604</v>
      </c>
      <c r="B4794" s="55" t="n">
        <v>44742</v>
      </c>
      <c r="C4794" s="51" t="s">
        <v>791</v>
      </c>
      <c r="D4794" s="51" t="n">
        <v>0</v>
      </c>
    </row>
    <row r="4795" customFormat="false" ht="15" hidden="true" customHeight="false" outlineLevel="0" collapsed="false">
      <c r="A4795" s="51" t="s">
        <v>609</v>
      </c>
      <c r="B4795" s="55" t="n">
        <v>44742</v>
      </c>
      <c r="C4795" s="51" t="s">
        <v>791</v>
      </c>
      <c r="D4795" s="51" t="n">
        <v>0</v>
      </c>
    </row>
    <row r="4796" customFormat="false" ht="15" hidden="true" customHeight="false" outlineLevel="0" collapsed="false">
      <c r="A4796" s="51" t="s">
        <v>614</v>
      </c>
      <c r="B4796" s="55" t="n">
        <v>44742</v>
      </c>
      <c r="C4796" s="51" t="s">
        <v>791</v>
      </c>
      <c r="D4796" s="51" t="n">
        <v>0</v>
      </c>
    </row>
    <row r="4797" customFormat="false" ht="15" hidden="true" customHeight="false" outlineLevel="0" collapsed="false">
      <c r="A4797" s="51" t="s">
        <v>619</v>
      </c>
      <c r="B4797" s="55" t="n">
        <v>44742</v>
      </c>
      <c r="C4797" s="51" t="s">
        <v>791</v>
      </c>
      <c r="D4797" s="51" t="n">
        <v>0</v>
      </c>
    </row>
    <row r="4798" customFormat="false" ht="15" hidden="true" customHeight="false" outlineLevel="0" collapsed="false">
      <c r="A4798" s="51" t="s">
        <v>624</v>
      </c>
      <c r="B4798" s="55" t="n">
        <v>44742</v>
      </c>
      <c r="C4798" s="51" t="s">
        <v>791</v>
      </c>
      <c r="D4798" s="51" t="n">
        <v>0</v>
      </c>
    </row>
    <row r="4799" customFormat="false" ht="15" hidden="true" customHeight="false" outlineLevel="0" collapsed="false">
      <c r="A4799" s="51" t="s">
        <v>629</v>
      </c>
      <c r="B4799" s="55" t="n">
        <v>44742</v>
      </c>
      <c r="C4799" s="51" t="s">
        <v>791</v>
      </c>
      <c r="D4799" s="51" t="n">
        <v>0</v>
      </c>
    </row>
    <row r="4800" customFormat="false" ht="15" hidden="true" customHeight="false" outlineLevel="0" collapsed="false">
      <c r="A4800" s="51" t="s">
        <v>633</v>
      </c>
      <c r="B4800" s="55" t="n">
        <v>44742</v>
      </c>
      <c r="C4800" s="51" t="s">
        <v>791</v>
      </c>
      <c r="D4800" s="51" t="n">
        <v>0</v>
      </c>
    </row>
    <row r="4801" customFormat="false" ht="15" hidden="true" customHeight="false" outlineLevel="0" collapsed="false">
      <c r="A4801" s="51" t="s">
        <v>638</v>
      </c>
      <c r="B4801" s="55" t="n">
        <v>44742</v>
      </c>
      <c r="C4801" s="51" t="s">
        <v>791</v>
      </c>
      <c r="D4801" s="51" t="n">
        <v>0</v>
      </c>
    </row>
    <row r="4802" customFormat="false" ht="15" hidden="true" customHeight="false" outlineLevel="0" collapsed="false">
      <c r="A4802" s="51" t="s">
        <v>642</v>
      </c>
      <c r="B4802" s="55" t="n">
        <v>44742</v>
      </c>
      <c r="C4802" s="51" t="s">
        <v>791</v>
      </c>
      <c r="D4802" s="51" t="n">
        <v>0</v>
      </c>
    </row>
    <row r="4803" customFormat="false" ht="15" hidden="true" customHeight="false" outlineLevel="0" collapsed="false">
      <c r="A4803" s="51" t="s">
        <v>646</v>
      </c>
      <c r="B4803" s="55" t="n">
        <v>44742</v>
      </c>
      <c r="C4803" s="51" t="s">
        <v>791</v>
      </c>
      <c r="D4803" s="51" t="n">
        <v>0</v>
      </c>
    </row>
    <row r="4804" customFormat="false" ht="15" hidden="true" customHeight="false" outlineLevel="0" collapsed="false">
      <c r="A4804" s="51" t="s">
        <v>651</v>
      </c>
      <c r="B4804" s="55" t="n">
        <v>44742</v>
      </c>
      <c r="C4804" s="51" t="s">
        <v>791</v>
      </c>
      <c r="D4804" s="51" t="n">
        <v>0</v>
      </c>
    </row>
    <row r="4805" customFormat="false" ht="15" hidden="true" customHeight="false" outlineLevel="0" collapsed="false">
      <c r="A4805" s="51" t="s">
        <v>656</v>
      </c>
      <c r="B4805" s="55" t="n">
        <v>44742</v>
      </c>
      <c r="C4805" s="51" t="s">
        <v>791</v>
      </c>
      <c r="D4805" s="51" t="n">
        <v>0</v>
      </c>
    </row>
    <row r="4806" customFormat="false" ht="15" hidden="true" customHeight="false" outlineLevel="0" collapsed="false">
      <c r="A4806" s="51" t="s">
        <v>661</v>
      </c>
      <c r="B4806" s="55" t="n">
        <v>44742</v>
      </c>
      <c r="C4806" s="51" t="s">
        <v>791</v>
      </c>
      <c r="D4806" s="51" t="n">
        <v>0</v>
      </c>
    </row>
    <row r="4807" customFormat="false" ht="15" hidden="true" customHeight="false" outlineLevel="0" collapsed="false">
      <c r="A4807" s="51" t="s">
        <v>666</v>
      </c>
      <c r="B4807" s="55" t="n">
        <v>44742</v>
      </c>
      <c r="C4807" s="51" t="s">
        <v>791</v>
      </c>
      <c r="D4807" s="51" t="n">
        <v>0</v>
      </c>
    </row>
    <row r="4808" customFormat="false" ht="15" hidden="true" customHeight="false" outlineLevel="0" collapsed="false">
      <c r="A4808" s="51" t="s">
        <v>671</v>
      </c>
      <c r="B4808" s="55" t="n">
        <v>44742</v>
      </c>
      <c r="C4808" s="51" t="s">
        <v>791</v>
      </c>
      <c r="D4808" s="51" t="n">
        <v>0</v>
      </c>
    </row>
    <row r="4809" customFormat="false" ht="15" hidden="true" customHeight="false" outlineLevel="0" collapsed="false">
      <c r="A4809" s="51" t="s">
        <v>676</v>
      </c>
      <c r="B4809" s="55" t="n">
        <v>44742</v>
      </c>
      <c r="C4809" s="51" t="s">
        <v>791</v>
      </c>
      <c r="D4809" s="51" t="n">
        <v>0</v>
      </c>
    </row>
    <row r="4810" customFormat="false" ht="15" hidden="true" customHeight="false" outlineLevel="0" collapsed="false">
      <c r="A4810" s="51" t="s">
        <v>681</v>
      </c>
      <c r="B4810" s="55" t="n">
        <v>44742</v>
      </c>
      <c r="C4810" s="51" t="s">
        <v>791</v>
      </c>
      <c r="D4810" s="51" t="n">
        <v>0</v>
      </c>
    </row>
    <row r="4811" customFormat="false" ht="15" hidden="true" customHeight="false" outlineLevel="0" collapsed="false">
      <c r="A4811" s="51" t="s">
        <v>686</v>
      </c>
      <c r="B4811" s="55" t="n">
        <v>44742</v>
      </c>
      <c r="C4811" s="51" t="s">
        <v>791</v>
      </c>
      <c r="D4811" s="51" t="n">
        <v>0</v>
      </c>
    </row>
    <row r="4812" customFormat="false" ht="15" hidden="true" customHeight="false" outlineLevel="0" collapsed="false">
      <c r="A4812" s="51" t="s">
        <v>691</v>
      </c>
      <c r="B4812" s="55" t="n">
        <v>44742</v>
      </c>
      <c r="C4812" s="51" t="s">
        <v>791</v>
      </c>
      <c r="D4812" s="51" t="n">
        <v>0</v>
      </c>
    </row>
    <row r="4813" customFormat="false" ht="15" hidden="true" customHeight="false" outlineLevel="0" collapsed="false">
      <c r="A4813" s="51" t="s">
        <v>696</v>
      </c>
      <c r="B4813" s="55" t="n">
        <v>44742</v>
      </c>
      <c r="C4813" s="51" t="s">
        <v>791</v>
      </c>
      <c r="D4813" s="51" t="n">
        <v>0</v>
      </c>
    </row>
    <row r="4814" customFormat="false" ht="15" hidden="true" customHeight="false" outlineLevel="0" collapsed="false">
      <c r="A4814" s="51" t="s">
        <v>701</v>
      </c>
      <c r="B4814" s="55" t="n">
        <v>44742</v>
      </c>
      <c r="C4814" s="51" t="s">
        <v>791</v>
      </c>
      <c r="D4814" s="51" t="n">
        <v>0</v>
      </c>
    </row>
    <row r="4815" customFormat="false" ht="15" hidden="true" customHeight="false" outlineLevel="0" collapsed="false">
      <c r="A4815" s="51" t="s">
        <v>707</v>
      </c>
      <c r="B4815" s="55" t="n">
        <v>44742</v>
      </c>
      <c r="C4815" s="51" t="s">
        <v>791</v>
      </c>
      <c r="D4815" s="51" t="n">
        <v>0</v>
      </c>
    </row>
    <row r="4816" customFormat="false" ht="15" hidden="true" customHeight="false" outlineLevel="0" collapsed="false">
      <c r="A4816" s="51" t="s">
        <v>712</v>
      </c>
      <c r="B4816" s="55" t="n">
        <v>44742</v>
      </c>
      <c r="C4816" s="51" t="s">
        <v>791</v>
      </c>
      <c r="D4816" s="51" t="n">
        <v>0</v>
      </c>
    </row>
    <row r="4817" customFormat="false" ht="15" hidden="true" customHeight="false" outlineLevel="0" collapsed="false">
      <c r="A4817" s="51" t="s">
        <v>717</v>
      </c>
      <c r="B4817" s="55" t="n">
        <v>44742</v>
      </c>
      <c r="C4817" s="51" t="s">
        <v>791</v>
      </c>
      <c r="D4817" s="51" t="n">
        <v>0</v>
      </c>
    </row>
    <row r="4818" customFormat="false" ht="15" hidden="true" customHeight="false" outlineLevel="0" collapsed="false">
      <c r="A4818" s="51" t="s">
        <v>767</v>
      </c>
      <c r="B4818" s="55" t="n">
        <v>44742</v>
      </c>
      <c r="C4818" s="51" t="s">
        <v>791</v>
      </c>
      <c r="D4818" s="51" t="n">
        <v>0</v>
      </c>
    </row>
    <row r="4819" customFormat="false" ht="15" hidden="true" customHeight="false" outlineLevel="0" collapsed="false">
      <c r="A4819" s="51" t="s">
        <v>722</v>
      </c>
      <c r="B4819" s="55" t="n">
        <v>44742</v>
      </c>
      <c r="C4819" s="51" t="s">
        <v>791</v>
      </c>
      <c r="D4819" s="51" t="n">
        <v>0</v>
      </c>
    </row>
    <row r="4820" customFormat="false" ht="15" hidden="true" customHeight="false" outlineLevel="0" collapsed="false">
      <c r="A4820" s="51" t="s">
        <v>727</v>
      </c>
      <c r="B4820" s="55" t="n">
        <v>44742</v>
      </c>
      <c r="C4820" s="51" t="s">
        <v>791</v>
      </c>
      <c r="D4820" s="51" t="n">
        <v>0</v>
      </c>
    </row>
    <row r="4821" customFormat="false" ht="15" hidden="true" customHeight="false" outlineLevel="0" collapsed="false">
      <c r="A4821" s="51" t="s">
        <v>732</v>
      </c>
      <c r="B4821" s="55" t="n">
        <v>44742</v>
      </c>
      <c r="C4821" s="51" t="s">
        <v>791</v>
      </c>
      <c r="D4821" s="51" t="n">
        <v>0</v>
      </c>
    </row>
    <row r="4822" customFormat="false" ht="15" hidden="true" customHeight="false" outlineLevel="0" collapsed="false">
      <c r="A4822" s="51" t="s">
        <v>736</v>
      </c>
      <c r="B4822" s="55" t="n">
        <v>44742</v>
      </c>
      <c r="C4822" s="51" t="s">
        <v>791</v>
      </c>
      <c r="D4822" s="51" t="n">
        <v>0</v>
      </c>
    </row>
    <row r="4823" customFormat="false" ht="15" hidden="true" customHeight="false" outlineLevel="0" collapsed="false">
      <c r="A4823" s="51" t="s">
        <v>741</v>
      </c>
      <c r="B4823" s="55" t="n">
        <v>44742</v>
      </c>
      <c r="C4823" s="51" t="s">
        <v>791</v>
      </c>
      <c r="D4823" s="51" t="n">
        <v>0</v>
      </c>
    </row>
    <row r="4824" customFormat="false" ht="15" hidden="true" customHeight="false" outlineLevel="0" collapsed="false">
      <c r="A4824" s="51" t="s">
        <v>746</v>
      </c>
      <c r="B4824" s="55" t="n">
        <v>44742</v>
      </c>
      <c r="C4824" s="51" t="s">
        <v>791</v>
      </c>
      <c r="D4824" s="51" t="n">
        <v>0</v>
      </c>
    </row>
    <row r="4825" customFormat="false" ht="15" hidden="true" customHeight="false" outlineLevel="0" collapsed="false">
      <c r="A4825" s="51" t="s">
        <v>751</v>
      </c>
      <c r="B4825" s="55" t="n">
        <v>44742</v>
      </c>
      <c r="C4825" s="51" t="s">
        <v>791</v>
      </c>
      <c r="D4825" s="51" t="n">
        <v>0</v>
      </c>
    </row>
    <row r="4826" customFormat="false" ht="15" hidden="false" customHeight="false" outlineLevel="0" collapsed="false">
      <c r="A4826" s="51" t="s">
        <v>781</v>
      </c>
      <c r="B4826" s="55" t="n">
        <v>44834</v>
      </c>
      <c r="C4826" s="51" t="s">
        <v>782</v>
      </c>
      <c r="D4826" s="51" t="n">
        <v>0</v>
      </c>
    </row>
    <row r="4827" customFormat="false" ht="15" hidden="true" customHeight="false" outlineLevel="0" collapsed="false">
      <c r="A4827" s="51" t="s">
        <v>783</v>
      </c>
      <c r="B4827" s="55" t="n">
        <v>44834</v>
      </c>
      <c r="C4827" s="51" t="s">
        <v>782</v>
      </c>
      <c r="D4827" s="51" t="n">
        <v>0</v>
      </c>
    </row>
    <row r="4828" customFormat="false" ht="15" hidden="true" customHeight="false" outlineLevel="0" collapsed="false">
      <c r="A4828" s="51" t="s">
        <v>96</v>
      </c>
      <c r="B4828" s="55" t="n">
        <v>44834</v>
      </c>
      <c r="C4828" s="51" t="s">
        <v>782</v>
      </c>
      <c r="D4828" s="51" t="n">
        <v>0</v>
      </c>
    </row>
    <row r="4829" customFormat="false" ht="15" hidden="true" customHeight="false" outlineLevel="0" collapsed="false">
      <c r="A4829" s="51" t="s">
        <v>101</v>
      </c>
      <c r="B4829" s="55" t="n">
        <v>44834</v>
      </c>
      <c r="C4829" s="51" t="s">
        <v>782</v>
      </c>
      <c r="D4829" s="51" t="n">
        <v>0</v>
      </c>
    </row>
    <row r="4830" customFormat="false" ht="15" hidden="true" customHeight="false" outlineLevel="0" collapsed="false">
      <c r="A4830" s="51" t="s">
        <v>106</v>
      </c>
      <c r="B4830" s="55" t="n">
        <v>44834</v>
      </c>
      <c r="C4830" s="51" t="s">
        <v>782</v>
      </c>
      <c r="D4830" s="51" t="n">
        <v>0</v>
      </c>
    </row>
    <row r="4831" customFormat="false" ht="15" hidden="true" customHeight="false" outlineLevel="0" collapsed="false">
      <c r="A4831" s="51" t="s">
        <v>110</v>
      </c>
      <c r="B4831" s="55" t="n">
        <v>44834</v>
      </c>
      <c r="C4831" s="51" t="s">
        <v>782</v>
      </c>
      <c r="D4831" s="51" t="n">
        <v>0</v>
      </c>
    </row>
    <row r="4832" customFormat="false" ht="15" hidden="true" customHeight="false" outlineLevel="0" collapsed="false">
      <c r="A4832" s="51" t="s">
        <v>115</v>
      </c>
      <c r="B4832" s="55" t="n">
        <v>44834</v>
      </c>
      <c r="C4832" s="51" t="s">
        <v>782</v>
      </c>
      <c r="D4832" s="51" t="n">
        <v>0</v>
      </c>
    </row>
    <row r="4833" customFormat="false" ht="15" hidden="true" customHeight="false" outlineLevel="0" collapsed="false">
      <c r="A4833" s="51" t="s">
        <v>120</v>
      </c>
      <c r="B4833" s="55" t="n">
        <v>44834</v>
      </c>
      <c r="C4833" s="51" t="s">
        <v>782</v>
      </c>
      <c r="D4833" s="51" t="n">
        <v>0</v>
      </c>
    </row>
    <row r="4834" customFormat="false" ht="15" hidden="true" customHeight="false" outlineLevel="0" collapsed="false">
      <c r="A4834" s="51" t="s">
        <v>124</v>
      </c>
      <c r="B4834" s="55" t="n">
        <v>44834</v>
      </c>
      <c r="C4834" s="51" t="s">
        <v>782</v>
      </c>
      <c r="D4834" s="51" t="n">
        <v>0</v>
      </c>
    </row>
    <row r="4835" customFormat="false" ht="15" hidden="true" customHeight="false" outlineLevel="0" collapsed="false">
      <c r="A4835" s="51" t="s">
        <v>129</v>
      </c>
      <c r="B4835" s="55" t="n">
        <v>44834</v>
      </c>
      <c r="C4835" s="51" t="s">
        <v>782</v>
      </c>
      <c r="D4835" s="51" t="n">
        <v>0</v>
      </c>
    </row>
    <row r="4836" customFormat="false" ht="15" hidden="true" customHeight="false" outlineLevel="0" collapsed="false">
      <c r="A4836" s="51" t="s">
        <v>134</v>
      </c>
      <c r="B4836" s="55" t="n">
        <v>44834</v>
      </c>
      <c r="C4836" s="51" t="s">
        <v>782</v>
      </c>
      <c r="D4836" s="51" t="n">
        <v>0</v>
      </c>
    </row>
    <row r="4837" customFormat="false" ht="15" hidden="true" customHeight="false" outlineLevel="0" collapsed="false">
      <c r="A4837" s="51" t="s">
        <v>141</v>
      </c>
      <c r="B4837" s="55" t="n">
        <v>44834</v>
      </c>
      <c r="C4837" s="51" t="s">
        <v>782</v>
      </c>
      <c r="D4837" s="51" t="n">
        <v>0</v>
      </c>
    </row>
    <row r="4838" customFormat="false" ht="15" hidden="true" customHeight="false" outlineLevel="0" collapsed="false">
      <c r="A4838" s="51" t="s">
        <v>146</v>
      </c>
      <c r="B4838" s="55" t="n">
        <v>44834</v>
      </c>
      <c r="C4838" s="51" t="s">
        <v>782</v>
      </c>
      <c r="D4838" s="51" t="n">
        <v>0</v>
      </c>
    </row>
    <row r="4839" customFormat="false" ht="15" hidden="true" customHeight="false" outlineLevel="0" collapsed="false">
      <c r="A4839" s="51" t="s">
        <v>151</v>
      </c>
      <c r="B4839" s="55" t="n">
        <v>44834</v>
      </c>
      <c r="C4839" s="51" t="s">
        <v>782</v>
      </c>
      <c r="D4839" s="51" t="n">
        <v>0</v>
      </c>
    </row>
    <row r="4840" customFormat="false" ht="15" hidden="true" customHeight="false" outlineLevel="0" collapsed="false">
      <c r="A4840" s="51" t="s">
        <v>156</v>
      </c>
      <c r="B4840" s="55" t="n">
        <v>44834</v>
      </c>
      <c r="C4840" s="51" t="s">
        <v>782</v>
      </c>
      <c r="D4840" s="51" t="n">
        <v>0</v>
      </c>
    </row>
    <row r="4841" customFormat="false" ht="15" hidden="true" customHeight="false" outlineLevel="0" collapsed="false">
      <c r="A4841" s="51" t="s">
        <v>161</v>
      </c>
      <c r="B4841" s="55" t="n">
        <v>44834</v>
      </c>
      <c r="C4841" s="51" t="s">
        <v>782</v>
      </c>
      <c r="D4841" s="51" t="n">
        <v>0</v>
      </c>
    </row>
    <row r="4842" customFormat="false" ht="15" hidden="true" customHeight="false" outlineLevel="0" collapsed="false">
      <c r="A4842" s="51" t="s">
        <v>166</v>
      </c>
      <c r="B4842" s="55" t="n">
        <v>44834</v>
      </c>
      <c r="C4842" s="51" t="s">
        <v>782</v>
      </c>
      <c r="D4842" s="51" t="n">
        <v>0</v>
      </c>
    </row>
    <row r="4843" customFormat="false" ht="15" hidden="true" customHeight="false" outlineLevel="0" collapsed="false">
      <c r="A4843" s="51" t="s">
        <v>171</v>
      </c>
      <c r="B4843" s="55" t="n">
        <v>44834</v>
      </c>
      <c r="C4843" s="51" t="s">
        <v>782</v>
      </c>
      <c r="D4843" s="51" t="n">
        <v>0</v>
      </c>
    </row>
    <row r="4844" customFormat="false" ht="15" hidden="true" customHeight="false" outlineLevel="0" collapsed="false">
      <c r="A4844" s="51" t="s">
        <v>176</v>
      </c>
      <c r="B4844" s="55" t="n">
        <v>44834</v>
      </c>
      <c r="C4844" s="51" t="s">
        <v>782</v>
      </c>
      <c r="D4844" s="51" t="n">
        <v>0</v>
      </c>
    </row>
    <row r="4845" customFormat="false" ht="15" hidden="true" customHeight="false" outlineLevel="0" collapsed="false">
      <c r="A4845" s="51" t="s">
        <v>181</v>
      </c>
      <c r="B4845" s="55" t="n">
        <v>44834</v>
      </c>
      <c r="C4845" s="51" t="s">
        <v>782</v>
      </c>
      <c r="D4845" s="51" t="n">
        <v>0</v>
      </c>
    </row>
    <row r="4846" customFormat="false" ht="15" hidden="true" customHeight="false" outlineLevel="0" collapsed="false">
      <c r="A4846" s="51" t="s">
        <v>186</v>
      </c>
      <c r="B4846" s="55" t="n">
        <v>44834</v>
      </c>
      <c r="C4846" s="51" t="s">
        <v>782</v>
      </c>
      <c r="D4846" s="51" t="n">
        <v>0</v>
      </c>
    </row>
    <row r="4847" customFormat="false" ht="15" hidden="true" customHeight="false" outlineLevel="0" collapsed="false">
      <c r="A4847" s="51" t="s">
        <v>191</v>
      </c>
      <c r="B4847" s="55" t="n">
        <v>44834</v>
      </c>
      <c r="C4847" s="51" t="s">
        <v>782</v>
      </c>
      <c r="D4847" s="51" t="n">
        <v>0</v>
      </c>
    </row>
    <row r="4848" customFormat="false" ht="15" hidden="true" customHeight="false" outlineLevel="0" collapsed="false">
      <c r="A4848" s="51" t="s">
        <v>196</v>
      </c>
      <c r="B4848" s="55" t="n">
        <v>44834</v>
      </c>
      <c r="C4848" s="51" t="s">
        <v>782</v>
      </c>
      <c r="D4848" s="51" t="n">
        <v>0</v>
      </c>
    </row>
    <row r="4849" customFormat="false" ht="15" hidden="true" customHeight="false" outlineLevel="0" collapsed="false">
      <c r="A4849" s="51" t="s">
        <v>201</v>
      </c>
      <c r="B4849" s="55" t="n">
        <v>44834</v>
      </c>
      <c r="C4849" s="51" t="s">
        <v>782</v>
      </c>
      <c r="D4849" s="51" t="n">
        <v>0</v>
      </c>
    </row>
    <row r="4850" customFormat="false" ht="15" hidden="true" customHeight="false" outlineLevel="0" collapsed="false">
      <c r="A4850" s="51" t="s">
        <v>206</v>
      </c>
      <c r="B4850" s="55" t="n">
        <v>44834</v>
      </c>
      <c r="C4850" s="51" t="s">
        <v>782</v>
      </c>
      <c r="D4850" s="51" t="n">
        <v>0</v>
      </c>
    </row>
    <row r="4851" customFormat="false" ht="15" hidden="true" customHeight="false" outlineLevel="0" collapsed="false">
      <c r="A4851" s="51" t="s">
        <v>210</v>
      </c>
      <c r="B4851" s="55" t="n">
        <v>44834</v>
      </c>
      <c r="C4851" s="51" t="s">
        <v>782</v>
      </c>
      <c r="D4851" s="51" t="n">
        <v>0</v>
      </c>
    </row>
    <row r="4852" customFormat="false" ht="15" hidden="true" customHeight="false" outlineLevel="0" collapsed="false">
      <c r="A4852" s="51" t="s">
        <v>215</v>
      </c>
      <c r="B4852" s="55" t="n">
        <v>44834</v>
      </c>
      <c r="C4852" s="51" t="s">
        <v>782</v>
      </c>
      <c r="D4852" s="51" t="n">
        <v>0</v>
      </c>
    </row>
    <row r="4853" customFormat="false" ht="15" hidden="true" customHeight="false" outlineLevel="0" collapsed="false">
      <c r="A4853" s="51" t="s">
        <v>790</v>
      </c>
      <c r="B4853" s="55" t="n">
        <v>44834</v>
      </c>
      <c r="C4853" s="51" t="s">
        <v>782</v>
      </c>
      <c r="D4853" s="51" t="n">
        <v>0</v>
      </c>
    </row>
    <row r="4854" customFormat="false" ht="15" hidden="true" customHeight="false" outlineLevel="0" collapsed="false">
      <c r="A4854" s="51" t="s">
        <v>225</v>
      </c>
      <c r="B4854" s="55" t="n">
        <v>44834</v>
      </c>
      <c r="C4854" s="51" t="s">
        <v>782</v>
      </c>
      <c r="D4854" s="51" t="n">
        <v>0</v>
      </c>
    </row>
    <row r="4855" customFormat="false" ht="15" hidden="true" customHeight="false" outlineLevel="0" collapsed="false">
      <c r="A4855" s="51" t="s">
        <v>230</v>
      </c>
      <c r="B4855" s="55" t="n">
        <v>44834</v>
      </c>
      <c r="C4855" s="51" t="s">
        <v>782</v>
      </c>
      <c r="D4855" s="51" t="n">
        <v>0</v>
      </c>
    </row>
    <row r="4856" customFormat="false" ht="15" hidden="true" customHeight="false" outlineLevel="0" collapsed="false">
      <c r="A4856" s="51" t="s">
        <v>235</v>
      </c>
      <c r="B4856" s="55" t="n">
        <v>44834</v>
      </c>
      <c r="C4856" s="51" t="s">
        <v>782</v>
      </c>
      <c r="D4856" s="51" t="n">
        <v>0</v>
      </c>
    </row>
    <row r="4857" customFormat="false" ht="15" hidden="true" customHeight="false" outlineLevel="0" collapsed="false">
      <c r="A4857" s="51" t="s">
        <v>240</v>
      </c>
      <c r="B4857" s="55" t="n">
        <v>44834</v>
      </c>
      <c r="C4857" s="51" t="s">
        <v>782</v>
      </c>
      <c r="D4857" s="51" t="n">
        <v>0</v>
      </c>
    </row>
    <row r="4858" customFormat="false" ht="15" hidden="true" customHeight="false" outlineLevel="0" collapsed="false">
      <c r="A4858" s="51" t="s">
        <v>246</v>
      </c>
      <c r="B4858" s="55" t="n">
        <v>44834</v>
      </c>
      <c r="C4858" s="51" t="s">
        <v>782</v>
      </c>
      <c r="D4858" s="51" t="n">
        <v>0</v>
      </c>
    </row>
    <row r="4859" customFormat="false" ht="15" hidden="true" customHeight="false" outlineLevel="0" collapsed="false">
      <c r="A4859" s="51" t="s">
        <v>252</v>
      </c>
      <c r="B4859" s="55" t="n">
        <v>44834</v>
      </c>
      <c r="C4859" s="51" t="s">
        <v>782</v>
      </c>
      <c r="D4859" s="51" t="n">
        <v>0</v>
      </c>
    </row>
    <row r="4860" customFormat="false" ht="15" hidden="true" customHeight="false" outlineLevel="0" collapsed="false">
      <c r="A4860" s="51" t="s">
        <v>257</v>
      </c>
      <c r="B4860" s="55" t="n">
        <v>44834</v>
      </c>
      <c r="C4860" s="51" t="s">
        <v>782</v>
      </c>
      <c r="D4860" s="51" t="n">
        <v>0</v>
      </c>
    </row>
    <row r="4861" customFormat="false" ht="15" hidden="true" customHeight="false" outlineLevel="0" collapsed="false">
      <c r="A4861" s="51" t="s">
        <v>262</v>
      </c>
      <c r="B4861" s="55" t="n">
        <v>44834</v>
      </c>
      <c r="C4861" s="51" t="s">
        <v>782</v>
      </c>
      <c r="D4861" s="51" t="n">
        <v>0</v>
      </c>
    </row>
    <row r="4862" customFormat="false" ht="15" hidden="true" customHeight="false" outlineLevel="0" collapsed="false">
      <c r="A4862" s="51" t="s">
        <v>267</v>
      </c>
      <c r="B4862" s="55" t="n">
        <v>44834</v>
      </c>
      <c r="C4862" s="51" t="s">
        <v>782</v>
      </c>
      <c r="D4862" s="51" t="n">
        <v>0</v>
      </c>
    </row>
    <row r="4863" customFormat="false" ht="15" hidden="true" customHeight="false" outlineLevel="0" collapsed="false">
      <c r="A4863" s="51" t="s">
        <v>272</v>
      </c>
      <c r="B4863" s="55" t="n">
        <v>44834</v>
      </c>
      <c r="C4863" s="51" t="s">
        <v>782</v>
      </c>
      <c r="D4863" s="51" t="n">
        <v>0</v>
      </c>
    </row>
    <row r="4864" customFormat="false" ht="15" hidden="true" customHeight="false" outlineLevel="0" collapsed="false">
      <c r="A4864" s="51" t="s">
        <v>277</v>
      </c>
      <c r="B4864" s="55" t="n">
        <v>44834</v>
      </c>
      <c r="C4864" s="51" t="s">
        <v>782</v>
      </c>
      <c r="D4864" s="51" t="n">
        <v>0</v>
      </c>
    </row>
    <row r="4865" customFormat="false" ht="15" hidden="true" customHeight="false" outlineLevel="0" collapsed="false">
      <c r="A4865" s="51" t="s">
        <v>282</v>
      </c>
      <c r="B4865" s="55" t="n">
        <v>44834</v>
      </c>
      <c r="C4865" s="51" t="s">
        <v>782</v>
      </c>
      <c r="D4865" s="51" t="n">
        <v>0</v>
      </c>
    </row>
    <row r="4866" customFormat="false" ht="15" hidden="true" customHeight="false" outlineLevel="0" collapsed="false">
      <c r="A4866" s="51" t="s">
        <v>287</v>
      </c>
      <c r="B4866" s="55" t="n">
        <v>44834</v>
      </c>
      <c r="C4866" s="51" t="s">
        <v>782</v>
      </c>
      <c r="D4866" s="51" t="n">
        <v>0</v>
      </c>
    </row>
    <row r="4867" customFormat="false" ht="15" hidden="true" customHeight="false" outlineLevel="0" collapsed="false">
      <c r="A4867" s="51" t="s">
        <v>292</v>
      </c>
      <c r="B4867" s="55" t="n">
        <v>44834</v>
      </c>
      <c r="C4867" s="51" t="s">
        <v>782</v>
      </c>
      <c r="D4867" s="51" t="n">
        <v>0</v>
      </c>
    </row>
    <row r="4868" customFormat="false" ht="15" hidden="true" customHeight="false" outlineLevel="0" collapsed="false">
      <c r="A4868" s="51" t="s">
        <v>297</v>
      </c>
      <c r="B4868" s="55" t="n">
        <v>44834</v>
      </c>
      <c r="C4868" s="51" t="s">
        <v>782</v>
      </c>
      <c r="D4868" s="51" t="n">
        <v>0</v>
      </c>
    </row>
    <row r="4869" customFormat="false" ht="15" hidden="true" customHeight="false" outlineLevel="0" collapsed="false">
      <c r="A4869" s="51" t="s">
        <v>302</v>
      </c>
      <c r="B4869" s="55" t="n">
        <v>44834</v>
      </c>
      <c r="C4869" s="51" t="s">
        <v>782</v>
      </c>
      <c r="D4869" s="51" t="n">
        <v>0</v>
      </c>
    </row>
    <row r="4870" customFormat="false" ht="15" hidden="true" customHeight="false" outlineLevel="0" collapsed="false">
      <c r="A4870" s="51" t="s">
        <v>307</v>
      </c>
      <c r="B4870" s="55" t="n">
        <v>44834</v>
      </c>
      <c r="C4870" s="51" t="s">
        <v>782</v>
      </c>
      <c r="D4870" s="51" t="n">
        <v>0</v>
      </c>
    </row>
    <row r="4871" customFormat="false" ht="15" hidden="true" customHeight="false" outlineLevel="0" collapsed="false">
      <c r="A4871" s="51" t="s">
        <v>311</v>
      </c>
      <c r="B4871" s="55" t="n">
        <v>44834</v>
      </c>
      <c r="C4871" s="51" t="s">
        <v>782</v>
      </c>
      <c r="D4871" s="51" t="n">
        <v>0</v>
      </c>
    </row>
    <row r="4872" customFormat="false" ht="15" hidden="true" customHeight="false" outlineLevel="0" collapsed="false">
      <c r="A4872" s="51" t="s">
        <v>317</v>
      </c>
      <c r="B4872" s="55" t="n">
        <v>44834</v>
      </c>
      <c r="C4872" s="51" t="s">
        <v>782</v>
      </c>
      <c r="D4872" s="51" t="n">
        <v>0</v>
      </c>
    </row>
    <row r="4873" customFormat="false" ht="15" hidden="true" customHeight="false" outlineLevel="0" collapsed="false">
      <c r="A4873" s="51" t="s">
        <v>322</v>
      </c>
      <c r="B4873" s="55" t="n">
        <v>44834</v>
      </c>
      <c r="C4873" s="51" t="s">
        <v>782</v>
      </c>
      <c r="D4873" s="51" t="n">
        <v>1690000</v>
      </c>
    </row>
    <row r="4874" customFormat="false" ht="15" hidden="true" customHeight="false" outlineLevel="0" collapsed="false">
      <c r="A4874" s="51" t="s">
        <v>327</v>
      </c>
      <c r="B4874" s="55" t="n">
        <v>44834</v>
      </c>
      <c r="C4874" s="51" t="s">
        <v>782</v>
      </c>
      <c r="D4874" s="51" t="n">
        <v>2250000</v>
      </c>
    </row>
    <row r="4875" customFormat="false" ht="15" hidden="true" customHeight="false" outlineLevel="0" collapsed="false">
      <c r="A4875" s="51" t="s">
        <v>332</v>
      </c>
      <c r="B4875" s="55" t="n">
        <v>44834</v>
      </c>
      <c r="C4875" s="51" t="s">
        <v>782</v>
      </c>
      <c r="D4875" s="51" t="n">
        <v>14000</v>
      </c>
    </row>
    <row r="4876" customFormat="false" ht="15" hidden="true" customHeight="false" outlineLevel="0" collapsed="false">
      <c r="A4876" s="51" t="s">
        <v>339</v>
      </c>
      <c r="B4876" s="55" t="n">
        <v>44834</v>
      </c>
      <c r="C4876" s="51" t="s">
        <v>782</v>
      </c>
      <c r="D4876" s="51" t="n">
        <v>130000</v>
      </c>
    </row>
    <row r="4877" customFormat="false" ht="15" hidden="true" customHeight="false" outlineLevel="0" collapsed="false">
      <c r="A4877" s="51" t="s">
        <v>344</v>
      </c>
      <c r="B4877" s="55" t="n">
        <v>44834</v>
      </c>
      <c r="C4877" s="51" t="s">
        <v>782</v>
      </c>
      <c r="D4877" s="51" t="n">
        <v>1000000</v>
      </c>
    </row>
    <row r="4878" customFormat="false" ht="15" hidden="true" customHeight="false" outlineLevel="0" collapsed="false">
      <c r="A4878" s="51" t="s">
        <v>349</v>
      </c>
      <c r="B4878" s="55" t="n">
        <v>44834</v>
      </c>
      <c r="C4878" s="51" t="s">
        <v>782</v>
      </c>
      <c r="D4878" s="51" t="n">
        <v>0</v>
      </c>
    </row>
    <row r="4879" customFormat="false" ht="15" hidden="true" customHeight="false" outlineLevel="0" collapsed="false">
      <c r="A4879" s="51" t="s">
        <v>354</v>
      </c>
      <c r="B4879" s="55" t="n">
        <v>44834</v>
      </c>
      <c r="C4879" s="51" t="s">
        <v>782</v>
      </c>
      <c r="D4879" s="51" t="n">
        <v>0</v>
      </c>
    </row>
    <row r="4880" customFormat="false" ht="15" hidden="true" customHeight="false" outlineLevel="0" collapsed="false">
      <c r="A4880" s="51" t="s">
        <v>359</v>
      </c>
      <c r="B4880" s="55" t="n">
        <v>44834</v>
      </c>
      <c r="C4880" s="51" t="s">
        <v>782</v>
      </c>
      <c r="D4880" s="51" t="n">
        <v>0</v>
      </c>
    </row>
    <row r="4881" customFormat="false" ht="15" hidden="true" customHeight="false" outlineLevel="0" collapsed="false">
      <c r="A4881" s="51" t="s">
        <v>364</v>
      </c>
      <c r="B4881" s="55" t="n">
        <v>44834</v>
      </c>
      <c r="C4881" s="51" t="s">
        <v>782</v>
      </c>
      <c r="D4881" s="51" t="n">
        <v>0</v>
      </c>
    </row>
    <row r="4882" customFormat="false" ht="15" hidden="true" customHeight="false" outlineLevel="0" collapsed="false">
      <c r="A4882" s="51" t="s">
        <v>369</v>
      </c>
      <c r="B4882" s="55" t="n">
        <v>44834</v>
      </c>
      <c r="C4882" s="51" t="s">
        <v>782</v>
      </c>
      <c r="D4882" s="51" t="n">
        <v>0</v>
      </c>
    </row>
    <row r="4883" customFormat="false" ht="15" hidden="true" customHeight="false" outlineLevel="0" collapsed="false">
      <c r="A4883" s="51" t="s">
        <v>374</v>
      </c>
      <c r="B4883" s="55" t="n">
        <v>44834</v>
      </c>
      <c r="C4883" s="51" t="s">
        <v>782</v>
      </c>
      <c r="D4883" s="51" t="n">
        <v>0</v>
      </c>
    </row>
    <row r="4884" customFormat="false" ht="15" hidden="true" customHeight="false" outlineLevel="0" collapsed="false">
      <c r="A4884" s="51" t="s">
        <v>379</v>
      </c>
      <c r="B4884" s="55" t="n">
        <v>44834</v>
      </c>
      <c r="C4884" s="51" t="s">
        <v>782</v>
      </c>
      <c r="D4884" s="51" t="n">
        <v>0</v>
      </c>
    </row>
    <row r="4885" customFormat="false" ht="15" hidden="true" customHeight="false" outlineLevel="0" collapsed="false">
      <c r="A4885" s="51" t="s">
        <v>384</v>
      </c>
      <c r="B4885" s="55" t="n">
        <v>44834</v>
      </c>
      <c r="C4885" s="51" t="s">
        <v>782</v>
      </c>
      <c r="D4885" s="51" t="n">
        <v>0</v>
      </c>
    </row>
    <row r="4886" customFormat="false" ht="15" hidden="true" customHeight="false" outlineLevel="0" collapsed="false">
      <c r="A4886" s="51" t="s">
        <v>389</v>
      </c>
      <c r="B4886" s="55" t="n">
        <v>44834</v>
      </c>
      <c r="C4886" s="51" t="s">
        <v>782</v>
      </c>
      <c r="D4886" s="51" t="n">
        <v>0</v>
      </c>
    </row>
    <row r="4887" customFormat="false" ht="15" hidden="true" customHeight="false" outlineLevel="0" collapsed="false">
      <c r="A4887" s="51" t="s">
        <v>394</v>
      </c>
      <c r="B4887" s="55" t="n">
        <v>44834</v>
      </c>
      <c r="C4887" s="51" t="s">
        <v>782</v>
      </c>
      <c r="D4887" s="51" t="n">
        <v>0</v>
      </c>
    </row>
    <row r="4888" customFormat="false" ht="15" hidden="true" customHeight="false" outlineLevel="0" collapsed="false">
      <c r="A4888" s="51" t="s">
        <v>399</v>
      </c>
      <c r="B4888" s="55" t="n">
        <v>44834</v>
      </c>
      <c r="C4888" s="51" t="s">
        <v>782</v>
      </c>
      <c r="D4888" s="51" t="n">
        <v>0</v>
      </c>
    </row>
    <row r="4889" customFormat="false" ht="15" hidden="true" customHeight="false" outlineLevel="0" collapsed="false">
      <c r="A4889" s="51" t="s">
        <v>404</v>
      </c>
      <c r="B4889" s="55" t="n">
        <v>44834</v>
      </c>
      <c r="C4889" s="51" t="s">
        <v>782</v>
      </c>
      <c r="D4889" s="51" t="n">
        <v>0</v>
      </c>
    </row>
    <row r="4890" customFormat="false" ht="15" hidden="true" customHeight="false" outlineLevel="0" collapsed="false">
      <c r="A4890" s="51" t="s">
        <v>409</v>
      </c>
      <c r="B4890" s="55" t="n">
        <v>44834</v>
      </c>
      <c r="C4890" s="51" t="s">
        <v>782</v>
      </c>
      <c r="D4890" s="51" t="n">
        <v>0</v>
      </c>
    </row>
    <row r="4891" customFormat="false" ht="15" hidden="true" customHeight="false" outlineLevel="0" collapsed="false">
      <c r="A4891" s="51" t="s">
        <v>414</v>
      </c>
      <c r="B4891" s="55" t="n">
        <v>44834</v>
      </c>
      <c r="C4891" s="51" t="s">
        <v>782</v>
      </c>
      <c r="D4891" s="51" t="n">
        <v>0</v>
      </c>
    </row>
    <row r="4892" customFormat="false" ht="15" hidden="true" customHeight="false" outlineLevel="0" collapsed="false">
      <c r="A4892" s="51" t="s">
        <v>419</v>
      </c>
      <c r="B4892" s="55" t="n">
        <v>44834</v>
      </c>
      <c r="C4892" s="51" t="s">
        <v>782</v>
      </c>
      <c r="D4892" s="51" t="n">
        <v>0</v>
      </c>
    </row>
    <row r="4893" customFormat="false" ht="15" hidden="true" customHeight="false" outlineLevel="0" collapsed="false">
      <c r="A4893" s="51" t="s">
        <v>424</v>
      </c>
      <c r="B4893" s="55" t="n">
        <v>44834</v>
      </c>
      <c r="C4893" s="51" t="s">
        <v>782</v>
      </c>
      <c r="D4893" s="51" t="n">
        <v>0</v>
      </c>
    </row>
    <row r="4894" customFormat="false" ht="15" hidden="true" customHeight="false" outlineLevel="0" collapsed="false">
      <c r="A4894" s="51" t="s">
        <v>429</v>
      </c>
      <c r="B4894" s="55" t="n">
        <v>44834</v>
      </c>
      <c r="C4894" s="51" t="s">
        <v>782</v>
      </c>
      <c r="D4894" s="51" t="n">
        <v>0</v>
      </c>
    </row>
    <row r="4895" customFormat="false" ht="15" hidden="true" customHeight="false" outlineLevel="0" collapsed="false">
      <c r="A4895" s="51" t="s">
        <v>434</v>
      </c>
      <c r="B4895" s="55" t="n">
        <v>44834</v>
      </c>
      <c r="C4895" s="51" t="s">
        <v>782</v>
      </c>
      <c r="D4895" s="51" t="n">
        <v>0</v>
      </c>
    </row>
    <row r="4896" customFormat="false" ht="15" hidden="true" customHeight="false" outlineLevel="0" collapsed="false">
      <c r="A4896" s="51" t="s">
        <v>438</v>
      </c>
      <c r="B4896" s="55" t="n">
        <v>44834</v>
      </c>
      <c r="C4896" s="51" t="s">
        <v>782</v>
      </c>
      <c r="D4896" s="51" t="n">
        <v>0</v>
      </c>
    </row>
    <row r="4897" customFormat="false" ht="15" hidden="true" customHeight="false" outlineLevel="0" collapsed="false">
      <c r="A4897" s="51" t="s">
        <v>443</v>
      </c>
      <c r="B4897" s="55" t="n">
        <v>44834</v>
      </c>
      <c r="C4897" s="51" t="s">
        <v>782</v>
      </c>
      <c r="D4897" s="51" t="n">
        <v>0</v>
      </c>
    </row>
    <row r="4898" customFormat="false" ht="15" hidden="true" customHeight="false" outlineLevel="0" collapsed="false">
      <c r="A4898" s="51" t="s">
        <v>448</v>
      </c>
      <c r="B4898" s="55" t="n">
        <v>44834</v>
      </c>
      <c r="C4898" s="51" t="s">
        <v>782</v>
      </c>
      <c r="D4898" s="51" t="n">
        <v>0</v>
      </c>
    </row>
    <row r="4899" customFormat="false" ht="15" hidden="true" customHeight="false" outlineLevel="0" collapsed="false">
      <c r="A4899" s="51" t="s">
        <v>453</v>
      </c>
      <c r="B4899" s="55" t="n">
        <v>44834</v>
      </c>
      <c r="C4899" s="51" t="s">
        <v>782</v>
      </c>
      <c r="D4899" s="51" t="n">
        <v>0</v>
      </c>
    </row>
    <row r="4900" customFormat="false" ht="15" hidden="true" customHeight="false" outlineLevel="0" collapsed="false">
      <c r="A4900" s="51" t="s">
        <v>458</v>
      </c>
      <c r="B4900" s="55" t="n">
        <v>44834</v>
      </c>
      <c r="C4900" s="51" t="s">
        <v>782</v>
      </c>
      <c r="D4900" s="51" t="n">
        <v>0</v>
      </c>
    </row>
    <row r="4901" customFormat="false" ht="15" hidden="true" customHeight="false" outlineLevel="0" collapsed="false">
      <c r="A4901" s="51" t="s">
        <v>473</v>
      </c>
      <c r="B4901" s="55" t="n">
        <v>44834</v>
      </c>
      <c r="C4901" s="51" t="s">
        <v>782</v>
      </c>
      <c r="D4901" s="51" t="n">
        <v>0</v>
      </c>
    </row>
    <row r="4902" customFormat="false" ht="15" hidden="true" customHeight="false" outlineLevel="0" collapsed="false">
      <c r="A4902" s="51" t="s">
        <v>479</v>
      </c>
      <c r="B4902" s="55" t="n">
        <v>44834</v>
      </c>
      <c r="C4902" s="51" t="s">
        <v>782</v>
      </c>
      <c r="D4902" s="51" t="n">
        <v>0</v>
      </c>
    </row>
    <row r="4903" customFormat="false" ht="15" hidden="true" customHeight="false" outlineLevel="0" collapsed="false">
      <c r="A4903" s="51" t="s">
        <v>484</v>
      </c>
      <c r="B4903" s="55" t="n">
        <v>44834</v>
      </c>
      <c r="C4903" s="51" t="s">
        <v>782</v>
      </c>
      <c r="D4903" s="51" t="n">
        <v>0</v>
      </c>
    </row>
    <row r="4904" customFormat="false" ht="15" hidden="true" customHeight="false" outlineLevel="0" collapsed="false">
      <c r="A4904" s="51" t="s">
        <v>489</v>
      </c>
      <c r="B4904" s="55" t="n">
        <v>44834</v>
      </c>
      <c r="C4904" s="51" t="s">
        <v>782</v>
      </c>
      <c r="D4904" s="51" t="n">
        <v>0</v>
      </c>
    </row>
    <row r="4905" customFormat="false" ht="15" hidden="true" customHeight="false" outlineLevel="0" collapsed="false">
      <c r="A4905" s="51" t="s">
        <v>494</v>
      </c>
      <c r="B4905" s="55" t="n">
        <v>44834</v>
      </c>
      <c r="C4905" s="51" t="s">
        <v>782</v>
      </c>
      <c r="D4905" s="51" t="n">
        <v>0</v>
      </c>
    </row>
    <row r="4906" customFormat="false" ht="15" hidden="true" customHeight="false" outlineLevel="0" collapsed="false">
      <c r="A4906" s="51" t="s">
        <v>499</v>
      </c>
      <c r="B4906" s="55" t="n">
        <v>44834</v>
      </c>
      <c r="C4906" s="51" t="s">
        <v>782</v>
      </c>
      <c r="D4906" s="51" t="n">
        <v>0</v>
      </c>
    </row>
    <row r="4907" customFormat="false" ht="15" hidden="true" customHeight="false" outlineLevel="0" collapsed="false">
      <c r="A4907" s="51" t="s">
        <v>504</v>
      </c>
      <c r="B4907" s="55" t="n">
        <v>44834</v>
      </c>
      <c r="C4907" s="51" t="s">
        <v>782</v>
      </c>
      <c r="D4907" s="51" t="n">
        <v>0</v>
      </c>
    </row>
    <row r="4908" customFormat="false" ht="15" hidden="true" customHeight="false" outlineLevel="0" collapsed="false">
      <c r="A4908" s="51" t="s">
        <v>509</v>
      </c>
      <c r="B4908" s="55" t="n">
        <v>44834</v>
      </c>
      <c r="C4908" s="51" t="s">
        <v>782</v>
      </c>
      <c r="D4908" s="51" t="n">
        <v>0</v>
      </c>
    </row>
    <row r="4909" customFormat="false" ht="15" hidden="true" customHeight="false" outlineLevel="0" collapsed="false">
      <c r="A4909" s="51" t="s">
        <v>515</v>
      </c>
      <c r="B4909" s="55" t="n">
        <v>44834</v>
      </c>
      <c r="C4909" s="51" t="s">
        <v>782</v>
      </c>
      <c r="D4909" s="51" t="n">
        <v>0</v>
      </c>
    </row>
    <row r="4910" customFormat="false" ht="15" hidden="true" customHeight="false" outlineLevel="0" collapsed="false">
      <c r="A4910" s="51" t="s">
        <v>520</v>
      </c>
      <c r="B4910" s="55" t="n">
        <v>44834</v>
      </c>
      <c r="C4910" s="51" t="s">
        <v>782</v>
      </c>
      <c r="D4910" s="51" t="n">
        <v>0</v>
      </c>
    </row>
    <row r="4911" customFormat="false" ht="15" hidden="true" customHeight="false" outlineLevel="0" collapsed="false">
      <c r="A4911" s="51" t="s">
        <v>525</v>
      </c>
      <c r="B4911" s="55" t="n">
        <v>44834</v>
      </c>
      <c r="C4911" s="51" t="s">
        <v>782</v>
      </c>
      <c r="D4911" s="51" t="n">
        <v>0</v>
      </c>
    </row>
    <row r="4912" customFormat="false" ht="15" hidden="true" customHeight="false" outlineLevel="0" collapsed="false">
      <c r="A4912" s="51" t="s">
        <v>531</v>
      </c>
      <c r="B4912" s="55" t="n">
        <v>44834</v>
      </c>
      <c r="C4912" s="51" t="s">
        <v>782</v>
      </c>
      <c r="D4912" s="51" t="n">
        <v>0</v>
      </c>
    </row>
    <row r="4913" customFormat="false" ht="15" hidden="true" customHeight="false" outlineLevel="0" collapsed="false">
      <c r="A4913" s="51" t="s">
        <v>536</v>
      </c>
      <c r="B4913" s="55" t="n">
        <v>44834</v>
      </c>
      <c r="C4913" s="51" t="s">
        <v>782</v>
      </c>
      <c r="D4913" s="51" t="n">
        <v>0</v>
      </c>
    </row>
    <row r="4914" customFormat="false" ht="15" hidden="true" customHeight="false" outlineLevel="0" collapsed="false">
      <c r="A4914" s="51" t="s">
        <v>541</v>
      </c>
      <c r="B4914" s="55" t="n">
        <v>44834</v>
      </c>
      <c r="C4914" s="51" t="s">
        <v>782</v>
      </c>
      <c r="D4914" s="51" t="n">
        <v>0</v>
      </c>
    </row>
    <row r="4915" customFormat="false" ht="15" hidden="true" customHeight="false" outlineLevel="0" collapsed="false">
      <c r="A4915" s="51" t="s">
        <v>549</v>
      </c>
      <c r="B4915" s="55" t="n">
        <v>44834</v>
      </c>
      <c r="C4915" s="51" t="s">
        <v>782</v>
      </c>
      <c r="D4915" s="51" t="n">
        <v>0</v>
      </c>
    </row>
    <row r="4916" customFormat="false" ht="15" hidden="true" customHeight="false" outlineLevel="0" collapsed="false">
      <c r="A4916" s="51" t="s">
        <v>554</v>
      </c>
      <c r="B4916" s="55" t="n">
        <v>44834</v>
      </c>
      <c r="C4916" s="51" t="s">
        <v>782</v>
      </c>
      <c r="D4916" s="51" t="n">
        <v>0</v>
      </c>
    </row>
    <row r="4917" customFormat="false" ht="15" hidden="true" customHeight="false" outlineLevel="0" collapsed="false">
      <c r="A4917" s="51" t="s">
        <v>559</v>
      </c>
      <c r="B4917" s="55" t="n">
        <v>44834</v>
      </c>
      <c r="C4917" s="51" t="s">
        <v>782</v>
      </c>
      <c r="D4917" s="51" t="n">
        <v>0</v>
      </c>
    </row>
    <row r="4918" customFormat="false" ht="15" hidden="true" customHeight="false" outlineLevel="0" collapsed="false">
      <c r="A4918" s="51" t="s">
        <v>564</v>
      </c>
      <c r="B4918" s="55" t="n">
        <v>44834</v>
      </c>
      <c r="C4918" s="51" t="s">
        <v>782</v>
      </c>
      <c r="D4918" s="51" t="n">
        <v>0</v>
      </c>
    </row>
    <row r="4919" customFormat="false" ht="15" hidden="true" customHeight="false" outlineLevel="0" collapsed="false">
      <c r="A4919" s="51" t="s">
        <v>569</v>
      </c>
      <c r="B4919" s="55" t="n">
        <v>44834</v>
      </c>
      <c r="C4919" s="51" t="s">
        <v>782</v>
      </c>
      <c r="D4919" s="51" t="n">
        <v>0</v>
      </c>
    </row>
    <row r="4920" customFormat="false" ht="15" hidden="true" customHeight="false" outlineLevel="0" collapsed="false">
      <c r="A4920" s="51" t="s">
        <v>574</v>
      </c>
      <c r="B4920" s="55" t="n">
        <v>44834</v>
      </c>
      <c r="C4920" s="51" t="s">
        <v>782</v>
      </c>
      <c r="D4920" s="51" t="n">
        <v>0</v>
      </c>
    </row>
    <row r="4921" customFormat="false" ht="15" hidden="true" customHeight="false" outlineLevel="0" collapsed="false">
      <c r="A4921" s="51" t="s">
        <v>579</v>
      </c>
      <c r="B4921" s="55" t="n">
        <v>44834</v>
      </c>
      <c r="C4921" s="51" t="s">
        <v>782</v>
      </c>
      <c r="D4921" s="51" t="n">
        <v>0</v>
      </c>
    </row>
    <row r="4922" customFormat="false" ht="15" hidden="true" customHeight="false" outlineLevel="0" collapsed="false">
      <c r="A4922" s="51" t="s">
        <v>584</v>
      </c>
      <c r="B4922" s="55" t="n">
        <v>44834</v>
      </c>
      <c r="C4922" s="51" t="s">
        <v>782</v>
      </c>
      <c r="D4922" s="51" t="n">
        <v>0</v>
      </c>
    </row>
    <row r="4923" customFormat="false" ht="15" hidden="true" customHeight="false" outlineLevel="0" collapsed="false">
      <c r="A4923" s="51" t="s">
        <v>589</v>
      </c>
      <c r="B4923" s="55" t="n">
        <v>44834</v>
      </c>
      <c r="C4923" s="51" t="s">
        <v>782</v>
      </c>
      <c r="D4923" s="51" t="n">
        <v>0</v>
      </c>
    </row>
    <row r="4924" customFormat="false" ht="15" hidden="true" customHeight="false" outlineLevel="0" collapsed="false">
      <c r="A4924" s="51" t="s">
        <v>756</v>
      </c>
      <c r="B4924" s="55" t="n">
        <v>44834</v>
      </c>
      <c r="C4924" s="51" t="s">
        <v>782</v>
      </c>
      <c r="D4924" s="51" t="n">
        <v>0</v>
      </c>
    </row>
    <row r="4925" customFormat="false" ht="15" hidden="true" customHeight="false" outlineLevel="0" collapsed="false">
      <c r="A4925" s="51" t="s">
        <v>594</v>
      </c>
      <c r="B4925" s="55" t="n">
        <v>44834</v>
      </c>
      <c r="C4925" s="51" t="s">
        <v>782</v>
      </c>
      <c r="D4925" s="51" t="n">
        <v>0</v>
      </c>
    </row>
    <row r="4926" customFormat="false" ht="15" hidden="true" customHeight="false" outlineLevel="0" collapsed="false">
      <c r="A4926" s="51" t="s">
        <v>761</v>
      </c>
      <c r="B4926" s="55" t="n">
        <v>44834</v>
      </c>
      <c r="C4926" s="51" t="s">
        <v>782</v>
      </c>
      <c r="D4926" s="51" t="n">
        <v>0</v>
      </c>
    </row>
    <row r="4927" customFormat="false" ht="15" hidden="true" customHeight="false" outlineLevel="0" collapsed="false">
      <c r="A4927" s="51" t="s">
        <v>599</v>
      </c>
      <c r="B4927" s="55" t="n">
        <v>44834</v>
      </c>
      <c r="C4927" s="51" t="s">
        <v>782</v>
      </c>
      <c r="D4927" s="51" t="n">
        <v>0</v>
      </c>
    </row>
    <row r="4928" customFormat="false" ht="15" hidden="true" customHeight="false" outlineLevel="0" collapsed="false">
      <c r="A4928" s="51" t="s">
        <v>604</v>
      </c>
      <c r="B4928" s="55" t="n">
        <v>44834</v>
      </c>
      <c r="C4928" s="51" t="s">
        <v>782</v>
      </c>
      <c r="D4928" s="51" t="n">
        <v>0</v>
      </c>
    </row>
    <row r="4929" customFormat="false" ht="15" hidden="true" customHeight="false" outlineLevel="0" collapsed="false">
      <c r="A4929" s="51" t="s">
        <v>609</v>
      </c>
      <c r="B4929" s="55" t="n">
        <v>44834</v>
      </c>
      <c r="C4929" s="51" t="s">
        <v>782</v>
      </c>
      <c r="D4929" s="51" t="n">
        <v>0</v>
      </c>
    </row>
    <row r="4930" customFormat="false" ht="15" hidden="true" customHeight="false" outlineLevel="0" collapsed="false">
      <c r="A4930" s="51" t="s">
        <v>614</v>
      </c>
      <c r="B4930" s="55" t="n">
        <v>44834</v>
      </c>
      <c r="C4930" s="51" t="s">
        <v>782</v>
      </c>
      <c r="D4930" s="51" t="n">
        <v>0</v>
      </c>
    </row>
    <row r="4931" customFormat="false" ht="15" hidden="true" customHeight="false" outlineLevel="0" collapsed="false">
      <c r="A4931" s="51" t="s">
        <v>619</v>
      </c>
      <c r="B4931" s="55" t="n">
        <v>44834</v>
      </c>
      <c r="C4931" s="51" t="s">
        <v>782</v>
      </c>
      <c r="D4931" s="51" t="n">
        <v>0</v>
      </c>
    </row>
    <row r="4932" customFormat="false" ht="15" hidden="true" customHeight="false" outlineLevel="0" collapsed="false">
      <c r="A4932" s="51" t="s">
        <v>624</v>
      </c>
      <c r="B4932" s="55" t="n">
        <v>44834</v>
      </c>
      <c r="C4932" s="51" t="s">
        <v>782</v>
      </c>
      <c r="D4932" s="51" t="n">
        <v>0</v>
      </c>
    </row>
    <row r="4933" customFormat="false" ht="15" hidden="true" customHeight="false" outlineLevel="0" collapsed="false">
      <c r="A4933" s="51" t="s">
        <v>629</v>
      </c>
      <c r="B4933" s="55" t="n">
        <v>44834</v>
      </c>
      <c r="C4933" s="51" t="s">
        <v>782</v>
      </c>
      <c r="D4933" s="51" t="n">
        <v>0</v>
      </c>
    </row>
    <row r="4934" customFormat="false" ht="15" hidden="true" customHeight="false" outlineLevel="0" collapsed="false">
      <c r="A4934" s="51" t="s">
        <v>633</v>
      </c>
      <c r="B4934" s="55" t="n">
        <v>44834</v>
      </c>
      <c r="C4934" s="51" t="s">
        <v>782</v>
      </c>
      <c r="D4934" s="51" t="n">
        <v>0</v>
      </c>
    </row>
    <row r="4935" customFormat="false" ht="15" hidden="true" customHeight="false" outlineLevel="0" collapsed="false">
      <c r="A4935" s="51" t="s">
        <v>638</v>
      </c>
      <c r="B4935" s="55" t="n">
        <v>44834</v>
      </c>
      <c r="C4935" s="51" t="s">
        <v>782</v>
      </c>
      <c r="D4935" s="51" t="n">
        <v>0</v>
      </c>
    </row>
    <row r="4936" customFormat="false" ht="15" hidden="true" customHeight="false" outlineLevel="0" collapsed="false">
      <c r="A4936" s="51" t="s">
        <v>642</v>
      </c>
      <c r="B4936" s="55" t="n">
        <v>44834</v>
      </c>
      <c r="C4936" s="51" t="s">
        <v>782</v>
      </c>
      <c r="D4936" s="51" t="n">
        <v>0</v>
      </c>
    </row>
    <row r="4937" customFormat="false" ht="15" hidden="true" customHeight="false" outlineLevel="0" collapsed="false">
      <c r="A4937" s="51" t="s">
        <v>646</v>
      </c>
      <c r="B4937" s="55" t="n">
        <v>44834</v>
      </c>
      <c r="C4937" s="51" t="s">
        <v>782</v>
      </c>
      <c r="D4937" s="51" t="n">
        <v>0</v>
      </c>
    </row>
    <row r="4938" customFormat="false" ht="15" hidden="true" customHeight="false" outlineLevel="0" collapsed="false">
      <c r="A4938" s="51" t="s">
        <v>651</v>
      </c>
      <c r="B4938" s="55" t="n">
        <v>44834</v>
      </c>
      <c r="C4938" s="51" t="s">
        <v>782</v>
      </c>
      <c r="D4938" s="51" t="n">
        <v>0</v>
      </c>
    </row>
    <row r="4939" customFormat="false" ht="15" hidden="true" customHeight="false" outlineLevel="0" collapsed="false">
      <c r="A4939" s="51" t="s">
        <v>656</v>
      </c>
      <c r="B4939" s="55" t="n">
        <v>44834</v>
      </c>
      <c r="C4939" s="51" t="s">
        <v>782</v>
      </c>
      <c r="D4939" s="51" t="n">
        <v>0</v>
      </c>
    </row>
    <row r="4940" customFormat="false" ht="15" hidden="true" customHeight="false" outlineLevel="0" collapsed="false">
      <c r="A4940" s="51" t="s">
        <v>661</v>
      </c>
      <c r="B4940" s="55" t="n">
        <v>44834</v>
      </c>
      <c r="C4940" s="51" t="s">
        <v>782</v>
      </c>
      <c r="D4940" s="51" t="n">
        <v>0</v>
      </c>
    </row>
    <row r="4941" customFormat="false" ht="15" hidden="true" customHeight="false" outlineLevel="0" collapsed="false">
      <c r="A4941" s="51" t="s">
        <v>666</v>
      </c>
      <c r="B4941" s="55" t="n">
        <v>44834</v>
      </c>
      <c r="C4941" s="51" t="s">
        <v>782</v>
      </c>
      <c r="D4941" s="51" t="n">
        <v>0</v>
      </c>
    </row>
    <row r="4942" customFormat="false" ht="15" hidden="true" customHeight="false" outlineLevel="0" collapsed="false">
      <c r="A4942" s="51" t="s">
        <v>671</v>
      </c>
      <c r="B4942" s="55" t="n">
        <v>44834</v>
      </c>
      <c r="C4942" s="51" t="s">
        <v>782</v>
      </c>
      <c r="D4942" s="51" t="n">
        <v>0</v>
      </c>
    </row>
    <row r="4943" customFormat="false" ht="15" hidden="true" customHeight="false" outlineLevel="0" collapsed="false">
      <c r="A4943" s="51" t="s">
        <v>676</v>
      </c>
      <c r="B4943" s="55" t="n">
        <v>44834</v>
      </c>
      <c r="C4943" s="51" t="s">
        <v>782</v>
      </c>
      <c r="D4943" s="51" t="n">
        <v>0</v>
      </c>
    </row>
    <row r="4944" customFormat="false" ht="15" hidden="true" customHeight="false" outlineLevel="0" collapsed="false">
      <c r="A4944" s="51" t="s">
        <v>681</v>
      </c>
      <c r="B4944" s="55" t="n">
        <v>44834</v>
      </c>
      <c r="C4944" s="51" t="s">
        <v>782</v>
      </c>
      <c r="D4944" s="51" t="n">
        <v>0</v>
      </c>
    </row>
    <row r="4945" customFormat="false" ht="15" hidden="true" customHeight="false" outlineLevel="0" collapsed="false">
      <c r="A4945" s="51" t="s">
        <v>686</v>
      </c>
      <c r="B4945" s="55" t="n">
        <v>44834</v>
      </c>
      <c r="C4945" s="51" t="s">
        <v>782</v>
      </c>
      <c r="D4945" s="51" t="n">
        <v>0</v>
      </c>
    </row>
    <row r="4946" customFormat="false" ht="15" hidden="true" customHeight="false" outlineLevel="0" collapsed="false">
      <c r="A4946" s="51" t="s">
        <v>691</v>
      </c>
      <c r="B4946" s="55" t="n">
        <v>44834</v>
      </c>
      <c r="C4946" s="51" t="s">
        <v>782</v>
      </c>
      <c r="D4946" s="51" t="n">
        <v>0</v>
      </c>
    </row>
    <row r="4947" customFormat="false" ht="15" hidden="true" customHeight="false" outlineLevel="0" collapsed="false">
      <c r="A4947" s="51" t="s">
        <v>696</v>
      </c>
      <c r="B4947" s="55" t="n">
        <v>44834</v>
      </c>
      <c r="C4947" s="51" t="s">
        <v>782</v>
      </c>
      <c r="D4947" s="51" t="n">
        <v>0</v>
      </c>
    </row>
    <row r="4948" customFormat="false" ht="15" hidden="true" customHeight="false" outlineLevel="0" collapsed="false">
      <c r="A4948" s="51" t="s">
        <v>701</v>
      </c>
      <c r="B4948" s="55" t="n">
        <v>44834</v>
      </c>
      <c r="C4948" s="51" t="s">
        <v>782</v>
      </c>
      <c r="D4948" s="51" t="n">
        <v>0</v>
      </c>
    </row>
    <row r="4949" customFormat="false" ht="15" hidden="true" customHeight="false" outlineLevel="0" collapsed="false">
      <c r="A4949" s="51" t="s">
        <v>707</v>
      </c>
      <c r="B4949" s="55" t="n">
        <v>44834</v>
      </c>
      <c r="C4949" s="51" t="s">
        <v>782</v>
      </c>
      <c r="D4949" s="51" t="n">
        <v>0</v>
      </c>
    </row>
    <row r="4950" customFormat="false" ht="15" hidden="true" customHeight="false" outlineLevel="0" collapsed="false">
      <c r="A4950" s="51" t="s">
        <v>712</v>
      </c>
      <c r="B4950" s="55" t="n">
        <v>44834</v>
      </c>
      <c r="C4950" s="51" t="s">
        <v>782</v>
      </c>
      <c r="D4950" s="51" t="n">
        <v>0</v>
      </c>
    </row>
    <row r="4951" customFormat="false" ht="15" hidden="true" customHeight="false" outlineLevel="0" collapsed="false">
      <c r="A4951" s="51" t="s">
        <v>717</v>
      </c>
      <c r="B4951" s="55" t="n">
        <v>44834</v>
      </c>
      <c r="C4951" s="51" t="s">
        <v>782</v>
      </c>
      <c r="D4951" s="51" t="n">
        <v>0</v>
      </c>
    </row>
    <row r="4952" customFormat="false" ht="15" hidden="true" customHeight="false" outlineLevel="0" collapsed="false">
      <c r="A4952" s="51" t="s">
        <v>767</v>
      </c>
      <c r="B4952" s="55" t="n">
        <v>44834</v>
      </c>
      <c r="C4952" s="51" t="s">
        <v>782</v>
      </c>
      <c r="D4952" s="51" t="n">
        <v>0</v>
      </c>
    </row>
    <row r="4953" customFormat="false" ht="15" hidden="true" customHeight="false" outlineLevel="0" collapsed="false">
      <c r="A4953" s="51" t="s">
        <v>722</v>
      </c>
      <c r="B4953" s="55" t="n">
        <v>44834</v>
      </c>
      <c r="C4953" s="51" t="s">
        <v>782</v>
      </c>
      <c r="D4953" s="51" t="n">
        <v>0</v>
      </c>
    </row>
    <row r="4954" customFormat="false" ht="15" hidden="true" customHeight="false" outlineLevel="0" collapsed="false">
      <c r="A4954" s="51" t="s">
        <v>727</v>
      </c>
      <c r="B4954" s="55" t="n">
        <v>44834</v>
      </c>
      <c r="C4954" s="51" t="s">
        <v>782</v>
      </c>
      <c r="D4954" s="51" t="n">
        <v>0</v>
      </c>
    </row>
    <row r="4955" customFormat="false" ht="15" hidden="true" customHeight="false" outlineLevel="0" collapsed="false">
      <c r="A4955" s="51" t="s">
        <v>732</v>
      </c>
      <c r="B4955" s="55" t="n">
        <v>44834</v>
      </c>
      <c r="C4955" s="51" t="s">
        <v>782</v>
      </c>
      <c r="D4955" s="51" t="n">
        <v>0</v>
      </c>
    </row>
    <row r="4956" customFormat="false" ht="15" hidden="true" customHeight="false" outlineLevel="0" collapsed="false">
      <c r="A4956" s="51" t="s">
        <v>736</v>
      </c>
      <c r="B4956" s="55" t="n">
        <v>44834</v>
      </c>
      <c r="C4956" s="51" t="s">
        <v>782</v>
      </c>
      <c r="D4956" s="51" t="n">
        <v>0</v>
      </c>
    </row>
    <row r="4957" customFormat="false" ht="15" hidden="true" customHeight="false" outlineLevel="0" collapsed="false">
      <c r="A4957" s="51" t="s">
        <v>741</v>
      </c>
      <c r="B4957" s="55" t="n">
        <v>44834</v>
      </c>
      <c r="C4957" s="51" t="s">
        <v>782</v>
      </c>
      <c r="D4957" s="51" t="n">
        <v>0</v>
      </c>
    </row>
    <row r="4958" customFormat="false" ht="15" hidden="true" customHeight="false" outlineLevel="0" collapsed="false">
      <c r="A4958" s="51" t="s">
        <v>746</v>
      </c>
      <c r="B4958" s="55" t="n">
        <v>44834</v>
      </c>
      <c r="C4958" s="51" t="s">
        <v>782</v>
      </c>
      <c r="D4958" s="51" t="n">
        <v>0</v>
      </c>
    </row>
    <row r="4959" customFormat="false" ht="15" hidden="true" customHeight="false" outlineLevel="0" collapsed="false">
      <c r="A4959" s="51" t="s">
        <v>751</v>
      </c>
      <c r="B4959" s="55" t="n">
        <v>44834</v>
      </c>
      <c r="C4959" s="51" t="s">
        <v>782</v>
      </c>
      <c r="D4959" s="51" t="n">
        <v>0</v>
      </c>
    </row>
    <row r="4960" customFormat="false" ht="15" hidden="false" customHeight="false" outlineLevel="0" collapsed="false">
      <c r="A4960" s="51" t="s">
        <v>781</v>
      </c>
      <c r="B4960" s="55" t="n">
        <v>44834</v>
      </c>
      <c r="C4960" s="51" t="s">
        <v>82</v>
      </c>
      <c r="D4960" s="51" t="n">
        <v>0</v>
      </c>
    </row>
    <row r="4961" customFormat="false" ht="15" hidden="true" customHeight="false" outlineLevel="0" collapsed="false">
      <c r="A4961" s="51" t="s">
        <v>783</v>
      </c>
      <c r="B4961" s="55" t="n">
        <v>44834</v>
      </c>
      <c r="C4961" s="51" t="s">
        <v>82</v>
      </c>
      <c r="D4961" s="51" t="n">
        <v>0</v>
      </c>
    </row>
    <row r="4962" customFormat="false" ht="15" hidden="true" customHeight="false" outlineLevel="0" collapsed="false">
      <c r="A4962" s="51" t="s">
        <v>96</v>
      </c>
      <c r="B4962" s="55" t="n">
        <v>44834</v>
      </c>
      <c r="C4962" s="51" t="s">
        <v>82</v>
      </c>
      <c r="D4962" s="51" t="n">
        <v>0</v>
      </c>
    </row>
    <row r="4963" customFormat="false" ht="15" hidden="true" customHeight="false" outlineLevel="0" collapsed="false">
      <c r="A4963" s="51" t="s">
        <v>101</v>
      </c>
      <c r="B4963" s="55" t="n">
        <v>44834</v>
      </c>
      <c r="C4963" s="51" t="s">
        <v>82</v>
      </c>
      <c r="D4963" s="51" t="n">
        <v>0</v>
      </c>
    </row>
    <row r="4964" customFormat="false" ht="15" hidden="true" customHeight="false" outlineLevel="0" collapsed="false">
      <c r="A4964" s="51" t="s">
        <v>106</v>
      </c>
      <c r="B4964" s="55" t="n">
        <v>44834</v>
      </c>
      <c r="C4964" s="51" t="s">
        <v>82</v>
      </c>
      <c r="D4964" s="51" t="n">
        <v>0</v>
      </c>
    </row>
    <row r="4965" customFormat="false" ht="15" hidden="true" customHeight="false" outlineLevel="0" collapsed="false">
      <c r="A4965" s="51" t="s">
        <v>110</v>
      </c>
      <c r="B4965" s="55" t="n">
        <v>44834</v>
      </c>
      <c r="C4965" s="51" t="s">
        <v>82</v>
      </c>
      <c r="D4965" s="51" t="n">
        <v>0</v>
      </c>
    </row>
    <row r="4966" customFormat="false" ht="15" hidden="true" customHeight="false" outlineLevel="0" collapsed="false">
      <c r="A4966" s="51" t="s">
        <v>115</v>
      </c>
      <c r="B4966" s="55" t="n">
        <v>44834</v>
      </c>
      <c r="C4966" s="51" t="s">
        <v>82</v>
      </c>
      <c r="D4966" s="51" t="n">
        <v>0</v>
      </c>
    </row>
    <row r="4967" customFormat="false" ht="15" hidden="true" customHeight="false" outlineLevel="0" collapsed="false">
      <c r="A4967" s="51" t="s">
        <v>120</v>
      </c>
      <c r="B4967" s="55" t="n">
        <v>44834</v>
      </c>
      <c r="C4967" s="51" t="s">
        <v>82</v>
      </c>
      <c r="D4967" s="51" t="n">
        <v>0</v>
      </c>
    </row>
    <row r="4968" customFormat="false" ht="15" hidden="true" customHeight="false" outlineLevel="0" collapsed="false">
      <c r="A4968" s="51" t="s">
        <v>124</v>
      </c>
      <c r="B4968" s="55" t="n">
        <v>44834</v>
      </c>
      <c r="C4968" s="51" t="s">
        <v>82</v>
      </c>
      <c r="D4968" s="51" t="n">
        <v>0</v>
      </c>
    </row>
    <row r="4969" customFormat="false" ht="15" hidden="true" customHeight="false" outlineLevel="0" collapsed="false">
      <c r="A4969" s="51" t="s">
        <v>129</v>
      </c>
      <c r="B4969" s="55" t="n">
        <v>44834</v>
      </c>
      <c r="C4969" s="51" t="s">
        <v>82</v>
      </c>
      <c r="D4969" s="51" t="n">
        <v>0</v>
      </c>
    </row>
    <row r="4970" customFormat="false" ht="15" hidden="true" customHeight="false" outlineLevel="0" collapsed="false">
      <c r="A4970" s="51" t="s">
        <v>134</v>
      </c>
      <c r="B4970" s="55" t="n">
        <v>44834</v>
      </c>
      <c r="C4970" s="51" t="s">
        <v>82</v>
      </c>
      <c r="D4970" s="51" t="n">
        <v>0</v>
      </c>
    </row>
    <row r="4971" customFormat="false" ht="15" hidden="true" customHeight="false" outlineLevel="0" collapsed="false">
      <c r="A4971" s="51" t="s">
        <v>141</v>
      </c>
      <c r="B4971" s="55" t="n">
        <v>44834</v>
      </c>
      <c r="C4971" s="51" t="s">
        <v>82</v>
      </c>
      <c r="D4971" s="51" t="n">
        <v>0</v>
      </c>
    </row>
    <row r="4972" customFormat="false" ht="15" hidden="true" customHeight="false" outlineLevel="0" collapsed="false">
      <c r="A4972" s="51" t="s">
        <v>146</v>
      </c>
      <c r="B4972" s="55" t="n">
        <v>44834</v>
      </c>
      <c r="C4972" s="51" t="s">
        <v>82</v>
      </c>
      <c r="D4972" s="51" t="n">
        <v>0</v>
      </c>
    </row>
    <row r="4973" customFormat="false" ht="15" hidden="true" customHeight="false" outlineLevel="0" collapsed="false">
      <c r="A4973" s="51" t="s">
        <v>151</v>
      </c>
      <c r="B4973" s="55" t="n">
        <v>44834</v>
      </c>
      <c r="C4973" s="51" t="s">
        <v>82</v>
      </c>
      <c r="D4973" s="51" t="n">
        <v>0</v>
      </c>
    </row>
    <row r="4974" customFormat="false" ht="15" hidden="true" customHeight="false" outlineLevel="0" collapsed="false">
      <c r="A4974" s="51" t="s">
        <v>156</v>
      </c>
      <c r="B4974" s="55" t="n">
        <v>44834</v>
      </c>
      <c r="C4974" s="51" t="s">
        <v>82</v>
      </c>
      <c r="D4974" s="51" t="n">
        <v>0</v>
      </c>
    </row>
    <row r="4975" customFormat="false" ht="15" hidden="true" customHeight="false" outlineLevel="0" collapsed="false">
      <c r="A4975" s="51" t="s">
        <v>161</v>
      </c>
      <c r="B4975" s="55" t="n">
        <v>44834</v>
      </c>
      <c r="C4975" s="51" t="s">
        <v>82</v>
      </c>
      <c r="D4975" s="51" t="n">
        <v>0</v>
      </c>
    </row>
    <row r="4976" customFormat="false" ht="15" hidden="true" customHeight="false" outlineLevel="0" collapsed="false">
      <c r="A4976" s="51" t="s">
        <v>166</v>
      </c>
      <c r="B4976" s="55" t="n">
        <v>44834</v>
      </c>
      <c r="C4976" s="51" t="s">
        <v>82</v>
      </c>
      <c r="D4976" s="51" t="n">
        <v>0</v>
      </c>
    </row>
    <row r="4977" customFormat="false" ht="15" hidden="true" customHeight="false" outlineLevel="0" collapsed="false">
      <c r="A4977" s="51" t="s">
        <v>171</v>
      </c>
      <c r="B4977" s="55" t="n">
        <v>44834</v>
      </c>
      <c r="C4977" s="51" t="s">
        <v>82</v>
      </c>
      <c r="D4977" s="51" t="n">
        <v>0</v>
      </c>
    </row>
    <row r="4978" customFormat="false" ht="15" hidden="true" customHeight="false" outlineLevel="0" collapsed="false">
      <c r="A4978" s="51" t="s">
        <v>176</v>
      </c>
      <c r="B4978" s="55" t="n">
        <v>44834</v>
      </c>
      <c r="C4978" s="51" t="s">
        <v>82</v>
      </c>
      <c r="D4978" s="51" t="n">
        <v>0</v>
      </c>
    </row>
    <row r="4979" customFormat="false" ht="15" hidden="true" customHeight="false" outlineLevel="0" collapsed="false">
      <c r="A4979" s="51" t="s">
        <v>181</v>
      </c>
      <c r="B4979" s="55" t="n">
        <v>44834</v>
      </c>
      <c r="C4979" s="51" t="s">
        <v>82</v>
      </c>
      <c r="D4979" s="51" t="n">
        <v>0</v>
      </c>
    </row>
    <row r="4980" customFormat="false" ht="15" hidden="true" customHeight="false" outlineLevel="0" collapsed="false">
      <c r="A4980" s="51" t="s">
        <v>186</v>
      </c>
      <c r="B4980" s="55" t="n">
        <v>44834</v>
      </c>
      <c r="C4980" s="51" t="s">
        <v>82</v>
      </c>
      <c r="D4980" s="51" t="n">
        <v>0</v>
      </c>
    </row>
    <row r="4981" customFormat="false" ht="15" hidden="true" customHeight="false" outlineLevel="0" collapsed="false">
      <c r="A4981" s="51" t="s">
        <v>191</v>
      </c>
      <c r="B4981" s="55" t="n">
        <v>44834</v>
      </c>
      <c r="C4981" s="51" t="s">
        <v>82</v>
      </c>
      <c r="D4981" s="51" t="n">
        <v>0</v>
      </c>
    </row>
    <row r="4982" customFormat="false" ht="15" hidden="true" customHeight="false" outlineLevel="0" collapsed="false">
      <c r="A4982" s="51" t="s">
        <v>196</v>
      </c>
      <c r="B4982" s="55" t="n">
        <v>44834</v>
      </c>
      <c r="C4982" s="51" t="s">
        <v>82</v>
      </c>
      <c r="D4982" s="51" t="n">
        <v>0</v>
      </c>
    </row>
    <row r="4983" customFormat="false" ht="15" hidden="true" customHeight="false" outlineLevel="0" collapsed="false">
      <c r="A4983" s="51" t="s">
        <v>201</v>
      </c>
      <c r="B4983" s="55" t="n">
        <v>44834</v>
      </c>
      <c r="C4983" s="51" t="s">
        <v>82</v>
      </c>
      <c r="D4983" s="51" t="n">
        <v>0</v>
      </c>
    </row>
    <row r="4984" customFormat="false" ht="15" hidden="true" customHeight="false" outlineLevel="0" collapsed="false">
      <c r="A4984" s="51" t="s">
        <v>206</v>
      </c>
      <c r="B4984" s="55" t="n">
        <v>44834</v>
      </c>
      <c r="C4984" s="51" t="s">
        <v>82</v>
      </c>
      <c r="D4984" s="51" t="n">
        <v>0</v>
      </c>
    </row>
    <row r="4985" customFormat="false" ht="15" hidden="true" customHeight="false" outlineLevel="0" collapsed="false">
      <c r="A4985" s="51" t="s">
        <v>210</v>
      </c>
      <c r="B4985" s="55" t="n">
        <v>44834</v>
      </c>
      <c r="C4985" s="51" t="s">
        <v>82</v>
      </c>
      <c r="D4985" s="51" t="n">
        <v>0</v>
      </c>
    </row>
    <row r="4986" customFormat="false" ht="15" hidden="true" customHeight="false" outlineLevel="0" collapsed="false">
      <c r="A4986" s="51" t="s">
        <v>215</v>
      </c>
      <c r="B4986" s="55" t="n">
        <v>44834</v>
      </c>
      <c r="C4986" s="51" t="s">
        <v>82</v>
      </c>
      <c r="D4986" s="51" t="n">
        <v>0</v>
      </c>
    </row>
    <row r="4987" customFormat="false" ht="15" hidden="true" customHeight="false" outlineLevel="0" collapsed="false">
      <c r="A4987" s="51" t="s">
        <v>790</v>
      </c>
      <c r="B4987" s="55" t="n">
        <v>44834</v>
      </c>
      <c r="C4987" s="51" t="s">
        <v>82</v>
      </c>
      <c r="D4987" s="51" t="n">
        <v>0</v>
      </c>
    </row>
    <row r="4988" customFormat="false" ht="15" hidden="true" customHeight="false" outlineLevel="0" collapsed="false">
      <c r="A4988" s="51" t="s">
        <v>225</v>
      </c>
      <c r="B4988" s="55" t="n">
        <v>44834</v>
      </c>
      <c r="C4988" s="51" t="s">
        <v>82</v>
      </c>
      <c r="D4988" s="51" t="n">
        <v>0</v>
      </c>
    </row>
    <row r="4989" customFormat="false" ht="15" hidden="true" customHeight="false" outlineLevel="0" collapsed="false">
      <c r="A4989" s="51" t="s">
        <v>230</v>
      </c>
      <c r="B4989" s="55" t="n">
        <v>44834</v>
      </c>
      <c r="C4989" s="51" t="s">
        <v>82</v>
      </c>
      <c r="D4989" s="51" t="n">
        <v>0</v>
      </c>
    </row>
    <row r="4990" customFormat="false" ht="15" hidden="true" customHeight="false" outlineLevel="0" collapsed="false">
      <c r="A4990" s="51" t="s">
        <v>235</v>
      </c>
      <c r="B4990" s="55" t="n">
        <v>44834</v>
      </c>
      <c r="C4990" s="51" t="s">
        <v>82</v>
      </c>
      <c r="D4990" s="51" t="n">
        <v>0</v>
      </c>
    </row>
    <row r="4991" customFormat="false" ht="15" hidden="true" customHeight="false" outlineLevel="0" collapsed="false">
      <c r="A4991" s="51" t="s">
        <v>240</v>
      </c>
      <c r="B4991" s="55" t="n">
        <v>44834</v>
      </c>
      <c r="C4991" s="51" t="s">
        <v>82</v>
      </c>
      <c r="D4991" s="51" t="n">
        <v>0</v>
      </c>
    </row>
    <row r="4992" customFormat="false" ht="15" hidden="true" customHeight="false" outlineLevel="0" collapsed="false">
      <c r="A4992" s="51" t="s">
        <v>246</v>
      </c>
      <c r="B4992" s="55" t="n">
        <v>44834</v>
      </c>
      <c r="C4992" s="51" t="s">
        <v>82</v>
      </c>
      <c r="D4992" s="51" t="n">
        <v>0</v>
      </c>
    </row>
    <row r="4993" customFormat="false" ht="15" hidden="true" customHeight="false" outlineLevel="0" collapsed="false">
      <c r="A4993" s="51" t="s">
        <v>252</v>
      </c>
      <c r="B4993" s="55" t="n">
        <v>44834</v>
      </c>
      <c r="C4993" s="51" t="s">
        <v>82</v>
      </c>
      <c r="D4993" s="51" t="n">
        <v>0</v>
      </c>
    </row>
    <row r="4994" customFormat="false" ht="15" hidden="true" customHeight="false" outlineLevel="0" collapsed="false">
      <c r="A4994" s="51" t="s">
        <v>257</v>
      </c>
      <c r="B4994" s="55" t="n">
        <v>44834</v>
      </c>
      <c r="C4994" s="51" t="s">
        <v>82</v>
      </c>
      <c r="D4994" s="51" t="n">
        <v>0</v>
      </c>
    </row>
    <row r="4995" customFormat="false" ht="15" hidden="true" customHeight="false" outlineLevel="0" collapsed="false">
      <c r="A4995" s="51" t="s">
        <v>262</v>
      </c>
      <c r="B4995" s="55" t="n">
        <v>44834</v>
      </c>
      <c r="C4995" s="51" t="s">
        <v>82</v>
      </c>
      <c r="D4995" s="51" t="n">
        <v>0</v>
      </c>
    </row>
    <row r="4996" customFormat="false" ht="15" hidden="true" customHeight="false" outlineLevel="0" collapsed="false">
      <c r="A4996" s="51" t="s">
        <v>267</v>
      </c>
      <c r="B4996" s="55" t="n">
        <v>44834</v>
      </c>
      <c r="C4996" s="51" t="s">
        <v>82</v>
      </c>
      <c r="D4996" s="51" t="n">
        <v>0</v>
      </c>
    </row>
    <row r="4997" customFormat="false" ht="15" hidden="true" customHeight="false" outlineLevel="0" collapsed="false">
      <c r="A4997" s="51" t="s">
        <v>272</v>
      </c>
      <c r="B4997" s="55" t="n">
        <v>44834</v>
      </c>
      <c r="C4997" s="51" t="s">
        <v>82</v>
      </c>
      <c r="D4997" s="51" t="n">
        <v>0</v>
      </c>
    </row>
    <row r="4998" customFormat="false" ht="15" hidden="true" customHeight="false" outlineLevel="0" collapsed="false">
      <c r="A4998" s="51" t="s">
        <v>277</v>
      </c>
      <c r="B4998" s="55" t="n">
        <v>44834</v>
      </c>
      <c r="C4998" s="51" t="s">
        <v>82</v>
      </c>
      <c r="D4998" s="51" t="n">
        <v>0</v>
      </c>
    </row>
    <row r="4999" customFormat="false" ht="15" hidden="true" customHeight="false" outlineLevel="0" collapsed="false">
      <c r="A4999" s="51" t="s">
        <v>282</v>
      </c>
      <c r="B4999" s="55" t="n">
        <v>44834</v>
      </c>
      <c r="C4999" s="51" t="s">
        <v>82</v>
      </c>
      <c r="D4999" s="51" t="n">
        <v>0</v>
      </c>
    </row>
    <row r="5000" customFormat="false" ht="15" hidden="true" customHeight="false" outlineLevel="0" collapsed="false">
      <c r="A5000" s="51" t="s">
        <v>287</v>
      </c>
      <c r="B5000" s="55" t="n">
        <v>44834</v>
      </c>
      <c r="C5000" s="51" t="s">
        <v>82</v>
      </c>
      <c r="D5000" s="51" t="n">
        <v>0</v>
      </c>
    </row>
    <row r="5001" customFormat="false" ht="15" hidden="true" customHeight="false" outlineLevel="0" collapsed="false">
      <c r="A5001" s="51" t="s">
        <v>292</v>
      </c>
      <c r="B5001" s="55" t="n">
        <v>44834</v>
      </c>
      <c r="C5001" s="51" t="s">
        <v>82</v>
      </c>
      <c r="D5001" s="51" t="n">
        <v>0</v>
      </c>
    </row>
    <row r="5002" customFormat="false" ht="15" hidden="true" customHeight="false" outlineLevel="0" collapsed="false">
      <c r="A5002" s="51" t="s">
        <v>297</v>
      </c>
      <c r="B5002" s="55" t="n">
        <v>44834</v>
      </c>
      <c r="C5002" s="51" t="s">
        <v>82</v>
      </c>
      <c r="D5002" s="51" t="n">
        <v>0</v>
      </c>
    </row>
    <row r="5003" customFormat="false" ht="15" hidden="true" customHeight="false" outlineLevel="0" collapsed="false">
      <c r="A5003" s="51" t="s">
        <v>302</v>
      </c>
      <c r="B5003" s="55" t="n">
        <v>44834</v>
      </c>
      <c r="C5003" s="51" t="s">
        <v>82</v>
      </c>
      <c r="D5003" s="51" t="n">
        <v>0</v>
      </c>
    </row>
    <row r="5004" customFormat="false" ht="15" hidden="true" customHeight="false" outlineLevel="0" collapsed="false">
      <c r="A5004" s="51" t="s">
        <v>307</v>
      </c>
      <c r="B5004" s="55" t="n">
        <v>44834</v>
      </c>
      <c r="C5004" s="51" t="s">
        <v>82</v>
      </c>
      <c r="D5004" s="51" t="n">
        <v>0</v>
      </c>
    </row>
    <row r="5005" customFormat="false" ht="15" hidden="true" customHeight="false" outlineLevel="0" collapsed="false">
      <c r="A5005" s="51" t="s">
        <v>311</v>
      </c>
      <c r="B5005" s="55" t="n">
        <v>44834</v>
      </c>
      <c r="C5005" s="51" t="s">
        <v>82</v>
      </c>
      <c r="D5005" s="51" t="n">
        <v>0</v>
      </c>
    </row>
    <row r="5006" customFormat="false" ht="15" hidden="true" customHeight="false" outlineLevel="0" collapsed="false">
      <c r="A5006" s="51" t="s">
        <v>317</v>
      </c>
      <c r="B5006" s="55" t="n">
        <v>44834</v>
      </c>
      <c r="C5006" s="51" t="s">
        <v>82</v>
      </c>
      <c r="D5006" s="51" t="n">
        <v>0</v>
      </c>
    </row>
    <row r="5007" customFormat="false" ht="15" hidden="true" customHeight="false" outlineLevel="0" collapsed="false">
      <c r="A5007" s="51" t="s">
        <v>322</v>
      </c>
      <c r="B5007" s="55" t="n">
        <v>44834</v>
      </c>
      <c r="C5007" s="51" t="s">
        <v>82</v>
      </c>
      <c r="D5007" s="51" t="n">
        <v>1690000</v>
      </c>
    </row>
    <row r="5008" customFormat="false" ht="15" hidden="true" customHeight="false" outlineLevel="0" collapsed="false">
      <c r="A5008" s="51" t="s">
        <v>327</v>
      </c>
      <c r="B5008" s="55" t="n">
        <v>44834</v>
      </c>
      <c r="C5008" s="51" t="s">
        <v>82</v>
      </c>
      <c r="D5008" s="51" t="n">
        <v>2250000</v>
      </c>
    </row>
    <row r="5009" customFormat="false" ht="15" hidden="true" customHeight="false" outlineLevel="0" collapsed="false">
      <c r="A5009" s="51" t="s">
        <v>332</v>
      </c>
      <c r="B5009" s="55" t="n">
        <v>44834</v>
      </c>
      <c r="C5009" s="51" t="s">
        <v>82</v>
      </c>
      <c r="D5009" s="51" t="n">
        <v>14000</v>
      </c>
    </row>
    <row r="5010" customFormat="false" ht="15" hidden="true" customHeight="false" outlineLevel="0" collapsed="false">
      <c r="A5010" s="51" t="s">
        <v>339</v>
      </c>
      <c r="B5010" s="55" t="n">
        <v>44834</v>
      </c>
      <c r="C5010" s="51" t="s">
        <v>82</v>
      </c>
      <c r="D5010" s="51" t="n">
        <v>130000</v>
      </c>
    </row>
    <row r="5011" customFormat="false" ht="15" hidden="true" customHeight="false" outlineLevel="0" collapsed="false">
      <c r="A5011" s="51" t="s">
        <v>344</v>
      </c>
      <c r="B5011" s="55" t="n">
        <v>44834</v>
      </c>
      <c r="C5011" s="51" t="s">
        <v>82</v>
      </c>
      <c r="D5011" s="51" t="n">
        <v>1000000</v>
      </c>
    </row>
    <row r="5012" customFormat="false" ht="15" hidden="true" customHeight="false" outlineLevel="0" collapsed="false">
      <c r="A5012" s="51" t="s">
        <v>349</v>
      </c>
      <c r="B5012" s="55" t="n">
        <v>44834</v>
      </c>
      <c r="C5012" s="51" t="s">
        <v>82</v>
      </c>
      <c r="D5012" s="51" t="n">
        <v>0</v>
      </c>
    </row>
    <row r="5013" customFormat="false" ht="15" hidden="true" customHeight="false" outlineLevel="0" collapsed="false">
      <c r="A5013" s="51" t="s">
        <v>354</v>
      </c>
      <c r="B5013" s="55" t="n">
        <v>44834</v>
      </c>
      <c r="C5013" s="51" t="s">
        <v>82</v>
      </c>
      <c r="D5013" s="51" t="n">
        <v>0</v>
      </c>
    </row>
    <row r="5014" customFormat="false" ht="15" hidden="true" customHeight="false" outlineLevel="0" collapsed="false">
      <c r="A5014" s="51" t="s">
        <v>359</v>
      </c>
      <c r="B5014" s="55" t="n">
        <v>44834</v>
      </c>
      <c r="C5014" s="51" t="s">
        <v>82</v>
      </c>
      <c r="D5014" s="51" t="n">
        <v>0</v>
      </c>
    </row>
    <row r="5015" customFormat="false" ht="15" hidden="true" customHeight="false" outlineLevel="0" collapsed="false">
      <c r="A5015" s="51" t="s">
        <v>364</v>
      </c>
      <c r="B5015" s="55" t="n">
        <v>44834</v>
      </c>
      <c r="C5015" s="51" t="s">
        <v>82</v>
      </c>
      <c r="D5015" s="51" t="n">
        <v>0</v>
      </c>
    </row>
    <row r="5016" customFormat="false" ht="15" hidden="true" customHeight="false" outlineLevel="0" collapsed="false">
      <c r="A5016" s="51" t="s">
        <v>369</v>
      </c>
      <c r="B5016" s="55" t="n">
        <v>44834</v>
      </c>
      <c r="C5016" s="51" t="s">
        <v>82</v>
      </c>
      <c r="D5016" s="51" t="n">
        <v>0</v>
      </c>
    </row>
    <row r="5017" customFormat="false" ht="15" hidden="true" customHeight="false" outlineLevel="0" collapsed="false">
      <c r="A5017" s="51" t="s">
        <v>374</v>
      </c>
      <c r="B5017" s="55" t="n">
        <v>44834</v>
      </c>
      <c r="C5017" s="51" t="s">
        <v>82</v>
      </c>
      <c r="D5017" s="51" t="n">
        <v>0</v>
      </c>
    </row>
    <row r="5018" customFormat="false" ht="15" hidden="true" customHeight="false" outlineLevel="0" collapsed="false">
      <c r="A5018" s="51" t="s">
        <v>379</v>
      </c>
      <c r="B5018" s="55" t="n">
        <v>44834</v>
      </c>
      <c r="C5018" s="51" t="s">
        <v>82</v>
      </c>
      <c r="D5018" s="51" t="n">
        <v>0</v>
      </c>
    </row>
    <row r="5019" customFormat="false" ht="15" hidden="true" customHeight="false" outlineLevel="0" collapsed="false">
      <c r="A5019" s="51" t="s">
        <v>384</v>
      </c>
      <c r="B5019" s="55" t="n">
        <v>44834</v>
      </c>
      <c r="C5019" s="51" t="s">
        <v>82</v>
      </c>
      <c r="D5019" s="51" t="n">
        <v>0</v>
      </c>
    </row>
    <row r="5020" customFormat="false" ht="15" hidden="true" customHeight="false" outlineLevel="0" collapsed="false">
      <c r="A5020" s="51" t="s">
        <v>389</v>
      </c>
      <c r="B5020" s="55" t="n">
        <v>44834</v>
      </c>
      <c r="C5020" s="51" t="s">
        <v>82</v>
      </c>
      <c r="D5020" s="51" t="n">
        <v>0</v>
      </c>
    </row>
    <row r="5021" customFormat="false" ht="15" hidden="true" customHeight="false" outlineLevel="0" collapsed="false">
      <c r="A5021" s="51" t="s">
        <v>394</v>
      </c>
      <c r="B5021" s="55" t="n">
        <v>44834</v>
      </c>
      <c r="C5021" s="51" t="s">
        <v>82</v>
      </c>
      <c r="D5021" s="51" t="n">
        <v>0</v>
      </c>
    </row>
    <row r="5022" customFormat="false" ht="15" hidden="true" customHeight="false" outlineLevel="0" collapsed="false">
      <c r="A5022" s="51" t="s">
        <v>399</v>
      </c>
      <c r="B5022" s="55" t="n">
        <v>44834</v>
      </c>
      <c r="C5022" s="51" t="s">
        <v>82</v>
      </c>
      <c r="D5022" s="51" t="n">
        <v>0</v>
      </c>
    </row>
    <row r="5023" customFormat="false" ht="15" hidden="true" customHeight="false" outlineLevel="0" collapsed="false">
      <c r="A5023" s="51" t="s">
        <v>404</v>
      </c>
      <c r="B5023" s="55" t="n">
        <v>44834</v>
      </c>
      <c r="C5023" s="51" t="s">
        <v>82</v>
      </c>
      <c r="D5023" s="51" t="n">
        <v>0</v>
      </c>
    </row>
    <row r="5024" customFormat="false" ht="15" hidden="true" customHeight="false" outlineLevel="0" collapsed="false">
      <c r="A5024" s="51" t="s">
        <v>409</v>
      </c>
      <c r="B5024" s="55" t="n">
        <v>44834</v>
      </c>
      <c r="C5024" s="51" t="s">
        <v>82</v>
      </c>
      <c r="D5024" s="51" t="n">
        <v>0</v>
      </c>
    </row>
    <row r="5025" customFormat="false" ht="15" hidden="true" customHeight="false" outlineLevel="0" collapsed="false">
      <c r="A5025" s="51" t="s">
        <v>414</v>
      </c>
      <c r="B5025" s="55" t="n">
        <v>44834</v>
      </c>
      <c r="C5025" s="51" t="s">
        <v>82</v>
      </c>
      <c r="D5025" s="51" t="n">
        <v>0</v>
      </c>
    </row>
    <row r="5026" customFormat="false" ht="15" hidden="true" customHeight="false" outlineLevel="0" collapsed="false">
      <c r="A5026" s="51" t="s">
        <v>419</v>
      </c>
      <c r="B5026" s="55" t="n">
        <v>44834</v>
      </c>
      <c r="C5026" s="51" t="s">
        <v>82</v>
      </c>
      <c r="D5026" s="51" t="n">
        <v>0</v>
      </c>
    </row>
    <row r="5027" customFormat="false" ht="15" hidden="true" customHeight="false" outlineLevel="0" collapsed="false">
      <c r="A5027" s="51" t="s">
        <v>424</v>
      </c>
      <c r="B5027" s="55" t="n">
        <v>44834</v>
      </c>
      <c r="C5027" s="51" t="s">
        <v>82</v>
      </c>
      <c r="D5027" s="51" t="n">
        <v>0</v>
      </c>
    </row>
    <row r="5028" customFormat="false" ht="15" hidden="true" customHeight="false" outlineLevel="0" collapsed="false">
      <c r="A5028" s="51" t="s">
        <v>429</v>
      </c>
      <c r="B5028" s="55" t="n">
        <v>44834</v>
      </c>
      <c r="C5028" s="51" t="s">
        <v>82</v>
      </c>
      <c r="D5028" s="51" t="n">
        <v>0</v>
      </c>
    </row>
    <row r="5029" customFormat="false" ht="15" hidden="true" customHeight="false" outlineLevel="0" collapsed="false">
      <c r="A5029" s="51" t="s">
        <v>434</v>
      </c>
      <c r="B5029" s="55" t="n">
        <v>44834</v>
      </c>
      <c r="C5029" s="51" t="s">
        <v>82</v>
      </c>
      <c r="D5029" s="51" t="n">
        <v>0</v>
      </c>
    </row>
    <row r="5030" customFormat="false" ht="15" hidden="true" customHeight="false" outlineLevel="0" collapsed="false">
      <c r="A5030" s="51" t="s">
        <v>438</v>
      </c>
      <c r="B5030" s="55" t="n">
        <v>44834</v>
      </c>
      <c r="C5030" s="51" t="s">
        <v>82</v>
      </c>
      <c r="D5030" s="51" t="n">
        <v>0</v>
      </c>
    </row>
    <row r="5031" customFormat="false" ht="15" hidden="true" customHeight="false" outlineLevel="0" collapsed="false">
      <c r="A5031" s="51" t="s">
        <v>443</v>
      </c>
      <c r="B5031" s="55" t="n">
        <v>44834</v>
      </c>
      <c r="C5031" s="51" t="s">
        <v>82</v>
      </c>
      <c r="D5031" s="51" t="n">
        <v>0</v>
      </c>
    </row>
    <row r="5032" customFormat="false" ht="15" hidden="true" customHeight="false" outlineLevel="0" collapsed="false">
      <c r="A5032" s="51" t="s">
        <v>448</v>
      </c>
      <c r="B5032" s="55" t="n">
        <v>44834</v>
      </c>
      <c r="C5032" s="51" t="s">
        <v>82</v>
      </c>
      <c r="D5032" s="51" t="n">
        <v>0</v>
      </c>
    </row>
    <row r="5033" customFormat="false" ht="15" hidden="true" customHeight="false" outlineLevel="0" collapsed="false">
      <c r="A5033" s="51" t="s">
        <v>453</v>
      </c>
      <c r="B5033" s="55" t="n">
        <v>44834</v>
      </c>
      <c r="C5033" s="51" t="s">
        <v>82</v>
      </c>
      <c r="D5033" s="51" t="n">
        <v>0</v>
      </c>
    </row>
    <row r="5034" customFormat="false" ht="15" hidden="true" customHeight="false" outlineLevel="0" collapsed="false">
      <c r="A5034" s="51" t="s">
        <v>458</v>
      </c>
      <c r="B5034" s="55" t="n">
        <v>44834</v>
      </c>
      <c r="C5034" s="51" t="s">
        <v>82</v>
      </c>
      <c r="D5034" s="51" t="n">
        <v>0</v>
      </c>
    </row>
    <row r="5035" customFormat="false" ht="15" hidden="true" customHeight="false" outlineLevel="0" collapsed="false">
      <c r="A5035" s="51" t="s">
        <v>473</v>
      </c>
      <c r="B5035" s="55" t="n">
        <v>44834</v>
      </c>
      <c r="C5035" s="51" t="s">
        <v>82</v>
      </c>
      <c r="D5035" s="51" t="n">
        <v>0</v>
      </c>
    </row>
    <row r="5036" customFormat="false" ht="15" hidden="true" customHeight="false" outlineLevel="0" collapsed="false">
      <c r="A5036" s="51" t="s">
        <v>479</v>
      </c>
      <c r="B5036" s="55" t="n">
        <v>44834</v>
      </c>
      <c r="C5036" s="51" t="s">
        <v>82</v>
      </c>
      <c r="D5036" s="51" t="n">
        <v>0</v>
      </c>
    </row>
    <row r="5037" customFormat="false" ht="15" hidden="true" customHeight="false" outlineLevel="0" collapsed="false">
      <c r="A5037" s="51" t="s">
        <v>484</v>
      </c>
      <c r="B5037" s="55" t="n">
        <v>44834</v>
      </c>
      <c r="C5037" s="51" t="s">
        <v>82</v>
      </c>
      <c r="D5037" s="51" t="n">
        <v>0</v>
      </c>
    </row>
    <row r="5038" customFormat="false" ht="15" hidden="true" customHeight="false" outlineLevel="0" collapsed="false">
      <c r="A5038" s="51" t="s">
        <v>489</v>
      </c>
      <c r="B5038" s="55" t="n">
        <v>44834</v>
      </c>
      <c r="C5038" s="51" t="s">
        <v>82</v>
      </c>
      <c r="D5038" s="51" t="n">
        <v>0</v>
      </c>
    </row>
    <row r="5039" customFormat="false" ht="15" hidden="true" customHeight="false" outlineLevel="0" collapsed="false">
      <c r="A5039" s="51" t="s">
        <v>494</v>
      </c>
      <c r="B5039" s="55" t="n">
        <v>44834</v>
      </c>
      <c r="C5039" s="51" t="s">
        <v>82</v>
      </c>
      <c r="D5039" s="51" t="n">
        <v>0</v>
      </c>
    </row>
    <row r="5040" customFormat="false" ht="15" hidden="true" customHeight="false" outlineLevel="0" collapsed="false">
      <c r="A5040" s="51" t="s">
        <v>499</v>
      </c>
      <c r="B5040" s="55" t="n">
        <v>44834</v>
      </c>
      <c r="C5040" s="51" t="s">
        <v>82</v>
      </c>
      <c r="D5040" s="51" t="n">
        <v>0</v>
      </c>
    </row>
    <row r="5041" customFormat="false" ht="15" hidden="true" customHeight="false" outlineLevel="0" collapsed="false">
      <c r="A5041" s="51" t="s">
        <v>504</v>
      </c>
      <c r="B5041" s="55" t="n">
        <v>44834</v>
      </c>
      <c r="C5041" s="51" t="s">
        <v>82</v>
      </c>
      <c r="D5041" s="51" t="n">
        <v>0</v>
      </c>
    </row>
    <row r="5042" customFormat="false" ht="15" hidden="true" customHeight="false" outlineLevel="0" collapsed="false">
      <c r="A5042" s="51" t="s">
        <v>509</v>
      </c>
      <c r="B5042" s="55" t="n">
        <v>44834</v>
      </c>
      <c r="C5042" s="51" t="s">
        <v>82</v>
      </c>
      <c r="D5042" s="51" t="n">
        <v>0</v>
      </c>
    </row>
    <row r="5043" customFormat="false" ht="15" hidden="true" customHeight="false" outlineLevel="0" collapsed="false">
      <c r="A5043" s="51" t="s">
        <v>515</v>
      </c>
      <c r="B5043" s="55" t="n">
        <v>44834</v>
      </c>
      <c r="C5043" s="51" t="s">
        <v>82</v>
      </c>
      <c r="D5043" s="51" t="n">
        <v>0</v>
      </c>
    </row>
    <row r="5044" customFormat="false" ht="15" hidden="true" customHeight="false" outlineLevel="0" collapsed="false">
      <c r="A5044" s="51" t="s">
        <v>520</v>
      </c>
      <c r="B5044" s="55" t="n">
        <v>44834</v>
      </c>
      <c r="C5044" s="51" t="s">
        <v>82</v>
      </c>
      <c r="D5044" s="51" t="n">
        <v>0</v>
      </c>
    </row>
    <row r="5045" customFormat="false" ht="15" hidden="true" customHeight="false" outlineLevel="0" collapsed="false">
      <c r="A5045" s="51" t="s">
        <v>525</v>
      </c>
      <c r="B5045" s="55" t="n">
        <v>44834</v>
      </c>
      <c r="C5045" s="51" t="s">
        <v>82</v>
      </c>
      <c r="D5045" s="51" t="n">
        <v>0</v>
      </c>
    </row>
    <row r="5046" customFormat="false" ht="15" hidden="true" customHeight="false" outlineLevel="0" collapsed="false">
      <c r="A5046" s="51" t="s">
        <v>531</v>
      </c>
      <c r="B5046" s="55" t="n">
        <v>44834</v>
      </c>
      <c r="C5046" s="51" t="s">
        <v>82</v>
      </c>
      <c r="D5046" s="51" t="n">
        <v>0</v>
      </c>
    </row>
    <row r="5047" customFormat="false" ht="15" hidden="true" customHeight="false" outlineLevel="0" collapsed="false">
      <c r="A5047" s="51" t="s">
        <v>536</v>
      </c>
      <c r="B5047" s="55" t="n">
        <v>44834</v>
      </c>
      <c r="C5047" s="51" t="s">
        <v>82</v>
      </c>
      <c r="D5047" s="51" t="n">
        <v>0</v>
      </c>
    </row>
    <row r="5048" customFormat="false" ht="15" hidden="true" customHeight="false" outlineLevel="0" collapsed="false">
      <c r="A5048" s="51" t="s">
        <v>541</v>
      </c>
      <c r="B5048" s="55" t="n">
        <v>44834</v>
      </c>
      <c r="C5048" s="51" t="s">
        <v>82</v>
      </c>
      <c r="D5048" s="51" t="n">
        <v>0</v>
      </c>
    </row>
    <row r="5049" customFormat="false" ht="15" hidden="true" customHeight="false" outlineLevel="0" collapsed="false">
      <c r="A5049" s="51" t="s">
        <v>549</v>
      </c>
      <c r="B5049" s="55" t="n">
        <v>44834</v>
      </c>
      <c r="C5049" s="51" t="s">
        <v>82</v>
      </c>
      <c r="D5049" s="51" t="n">
        <v>0</v>
      </c>
    </row>
    <row r="5050" customFormat="false" ht="15" hidden="true" customHeight="false" outlineLevel="0" collapsed="false">
      <c r="A5050" s="51" t="s">
        <v>554</v>
      </c>
      <c r="B5050" s="55" t="n">
        <v>44834</v>
      </c>
      <c r="C5050" s="51" t="s">
        <v>82</v>
      </c>
      <c r="D5050" s="51" t="n">
        <v>0</v>
      </c>
    </row>
    <row r="5051" customFormat="false" ht="15" hidden="true" customHeight="false" outlineLevel="0" collapsed="false">
      <c r="A5051" s="51" t="s">
        <v>559</v>
      </c>
      <c r="B5051" s="55" t="n">
        <v>44834</v>
      </c>
      <c r="C5051" s="51" t="s">
        <v>82</v>
      </c>
      <c r="D5051" s="51" t="n">
        <v>0</v>
      </c>
    </row>
    <row r="5052" customFormat="false" ht="15" hidden="true" customHeight="false" outlineLevel="0" collapsed="false">
      <c r="A5052" s="51" t="s">
        <v>564</v>
      </c>
      <c r="B5052" s="55" t="n">
        <v>44834</v>
      </c>
      <c r="C5052" s="51" t="s">
        <v>82</v>
      </c>
      <c r="D5052" s="51" t="n">
        <v>0</v>
      </c>
    </row>
    <row r="5053" customFormat="false" ht="15" hidden="true" customHeight="false" outlineLevel="0" collapsed="false">
      <c r="A5053" s="51" t="s">
        <v>569</v>
      </c>
      <c r="B5053" s="55" t="n">
        <v>44834</v>
      </c>
      <c r="C5053" s="51" t="s">
        <v>82</v>
      </c>
      <c r="D5053" s="51" t="n">
        <v>0</v>
      </c>
    </row>
    <row r="5054" customFormat="false" ht="15" hidden="true" customHeight="false" outlineLevel="0" collapsed="false">
      <c r="A5054" s="51" t="s">
        <v>574</v>
      </c>
      <c r="B5054" s="55" t="n">
        <v>44834</v>
      </c>
      <c r="C5054" s="51" t="s">
        <v>82</v>
      </c>
      <c r="D5054" s="51" t="n">
        <v>0</v>
      </c>
    </row>
    <row r="5055" customFormat="false" ht="15" hidden="true" customHeight="false" outlineLevel="0" collapsed="false">
      <c r="A5055" s="51" t="s">
        <v>579</v>
      </c>
      <c r="B5055" s="55" t="n">
        <v>44834</v>
      </c>
      <c r="C5055" s="51" t="s">
        <v>82</v>
      </c>
      <c r="D5055" s="51" t="n">
        <v>0</v>
      </c>
    </row>
    <row r="5056" customFormat="false" ht="15" hidden="true" customHeight="false" outlineLevel="0" collapsed="false">
      <c r="A5056" s="51" t="s">
        <v>584</v>
      </c>
      <c r="B5056" s="55" t="n">
        <v>44834</v>
      </c>
      <c r="C5056" s="51" t="s">
        <v>82</v>
      </c>
      <c r="D5056" s="51" t="n">
        <v>0</v>
      </c>
    </row>
    <row r="5057" customFormat="false" ht="15" hidden="true" customHeight="false" outlineLevel="0" collapsed="false">
      <c r="A5057" s="51" t="s">
        <v>589</v>
      </c>
      <c r="B5057" s="55" t="n">
        <v>44834</v>
      </c>
      <c r="C5057" s="51" t="s">
        <v>82</v>
      </c>
      <c r="D5057" s="51" t="n">
        <v>0</v>
      </c>
    </row>
    <row r="5058" customFormat="false" ht="15" hidden="true" customHeight="false" outlineLevel="0" collapsed="false">
      <c r="A5058" s="51" t="s">
        <v>756</v>
      </c>
      <c r="B5058" s="55" t="n">
        <v>44834</v>
      </c>
      <c r="C5058" s="51" t="s">
        <v>82</v>
      </c>
      <c r="D5058" s="51" t="n">
        <v>0</v>
      </c>
    </row>
    <row r="5059" customFormat="false" ht="15" hidden="true" customHeight="false" outlineLevel="0" collapsed="false">
      <c r="A5059" s="51" t="s">
        <v>594</v>
      </c>
      <c r="B5059" s="55" t="n">
        <v>44834</v>
      </c>
      <c r="C5059" s="51" t="s">
        <v>82</v>
      </c>
      <c r="D5059" s="51" t="n">
        <v>0</v>
      </c>
    </row>
    <row r="5060" customFormat="false" ht="15" hidden="true" customHeight="false" outlineLevel="0" collapsed="false">
      <c r="A5060" s="51" t="s">
        <v>761</v>
      </c>
      <c r="B5060" s="55" t="n">
        <v>44834</v>
      </c>
      <c r="C5060" s="51" t="s">
        <v>82</v>
      </c>
      <c r="D5060" s="51" t="n">
        <v>0</v>
      </c>
    </row>
    <row r="5061" customFormat="false" ht="15" hidden="true" customHeight="false" outlineLevel="0" collapsed="false">
      <c r="A5061" s="51" t="s">
        <v>599</v>
      </c>
      <c r="B5061" s="55" t="n">
        <v>44834</v>
      </c>
      <c r="C5061" s="51" t="s">
        <v>82</v>
      </c>
      <c r="D5061" s="51" t="n">
        <v>0</v>
      </c>
    </row>
    <row r="5062" customFormat="false" ht="15" hidden="true" customHeight="false" outlineLevel="0" collapsed="false">
      <c r="A5062" s="51" t="s">
        <v>604</v>
      </c>
      <c r="B5062" s="55" t="n">
        <v>44834</v>
      </c>
      <c r="C5062" s="51" t="s">
        <v>82</v>
      </c>
      <c r="D5062" s="51" t="n">
        <v>0</v>
      </c>
    </row>
    <row r="5063" customFormat="false" ht="15" hidden="true" customHeight="false" outlineLevel="0" collapsed="false">
      <c r="A5063" s="51" t="s">
        <v>609</v>
      </c>
      <c r="B5063" s="55" t="n">
        <v>44834</v>
      </c>
      <c r="C5063" s="51" t="s">
        <v>82</v>
      </c>
      <c r="D5063" s="51" t="n">
        <v>0</v>
      </c>
    </row>
    <row r="5064" customFormat="false" ht="15" hidden="true" customHeight="false" outlineLevel="0" collapsed="false">
      <c r="A5064" s="51" t="s">
        <v>614</v>
      </c>
      <c r="B5064" s="55" t="n">
        <v>44834</v>
      </c>
      <c r="C5064" s="51" t="s">
        <v>82</v>
      </c>
      <c r="D5064" s="51" t="n">
        <v>0</v>
      </c>
    </row>
    <row r="5065" customFormat="false" ht="15" hidden="true" customHeight="false" outlineLevel="0" collapsed="false">
      <c r="A5065" s="51" t="s">
        <v>619</v>
      </c>
      <c r="B5065" s="55" t="n">
        <v>44834</v>
      </c>
      <c r="C5065" s="51" t="s">
        <v>82</v>
      </c>
      <c r="D5065" s="51" t="n">
        <v>0</v>
      </c>
    </row>
    <row r="5066" customFormat="false" ht="15" hidden="true" customHeight="false" outlineLevel="0" collapsed="false">
      <c r="A5066" s="51" t="s">
        <v>624</v>
      </c>
      <c r="B5066" s="55" t="n">
        <v>44834</v>
      </c>
      <c r="C5066" s="51" t="s">
        <v>82</v>
      </c>
      <c r="D5066" s="51" t="n">
        <v>0</v>
      </c>
    </row>
    <row r="5067" customFormat="false" ht="15" hidden="true" customHeight="false" outlineLevel="0" collapsed="false">
      <c r="A5067" s="51" t="s">
        <v>629</v>
      </c>
      <c r="B5067" s="55" t="n">
        <v>44834</v>
      </c>
      <c r="C5067" s="51" t="s">
        <v>82</v>
      </c>
      <c r="D5067" s="51" t="n">
        <v>0</v>
      </c>
    </row>
    <row r="5068" customFormat="false" ht="15" hidden="true" customHeight="false" outlineLevel="0" collapsed="false">
      <c r="A5068" s="51" t="s">
        <v>633</v>
      </c>
      <c r="B5068" s="55" t="n">
        <v>44834</v>
      </c>
      <c r="C5068" s="51" t="s">
        <v>82</v>
      </c>
      <c r="D5068" s="51" t="n">
        <v>0</v>
      </c>
    </row>
    <row r="5069" customFormat="false" ht="15" hidden="true" customHeight="false" outlineLevel="0" collapsed="false">
      <c r="A5069" s="51" t="s">
        <v>638</v>
      </c>
      <c r="B5069" s="55" t="n">
        <v>44834</v>
      </c>
      <c r="C5069" s="51" t="s">
        <v>82</v>
      </c>
      <c r="D5069" s="51" t="n">
        <v>0</v>
      </c>
    </row>
    <row r="5070" customFormat="false" ht="15" hidden="true" customHeight="false" outlineLevel="0" collapsed="false">
      <c r="A5070" s="51" t="s">
        <v>642</v>
      </c>
      <c r="B5070" s="55" t="n">
        <v>44834</v>
      </c>
      <c r="C5070" s="51" t="s">
        <v>82</v>
      </c>
      <c r="D5070" s="51" t="n">
        <v>0</v>
      </c>
    </row>
    <row r="5071" customFormat="false" ht="15" hidden="true" customHeight="false" outlineLevel="0" collapsed="false">
      <c r="A5071" s="51" t="s">
        <v>646</v>
      </c>
      <c r="B5071" s="55" t="n">
        <v>44834</v>
      </c>
      <c r="C5071" s="51" t="s">
        <v>82</v>
      </c>
      <c r="D5071" s="51" t="n">
        <v>0</v>
      </c>
    </row>
    <row r="5072" customFormat="false" ht="15" hidden="true" customHeight="false" outlineLevel="0" collapsed="false">
      <c r="A5072" s="51" t="s">
        <v>651</v>
      </c>
      <c r="B5072" s="55" t="n">
        <v>44834</v>
      </c>
      <c r="C5072" s="51" t="s">
        <v>82</v>
      </c>
      <c r="D5072" s="51" t="n">
        <v>0</v>
      </c>
    </row>
    <row r="5073" customFormat="false" ht="15" hidden="true" customHeight="false" outlineLevel="0" collapsed="false">
      <c r="A5073" s="51" t="s">
        <v>656</v>
      </c>
      <c r="B5073" s="55" t="n">
        <v>44834</v>
      </c>
      <c r="C5073" s="51" t="s">
        <v>82</v>
      </c>
      <c r="D5073" s="51" t="n">
        <v>0</v>
      </c>
    </row>
    <row r="5074" customFormat="false" ht="15" hidden="true" customHeight="false" outlineLevel="0" collapsed="false">
      <c r="A5074" s="51" t="s">
        <v>661</v>
      </c>
      <c r="B5074" s="55" t="n">
        <v>44834</v>
      </c>
      <c r="C5074" s="51" t="s">
        <v>82</v>
      </c>
      <c r="D5074" s="51" t="n">
        <v>0</v>
      </c>
    </row>
    <row r="5075" customFormat="false" ht="15" hidden="true" customHeight="false" outlineLevel="0" collapsed="false">
      <c r="A5075" s="51" t="s">
        <v>666</v>
      </c>
      <c r="B5075" s="55" t="n">
        <v>44834</v>
      </c>
      <c r="C5075" s="51" t="s">
        <v>82</v>
      </c>
      <c r="D5075" s="51" t="n">
        <v>0</v>
      </c>
    </row>
    <row r="5076" customFormat="false" ht="15" hidden="true" customHeight="false" outlineLevel="0" collapsed="false">
      <c r="A5076" s="51" t="s">
        <v>671</v>
      </c>
      <c r="B5076" s="55" t="n">
        <v>44834</v>
      </c>
      <c r="C5076" s="51" t="s">
        <v>82</v>
      </c>
      <c r="D5076" s="51" t="n">
        <v>0</v>
      </c>
    </row>
    <row r="5077" customFormat="false" ht="15" hidden="true" customHeight="false" outlineLevel="0" collapsed="false">
      <c r="A5077" s="51" t="s">
        <v>676</v>
      </c>
      <c r="B5077" s="55" t="n">
        <v>44834</v>
      </c>
      <c r="C5077" s="51" t="s">
        <v>82</v>
      </c>
      <c r="D5077" s="51" t="n">
        <v>0</v>
      </c>
    </row>
    <row r="5078" customFormat="false" ht="15" hidden="true" customHeight="false" outlineLevel="0" collapsed="false">
      <c r="A5078" s="51" t="s">
        <v>681</v>
      </c>
      <c r="B5078" s="55" t="n">
        <v>44834</v>
      </c>
      <c r="C5078" s="51" t="s">
        <v>82</v>
      </c>
      <c r="D5078" s="51" t="n">
        <v>0</v>
      </c>
    </row>
    <row r="5079" customFormat="false" ht="15" hidden="true" customHeight="false" outlineLevel="0" collapsed="false">
      <c r="A5079" s="51" t="s">
        <v>686</v>
      </c>
      <c r="B5079" s="55" t="n">
        <v>44834</v>
      </c>
      <c r="C5079" s="51" t="s">
        <v>82</v>
      </c>
      <c r="D5079" s="51" t="n">
        <v>0</v>
      </c>
    </row>
    <row r="5080" customFormat="false" ht="15" hidden="true" customHeight="false" outlineLevel="0" collapsed="false">
      <c r="A5080" s="51" t="s">
        <v>691</v>
      </c>
      <c r="B5080" s="55" t="n">
        <v>44834</v>
      </c>
      <c r="C5080" s="51" t="s">
        <v>82</v>
      </c>
      <c r="D5080" s="51" t="n">
        <v>0</v>
      </c>
    </row>
    <row r="5081" customFormat="false" ht="15" hidden="true" customHeight="false" outlineLevel="0" collapsed="false">
      <c r="A5081" s="51" t="s">
        <v>696</v>
      </c>
      <c r="B5081" s="55" t="n">
        <v>44834</v>
      </c>
      <c r="C5081" s="51" t="s">
        <v>82</v>
      </c>
      <c r="D5081" s="51" t="n">
        <v>0</v>
      </c>
    </row>
    <row r="5082" customFormat="false" ht="15" hidden="true" customHeight="false" outlineLevel="0" collapsed="false">
      <c r="A5082" s="51" t="s">
        <v>701</v>
      </c>
      <c r="B5082" s="55" t="n">
        <v>44834</v>
      </c>
      <c r="C5082" s="51" t="s">
        <v>82</v>
      </c>
      <c r="D5082" s="51" t="n">
        <v>0</v>
      </c>
    </row>
    <row r="5083" customFormat="false" ht="15" hidden="true" customHeight="false" outlineLevel="0" collapsed="false">
      <c r="A5083" s="51" t="s">
        <v>707</v>
      </c>
      <c r="B5083" s="55" t="n">
        <v>44834</v>
      </c>
      <c r="C5083" s="51" t="s">
        <v>82</v>
      </c>
      <c r="D5083" s="51" t="n">
        <v>0</v>
      </c>
    </row>
    <row r="5084" customFormat="false" ht="15" hidden="true" customHeight="false" outlineLevel="0" collapsed="false">
      <c r="A5084" s="51" t="s">
        <v>712</v>
      </c>
      <c r="B5084" s="55" t="n">
        <v>44834</v>
      </c>
      <c r="C5084" s="51" t="s">
        <v>82</v>
      </c>
      <c r="D5084" s="51" t="n">
        <v>0</v>
      </c>
    </row>
    <row r="5085" customFormat="false" ht="15" hidden="true" customHeight="false" outlineLevel="0" collapsed="false">
      <c r="A5085" s="51" t="s">
        <v>717</v>
      </c>
      <c r="B5085" s="55" t="n">
        <v>44834</v>
      </c>
      <c r="C5085" s="51" t="s">
        <v>82</v>
      </c>
      <c r="D5085" s="51" t="n">
        <v>0</v>
      </c>
    </row>
    <row r="5086" customFormat="false" ht="15" hidden="true" customHeight="false" outlineLevel="0" collapsed="false">
      <c r="A5086" s="51" t="s">
        <v>767</v>
      </c>
      <c r="B5086" s="55" t="n">
        <v>44834</v>
      </c>
      <c r="C5086" s="51" t="s">
        <v>82</v>
      </c>
      <c r="D5086" s="51" t="n">
        <v>0</v>
      </c>
    </row>
    <row r="5087" customFormat="false" ht="15" hidden="true" customHeight="false" outlineLevel="0" collapsed="false">
      <c r="A5087" s="51" t="s">
        <v>722</v>
      </c>
      <c r="B5087" s="55" t="n">
        <v>44834</v>
      </c>
      <c r="C5087" s="51" t="s">
        <v>82</v>
      </c>
      <c r="D5087" s="51" t="n">
        <v>0</v>
      </c>
    </row>
    <row r="5088" customFormat="false" ht="15" hidden="true" customHeight="false" outlineLevel="0" collapsed="false">
      <c r="A5088" s="51" t="s">
        <v>727</v>
      </c>
      <c r="B5088" s="55" t="n">
        <v>44834</v>
      </c>
      <c r="C5088" s="51" t="s">
        <v>82</v>
      </c>
      <c r="D5088" s="51" t="n">
        <v>0</v>
      </c>
    </row>
    <row r="5089" customFormat="false" ht="15" hidden="true" customHeight="false" outlineLevel="0" collapsed="false">
      <c r="A5089" s="51" t="s">
        <v>732</v>
      </c>
      <c r="B5089" s="55" t="n">
        <v>44834</v>
      </c>
      <c r="C5089" s="51" t="s">
        <v>82</v>
      </c>
      <c r="D5089" s="51" t="n">
        <v>0</v>
      </c>
    </row>
    <row r="5090" customFormat="false" ht="15" hidden="true" customHeight="false" outlineLevel="0" collapsed="false">
      <c r="A5090" s="51" t="s">
        <v>736</v>
      </c>
      <c r="B5090" s="55" t="n">
        <v>44834</v>
      </c>
      <c r="C5090" s="51" t="s">
        <v>82</v>
      </c>
      <c r="D5090" s="51" t="n">
        <v>0</v>
      </c>
    </row>
    <row r="5091" customFormat="false" ht="15" hidden="true" customHeight="false" outlineLevel="0" collapsed="false">
      <c r="A5091" s="51" t="s">
        <v>741</v>
      </c>
      <c r="B5091" s="55" t="n">
        <v>44834</v>
      </c>
      <c r="C5091" s="51" t="s">
        <v>82</v>
      </c>
      <c r="D5091" s="51" t="n">
        <v>0</v>
      </c>
    </row>
    <row r="5092" customFormat="false" ht="15" hidden="true" customHeight="false" outlineLevel="0" collapsed="false">
      <c r="A5092" s="51" t="s">
        <v>746</v>
      </c>
      <c r="B5092" s="55" t="n">
        <v>44834</v>
      </c>
      <c r="C5092" s="51" t="s">
        <v>82</v>
      </c>
      <c r="D5092" s="51" t="n">
        <v>0</v>
      </c>
    </row>
    <row r="5093" customFormat="false" ht="15" hidden="true" customHeight="false" outlineLevel="0" collapsed="false">
      <c r="A5093" s="51" t="s">
        <v>751</v>
      </c>
      <c r="B5093" s="55" t="n">
        <v>44834</v>
      </c>
      <c r="C5093" s="51" t="s">
        <v>82</v>
      </c>
      <c r="D5093" s="51" t="n">
        <v>0</v>
      </c>
    </row>
    <row r="5094" customFormat="false" ht="15" hidden="false" customHeight="false" outlineLevel="0" collapsed="false">
      <c r="A5094" s="51" t="s">
        <v>781</v>
      </c>
      <c r="B5094" s="55" t="n">
        <v>44834</v>
      </c>
      <c r="C5094" s="51" t="s">
        <v>73</v>
      </c>
      <c r="D5094" s="51" t="n">
        <v>0</v>
      </c>
    </row>
    <row r="5095" customFormat="false" ht="15" hidden="true" customHeight="false" outlineLevel="0" collapsed="false">
      <c r="A5095" s="51" t="s">
        <v>783</v>
      </c>
      <c r="B5095" s="55" t="n">
        <v>44834</v>
      </c>
      <c r="C5095" s="51" t="s">
        <v>73</v>
      </c>
      <c r="D5095" s="51" t="n">
        <v>0</v>
      </c>
    </row>
    <row r="5096" customFormat="false" ht="15" hidden="true" customHeight="false" outlineLevel="0" collapsed="false">
      <c r="A5096" s="51" t="s">
        <v>96</v>
      </c>
      <c r="B5096" s="55" t="n">
        <v>44834</v>
      </c>
      <c r="C5096" s="51" t="s">
        <v>73</v>
      </c>
      <c r="D5096" s="51" t="n">
        <v>0</v>
      </c>
    </row>
    <row r="5097" customFormat="false" ht="15" hidden="true" customHeight="false" outlineLevel="0" collapsed="false">
      <c r="A5097" s="51" t="s">
        <v>101</v>
      </c>
      <c r="B5097" s="55" t="n">
        <v>44834</v>
      </c>
      <c r="C5097" s="51" t="s">
        <v>73</v>
      </c>
      <c r="D5097" s="51" t="n">
        <v>0</v>
      </c>
    </row>
    <row r="5098" customFormat="false" ht="15" hidden="true" customHeight="false" outlineLevel="0" collapsed="false">
      <c r="A5098" s="51" t="s">
        <v>106</v>
      </c>
      <c r="B5098" s="55" t="n">
        <v>44834</v>
      </c>
      <c r="C5098" s="51" t="s">
        <v>73</v>
      </c>
      <c r="D5098" s="51" t="n">
        <v>0</v>
      </c>
    </row>
    <row r="5099" customFormat="false" ht="15" hidden="true" customHeight="false" outlineLevel="0" collapsed="false">
      <c r="A5099" s="51" t="s">
        <v>110</v>
      </c>
      <c r="B5099" s="55" t="n">
        <v>44834</v>
      </c>
      <c r="C5099" s="51" t="s">
        <v>73</v>
      </c>
      <c r="D5099" s="51" t="n">
        <v>918000</v>
      </c>
    </row>
    <row r="5100" customFormat="false" ht="15" hidden="true" customHeight="false" outlineLevel="0" collapsed="false">
      <c r="A5100" s="51" t="s">
        <v>115</v>
      </c>
      <c r="B5100" s="55" t="n">
        <v>44834</v>
      </c>
      <c r="C5100" s="51" t="s">
        <v>73</v>
      </c>
      <c r="D5100" s="51" t="n">
        <v>0</v>
      </c>
    </row>
    <row r="5101" customFormat="false" ht="15" hidden="true" customHeight="false" outlineLevel="0" collapsed="false">
      <c r="A5101" s="51" t="s">
        <v>120</v>
      </c>
      <c r="B5101" s="55" t="n">
        <v>44834</v>
      </c>
      <c r="C5101" s="51" t="s">
        <v>73</v>
      </c>
      <c r="D5101" s="51" t="n">
        <v>0</v>
      </c>
    </row>
    <row r="5102" customFormat="false" ht="15" hidden="true" customHeight="false" outlineLevel="0" collapsed="false">
      <c r="A5102" s="51" t="s">
        <v>124</v>
      </c>
      <c r="B5102" s="55" t="n">
        <v>44834</v>
      </c>
      <c r="C5102" s="51" t="s">
        <v>73</v>
      </c>
      <c r="D5102" s="51" t="n">
        <v>590000</v>
      </c>
    </row>
    <row r="5103" customFormat="false" ht="15" hidden="true" customHeight="false" outlineLevel="0" collapsed="false">
      <c r="A5103" s="51" t="s">
        <v>129</v>
      </c>
      <c r="B5103" s="55" t="n">
        <v>44834</v>
      </c>
      <c r="C5103" s="51" t="s">
        <v>73</v>
      </c>
      <c r="D5103" s="51" t="n">
        <v>0</v>
      </c>
    </row>
    <row r="5104" customFormat="false" ht="15" hidden="true" customHeight="false" outlineLevel="0" collapsed="false">
      <c r="A5104" s="51" t="s">
        <v>134</v>
      </c>
      <c r="B5104" s="55" t="n">
        <v>44834</v>
      </c>
      <c r="C5104" s="51" t="s">
        <v>73</v>
      </c>
      <c r="D5104" s="51" t="n">
        <v>542757.75</v>
      </c>
    </row>
    <row r="5105" customFormat="false" ht="15" hidden="true" customHeight="false" outlineLevel="0" collapsed="false">
      <c r="A5105" s="51" t="s">
        <v>141</v>
      </c>
      <c r="B5105" s="55" t="n">
        <v>44834</v>
      </c>
      <c r="C5105" s="51" t="s">
        <v>73</v>
      </c>
      <c r="D5105" s="51" t="n">
        <v>0</v>
      </c>
    </row>
    <row r="5106" customFormat="false" ht="15" hidden="true" customHeight="false" outlineLevel="0" collapsed="false">
      <c r="A5106" s="51" t="s">
        <v>146</v>
      </c>
      <c r="B5106" s="55" t="n">
        <v>44834</v>
      </c>
      <c r="C5106" s="51" t="s">
        <v>73</v>
      </c>
      <c r="D5106" s="51" t="n">
        <v>0</v>
      </c>
    </row>
    <row r="5107" customFormat="false" ht="15" hidden="true" customHeight="false" outlineLevel="0" collapsed="false">
      <c r="A5107" s="51" t="s">
        <v>151</v>
      </c>
      <c r="B5107" s="55" t="n">
        <v>44834</v>
      </c>
      <c r="C5107" s="51" t="s">
        <v>73</v>
      </c>
      <c r="D5107" s="51" t="n">
        <v>0</v>
      </c>
    </row>
    <row r="5108" customFormat="false" ht="15" hidden="true" customHeight="false" outlineLevel="0" collapsed="false">
      <c r="A5108" s="51" t="s">
        <v>156</v>
      </c>
      <c r="B5108" s="55" t="n">
        <v>44834</v>
      </c>
      <c r="C5108" s="51" t="s">
        <v>73</v>
      </c>
      <c r="D5108" s="51" t="n">
        <v>0</v>
      </c>
    </row>
    <row r="5109" customFormat="false" ht="15" hidden="true" customHeight="false" outlineLevel="0" collapsed="false">
      <c r="A5109" s="51" t="s">
        <v>161</v>
      </c>
      <c r="B5109" s="55" t="n">
        <v>44834</v>
      </c>
      <c r="C5109" s="51" t="s">
        <v>73</v>
      </c>
      <c r="D5109" s="51" t="n">
        <v>0</v>
      </c>
    </row>
    <row r="5110" customFormat="false" ht="15" hidden="true" customHeight="false" outlineLevel="0" collapsed="false">
      <c r="A5110" s="51" t="s">
        <v>166</v>
      </c>
      <c r="B5110" s="55" t="n">
        <v>44834</v>
      </c>
      <c r="C5110" s="51" t="s">
        <v>73</v>
      </c>
      <c r="D5110" s="51" t="n">
        <v>715000</v>
      </c>
    </row>
    <row r="5111" customFormat="false" ht="15" hidden="true" customHeight="false" outlineLevel="0" collapsed="false">
      <c r="A5111" s="51" t="s">
        <v>171</v>
      </c>
      <c r="B5111" s="55" t="n">
        <v>44834</v>
      </c>
      <c r="C5111" s="51" t="s">
        <v>73</v>
      </c>
      <c r="D5111" s="51" t="n">
        <v>0</v>
      </c>
    </row>
    <row r="5112" customFormat="false" ht="15" hidden="true" customHeight="false" outlineLevel="0" collapsed="false">
      <c r="A5112" s="51" t="s">
        <v>176</v>
      </c>
      <c r="B5112" s="55" t="n">
        <v>44834</v>
      </c>
      <c r="C5112" s="51" t="s">
        <v>73</v>
      </c>
      <c r="D5112" s="51" t="n">
        <v>0</v>
      </c>
    </row>
    <row r="5113" customFormat="false" ht="15" hidden="true" customHeight="false" outlineLevel="0" collapsed="false">
      <c r="A5113" s="51" t="s">
        <v>181</v>
      </c>
      <c r="B5113" s="55" t="n">
        <v>44834</v>
      </c>
      <c r="C5113" s="51" t="s">
        <v>73</v>
      </c>
      <c r="D5113" s="51" t="n">
        <v>750000</v>
      </c>
    </row>
    <row r="5114" customFormat="false" ht="15" hidden="true" customHeight="false" outlineLevel="0" collapsed="false">
      <c r="A5114" s="51" t="s">
        <v>186</v>
      </c>
      <c r="B5114" s="55" t="n">
        <v>44834</v>
      </c>
      <c r="C5114" s="51" t="s">
        <v>73</v>
      </c>
      <c r="D5114" s="51" t="n">
        <v>0</v>
      </c>
    </row>
    <row r="5115" customFormat="false" ht="15" hidden="true" customHeight="false" outlineLevel="0" collapsed="false">
      <c r="A5115" s="51" t="s">
        <v>191</v>
      </c>
      <c r="B5115" s="55" t="n">
        <v>44834</v>
      </c>
      <c r="C5115" s="51" t="s">
        <v>73</v>
      </c>
      <c r="D5115" s="51" t="n">
        <v>0</v>
      </c>
    </row>
    <row r="5116" customFormat="false" ht="15" hidden="true" customHeight="false" outlineLevel="0" collapsed="false">
      <c r="A5116" s="51" t="s">
        <v>196</v>
      </c>
      <c r="B5116" s="55" t="n">
        <v>44834</v>
      </c>
      <c r="C5116" s="51" t="s">
        <v>73</v>
      </c>
      <c r="D5116" s="51" t="n">
        <v>0</v>
      </c>
    </row>
    <row r="5117" customFormat="false" ht="15" hidden="true" customHeight="false" outlineLevel="0" collapsed="false">
      <c r="A5117" s="51" t="s">
        <v>201</v>
      </c>
      <c r="B5117" s="55" t="n">
        <v>44834</v>
      </c>
      <c r="C5117" s="51" t="s">
        <v>73</v>
      </c>
      <c r="D5117" s="51" t="n">
        <v>0</v>
      </c>
    </row>
    <row r="5118" customFormat="false" ht="15" hidden="true" customHeight="false" outlineLevel="0" collapsed="false">
      <c r="A5118" s="51" t="s">
        <v>206</v>
      </c>
      <c r="B5118" s="55" t="n">
        <v>44834</v>
      </c>
      <c r="C5118" s="51" t="s">
        <v>73</v>
      </c>
      <c r="D5118" s="51" t="n">
        <v>0</v>
      </c>
    </row>
    <row r="5119" customFormat="false" ht="15" hidden="true" customHeight="false" outlineLevel="0" collapsed="false">
      <c r="A5119" s="51" t="s">
        <v>210</v>
      </c>
      <c r="B5119" s="55" t="n">
        <v>44834</v>
      </c>
      <c r="C5119" s="51" t="s">
        <v>73</v>
      </c>
      <c r="D5119" s="51" t="n">
        <v>0</v>
      </c>
    </row>
    <row r="5120" customFormat="false" ht="15" hidden="true" customHeight="false" outlineLevel="0" collapsed="false">
      <c r="A5120" s="51" t="s">
        <v>215</v>
      </c>
      <c r="B5120" s="55" t="n">
        <v>44834</v>
      </c>
      <c r="C5120" s="51" t="s">
        <v>73</v>
      </c>
      <c r="D5120" s="51" t="n">
        <v>0</v>
      </c>
    </row>
    <row r="5121" customFormat="false" ht="15" hidden="true" customHeight="false" outlineLevel="0" collapsed="false">
      <c r="A5121" s="51" t="s">
        <v>790</v>
      </c>
      <c r="B5121" s="55" t="n">
        <v>44834</v>
      </c>
      <c r="C5121" s="51" t="s">
        <v>73</v>
      </c>
      <c r="D5121" s="51" t="n">
        <v>0</v>
      </c>
    </row>
    <row r="5122" customFormat="false" ht="15" hidden="true" customHeight="false" outlineLevel="0" collapsed="false">
      <c r="A5122" s="51" t="s">
        <v>225</v>
      </c>
      <c r="B5122" s="55" t="n">
        <v>44834</v>
      </c>
      <c r="C5122" s="51" t="s">
        <v>73</v>
      </c>
      <c r="D5122" s="51" t="n">
        <v>0</v>
      </c>
    </row>
    <row r="5123" customFormat="false" ht="15" hidden="true" customHeight="false" outlineLevel="0" collapsed="false">
      <c r="A5123" s="51" t="s">
        <v>230</v>
      </c>
      <c r="B5123" s="55" t="n">
        <v>44834</v>
      </c>
      <c r="C5123" s="51" t="s">
        <v>73</v>
      </c>
      <c r="D5123" s="51" t="n">
        <v>200000</v>
      </c>
    </row>
    <row r="5124" customFormat="false" ht="15" hidden="true" customHeight="false" outlineLevel="0" collapsed="false">
      <c r="A5124" s="51" t="s">
        <v>235</v>
      </c>
      <c r="B5124" s="55" t="n">
        <v>44834</v>
      </c>
      <c r="C5124" s="51" t="s">
        <v>73</v>
      </c>
      <c r="D5124" s="51" t="n">
        <v>0</v>
      </c>
    </row>
    <row r="5125" customFormat="false" ht="15" hidden="true" customHeight="false" outlineLevel="0" collapsed="false">
      <c r="A5125" s="51" t="s">
        <v>240</v>
      </c>
      <c r="B5125" s="55" t="n">
        <v>44834</v>
      </c>
      <c r="C5125" s="51" t="s">
        <v>73</v>
      </c>
      <c r="D5125" s="51" t="n">
        <v>190700</v>
      </c>
    </row>
    <row r="5126" customFormat="false" ht="15" hidden="true" customHeight="false" outlineLevel="0" collapsed="false">
      <c r="A5126" s="51" t="s">
        <v>246</v>
      </c>
      <c r="B5126" s="55" t="n">
        <v>44834</v>
      </c>
      <c r="C5126" s="51" t="s">
        <v>73</v>
      </c>
      <c r="D5126" s="51" t="n">
        <v>1000000</v>
      </c>
    </row>
    <row r="5127" customFormat="false" ht="15" hidden="true" customHeight="false" outlineLevel="0" collapsed="false">
      <c r="A5127" s="51" t="s">
        <v>252</v>
      </c>
      <c r="B5127" s="55" t="n">
        <v>44834</v>
      </c>
      <c r="C5127" s="51" t="s">
        <v>73</v>
      </c>
      <c r="D5127" s="51" t="n">
        <v>1500000</v>
      </c>
    </row>
    <row r="5128" customFormat="false" ht="15" hidden="true" customHeight="false" outlineLevel="0" collapsed="false">
      <c r="A5128" s="51" t="s">
        <v>257</v>
      </c>
      <c r="B5128" s="55" t="n">
        <v>44834</v>
      </c>
      <c r="C5128" s="51" t="s">
        <v>73</v>
      </c>
      <c r="D5128" s="51" t="n">
        <v>588550</v>
      </c>
    </row>
    <row r="5129" customFormat="false" ht="15" hidden="true" customHeight="false" outlineLevel="0" collapsed="false">
      <c r="A5129" s="51" t="s">
        <v>262</v>
      </c>
      <c r="B5129" s="55" t="n">
        <v>44834</v>
      </c>
      <c r="C5129" s="51" t="s">
        <v>73</v>
      </c>
      <c r="D5129" s="51" t="n">
        <v>0</v>
      </c>
    </row>
    <row r="5130" customFormat="false" ht="15" hidden="true" customHeight="false" outlineLevel="0" collapsed="false">
      <c r="A5130" s="51" t="s">
        <v>267</v>
      </c>
      <c r="B5130" s="55" t="n">
        <v>44834</v>
      </c>
      <c r="C5130" s="51" t="s">
        <v>73</v>
      </c>
      <c r="D5130" s="51" t="n">
        <v>0</v>
      </c>
    </row>
    <row r="5131" customFormat="false" ht="15" hidden="true" customHeight="false" outlineLevel="0" collapsed="false">
      <c r="A5131" s="51" t="s">
        <v>272</v>
      </c>
      <c r="B5131" s="55" t="n">
        <v>44834</v>
      </c>
      <c r="C5131" s="51" t="s">
        <v>73</v>
      </c>
      <c r="D5131" s="51" t="n">
        <v>159250</v>
      </c>
    </row>
    <row r="5132" customFormat="false" ht="15" hidden="true" customHeight="false" outlineLevel="0" collapsed="false">
      <c r="A5132" s="51" t="s">
        <v>277</v>
      </c>
      <c r="B5132" s="55" t="n">
        <v>44834</v>
      </c>
      <c r="C5132" s="51" t="s">
        <v>73</v>
      </c>
      <c r="D5132" s="51" t="n">
        <v>53400</v>
      </c>
    </row>
    <row r="5133" customFormat="false" ht="15" hidden="true" customHeight="false" outlineLevel="0" collapsed="false">
      <c r="A5133" s="51" t="s">
        <v>282</v>
      </c>
      <c r="B5133" s="55" t="n">
        <v>44834</v>
      </c>
      <c r="C5133" s="51" t="s">
        <v>73</v>
      </c>
      <c r="D5133" s="51" t="n">
        <v>500000</v>
      </c>
    </row>
    <row r="5134" customFormat="false" ht="15" hidden="true" customHeight="false" outlineLevel="0" collapsed="false">
      <c r="A5134" s="51" t="s">
        <v>287</v>
      </c>
      <c r="B5134" s="55" t="n">
        <v>44834</v>
      </c>
      <c r="C5134" s="51" t="s">
        <v>73</v>
      </c>
      <c r="D5134" s="51" t="n">
        <v>800000</v>
      </c>
    </row>
    <row r="5135" customFormat="false" ht="15" hidden="true" customHeight="false" outlineLevel="0" collapsed="false">
      <c r="A5135" s="51" t="s">
        <v>292</v>
      </c>
      <c r="B5135" s="55" t="n">
        <v>44834</v>
      </c>
      <c r="C5135" s="51" t="s">
        <v>73</v>
      </c>
      <c r="D5135" s="51" t="n">
        <v>600000</v>
      </c>
    </row>
    <row r="5136" customFormat="false" ht="15" hidden="true" customHeight="false" outlineLevel="0" collapsed="false">
      <c r="A5136" s="51" t="s">
        <v>297</v>
      </c>
      <c r="B5136" s="55" t="n">
        <v>44834</v>
      </c>
      <c r="C5136" s="51" t="s">
        <v>73</v>
      </c>
      <c r="D5136" s="51" t="n">
        <v>240000</v>
      </c>
    </row>
    <row r="5137" customFormat="false" ht="15" hidden="true" customHeight="false" outlineLevel="0" collapsed="false">
      <c r="A5137" s="51" t="s">
        <v>302</v>
      </c>
      <c r="B5137" s="55" t="n">
        <v>44834</v>
      </c>
      <c r="C5137" s="51" t="s">
        <v>73</v>
      </c>
      <c r="D5137" s="51" t="n">
        <v>200000</v>
      </c>
    </row>
    <row r="5138" customFormat="false" ht="15" hidden="true" customHeight="false" outlineLevel="0" collapsed="false">
      <c r="A5138" s="51" t="s">
        <v>307</v>
      </c>
      <c r="B5138" s="55" t="n">
        <v>44834</v>
      </c>
      <c r="C5138" s="51" t="s">
        <v>73</v>
      </c>
      <c r="D5138" s="51" t="n">
        <v>412500</v>
      </c>
    </row>
    <row r="5139" customFormat="false" ht="15" hidden="true" customHeight="false" outlineLevel="0" collapsed="false">
      <c r="A5139" s="51" t="s">
        <v>311</v>
      </c>
      <c r="B5139" s="55" t="n">
        <v>44834</v>
      </c>
      <c r="C5139" s="51" t="s">
        <v>73</v>
      </c>
      <c r="D5139" s="51" t="n">
        <v>1200000</v>
      </c>
    </row>
    <row r="5140" customFormat="false" ht="15" hidden="true" customHeight="false" outlineLevel="0" collapsed="false">
      <c r="A5140" s="51" t="s">
        <v>317</v>
      </c>
      <c r="B5140" s="55" t="n">
        <v>44834</v>
      </c>
      <c r="C5140" s="51" t="s">
        <v>73</v>
      </c>
      <c r="D5140" s="51" t="n">
        <v>643000</v>
      </c>
    </row>
    <row r="5141" customFormat="false" ht="15" hidden="true" customHeight="false" outlineLevel="0" collapsed="false">
      <c r="A5141" s="51" t="s">
        <v>322</v>
      </c>
      <c r="B5141" s="55" t="n">
        <v>44834</v>
      </c>
      <c r="C5141" s="51" t="s">
        <v>73</v>
      </c>
      <c r="D5141" s="51" t="n">
        <v>0</v>
      </c>
    </row>
    <row r="5142" customFormat="false" ht="15" hidden="true" customHeight="false" outlineLevel="0" collapsed="false">
      <c r="A5142" s="51" t="s">
        <v>327</v>
      </c>
      <c r="B5142" s="55" t="n">
        <v>44834</v>
      </c>
      <c r="C5142" s="51" t="s">
        <v>73</v>
      </c>
      <c r="D5142" s="51" t="n">
        <v>0</v>
      </c>
    </row>
    <row r="5143" customFormat="false" ht="15" hidden="true" customHeight="false" outlineLevel="0" collapsed="false">
      <c r="A5143" s="51" t="s">
        <v>332</v>
      </c>
      <c r="B5143" s="55" t="n">
        <v>44834</v>
      </c>
      <c r="C5143" s="51" t="s">
        <v>73</v>
      </c>
      <c r="D5143" s="51" t="n">
        <v>0</v>
      </c>
    </row>
    <row r="5144" customFormat="false" ht="15" hidden="true" customHeight="false" outlineLevel="0" collapsed="false">
      <c r="A5144" s="51" t="s">
        <v>339</v>
      </c>
      <c r="B5144" s="55" t="n">
        <v>44834</v>
      </c>
      <c r="C5144" s="51" t="s">
        <v>73</v>
      </c>
      <c r="D5144" s="51" t="n">
        <v>0</v>
      </c>
    </row>
    <row r="5145" customFormat="false" ht="15" hidden="true" customHeight="false" outlineLevel="0" collapsed="false">
      <c r="A5145" s="51" t="s">
        <v>344</v>
      </c>
      <c r="B5145" s="55" t="n">
        <v>44834</v>
      </c>
      <c r="C5145" s="51" t="s">
        <v>73</v>
      </c>
      <c r="D5145" s="51" t="n">
        <v>0</v>
      </c>
    </row>
    <row r="5146" customFormat="false" ht="15" hidden="true" customHeight="false" outlineLevel="0" collapsed="false">
      <c r="A5146" s="51" t="s">
        <v>349</v>
      </c>
      <c r="B5146" s="55" t="n">
        <v>44834</v>
      </c>
      <c r="C5146" s="51" t="s">
        <v>73</v>
      </c>
      <c r="D5146" s="51" t="n">
        <v>0</v>
      </c>
    </row>
    <row r="5147" customFormat="false" ht="15" hidden="true" customHeight="false" outlineLevel="0" collapsed="false">
      <c r="A5147" s="51" t="s">
        <v>354</v>
      </c>
      <c r="B5147" s="55" t="n">
        <v>44834</v>
      </c>
      <c r="C5147" s="51" t="s">
        <v>73</v>
      </c>
      <c r="D5147" s="51" t="n">
        <v>0</v>
      </c>
    </row>
    <row r="5148" customFormat="false" ht="15" hidden="true" customHeight="false" outlineLevel="0" collapsed="false">
      <c r="A5148" s="51" t="s">
        <v>359</v>
      </c>
      <c r="B5148" s="55" t="n">
        <v>44834</v>
      </c>
      <c r="C5148" s="51" t="s">
        <v>73</v>
      </c>
      <c r="D5148" s="51" t="n">
        <v>0</v>
      </c>
    </row>
    <row r="5149" customFormat="false" ht="15" hidden="true" customHeight="false" outlineLevel="0" collapsed="false">
      <c r="A5149" s="51" t="s">
        <v>364</v>
      </c>
      <c r="B5149" s="55" t="n">
        <v>44834</v>
      </c>
      <c r="C5149" s="51" t="s">
        <v>73</v>
      </c>
      <c r="D5149" s="51" t="n">
        <v>0</v>
      </c>
    </row>
    <row r="5150" customFormat="false" ht="15" hidden="true" customHeight="false" outlineLevel="0" collapsed="false">
      <c r="A5150" s="51" t="s">
        <v>369</v>
      </c>
      <c r="B5150" s="55" t="n">
        <v>44834</v>
      </c>
      <c r="C5150" s="51" t="s">
        <v>73</v>
      </c>
      <c r="D5150" s="51" t="n">
        <v>0</v>
      </c>
    </row>
    <row r="5151" customFormat="false" ht="15" hidden="true" customHeight="false" outlineLevel="0" collapsed="false">
      <c r="A5151" s="51" t="s">
        <v>374</v>
      </c>
      <c r="B5151" s="55" t="n">
        <v>44834</v>
      </c>
      <c r="C5151" s="51" t="s">
        <v>73</v>
      </c>
      <c r="D5151" s="51" t="n">
        <v>0</v>
      </c>
    </row>
    <row r="5152" customFormat="false" ht="15" hidden="true" customHeight="false" outlineLevel="0" collapsed="false">
      <c r="A5152" s="51" t="s">
        <v>379</v>
      </c>
      <c r="B5152" s="55" t="n">
        <v>44834</v>
      </c>
      <c r="C5152" s="51" t="s">
        <v>73</v>
      </c>
      <c r="D5152" s="51" t="n">
        <v>0</v>
      </c>
    </row>
    <row r="5153" customFormat="false" ht="15" hidden="true" customHeight="false" outlineLevel="0" collapsed="false">
      <c r="A5153" s="51" t="s">
        <v>384</v>
      </c>
      <c r="B5153" s="55" t="n">
        <v>44834</v>
      </c>
      <c r="C5153" s="51" t="s">
        <v>73</v>
      </c>
      <c r="D5153" s="51" t="n">
        <v>0</v>
      </c>
    </row>
    <row r="5154" customFormat="false" ht="15" hidden="true" customHeight="false" outlineLevel="0" collapsed="false">
      <c r="A5154" s="51" t="s">
        <v>389</v>
      </c>
      <c r="B5154" s="55" t="n">
        <v>44834</v>
      </c>
      <c r="C5154" s="51" t="s">
        <v>73</v>
      </c>
      <c r="D5154" s="51" t="n">
        <v>0</v>
      </c>
    </row>
    <row r="5155" customFormat="false" ht="15" hidden="true" customHeight="false" outlineLevel="0" collapsed="false">
      <c r="A5155" s="51" t="s">
        <v>394</v>
      </c>
      <c r="B5155" s="55" t="n">
        <v>44834</v>
      </c>
      <c r="C5155" s="51" t="s">
        <v>73</v>
      </c>
      <c r="D5155" s="51" t="n">
        <v>0</v>
      </c>
    </row>
    <row r="5156" customFormat="false" ht="15" hidden="true" customHeight="false" outlineLevel="0" collapsed="false">
      <c r="A5156" s="51" t="s">
        <v>399</v>
      </c>
      <c r="B5156" s="55" t="n">
        <v>44834</v>
      </c>
      <c r="C5156" s="51" t="s">
        <v>73</v>
      </c>
      <c r="D5156" s="51" t="n">
        <v>0</v>
      </c>
    </row>
    <row r="5157" customFormat="false" ht="15" hidden="true" customHeight="false" outlineLevel="0" collapsed="false">
      <c r="A5157" s="51" t="s">
        <v>404</v>
      </c>
      <c r="B5157" s="55" t="n">
        <v>44834</v>
      </c>
      <c r="C5157" s="51" t="s">
        <v>73</v>
      </c>
      <c r="D5157" s="51" t="n">
        <v>0</v>
      </c>
    </row>
    <row r="5158" customFormat="false" ht="15" hidden="true" customHeight="false" outlineLevel="0" collapsed="false">
      <c r="A5158" s="51" t="s">
        <v>409</v>
      </c>
      <c r="B5158" s="55" t="n">
        <v>44834</v>
      </c>
      <c r="C5158" s="51" t="s">
        <v>73</v>
      </c>
      <c r="D5158" s="51" t="n">
        <v>0</v>
      </c>
    </row>
    <row r="5159" customFormat="false" ht="15" hidden="true" customHeight="false" outlineLevel="0" collapsed="false">
      <c r="A5159" s="51" t="s">
        <v>414</v>
      </c>
      <c r="B5159" s="55" t="n">
        <v>44834</v>
      </c>
      <c r="C5159" s="51" t="s">
        <v>73</v>
      </c>
      <c r="D5159" s="51" t="n">
        <v>0</v>
      </c>
    </row>
    <row r="5160" customFormat="false" ht="15" hidden="true" customHeight="false" outlineLevel="0" collapsed="false">
      <c r="A5160" s="51" t="s">
        <v>419</v>
      </c>
      <c r="B5160" s="55" t="n">
        <v>44834</v>
      </c>
      <c r="C5160" s="51" t="s">
        <v>73</v>
      </c>
      <c r="D5160" s="51" t="n">
        <v>0</v>
      </c>
    </row>
    <row r="5161" customFormat="false" ht="15" hidden="true" customHeight="false" outlineLevel="0" collapsed="false">
      <c r="A5161" s="51" t="s">
        <v>424</v>
      </c>
      <c r="B5161" s="55" t="n">
        <v>44834</v>
      </c>
      <c r="C5161" s="51" t="s">
        <v>73</v>
      </c>
      <c r="D5161" s="51" t="n">
        <v>0</v>
      </c>
    </row>
    <row r="5162" customFormat="false" ht="15" hidden="true" customHeight="false" outlineLevel="0" collapsed="false">
      <c r="A5162" s="51" t="s">
        <v>429</v>
      </c>
      <c r="B5162" s="55" t="n">
        <v>44834</v>
      </c>
      <c r="C5162" s="51" t="s">
        <v>73</v>
      </c>
      <c r="D5162" s="51" t="n">
        <v>0</v>
      </c>
    </row>
    <row r="5163" customFormat="false" ht="15" hidden="true" customHeight="false" outlineLevel="0" collapsed="false">
      <c r="A5163" s="51" t="s">
        <v>434</v>
      </c>
      <c r="B5163" s="55" t="n">
        <v>44834</v>
      </c>
      <c r="C5163" s="51" t="s">
        <v>73</v>
      </c>
      <c r="D5163" s="51" t="n">
        <v>0</v>
      </c>
    </row>
    <row r="5164" customFormat="false" ht="15" hidden="true" customHeight="false" outlineLevel="0" collapsed="false">
      <c r="A5164" s="51" t="s">
        <v>438</v>
      </c>
      <c r="B5164" s="55" t="n">
        <v>44834</v>
      </c>
      <c r="C5164" s="51" t="s">
        <v>73</v>
      </c>
      <c r="D5164" s="51" t="n">
        <v>0</v>
      </c>
    </row>
    <row r="5165" customFormat="false" ht="15" hidden="true" customHeight="false" outlineLevel="0" collapsed="false">
      <c r="A5165" s="51" t="s">
        <v>443</v>
      </c>
      <c r="B5165" s="55" t="n">
        <v>44834</v>
      </c>
      <c r="C5165" s="51" t="s">
        <v>73</v>
      </c>
      <c r="D5165" s="51" t="n">
        <v>0</v>
      </c>
    </row>
    <row r="5166" customFormat="false" ht="15" hidden="true" customHeight="false" outlineLevel="0" collapsed="false">
      <c r="A5166" s="51" t="s">
        <v>448</v>
      </c>
      <c r="B5166" s="55" t="n">
        <v>44834</v>
      </c>
      <c r="C5166" s="51" t="s">
        <v>73</v>
      </c>
      <c r="D5166" s="51" t="n">
        <v>0</v>
      </c>
    </row>
    <row r="5167" customFormat="false" ht="15" hidden="true" customHeight="false" outlineLevel="0" collapsed="false">
      <c r="A5167" s="51" t="s">
        <v>453</v>
      </c>
      <c r="B5167" s="55" t="n">
        <v>44834</v>
      </c>
      <c r="C5167" s="51" t="s">
        <v>73</v>
      </c>
      <c r="D5167" s="51" t="n">
        <v>0</v>
      </c>
    </row>
    <row r="5168" customFormat="false" ht="15" hidden="true" customHeight="false" outlineLevel="0" collapsed="false">
      <c r="A5168" s="51" t="s">
        <v>458</v>
      </c>
      <c r="B5168" s="55" t="n">
        <v>44834</v>
      </c>
      <c r="C5168" s="51" t="s">
        <v>73</v>
      </c>
      <c r="D5168" s="51" t="n">
        <v>0</v>
      </c>
    </row>
    <row r="5169" customFormat="false" ht="15" hidden="true" customHeight="false" outlineLevel="0" collapsed="false">
      <c r="A5169" s="51" t="s">
        <v>473</v>
      </c>
      <c r="B5169" s="55" t="n">
        <v>44834</v>
      </c>
      <c r="C5169" s="51" t="s">
        <v>73</v>
      </c>
      <c r="D5169" s="51" t="n">
        <v>0</v>
      </c>
    </row>
    <row r="5170" customFormat="false" ht="15" hidden="true" customHeight="false" outlineLevel="0" collapsed="false">
      <c r="A5170" s="51" t="s">
        <v>479</v>
      </c>
      <c r="B5170" s="55" t="n">
        <v>44834</v>
      </c>
      <c r="C5170" s="51" t="s">
        <v>73</v>
      </c>
      <c r="D5170" s="51" t="n">
        <v>0</v>
      </c>
    </row>
    <row r="5171" customFormat="false" ht="15" hidden="true" customHeight="false" outlineLevel="0" collapsed="false">
      <c r="A5171" s="51" t="s">
        <v>484</v>
      </c>
      <c r="B5171" s="55" t="n">
        <v>44834</v>
      </c>
      <c r="C5171" s="51" t="s">
        <v>73</v>
      </c>
      <c r="D5171" s="51" t="n">
        <v>0</v>
      </c>
    </row>
    <row r="5172" customFormat="false" ht="15" hidden="true" customHeight="false" outlineLevel="0" collapsed="false">
      <c r="A5172" s="51" t="s">
        <v>489</v>
      </c>
      <c r="B5172" s="55" t="n">
        <v>44834</v>
      </c>
      <c r="C5172" s="51" t="s">
        <v>73</v>
      </c>
      <c r="D5172" s="51" t="n">
        <v>0</v>
      </c>
    </row>
    <row r="5173" customFormat="false" ht="15" hidden="true" customHeight="false" outlineLevel="0" collapsed="false">
      <c r="A5173" s="51" t="s">
        <v>494</v>
      </c>
      <c r="B5173" s="55" t="n">
        <v>44834</v>
      </c>
      <c r="C5173" s="51" t="s">
        <v>73</v>
      </c>
      <c r="D5173" s="51" t="n">
        <v>0</v>
      </c>
    </row>
    <row r="5174" customFormat="false" ht="15" hidden="true" customHeight="false" outlineLevel="0" collapsed="false">
      <c r="A5174" s="51" t="s">
        <v>499</v>
      </c>
      <c r="B5174" s="55" t="n">
        <v>44834</v>
      </c>
      <c r="C5174" s="51" t="s">
        <v>73</v>
      </c>
      <c r="D5174" s="51" t="n">
        <v>0</v>
      </c>
    </row>
    <row r="5175" customFormat="false" ht="15" hidden="true" customHeight="false" outlineLevel="0" collapsed="false">
      <c r="A5175" s="51" t="s">
        <v>504</v>
      </c>
      <c r="B5175" s="55" t="n">
        <v>44834</v>
      </c>
      <c r="C5175" s="51" t="s">
        <v>73</v>
      </c>
      <c r="D5175" s="51" t="n">
        <v>0</v>
      </c>
    </row>
    <row r="5176" customFormat="false" ht="15" hidden="true" customHeight="false" outlineLevel="0" collapsed="false">
      <c r="A5176" s="51" t="s">
        <v>509</v>
      </c>
      <c r="B5176" s="55" t="n">
        <v>44834</v>
      </c>
      <c r="C5176" s="51" t="s">
        <v>73</v>
      </c>
      <c r="D5176" s="51" t="n">
        <v>0</v>
      </c>
    </row>
    <row r="5177" customFormat="false" ht="15" hidden="true" customHeight="false" outlineLevel="0" collapsed="false">
      <c r="A5177" s="51" t="s">
        <v>515</v>
      </c>
      <c r="B5177" s="55" t="n">
        <v>44834</v>
      </c>
      <c r="C5177" s="51" t="s">
        <v>73</v>
      </c>
      <c r="D5177" s="51" t="n">
        <v>0</v>
      </c>
    </row>
    <row r="5178" customFormat="false" ht="15" hidden="true" customHeight="false" outlineLevel="0" collapsed="false">
      <c r="A5178" s="51" t="s">
        <v>520</v>
      </c>
      <c r="B5178" s="55" t="n">
        <v>44834</v>
      </c>
      <c r="C5178" s="51" t="s">
        <v>73</v>
      </c>
      <c r="D5178" s="51" t="n">
        <v>0</v>
      </c>
    </row>
    <row r="5179" customFormat="false" ht="15" hidden="true" customHeight="false" outlineLevel="0" collapsed="false">
      <c r="A5179" s="51" t="s">
        <v>525</v>
      </c>
      <c r="B5179" s="55" t="n">
        <v>44834</v>
      </c>
      <c r="C5179" s="51" t="s">
        <v>73</v>
      </c>
      <c r="D5179" s="51" t="n">
        <v>0</v>
      </c>
    </row>
    <row r="5180" customFormat="false" ht="15" hidden="true" customHeight="false" outlineLevel="0" collapsed="false">
      <c r="A5180" s="51" t="s">
        <v>531</v>
      </c>
      <c r="B5180" s="55" t="n">
        <v>44834</v>
      </c>
      <c r="C5180" s="51" t="s">
        <v>73</v>
      </c>
      <c r="D5180" s="51" t="n">
        <v>0</v>
      </c>
    </row>
    <row r="5181" customFormat="false" ht="15" hidden="true" customHeight="false" outlineLevel="0" collapsed="false">
      <c r="A5181" s="51" t="s">
        <v>536</v>
      </c>
      <c r="B5181" s="55" t="n">
        <v>44834</v>
      </c>
      <c r="C5181" s="51" t="s">
        <v>73</v>
      </c>
      <c r="D5181" s="51" t="n">
        <v>0</v>
      </c>
    </row>
    <row r="5182" customFormat="false" ht="15" hidden="true" customHeight="false" outlineLevel="0" collapsed="false">
      <c r="A5182" s="51" t="s">
        <v>541</v>
      </c>
      <c r="B5182" s="55" t="n">
        <v>44834</v>
      </c>
      <c r="C5182" s="51" t="s">
        <v>73</v>
      </c>
      <c r="D5182" s="51" t="n">
        <v>0</v>
      </c>
    </row>
    <row r="5183" customFormat="false" ht="15" hidden="true" customHeight="false" outlineLevel="0" collapsed="false">
      <c r="A5183" s="51" t="s">
        <v>549</v>
      </c>
      <c r="B5183" s="55" t="n">
        <v>44834</v>
      </c>
      <c r="C5183" s="51" t="s">
        <v>73</v>
      </c>
      <c r="D5183" s="51" t="n">
        <v>0</v>
      </c>
    </row>
    <row r="5184" customFormat="false" ht="15" hidden="true" customHeight="false" outlineLevel="0" collapsed="false">
      <c r="A5184" s="51" t="s">
        <v>554</v>
      </c>
      <c r="B5184" s="55" t="n">
        <v>44834</v>
      </c>
      <c r="C5184" s="51" t="s">
        <v>73</v>
      </c>
      <c r="D5184" s="51" t="n">
        <v>0</v>
      </c>
    </row>
    <row r="5185" customFormat="false" ht="15" hidden="true" customHeight="false" outlineLevel="0" collapsed="false">
      <c r="A5185" s="51" t="s">
        <v>559</v>
      </c>
      <c r="B5185" s="55" t="n">
        <v>44834</v>
      </c>
      <c r="C5185" s="51" t="s">
        <v>73</v>
      </c>
      <c r="D5185" s="51" t="n">
        <v>0</v>
      </c>
    </row>
    <row r="5186" customFormat="false" ht="15" hidden="true" customHeight="false" outlineLevel="0" collapsed="false">
      <c r="A5186" s="51" t="s">
        <v>564</v>
      </c>
      <c r="B5186" s="55" t="n">
        <v>44834</v>
      </c>
      <c r="C5186" s="51" t="s">
        <v>73</v>
      </c>
      <c r="D5186" s="51" t="n">
        <v>0</v>
      </c>
    </row>
    <row r="5187" customFormat="false" ht="15" hidden="true" customHeight="false" outlineLevel="0" collapsed="false">
      <c r="A5187" s="51" t="s">
        <v>569</v>
      </c>
      <c r="B5187" s="55" t="n">
        <v>44834</v>
      </c>
      <c r="C5187" s="51" t="s">
        <v>73</v>
      </c>
      <c r="D5187" s="51" t="n">
        <v>0</v>
      </c>
    </row>
    <row r="5188" customFormat="false" ht="15" hidden="true" customHeight="false" outlineLevel="0" collapsed="false">
      <c r="A5188" s="51" t="s">
        <v>574</v>
      </c>
      <c r="B5188" s="55" t="n">
        <v>44834</v>
      </c>
      <c r="C5188" s="51" t="s">
        <v>73</v>
      </c>
      <c r="D5188" s="51" t="n">
        <v>0</v>
      </c>
    </row>
    <row r="5189" customFormat="false" ht="15" hidden="true" customHeight="false" outlineLevel="0" collapsed="false">
      <c r="A5189" s="51" t="s">
        <v>579</v>
      </c>
      <c r="B5189" s="55" t="n">
        <v>44834</v>
      </c>
      <c r="C5189" s="51" t="s">
        <v>73</v>
      </c>
      <c r="D5189" s="51" t="n">
        <v>0</v>
      </c>
    </row>
    <row r="5190" customFormat="false" ht="15" hidden="true" customHeight="false" outlineLevel="0" collapsed="false">
      <c r="A5190" s="51" t="s">
        <v>584</v>
      </c>
      <c r="B5190" s="55" t="n">
        <v>44834</v>
      </c>
      <c r="C5190" s="51" t="s">
        <v>73</v>
      </c>
      <c r="D5190" s="51" t="n">
        <v>0</v>
      </c>
    </row>
    <row r="5191" customFormat="false" ht="15" hidden="true" customHeight="false" outlineLevel="0" collapsed="false">
      <c r="A5191" s="51" t="s">
        <v>589</v>
      </c>
      <c r="B5191" s="55" t="n">
        <v>44834</v>
      </c>
      <c r="C5191" s="51" t="s">
        <v>73</v>
      </c>
      <c r="D5191" s="51" t="n">
        <v>0</v>
      </c>
    </row>
    <row r="5192" customFormat="false" ht="15" hidden="true" customHeight="false" outlineLevel="0" collapsed="false">
      <c r="A5192" s="51" t="s">
        <v>756</v>
      </c>
      <c r="B5192" s="55" t="n">
        <v>44834</v>
      </c>
      <c r="C5192" s="51" t="s">
        <v>73</v>
      </c>
      <c r="D5192" s="51" t="n">
        <v>0</v>
      </c>
    </row>
    <row r="5193" customFormat="false" ht="15" hidden="true" customHeight="false" outlineLevel="0" collapsed="false">
      <c r="A5193" s="51" t="s">
        <v>594</v>
      </c>
      <c r="B5193" s="55" t="n">
        <v>44834</v>
      </c>
      <c r="C5193" s="51" t="s">
        <v>73</v>
      </c>
      <c r="D5193" s="51" t="n">
        <v>0</v>
      </c>
    </row>
    <row r="5194" customFormat="false" ht="15" hidden="true" customHeight="false" outlineLevel="0" collapsed="false">
      <c r="A5194" s="51" t="s">
        <v>761</v>
      </c>
      <c r="B5194" s="55" t="n">
        <v>44834</v>
      </c>
      <c r="C5194" s="51" t="s">
        <v>73</v>
      </c>
      <c r="D5194" s="51" t="n">
        <v>0</v>
      </c>
    </row>
    <row r="5195" customFormat="false" ht="15" hidden="true" customHeight="false" outlineLevel="0" collapsed="false">
      <c r="A5195" s="51" t="s">
        <v>599</v>
      </c>
      <c r="B5195" s="55" t="n">
        <v>44834</v>
      </c>
      <c r="C5195" s="51" t="s">
        <v>73</v>
      </c>
      <c r="D5195" s="51" t="n">
        <v>0</v>
      </c>
    </row>
    <row r="5196" customFormat="false" ht="15" hidden="true" customHeight="false" outlineLevel="0" collapsed="false">
      <c r="A5196" s="51" t="s">
        <v>604</v>
      </c>
      <c r="B5196" s="55" t="n">
        <v>44834</v>
      </c>
      <c r="C5196" s="51" t="s">
        <v>73</v>
      </c>
      <c r="D5196" s="51" t="n">
        <v>0</v>
      </c>
    </row>
    <row r="5197" customFormat="false" ht="15" hidden="true" customHeight="false" outlineLevel="0" collapsed="false">
      <c r="A5197" s="51" t="s">
        <v>609</v>
      </c>
      <c r="B5197" s="55" t="n">
        <v>44834</v>
      </c>
      <c r="C5197" s="51" t="s">
        <v>73</v>
      </c>
      <c r="D5197" s="51" t="n">
        <v>0</v>
      </c>
    </row>
    <row r="5198" customFormat="false" ht="15" hidden="true" customHeight="false" outlineLevel="0" collapsed="false">
      <c r="A5198" s="51" t="s">
        <v>614</v>
      </c>
      <c r="B5198" s="55" t="n">
        <v>44834</v>
      </c>
      <c r="C5198" s="51" t="s">
        <v>73</v>
      </c>
      <c r="D5198" s="51" t="n">
        <v>0</v>
      </c>
    </row>
    <row r="5199" customFormat="false" ht="15" hidden="true" customHeight="false" outlineLevel="0" collapsed="false">
      <c r="A5199" s="51" t="s">
        <v>619</v>
      </c>
      <c r="B5199" s="55" t="n">
        <v>44834</v>
      </c>
      <c r="C5199" s="51" t="s">
        <v>73</v>
      </c>
      <c r="D5199" s="51" t="n">
        <v>0</v>
      </c>
    </row>
    <row r="5200" customFormat="false" ht="15" hidden="true" customHeight="false" outlineLevel="0" collapsed="false">
      <c r="A5200" s="51" t="s">
        <v>624</v>
      </c>
      <c r="B5200" s="55" t="n">
        <v>44834</v>
      </c>
      <c r="C5200" s="51" t="s">
        <v>73</v>
      </c>
      <c r="D5200" s="51" t="n">
        <v>0</v>
      </c>
    </row>
    <row r="5201" customFormat="false" ht="15" hidden="true" customHeight="false" outlineLevel="0" collapsed="false">
      <c r="A5201" s="51" t="s">
        <v>629</v>
      </c>
      <c r="B5201" s="55" t="n">
        <v>44834</v>
      </c>
      <c r="C5201" s="51" t="s">
        <v>73</v>
      </c>
      <c r="D5201" s="51" t="n">
        <v>0</v>
      </c>
    </row>
    <row r="5202" customFormat="false" ht="15" hidden="true" customHeight="false" outlineLevel="0" collapsed="false">
      <c r="A5202" s="51" t="s">
        <v>633</v>
      </c>
      <c r="B5202" s="55" t="n">
        <v>44834</v>
      </c>
      <c r="C5202" s="51" t="s">
        <v>73</v>
      </c>
      <c r="D5202" s="51" t="n">
        <v>0</v>
      </c>
    </row>
    <row r="5203" customFormat="false" ht="15" hidden="true" customHeight="false" outlineLevel="0" collapsed="false">
      <c r="A5203" s="51" t="s">
        <v>638</v>
      </c>
      <c r="B5203" s="55" t="n">
        <v>44834</v>
      </c>
      <c r="C5203" s="51" t="s">
        <v>73</v>
      </c>
      <c r="D5203" s="51" t="n">
        <v>0</v>
      </c>
    </row>
    <row r="5204" customFormat="false" ht="15" hidden="true" customHeight="false" outlineLevel="0" collapsed="false">
      <c r="A5204" s="51" t="s">
        <v>642</v>
      </c>
      <c r="B5204" s="55" t="n">
        <v>44834</v>
      </c>
      <c r="C5204" s="51" t="s">
        <v>73</v>
      </c>
      <c r="D5204" s="51" t="n">
        <v>0</v>
      </c>
    </row>
    <row r="5205" customFormat="false" ht="15" hidden="true" customHeight="false" outlineLevel="0" collapsed="false">
      <c r="A5205" s="51" t="s">
        <v>646</v>
      </c>
      <c r="B5205" s="55" t="n">
        <v>44834</v>
      </c>
      <c r="C5205" s="51" t="s">
        <v>73</v>
      </c>
      <c r="D5205" s="51" t="n">
        <v>0</v>
      </c>
    </row>
    <row r="5206" customFormat="false" ht="15" hidden="true" customHeight="false" outlineLevel="0" collapsed="false">
      <c r="A5206" s="51" t="s">
        <v>651</v>
      </c>
      <c r="B5206" s="55" t="n">
        <v>44834</v>
      </c>
      <c r="C5206" s="51" t="s">
        <v>73</v>
      </c>
      <c r="D5206" s="51" t="n">
        <v>0</v>
      </c>
    </row>
    <row r="5207" customFormat="false" ht="15" hidden="true" customHeight="false" outlineLevel="0" collapsed="false">
      <c r="A5207" s="51" t="s">
        <v>656</v>
      </c>
      <c r="B5207" s="55" t="n">
        <v>44834</v>
      </c>
      <c r="C5207" s="51" t="s">
        <v>73</v>
      </c>
      <c r="D5207" s="51" t="n">
        <v>0</v>
      </c>
    </row>
    <row r="5208" customFormat="false" ht="15" hidden="true" customHeight="false" outlineLevel="0" collapsed="false">
      <c r="A5208" s="51" t="s">
        <v>661</v>
      </c>
      <c r="B5208" s="55" t="n">
        <v>44834</v>
      </c>
      <c r="C5208" s="51" t="s">
        <v>73</v>
      </c>
      <c r="D5208" s="51" t="n">
        <v>0</v>
      </c>
    </row>
    <row r="5209" customFormat="false" ht="15" hidden="true" customHeight="false" outlineLevel="0" collapsed="false">
      <c r="A5209" s="51" t="s">
        <v>666</v>
      </c>
      <c r="B5209" s="55" t="n">
        <v>44834</v>
      </c>
      <c r="C5209" s="51" t="s">
        <v>73</v>
      </c>
      <c r="D5209" s="51" t="n">
        <v>0</v>
      </c>
    </row>
    <row r="5210" customFormat="false" ht="15" hidden="true" customHeight="false" outlineLevel="0" collapsed="false">
      <c r="A5210" s="51" t="s">
        <v>671</v>
      </c>
      <c r="B5210" s="55" t="n">
        <v>44834</v>
      </c>
      <c r="C5210" s="51" t="s">
        <v>73</v>
      </c>
      <c r="D5210" s="51" t="n">
        <v>0</v>
      </c>
    </row>
    <row r="5211" customFormat="false" ht="15" hidden="true" customHeight="false" outlineLevel="0" collapsed="false">
      <c r="A5211" s="51" t="s">
        <v>676</v>
      </c>
      <c r="B5211" s="55" t="n">
        <v>44834</v>
      </c>
      <c r="C5211" s="51" t="s">
        <v>73</v>
      </c>
      <c r="D5211" s="51" t="n">
        <v>0</v>
      </c>
    </row>
    <row r="5212" customFormat="false" ht="15" hidden="true" customHeight="false" outlineLevel="0" collapsed="false">
      <c r="A5212" s="51" t="s">
        <v>681</v>
      </c>
      <c r="B5212" s="55" t="n">
        <v>44834</v>
      </c>
      <c r="C5212" s="51" t="s">
        <v>73</v>
      </c>
      <c r="D5212" s="51" t="n">
        <v>0</v>
      </c>
    </row>
    <row r="5213" customFormat="false" ht="15" hidden="true" customHeight="false" outlineLevel="0" collapsed="false">
      <c r="A5213" s="51" t="s">
        <v>686</v>
      </c>
      <c r="B5213" s="55" t="n">
        <v>44834</v>
      </c>
      <c r="C5213" s="51" t="s">
        <v>73</v>
      </c>
      <c r="D5213" s="51" t="n">
        <v>0</v>
      </c>
    </row>
    <row r="5214" customFormat="false" ht="15" hidden="true" customHeight="false" outlineLevel="0" collapsed="false">
      <c r="A5214" s="51" t="s">
        <v>691</v>
      </c>
      <c r="B5214" s="55" t="n">
        <v>44834</v>
      </c>
      <c r="C5214" s="51" t="s">
        <v>73</v>
      </c>
      <c r="D5214" s="51" t="n">
        <v>0</v>
      </c>
    </row>
    <row r="5215" customFormat="false" ht="15" hidden="true" customHeight="false" outlineLevel="0" collapsed="false">
      <c r="A5215" s="51" t="s">
        <v>696</v>
      </c>
      <c r="B5215" s="55" t="n">
        <v>44834</v>
      </c>
      <c r="C5215" s="51" t="s">
        <v>73</v>
      </c>
      <c r="D5215" s="51" t="n">
        <v>0</v>
      </c>
    </row>
    <row r="5216" customFormat="false" ht="15" hidden="true" customHeight="false" outlineLevel="0" collapsed="false">
      <c r="A5216" s="51" t="s">
        <v>701</v>
      </c>
      <c r="B5216" s="55" t="n">
        <v>44834</v>
      </c>
      <c r="C5216" s="51" t="s">
        <v>73</v>
      </c>
      <c r="D5216" s="51" t="n">
        <v>0</v>
      </c>
    </row>
    <row r="5217" customFormat="false" ht="15" hidden="true" customHeight="false" outlineLevel="0" collapsed="false">
      <c r="A5217" s="51" t="s">
        <v>707</v>
      </c>
      <c r="B5217" s="55" t="n">
        <v>44834</v>
      </c>
      <c r="C5217" s="51" t="s">
        <v>73</v>
      </c>
      <c r="D5217" s="51" t="n">
        <v>0</v>
      </c>
    </row>
    <row r="5218" customFormat="false" ht="15" hidden="true" customHeight="false" outlineLevel="0" collapsed="false">
      <c r="A5218" s="51" t="s">
        <v>712</v>
      </c>
      <c r="B5218" s="55" t="n">
        <v>44834</v>
      </c>
      <c r="C5218" s="51" t="s">
        <v>73</v>
      </c>
      <c r="D5218" s="51" t="n">
        <v>0</v>
      </c>
    </row>
    <row r="5219" customFormat="false" ht="15" hidden="true" customHeight="false" outlineLevel="0" collapsed="false">
      <c r="A5219" s="51" t="s">
        <v>717</v>
      </c>
      <c r="B5219" s="55" t="n">
        <v>44834</v>
      </c>
      <c r="C5219" s="51" t="s">
        <v>73</v>
      </c>
      <c r="D5219" s="51" t="n">
        <v>0</v>
      </c>
    </row>
    <row r="5220" customFormat="false" ht="15" hidden="true" customHeight="false" outlineLevel="0" collapsed="false">
      <c r="A5220" s="51" t="s">
        <v>767</v>
      </c>
      <c r="B5220" s="55" t="n">
        <v>44834</v>
      </c>
      <c r="C5220" s="51" t="s">
        <v>73</v>
      </c>
      <c r="D5220" s="51" t="n">
        <v>0</v>
      </c>
    </row>
    <row r="5221" customFormat="false" ht="15" hidden="true" customHeight="false" outlineLevel="0" collapsed="false">
      <c r="A5221" s="51" t="s">
        <v>722</v>
      </c>
      <c r="B5221" s="55" t="n">
        <v>44834</v>
      </c>
      <c r="C5221" s="51" t="s">
        <v>73</v>
      </c>
      <c r="D5221" s="51" t="n">
        <v>0</v>
      </c>
    </row>
    <row r="5222" customFormat="false" ht="15" hidden="true" customHeight="false" outlineLevel="0" collapsed="false">
      <c r="A5222" s="51" t="s">
        <v>727</v>
      </c>
      <c r="B5222" s="55" t="n">
        <v>44834</v>
      </c>
      <c r="C5222" s="51" t="s">
        <v>73</v>
      </c>
      <c r="D5222" s="51" t="n">
        <v>0</v>
      </c>
    </row>
    <row r="5223" customFormat="false" ht="15" hidden="true" customHeight="false" outlineLevel="0" collapsed="false">
      <c r="A5223" s="51" t="s">
        <v>732</v>
      </c>
      <c r="B5223" s="55" t="n">
        <v>44834</v>
      </c>
      <c r="C5223" s="51" t="s">
        <v>73</v>
      </c>
      <c r="D5223" s="51" t="n">
        <v>0</v>
      </c>
    </row>
    <row r="5224" customFormat="false" ht="15" hidden="true" customHeight="false" outlineLevel="0" collapsed="false">
      <c r="A5224" s="51" t="s">
        <v>736</v>
      </c>
      <c r="B5224" s="55" t="n">
        <v>44834</v>
      </c>
      <c r="C5224" s="51" t="s">
        <v>73</v>
      </c>
      <c r="D5224" s="51" t="n">
        <v>0</v>
      </c>
    </row>
    <row r="5225" customFormat="false" ht="15" hidden="true" customHeight="false" outlineLevel="0" collapsed="false">
      <c r="A5225" s="51" t="s">
        <v>741</v>
      </c>
      <c r="B5225" s="55" t="n">
        <v>44834</v>
      </c>
      <c r="C5225" s="51" t="s">
        <v>73</v>
      </c>
      <c r="D5225" s="51" t="n">
        <v>0</v>
      </c>
    </row>
    <row r="5226" customFormat="false" ht="15" hidden="true" customHeight="false" outlineLevel="0" collapsed="false">
      <c r="A5226" s="51" t="s">
        <v>746</v>
      </c>
      <c r="B5226" s="55" t="n">
        <v>44834</v>
      </c>
      <c r="C5226" s="51" t="s">
        <v>73</v>
      </c>
      <c r="D5226" s="51" t="n">
        <v>0</v>
      </c>
    </row>
    <row r="5227" customFormat="false" ht="15" hidden="true" customHeight="false" outlineLevel="0" collapsed="false">
      <c r="A5227" s="51" t="s">
        <v>751</v>
      </c>
      <c r="B5227" s="55" t="n">
        <v>44834</v>
      </c>
      <c r="C5227" s="51" t="s">
        <v>73</v>
      </c>
      <c r="D5227" s="51" t="n">
        <v>0</v>
      </c>
    </row>
    <row r="5228" customFormat="false" ht="15" hidden="false" customHeight="false" outlineLevel="0" collapsed="false">
      <c r="A5228" s="51" t="s">
        <v>781</v>
      </c>
      <c r="B5228" s="55" t="n">
        <v>44834</v>
      </c>
      <c r="C5228" s="51" t="s">
        <v>791</v>
      </c>
      <c r="D5228" s="51" t="n">
        <v>0</v>
      </c>
    </row>
    <row r="5229" customFormat="false" ht="15" hidden="true" customHeight="false" outlineLevel="0" collapsed="false">
      <c r="A5229" s="51" t="s">
        <v>783</v>
      </c>
      <c r="B5229" s="55" t="n">
        <v>44834</v>
      </c>
      <c r="C5229" s="51" t="s">
        <v>791</v>
      </c>
      <c r="D5229" s="51" t="n">
        <v>0</v>
      </c>
    </row>
    <row r="5230" customFormat="false" ht="15" hidden="true" customHeight="false" outlineLevel="0" collapsed="false">
      <c r="A5230" s="51" t="s">
        <v>96</v>
      </c>
      <c r="B5230" s="55" t="n">
        <v>44834</v>
      </c>
      <c r="C5230" s="51" t="s">
        <v>791</v>
      </c>
      <c r="D5230" s="51" t="n">
        <v>0</v>
      </c>
    </row>
    <row r="5231" customFormat="false" ht="15" hidden="true" customHeight="false" outlineLevel="0" collapsed="false">
      <c r="A5231" s="51" t="s">
        <v>101</v>
      </c>
      <c r="B5231" s="55" t="n">
        <v>44834</v>
      </c>
      <c r="C5231" s="51" t="s">
        <v>791</v>
      </c>
      <c r="D5231" s="51" t="n">
        <v>0</v>
      </c>
    </row>
    <row r="5232" customFormat="false" ht="15" hidden="true" customHeight="false" outlineLevel="0" collapsed="false">
      <c r="A5232" s="51" t="s">
        <v>106</v>
      </c>
      <c r="B5232" s="55" t="n">
        <v>44834</v>
      </c>
      <c r="C5232" s="51" t="s">
        <v>791</v>
      </c>
      <c r="D5232" s="51" t="n">
        <v>0</v>
      </c>
    </row>
    <row r="5233" customFormat="false" ht="15" hidden="true" customHeight="false" outlineLevel="0" collapsed="false">
      <c r="A5233" s="51" t="s">
        <v>110</v>
      </c>
      <c r="B5233" s="55" t="n">
        <v>44834</v>
      </c>
      <c r="C5233" s="51" t="s">
        <v>791</v>
      </c>
      <c r="D5233" s="51" t="n">
        <v>-918000</v>
      </c>
    </row>
    <row r="5234" customFormat="false" ht="15" hidden="true" customHeight="false" outlineLevel="0" collapsed="false">
      <c r="A5234" s="51" t="s">
        <v>115</v>
      </c>
      <c r="B5234" s="55" t="n">
        <v>44834</v>
      </c>
      <c r="C5234" s="51" t="s">
        <v>791</v>
      </c>
      <c r="D5234" s="51" t="n">
        <v>0</v>
      </c>
    </row>
    <row r="5235" customFormat="false" ht="15" hidden="true" customHeight="false" outlineLevel="0" collapsed="false">
      <c r="A5235" s="51" t="s">
        <v>120</v>
      </c>
      <c r="B5235" s="55" t="n">
        <v>44834</v>
      </c>
      <c r="C5235" s="51" t="s">
        <v>791</v>
      </c>
      <c r="D5235" s="51" t="n">
        <v>0</v>
      </c>
    </row>
    <row r="5236" customFormat="false" ht="15" hidden="true" customHeight="false" outlineLevel="0" collapsed="false">
      <c r="A5236" s="51" t="s">
        <v>124</v>
      </c>
      <c r="B5236" s="55" t="n">
        <v>44834</v>
      </c>
      <c r="C5236" s="51" t="s">
        <v>791</v>
      </c>
      <c r="D5236" s="51" t="n">
        <v>-590000</v>
      </c>
    </row>
    <row r="5237" customFormat="false" ht="15" hidden="true" customHeight="false" outlineLevel="0" collapsed="false">
      <c r="A5237" s="51" t="s">
        <v>129</v>
      </c>
      <c r="B5237" s="55" t="n">
        <v>44834</v>
      </c>
      <c r="C5237" s="51" t="s">
        <v>791</v>
      </c>
      <c r="D5237" s="51" t="n">
        <v>0</v>
      </c>
    </row>
    <row r="5238" customFormat="false" ht="15" hidden="true" customHeight="false" outlineLevel="0" collapsed="false">
      <c r="A5238" s="51" t="s">
        <v>134</v>
      </c>
      <c r="B5238" s="55" t="n">
        <v>44834</v>
      </c>
      <c r="C5238" s="51" t="s">
        <v>791</v>
      </c>
      <c r="D5238" s="51" t="n">
        <v>-542757.75</v>
      </c>
    </row>
    <row r="5239" customFormat="false" ht="15" hidden="true" customHeight="false" outlineLevel="0" collapsed="false">
      <c r="A5239" s="51" t="s">
        <v>141</v>
      </c>
      <c r="B5239" s="55" t="n">
        <v>44834</v>
      </c>
      <c r="C5239" s="51" t="s">
        <v>791</v>
      </c>
      <c r="D5239" s="51" t="n">
        <v>0</v>
      </c>
    </row>
    <row r="5240" customFormat="false" ht="15" hidden="true" customHeight="false" outlineLevel="0" collapsed="false">
      <c r="A5240" s="51" t="s">
        <v>146</v>
      </c>
      <c r="B5240" s="55" t="n">
        <v>44834</v>
      </c>
      <c r="C5240" s="51" t="s">
        <v>791</v>
      </c>
      <c r="D5240" s="51" t="n">
        <v>0</v>
      </c>
    </row>
    <row r="5241" customFormat="false" ht="15" hidden="true" customHeight="false" outlineLevel="0" collapsed="false">
      <c r="A5241" s="51" t="s">
        <v>151</v>
      </c>
      <c r="B5241" s="55" t="n">
        <v>44834</v>
      </c>
      <c r="C5241" s="51" t="s">
        <v>791</v>
      </c>
      <c r="D5241" s="51" t="n">
        <v>0</v>
      </c>
    </row>
    <row r="5242" customFormat="false" ht="15" hidden="true" customHeight="false" outlineLevel="0" collapsed="false">
      <c r="A5242" s="51" t="s">
        <v>156</v>
      </c>
      <c r="B5242" s="55" t="n">
        <v>44834</v>
      </c>
      <c r="C5242" s="51" t="s">
        <v>791</v>
      </c>
      <c r="D5242" s="51" t="n">
        <v>0</v>
      </c>
    </row>
    <row r="5243" customFormat="false" ht="15" hidden="true" customHeight="false" outlineLevel="0" collapsed="false">
      <c r="A5243" s="51" t="s">
        <v>161</v>
      </c>
      <c r="B5243" s="55" t="n">
        <v>44834</v>
      </c>
      <c r="C5243" s="51" t="s">
        <v>791</v>
      </c>
      <c r="D5243" s="51" t="n">
        <v>0</v>
      </c>
    </row>
    <row r="5244" customFormat="false" ht="15" hidden="true" customHeight="false" outlineLevel="0" collapsed="false">
      <c r="A5244" s="51" t="s">
        <v>166</v>
      </c>
      <c r="B5244" s="55" t="n">
        <v>44834</v>
      </c>
      <c r="C5244" s="51" t="s">
        <v>791</v>
      </c>
      <c r="D5244" s="51" t="n">
        <v>-715000</v>
      </c>
    </row>
    <row r="5245" customFormat="false" ht="15" hidden="true" customHeight="false" outlineLevel="0" collapsed="false">
      <c r="A5245" s="51" t="s">
        <v>171</v>
      </c>
      <c r="B5245" s="55" t="n">
        <v>44834</v>
      </c>
      <c r="C5245" s="51" t="s">
        <v>791</v>
      </c>
      <c r="D5245" s="51" t="n">
        <v>0</v>
      </c>
    </row>
    <row r="5246" customFormat="false" ht="15" hidden="true" customHeight="false" outlineLevel="0" collapsed="false">
      <c r="A5246" s="51" t="s">
        <v>176</v>
      </c>
      <c r="B5246" s="55" t="n">
        <v>44834</v>
      </c>
      <c r="C5246" s="51" t="s">
        <v>791</v>
      </c>
      <c r="D5246" s="51" t="n">
        <v>0</v>
      </c>
    </row>
    <row r="5247" customFormat="false" ht="15" hidden="true" customHeight="false" outlineLevel="0" collapsed="false">
      <c r="A5247" s="51" t="s">
        <v>181</v>
      </c>
      <c r="B5247" s="55" t="n">
        <v>44834</v>
      </c>
      <c r="C5247" s="51" t="s">
        <v>791</v>
      </c>
      <c r="D5247" s="51" t="n">
        <v>-750000</v>
      </c>
    </row>
    <row r="5248" customFormat="false" ht="15" hidden="true" customHeight="false" outlineLevel="0" collapsed="false">
      <c r="A5248" s="51" t="s">
        <v>186</v>
      </c>
      <c r="B5248" s="55" t="n">
        <v>44834</v>
      </c>
      <c r="C5248" s="51" t="s">
        <v>791</v>
      </c>
      <c r="D5248" s="51" t="n">
        <v>0</v>
      </c>
    </row>
    <row r="5249" customFormat="false" ht="15" hidden="true" customHeight="false" outlineLevel="0" collapsed="false">
      <c r="A5249" s="51" t="s">
        <v>191</v>
      </c>
      <c r="B5249" s="55" t="n">
        <v>44834</v>
      </c>
      <c r="C5249" s="51" t="s">
        <v>791</v>
      </c>
      <c r="D5249" s="51" t="n">
        <v>0</v>
      </c>
    </row>
    <row r="5250" customFormat="false" ht="15" hidden="true" customHeight="false" outlineLevel="0" collapsed="false">
      <c r="A5250" s="51" t="s">
        <v>196</v>
      </c>
      <c r="B5250" s="55" t="n">
        <v>44834</v>
      </c>
      <c r="C5250" s="51" t="s">
        <v>791</v>
      </c>
      <c r="D5250" s="51" t="n">
        <v>0</v>
      </c>
    </row>
    <row r="5251" customFormat="false" ht="15" hidden="true" customHeight="false" outlineLevel="0" collapsed="false">
      <c r="A5251" s="51" t="s">
        <v>201</v>
      </c>
      <c r="B5251" s="55" t="n">
        <v>44834</v>
      </c>
      <c r="C5251" s="51" t="s">
        <v>791</v>
      </c>
      <c r="D5251" s="51" t="n">
        <v>0</v>
      </c>
    </row>
    <row r="5252" customFormat="false" ht="15" hidden="true" customHeight="false" outlineLevel="0" collapsed="false">
      <c r="A5252" s="51" t="s">
        <v>206</v>
      </c>
      <c r="B5252" s="55" t="n">
        <v>44834</v>
      </c>
      <c r="C5252" s="51" t="s">
        <v>791</v>
      </c>
      <c r="D5252" s="51" t="n">
        <v>0</v>
      </c>
    </row>
    <row r="5253" customFormat="false" ht="15" hidden="true" customHeight="false" outlineLevel="0" collapsed="false">
      <c r="A5253" s="51" t="s">
        <v>210</v>
      </c>
      <c r="B5253" s="55" t="n">
        <v>44834</v>
      </c>
      <c r="C5253" s="51" t="s">
        <v>791</v>
      </c>
      <c r="D5253" s="51" t="n">
        <v>0</v>
      </c>
    </row>
    <row r="5254" customFormat="false" ht="15" hidden="true" customHeight="false" outlineLevel="0" collapsed="false">
      <c r="A5254" s="51" t="s">
        <v>215</v>
      </c>
      <c r="B5254" s="55" t="n">
        <v>44834</v>
      </c>
      <c r="C5254" s="51" t="s">
        <v>791</v>
      </c>
      <c r="D5254" s="51" t="n">
        <v>0</v>
      </c>
    </row>
    <row r="5255" customFormat="false" ht="15" hidden="true" customHeight="false" outlineLevel="0" collapsed="false">
      <c r="A5255" s="51" t="s">
        <v>790</v>
      </c>
      <c r="B5255" s="55" t="n">
        <v>44834</v>
      </c>
      <c r="C5255" s="51" t="s">
        <v>791</v>
      </c>
      <c r="D5255" s="51" t="n">
        <v>0</v>
      </c>
    </row>
    <row r="5256" customFormat="false" ht="15" hidden="true" customHeight="false" outlineLevel="0" collapsed="false">
      <c r="A5256" s="51" t="s">
        <v>225</v>
      </c>
      <c r="B5256" s="55" t="n">
        <v>44834</v>
      </c>
      <c r="C5256" s="51" t="s">
        <v>791</v>
      </c>
      <c r="D5256" s="51" t="n">
        <v>0</v>
      </c>
    </row>
    <row r="5257" customFormat="false" ht="15" hidden="true" customHeight="false" outlineLevel="0" collapsed="false">
      <c r="A5257" s="51" t="s">
        <v>230</v>
      </c>
      <c r="B5257" s="55" t="n">
        <v>44834</v>
      </c>
      <c r="C5257" s="51" t="s">
        <v>791</v>
      </c>
      <c r="D5257" s="51" t="n">
        <v>-200000</v>
      </c>
    </row>
    <row r="5258" customFormat="false" ht="15" hidden="true" customHeight="false" outlineLevel="0" collapsed="false">
      <c r="A5258" s="51" t="s">
        <v>235</v>
      </c>
      <c r="B5258" s="55" t="n">
        <v>44834</v>
      </c>
      <c r="C5258" s="51" t="s">
        <v>791</v>
      </c>
      <c r="D5258" s="51" t="n">
        <v>0</v>
      </c>
    </row>
    <row r="5259" customFormat="false" ht="15" hidden="true" customHeight="false" outlineLevel="0" collapsed="false">
      <c r="A5259" s="51" t="s">
        <v>240</v>
      </c>
      <c r="B5259" s="55" t="n">
        <v>44834</v>
      </c>
      <c r="C5259" s="51" t="s">
        <v>791</v>
      </c>
      <c r="D5259" s="51" t="n">
        <v>-190700</v>
      </c>
    </row>
    <row r="5260" customFormat="false" ht="15" hidden="true" customHeight="false" outlineLevel="0" collapsed="false">
      <c r="A5260" s="51" t="s">
        <v>246</v>
      </c>
      <c r="B5260" s="55" t="n">
        <v>44834</v>
      </c>
      <c r="C5260" s="51" t="s">
        <v>791</v>
      </c>
      <c r="D5260" s="51" t="n">
        <v>-1000000</v>
      </c>
    </row>
    <row r="5261" customFormat="false" ht="15" hidden="true" customHeight="false" outlineLevel="0" collapsed="false">
      <c r="A5261" s="51" t="s">
        <v>252</v>
      </c>
      <c r="B5261" s="55" t="n">
        <v>44834</v>
      </c>
      <c r="C5261" s="51" t="s">
        <v>791</v>
      </c>
      <c r="D5261" s="51" t="n">
        <v>-1500000</v>
      </c>
    </row>
    <row r="5262" customFormat="false" ht="15" hidden="true" customHeight="false" outlineLevel="0" collapsed="false">
      <c r="A5262" s="51" t="s">
        <v>257</v>
      </c>
      <c r="B5262" s="55" t="n">
        <v>44834</v>
      </c>
      <c r="C5262" s="51" t="s">
        <v>791</v>
      </c>
      <c r="D5262" s="51" t="n">
        <v>-588550</v>
      </c>
    </row>
    <row r="5263" customFormat="false" ht="15" hidden="true" customHeight="false" outlineLevel="0" collapsed="false">
      <c r="A5263" s="51" t="s">
        <v>262</v>
      </c>
      <c r="B5263" s="55" t="n">
        <v>44834</v>
      </c>
      <c r="C5263" s="51" t="s">
        <v>791</v>
      </c>
      <c r="D5263" s="51" t="n">
        <v>0</v>
      </c>
    </row>
    <row r="5264" customFormat="false" ht="15" hidden="true" customHeight="false" outlineLevel="0" collapsed="false">
      <c r="A5264" s="51" t="s">
        <v>267</v>
      </c>
      <c r="B5264" s="55" t="n">
        <v>44834</v>
      </c>
      <c r="C5264" s="51" t="s">
        <v>791</v>
      </c>
      <c r="D5264" s="51" t="n">
        <v>0</v>
      </c>
    </row>
    <row r="5265" customFormat="false" ht="15" hidden="true" customHeight="false" outlineLevel="0" collapsed="false">
      <c r="A5265" s="51" t="s">
        <v>272</v>
      </c>
      <c r="B5265" s="55" t="n">
        <v>44834</v>
      </c>
      <c r="C5265" s="51" t="s">
        <v>791</v>
      </c>
      <c r="D5265" s="51" t="n">
        <v>-159250</v>
      </c>
    </row>
    <row r="5266" customFormat="false" ht="15" hidden="true" customHeight="false" outlineLevel="0" collapsed="false">
      <c r="A5266" s="51" t="s">
        <v>277</v>
      </c>
      <c r="B5266" s="55" t="n">
        <v>44834</v>
      </c>
      <c r="C5266" s="51" t="s">
        <v>791</v>
      </c>
      <c r="D5266" s="51" t="n">
        <v>-53400</v>
      </c>
    </row>
    <row r="5267" customFormat="false" ht="15" hidden="true" customHeight="false" outlineLevel="0" collapsed="false">
      <c r="A5267" s="51" t="s">
        <v>282</v>
      </c>
      <c r="B5267" s="55" t="n">
        <v>44834</v>
      </c>
      <c r="C5267" s="51" t="s">
        <v>791</v>
      </c>
      <c r="D5267" s="51" t="n">
        <v>-500000</v>
      </c>
    </row>
    <row r="5268" customFormat="false" ht="15" hidden="true" customHeight="false" outlineLevel="0" collapsed="false">
      <c r="A5268" s="51" t="s">
        <v>287</v>
      </c>
      <c r="B5268" s="55" t="n">
        <v>44834</v>
      </c>
      <c r="C5268" s="51" t="s">
        <v>791</v>
      </c>
      <c r="D5268" s="51" t="n">
        <v>-800000</v>
      </c>
    </row>
    <row r="5269" customFormat="false" ht="15" hidden="true" customHeight="false" outlineLevel="0" collapsed="false">
      <c r="A5269" s="51" t="s">
        <v>292</v>
      </c>
      <c r="B5269" s="55" t="n">
        <v>44834</v>
      </c>
      <c r="C5269" s="51" t="s">
        <v>791</v>
      </c>
      <c r="D5269" s="51" t="n">
        <v>-600000</v>
      </c>
    </row>
    <row r="5270" customFormat="false" ht="15" hidden="true" customHeight="false" outlineLevel="0" collapsed="false">
      <c r="A5270" s="51" t="s">
        <v>297</v>
      </c>
      <c r="B5270" s="55" t="n">
        <v>44834</v>
      </c>
      <c r="C5270" s="51" t="s">
        <v>791</v>
      </c>
      <c r="D5270" s="51" t="n">
        <v>-240000</v>
      </c>
    </row>
    <row r="5271" customFormat="false" ht="15" hidden="true" customHeight="false" outlineLevel="0" collapsed="false">
      <c r="A5271" s="51" t="s">
        <v>302</v>
      </c>
      <c r="B5271" s="55" t="n">
        <v>44834</v>
      </c>
      <c r="C5271" s="51" t="s">
        <v>791</v>
      </c>
      <c r="D5271" s="51" t="n">
        <v>-200000</v>
      </c>
    </row>
    <row r="5272" customFormat="false" ht="15" hidden="true" customHeight="false" outlineLevel="0" collapsed="false">
      <c r="A5272" s="51" t="s">
        <v>307</v>
      </c>
      <c r="B5272" s="55" t="n">
        <v>44834</v>
      </c>
      <c r="C5272" s="51" t="s">
        <v>791</v>
      </c>
      <c r="D5272" s="51" t="n">
        <v>-412500</v>
      </c>
    </row>
    <row r="5273" customFormat="false" ht="15" hidden="true" customHeight="false" outlineLevel="0" collapsed="false">
      <c r="A5273" s="51" t="s">
        <v>311</v>
      </c>
      <c r="B5273" s="55" t="n">
        <v>44834</v>
      </c>
      <c r="C5273" s="51" t="s">
        <v>791</v>
      </c>
      <c r="D5273" s="51" t="n">
        <v>-1200000</v>
      </c>
    </row>
    <row r="5274" customFormat="false" ht="15" hidden="true" customHeight="false" outlineLevel="0" collapsed="false">
      <c r="A5274" s="51" t="s">
        <v>317</v>
      </c>
      <c r="B5274" s="55" t="n">
        <v>44834</v>
      </c>
      <c r="C5274" s="51" t="s">
        <v>791</v>
      </c>
      <c r="D5274" s="51" t="n">
        <v>-643000</v>
      </c>
    </row>
    <row r="5275" customFormat="false" ht="15" hidden="true" customHeight="false" outlineLevel="0" collapsed="false">
      <c r="A5275" s="51" t="s">
        <v>322</v>
      </c>
      <c r="B5275" s="55" t="n">
        <v>44834</v>
      </c>
      <c r="C5275" s="51" t="s">
        <v>791</v>
      </c>
      <c r="D5275" s="51" t="n">
        <v>1690000</v>
      </c>
    </row>
    <row r="5276" customFormat="false" ht="15" hidden="true" customHeight="false" outlineLevel="0" collapsed="false">
      <c r="A5276" s="51" t="s">
        <v>327</v>
      </c>
      <c r="B5276" s="55" t="n">
        <v>44834</v>
      </c>
      <c r="C5276" s="51" t="s">
        <v>791</v>
      </c>
      <c r="D5276" s="51" t="n">
        <v>2250000</v>
      </c>
    </row>
    <row r="5277" customFormat="false" ht="15" hidden="true" customHeight="false" outlineLevel="0" collapsed="false">
      <c r="A5277" s="51" t="s">
        <v>332</v>
      </c>
      <c r="B5277" s="55" t="n">
        <v>44834</v>
      </c>
      <c r="C5277" s="51" t="s">
        <v>791</v>
      </c>
      <c r="D5277" s="51" t="n">
        <v>14000</v>
      </c>
    </row>
    <row r="5278" customFormat="false" ht="15" hidden="true" customHeight="false" outlineLevel="0" collapsed="false">
      <c r="A5278" s="51" t="s">
        <v>339</v>
      </c>
      <c r="B5278" s="55" t="n">
        <v>44834</v>
      </c>
      <c r="C5278" s="51" t="s">
        <v>791</v>
      </c>
      <c r="D5278" s="51" t="n">
        <v>130000</v>
      </c>
    </row>
    <row r="5279" customFormat="false" ht="15" hidden="true" customHeight="false" outlineLevel="0" collapsed="false">
      <c r="A5279" s="51" t="s">
        <v>344</v>
      </c>
      <c r="B5279" s="55" t="n">
        <v>44834</v>
      </c>
      <c r="C5279" s="51" t="s">
        <v>791</v>
      </c>
      <c r="D5279" s="51" t="n">
        <v>1000000</v>
      </c>
    </row>
    <row r="5280" customFormat="false" ht="15" hidden="true" customHeight="false" outlineLevel="0" collapsed="false">
      <c r="A5280" s="51" t="s">
        <v>349</v>
      </c>
      <c r="B5280" s="55" t="n">
        <v>44834</v>
      </c>
      <c r="C5280" s="51" t="s">
        <v>791</v>
      </c>
      <c r="D5280" s="51" t="n">
        <v>0</v>
      </c>
    </row>
    <row r="5281" customFormat="false" ht="15" hidden="true" customHeight="false" outlineLevel="0" collapsed="false">
      <c r="A5281" s="51" t="s">
        <v>354</v>
      </c>
      <c r="B5281" s="55" t="n">
        <v>44834</v>
      </c>
      <c r="C5281" s="51" t="s">
        <v>791</v>
      </c>
      <c r="D5281" s="51" t="n">
        <v>0</v>
      </c>
    </row>
    <row r="5282" customFormat="false" ht="15" hidden="true" customHeight="false" outlineLevel="0" collapsed="false">
      <c r="A5282" s="51" t="s">
        <v>359</v>
      </c>
      <c r="B5282" s="55" t="n">
        <v>44834</v>
      </c>
      <c r="C5282" s="51" t="s">
        <v>791</v>
      </c>
      <c r="D5282" s="51" t="n">
        <v>0</v>
      </c>
    </row>
    <row r="5283" customFormat="false" ht="15" hidden="true" customHeight="false" outlineLevel="0" collapsed="false">
      <c r="A5283" s="51" t="s">
        <v>364</v>
      </c>
      <c r="B5283" s="55" t="n">
        <v>44834</v>
      </c>
      <c r="C5283" s="51" t="s">
        <v>791</v>
      </c>
      <c r="D5283" s="51" t="n">
        <v>0</v>
      </c>
    </row>
    <row r="5284" customFormat="false" ht="15" hidden="true" customHeight="false" outlineLevel="0" collapsed="false">
      <c r="A5284" s="51" t="s">
        <v>369</v>
      </c>
      <c r="B5284" s="55" t="n">
        <v>44834</v>
      </c>
      <c r="C5284" s="51" t="s">
        <v>791</v>
      </c>
      <c r="D5284" s="51" t="n">
        <v>0</v>
      </c>
    </row>
    <row r="5285" customFormat="false" ht="15" hidden="true" customHeight="false" outlineLevel="0" collapsed="false">
      <c r="A5285" s="51" t="s">
        <v>374</v>
      </c>
      <c r="B5285" s="55" t="n">
        <v>44834</v>
      </c>
      <c r="C5285" s="51" t="s">
        <v>791</v>
      </c>
      <c r="D5285" s="51" t="n">
        <v>0</v>
      </c>
    </row>
    <row r="5286" customFormat="false" ht="15" hidden="true" customHeight="false" outlineLevel="0" collapsed="false">
      <c r="A5286" s="51" t="s">
        <v>379</v>
      </c>
      <c r="B5286" s="55" t="n">
        <v>44834</v>
      </c>
      <c r="C5286" s="51" t="s">
        <v>791</v>
      </c>
      <c r="D5286" s="51" t="n">
        <v>0</v>
      </c>
    </row>
    <row r="5287" customFormat="false" ht="15" hidden="true" customHeight="false" outlineLevel="0" collapsed="false">
      <c r="A5287" s="51" t="s">
        <v>384</v>
      </c>
      <c r="B5287" s="55" t="n">
        <v>44834</v>
      </c>
      <c r="C5287" s="51" t="s">
        <v>791</v>
      </c>
      <c r="D5287" s="51" t="n">
        <v>0</v>
      </c>
    </row>
    <row r="5288" customFormat="false" ht="15" hidden="true" customHeight="false" outlineLevel="0" collapsed="false">
      <c r="A5288" s="51" t="s">
        <v>389</v>
      </c>
      <c r="B5288" s="55" t="n">
        <v>44834</v>
      </c>
      <c r="C5288" s="51" t="s">
        <v>791</v>
      </c>
      <c r="D5288" s="51" t="n">
        <v>0</v>
      </c>
    </row>
    <row r="5289" customFormat="false" ht="15" hidden="true" customHeight="false" outlineLevel="0" collapsed="false">
      <c r="A5289" s="51" t="s">
        <v>394</v>
      </c>
      <c r="B5289" s="55" t="n">
        <v>44834</v>
      </c>
      <c r="C5289" s="51" t="s">
        <v>791</v>
      </c>
      <c r="D5289" s="51" t="n">
        <v>0</v>
      </c>
    </row>
    <row r="5290" customFormat="false" ht="15" hidden="true" customHeight="false" outlineLevel="0" collapsed="false">
      <c r="A5290" s="51" t="s">
        <v>399</v>
      </c>
      <c r="B5290" s="55" t="n">
        <v>44834</v>
      </c>
      <c r="C5290" s="51" t="s">
        <v>791</v>
      </c>
      <c r="D5290" s="51" t="n">
        <v>0</v>
      </c>
    </row>
    <row r="5291" customFormat="false" ht="15" hidden="true" customHeight="false" outlineLevel="0" collapsed="false">
      <c r="A5291" s="51" t="s">
        <v>404</v>
      </c>
      <c r="B5291" s="55" t="n">
        <v>44834</v>
      </c>
      <c r="C5291" s="51" t="s">
        <v>791</v>
      </c>
      <c r="D5291" s="51" t="n">
        <v>0</v>
      </c>
    </row>
    <row r="5292" customFormat="false" ht="15" hidden="true" customHeight="false" outlineLevel="0" collapsed="false">
      <c r="A5292" s="51" t="s">
        <v>409</v>
      </c>
      <c r="B5292" s="55" t="n">
        <v>44834</v>
      </c>
      <c r="C5292" s="51" t="s">
        <v>791</v>
      </c>
      <c r="D5292" s="51" t="n">
        <v>0</v>
      </c>
    </row>
    <row r="5293" customFormat="false" ht="15" hidden="true" customHeight="false" outlineLevel="0" collapsed="false">
      <c r="A5293" s="51" t="s">
        <v>414</v>
      </c>
      <c r="B5293" s="55" t="n">
        <v>44834</v>
      </c>
      <c r="C5293" s="51" t="s">
        <v>791</v>
      </c>
      <c r="D5293" s="51" t="n">
        <v>0</v>
      </c>
    </row>
    <row r="5294" customFormat="false" ht="15" hidden="true" customHeight="false" outlineLevel="0" collapsed="false">
      <c r="A5294" s="51" t="s">
        <v>419</v>
      </c>
      <c r="B5294" s="55" t="n">
        <v>44834</v>
      </c>
      <c r="C5294" s="51" t="s">
        <v>791</v>
      </c>
      <c r="D5294" s="51" t="n">
        <v>0</v>
      </c>
    </row>
    <row r="5295" customFormat="false" ht="15" hidden="true" customHeight="false" outlineLevel="0" collapsed="false">
      <c r="A5295" s="51" t="s">
        <v>424</v>
      </c>
      <c r="B5295" s="55" t="n">
        <v>44834</v>
      </c>
      <c r="C5295" s="51" t="s">
        <v>791</v>
      </c>
      <c r="D5295" s="51" t="n">
        <v>0</v>
      </c>
    </row>
    <row r="5296" customFormat="false" ht="15" hidden="true" customHeight="false" outlineLevel="0" collapsed="false">
      <c r="A5296" s="51" t="s">
        <v>429</v>
      </c>
      <c r="B5296" s="55" t="n">
        <v>44834</v>
      </c>
      <c r="C5296" s="51" t="s">
        <v>791</v>
      </c>
      <c r="D5296" s="51" t="n">
        <v>0</v>
      </c>
    </row>
    <row r="5297" customFormat="false" ht="15" hidden="true" customHeight="false" outlineLevel="0" collapsed="false">
      <c r="A5297" s="51" t="s">
        <v>434</v>
      </c>
      <c r="B5297" s="55" t="n">
        <v>44834</v>
      </c>
      <c r="C5297" s="51" t="s">
        <v>791</v>
      </c>
      <c r="D5297" s="51" t="n">
        <v>0</v>
      </c>
    </row>
    <row r="5298" customFormat="false" ht="15" hidden="true" customHeight="false" outlineLevel="0" collapsed="false">
      <c r="A5298" s="51" t="s">
        <v>438</v>
      </c>
      <c r="B5298" s="55" t="n">
        <v>44834</v>
      </c>
      <c r="C5298" s="51" t="s">
        <v>791</v>
      </c>
      <c r="D5298" s="51" t="n">
        <v>0</v>
      </c>
    </row>
    <row r="5299" customFormat="false" ht="15" hidden="true" customHeight="false" outlineLevel="0" collapsed="false">
      <c r="A5299" s="51" t="s">
        <v>443</v>
      </c>
      <c r="B5299" s="55" t="n">
        <v>44834</v>
      </c>
      <c r="C5299" s="51" t="s">
        <v>791</v>
      </c>
      <c r="D5299" s="51" t="n">
        <v>0</v>
      </c>
    </row>
    <row r="5300" customFormat="false" ht="15" hidden="true" customHeight="false" outlineLevel="0" collapsed="false">
      <c r="A5300" s="51" t="s">
        <v>448</v>
      </c>
      <c r="B5300" s="55" t="n">
        <v>44834</v>
      </c>
      <c r="C5300" s="51" t="s">
        <v>791</v>
      </c>
      <c r="D5300" s="51" t="n">
        <v>0</v>
      </c>
    </row>
    <row r="5301" customFormat="false" ht="15" hidden="true" customHeight="false" outlineLevel="0" collapsed="false">
      <c r="A5301" s="51" t="s">
        <v>453</v>
      </c>
      <c r="B5301" s="55" t="n">
        <v>44834</v>
      </c>
      <c r="C5301" s="51" t="s">
        <v>791</v>
      </c>
      <c r="D5301" s="51" t="n">
        <v>0</v>
      </c>
    </row>
    <row r="5302" customFormat="false" ht="15" hidden="true" customHeight="false" outlineLevel="0" collapsed="false">
      <c r="A5302" s="51" t="s">
        <v>458</v>
      </c>
      <c r="B5302" s="55" t="n">
        <v>44834</v>
      </c>
      <c r="C5302" s="51" t="s">
        <v>791</v>
      </c>
      <c r="D5302" s="51" t="n">
        <v>0</v>
      </c>
    </row>
    <row r="5303" customFormat="false" ht="15" hidden="true" customHeight="false" outlineLevel="0" collapsed="false">
      <c r="A5303" s="51" t="s">
        <v>473</v>
      </c>
      <c r="B5303" s="55" t="n">
        <v>44834</v>
      </c>
      <c r="C5303" s="51" t="s">
        <v>791</v>
      </c>
      <c r="D5303" s="51" t="n">
        <v>0</v>
      </c>
    </row>
    <row r="5304" customFormat="false" ht="15" hidden="true" customHeight="false" outlineLevel="0" collapsed="false">
      <c r="A5304" s="51" t="s">
        <v>479</v>
      </c>
      <c r="B5304" s="55" t="n">
        <v>44834</v>
      </c>
      <c r="C5304" s="51" t="s">
        <v>791</v>
      </c>
      <c r="D5304" s="51" t="n">
        <v>0</v>
      </c>
    </row>
    <row r="5305" customFormat="false" ht="15" hidden="true" customHeight="false" outlineLevel="0" collapsed="false">
      <c r="A5305" s="51" t="s">
        <v>484</v>
      </c>
      <c r="B5305" s="55" t="n">
        <v>44834</v>
      </c>
      <c r="C5305" s="51" t="s">
        <v>791</v>
      </c>
      <c r="D5305" s="51" t="n">
        <v>0</v>
      </c>
    </row>
    <row r="5306" customFormat="false" ht="15" hidden="true" customHeight="false" outlineLevel="0" collapsed="false">
      <c r="A5306" s="51" t="s">
        <v>489</v>
      </c>
      <c r="B5306" s="55" t="n">
        <v>44834</v>
      </c>
      <c r="C5306" s="51" t="s">
        <v>791</v>
      </c>
      <c r="D5306" s="51" t="n">
        <v>0</v>
      </c>
    </row>
    <row r="5307" customFormat="false" ht="15" hidden="true" customHeight="false" outlineLevel="0" collapsed="false">
      <c r="A5307" s="51" t="s">
        <v>494</v>
      </c>
      <c r="B5307" s="55" t="n">
        <v>44834</v>
      </c>
      <c r="C5307" s="51" t="s">
        <v>791</v>
      </c>
      <c r="D5307" s="51" t="n">
        <v>0</v>
      </c>
    </row>
    <row r="5308" customFormat="false" ht="15" hidden="true" customHeight="false" outlineLevel="0" collapsed="false">
      <c r="A5308" s="51" t="s">
        <v>499</v>
      </c>
      <c r="B5308" s="55" t="n">
        <v>44834</v>
      </c>
      <c r="C5308" s="51" t="s">
        <v>791</v>
      </c>
      <c r="D5308" s="51" t="n">
        <v>0</v>
      </c>
    </row>
    <row r="5309" customFormat="false" ht="15" hidden="true" customHeight="false" outlineLevel="0" collapsed="false">
      <c r="A5309" s="51" t="s">
        <v>504</v>
      </c>
      <c r="B5309" s="55" t="n">
        <v>44834</v>
      </c>
      <c r="C5309" s="51" t="s">
        <v>791</v>
      </c>
      <c r="D5309" s="51" t="n">
        <v>0</v>
      </c>
    </row>
    <row r="5310" customFormat="false" ht="15" hidden="true" customHeight="false" outlineLevel="0" collapsed="false">
      <c r="A5310" s="51" t="s">
        <v>509</v>
      </c>
      <c r="B5310" s="55" t="n">
        <v>44834</v>
      </c>
      <c r="C5310" s="51" t="s">
        <v>791</v>
      </c>
      <c r="D5310" s="51" t="n">
        <v>0</v>
      </c>
    </row>
    <row r="5311" customFormat="false" ht="15" hidden="true" customHeight="false" outlineLevel="0" collapsed="false">
      <c r="A5311" s="51" t="s">
        <v>515</v>
      </c>
      <c r="B5311" s="55" t="n">
        <v>44834</v>
      </c>
      <c r="C5311" s="51" t="s">
        <v>791</v>
      </c>
      <c r="D5311" s="51" t="n">
        <v>0</v>
      </c>
    </row>
    <row r="5312" customFormat="false" ht="15" hidden="true" customHeight="false" outlineLevel="0" collapsed="false">
      <c r="A5312" s="51" t="s">
        <v>520</v>
      </c>
      <c r="B5312" s="55" t="n">
        <v>44834</v>
      </c>
      <c r="C5312" s="51" t="s">
        <v>791</v>
      </c>
      <c r="D5312" s="51" t="n">
        <v>0</v>
      </c>
    </row>
    <row r="5313" customFormat="false" ht="15" hidden="true" customHeight="false" outlineLevel="0" collapsed="false">
      <c r="A5313" s="51" t="s">
        <v>525</v>
      </c>
      <c r="B5313" s="55" t="n">
        <v>44834</v>
      </c>
      <c r="C5313" s="51" t="s">
        <v>791</v>
      </c>
      <c r="D5313" s="51" t="n">
        <v>0</v>
      </c>
    </row>
    <row r="5314" customFormat="false" ht="15" hidden="true" customHeight="false" outlineLevel="0" collapsed="false">
      <c r="A5314" s="51" t="s">
        <v>531</v>
      </c>
      <c r="B5314" s="55" t="n">
        <v>44834</v>
      </c>
      <c r="C5314" s="51" t="s">
        <v>791</v>
      </c>
      <c r="D5314" s="51" t="n">
        <v>0</v>
      </c>
    </row>
    <row r="5315" customFormat="false" ht="15" hidden="true" customHeight="false" outlineLevel="0" collapsed="false">
      <c r="A5315" s="51" t="s">
        <v>536</v>
      </c>
      <c r="B5315" s="55" t="n">
        <v>44834</v>
      </c>
      <c r="C5315" s="51" t="s">
        <v>791</v>
      </c>
      <c r="D5315" s="51" t="n">
        <v>0</v>
      </c>
    </row>
    <row r="5316" customFormat="false" ht="15" hidden="true" customHeight="false" outlineLevel="0" collapsed="false">
      <c r="A5316" s="51" t="s">
        <v>541</v>
      </c>
      <c r="B5316" s="55" t="n">
        <v>44834</v>
      </c>
      <c r="C5316" s="51" t="s">
        <v>791</v>
      </c>
      <c r="D5316" s="51" t="n">
        <v>0</v>
      </c>
    </row>
    <row r="5317" customFormat="false" ht="15" hidden="true" customHeight="false" outlineLevel="0" collapsed="false">
      <c r="A5317" s="51" t="s">
        <v>549</v>
      </c>
      <c r="B5317" s="55" t="n">
        <v>44834</v>
      </c>
      <c r="C5317" s="51" t="s">
        <v>791</v>
      </c>
      <c r="D5317" s="51" t="n">
        <v>0</v>
      </c>
    </row>
    <row r="5318" customFormat="false" ht="15" hidden="true" customHeight="false" outlineLevel="0" collapsed="false">
      <c r="A5318" s="51" t="s">
        <v>554</v>
      </c>
      <c r="B5318" s="55" t="n">
        <v>44834</v>
      </c>
      <c r="C5318" s="51" t="s">
        <v>791</v>
      </c>
      <c r="D5318" s="51" t="n">
        <v>0</v>
      </c>
    </row>
    <row r="5319" customFormat="false" ht="15" hidden="true" customHeight="false" outlineLevel="0" collapsed="false">
      <c r="A5319" s="51" t="s">
        <v>559</v>
      </c>
      <c r="B5319" s="55" t="n">
        <v>44834</v>
      </c>
      <c r="C5319" s="51" t="s">
        <v>791</v>
      </c>
      <c r="D5319" s="51" t="n">
        <v>0</v>
      </c>
    </row>
    <row r="5320" customFormat="false" ht="15" hidden="true" customHeight="false" outlineLevel="0" collapsed="false">
      <c r="A5320" s="51" t="s">
        <v>564</v>
      </c>
      <c r="B5320" s="55" t="n">
        <v>44834</v>
      </c>
      <c r="C5320" s="51" t="s">
        <v>791</v>
      </c>
      <c r="D5320" s="51" t="n">
        <v>0</v>
      </c>
    </row>
    <row r="5321" customFormat="false" ht="15" hidden="true" customHeight="false" outlineLevel="0" collapsed="false">
      <c r="A5321" s="51" t="s">
        <v>569</v>
      </c>
      <c r="B5321" s="55" t="n">
        <v>44834</v>
      </c>
      <c r="C5321" s="51" t="s">
        <v>791</v>
      </c>
      <c r="D5321" s="51" t="n">
        <v>0</v>
      </c>
    </row>
    <row r="5322" customFormat="false" ht="15" hidden="true" customHeight="false" outlineLevel="0" collapsed="false">
      <c r="A5322" s="51" t="s">
        <v>574</v>
      </c>
      <c r="B5322" s="55" t="n">
        <v>44834</v>
      </c>
      <c r="C5322" s="51" t="s">
        <v>791</v>
      </c>
      <c r="D5322" s="51" t="n">
        <v>0</v>
      </c>
    </row>
    <row r="5323" customFormat="false" ht="15" hidden="true" customHeight="false" outlineLevel="0" collapsed="false">
      <c r="A5323" s="51" t="s">
        <v>579</v>
      </c>
      <c r="B5323" s="55" t="n">
        <v>44834</v>
      </c>
      <c r="C5323" s="51" t="s">
        <v>791</v>
      </c>
      <c r="D5323" s="51" t="n">
        <v>0</v>
      </c>
    </row>
    <row r="5324" customFormat="false" ht="15" hidden="true" customHeight="false" outlineLevel="0" collapsed="false">
      <c r="A5324" s="51" t="s">
        <v>584</v>
      </c>
      <c r="B5324" s="55" t="n">
        <v>44834</v>
      </c>
      <c r="C5324" s="51" t="s">
        <v>791</v>
      </c>
      <c r="D5324" s="51" t="n">
        <v>0</v>
      </c>
    </row>
    <row r="5325" customFormat="false" ht="15" hidden="true" customHeight="false" outlineLevel="0" collapsed="false">
      <c r="A5325" s="51" t="s">
        <v>589</v>
      </c>
      <c r="B5325" s="55" t="n">
        <v>44834</v>
      </c>
      <c r="C5325" s="51" t="s">
        <v>791</v>
      </c>
      <c r="D5325" s="51" t="n">
        <v>0</v>
      </c>
    </row>
    <row r="5326" customFormat="false" ht="15" hidden="true" customHeight="false" outlineLevel="0" collapsed="false">
      <c r="A5326" s="51" t="s">
        <v>756</v>
      </c>
      <c r="B5326" s="55" t="n">
        <v>44834</v>
      </c>
      <c r="C5326" s="51" t="s">
        <v>791</v>
      </c>
      <c r="D5326" s="51" t="n">
        <v>0</v>
      </c>
    </row>
    <row r="5327" customFormat="false" ht="15" hidden="true" customHeight="false" outlineLevel="0" collapsed="false">
      <c r="A5327" s="51" t="s">
        <v>594</v>
      </c>
      <c r="B5327" s="55" t="n">
        <v>44834</v>
      </c>
      <c r="C5327" s="51" t="s">
        <v>791</v>
      </c>
      <c r="D5327" s="51" t="n">
        <v>0</v>
      </c>
    </row>
    <row r="5328" customFormat="false" ht="15" hidden="true" customHeight="false" outlineLevel="0" collapsed="false">
      <c r="A5328" s="51" t="s">
        <v>761</v>
      </c>
      <c r="B5328" s="55" t="n">
        <v>44834</v>
      </c>
      <c r="C5328" s="51" t="s">
        <v>791</v>
      </c>
      <c r="D5328" s="51" t="n">
        <v>0</v>
      </c>
    </row>
    <row r="5329" customFormat="false" ht="15" hidden="true" customHeight="false" outlineLevel="0" collapsed="false">
      <c r="A5329" s="51" t="s">
        <v>599</v>
      </c>
      <c r="B5329" s="55" t="n">
        <v>44834</v>
      </c>
      <c r="C5329" s="51" t="s">
        <v>791</v>
      </c>
      <c r="D5329" s="51" t="n">
        <v>0</v>
      </c>
    </row>
    <row r="5330" customFormat="false" ht="15" hidden="true" customHeight="false" outlineLevel="0" collapsed="false">
      <c r="A5330" s="51" t="s">
        <v>604</v>
      </c>
      <c r="B5330" s="55" t="n">
        <v>44834</v>
      </c>
      <c r="C5330" s="51" t="s">
        <v>791</v>
      </c>
      <c r="D5330" s="51" t="n">
        <v>0</v>
      </c>
    </row>
    <row r="5331" customFormat="false" ht="15" hidden="true" customHeight="false" outlineLevel="0" collapsed="false">
      <c r="A5331" s="51" t="s">
        <v>609</v>
      </c>
      <c r="B5331" s="55" t="n">
        <v>44834</v>
      </c>
      <c r="C5331" s="51" t="s">
        <v>791</v>
      </c>
      <c r="D5331" s="51" t="n">
        <v>0</v>
      </c>
    </row>
    <row r="5332" customFormat="false" ht="15" hidden="true" customHeight="false" outlineLevel="0" collapsed="false">
      <c r="A5332" s="51" t="s">
        <v>614</v>
      </c>
      <c r="B5332" s="55" t="n">
        <v>44834</v>
      </c>
      <c r="C5332" s="51" t="s">
        <v>791</v>
      </c>
      <c r="D5332" s="51" t="n">
        <v>0</v>
      </c>
    </row>
    <row r="5333" customFormat="false" ht="15" hidden="true" customHeight="false" outlineLevel="0" collapsed="false">
      <c r="A5333" s="51" t="s">
        <v>619</v>
      </c>
      <c r="B5333" s="55" t="n">
        <v>44834</v>
      </c>
      <c r="C5333" s="51" t="s">
        <v>791</v>
      </c>
      <c r="D5333" s="51" t="n">
        <v>0</v>
      </c>
    </row>
    <row r="5334" customFormat="false" ht="15" hidden="true" customHeight="false" outlineLevel="0" collapsed="false">
      <c r="A5334" s="51" t="s">
        <v>624</v>
      </c>
      <c r="B5334" s="55" t="n">
        <v>44834</v>
      </c>
      <c r="C5334" s="51" t="s">
        <v>791</v>
      </c>
      <c r="D5334" s="51" t="n">
        <v>0</v>
      </c>
    </row>
    <row r="5335" customFormat="false" ht="15" hidden="true" customHeight="false" outlineLevel="0" collapsed="false">
      <c r="A5335" s="51" t="s">
        <v>629</v>
      </c>
      <c r="B5335" s="55" t="n">
        <v>44834</v>
      </c>
      <c r="C5335" s="51" t="s">
        <v>791</v>
      </c>
      <c r="D5335" s="51" t="n">
        <v>0</v>
      </c>
    </row>
    <row r="5336" customFormat="false" ht="15" hidden="true" customHeight="false" outlineLevel="0" collapsed="false">
      <c r="A5336" s="51" t="s">
        <v>633</v>
      </c>
      <c r="B5336" s="55" t="n">
        <v>44834</v>
      </c>
      <c r="C5336" s="51" t="s">
        <v>791</v>
      </c>
      <c r="D5336" s="51" t="n">
        <v>0</v>
      </c>
    </row>
    <row r="5337" customFormat="false" ht="15" hidden="true" customHeight="false" outlineLevel="0" collapsed="false">
      <c r="A5337" s="51" t="s">
        <v>638</v>
      </c>
      <c r="B5337" s="55" t="n">
        <v>44834</v>
      </c>
      <c r="C5337" s="51" t="s">
        <v>791</v>
      </c>
      <c r="D5337" s="51" t="n">
        <v>0</v>
      </c>
    </row>
    <row r="5338" customFormat="false" ht="15" hidden="true" customHeight="false" outlineLevel="0" collapsed="false">
      <c r="A5338" s="51" t="s">
        <v>642</v>
      </c>
      <c r="B5338" s="55" t="n">
        <v>44834</v>
      </c>
      <c r="C5338" s="51" t="s">
        <v>791</v>
      </c>
      <c r="D5338" s="51" t="n">
        <v>0</v>
      </c>
    </row>
    <row r="5339" customFormat="false" ht="15" hidden="true" customHeight="false" outlineLevel="0" collapsed="false">
      <c r="A5339" s="51" t="s">
        <v>646</v>
      </c>
      <c r="B5339" s="55" t="n">
        <v>44834</v>
      </c>
      <c r="C5339" s="51" t="s">
        <v>791</v>
      </c>
      <c r="D5339" s="51" t="n">
        <v>0</v>
      </c>
    </row>
    <row r="5340" customFormat="false" ht="15" hidden="true" customHeight="false" outlineLevel="0" collapsed="false">
      <c r="A5340" s="51" t="s">
        <v>651</v>
      </c>
      <c r="B5340" s="55" t="n">
        <v>44834</v>
      </c>
      <c r="C5340" s="51" t="s">
        <v>791</v>
      </c>
      <c r="D5340" s="51" t="n">
        <v>0</v>
      </c>
    </row>
    <row r="5341" customFormat="false" ht="15" hidden="true" customHeight="false" outlineLevel="0" collapsed="false">
      <c r="A5341" s="51" t="s">
        <v>656</v>
      </c>
      <c r="B5341" s="55" t="n">
        <v>44834</v>
      </c>
      <c r="C5341" s="51" t="s">
        <v>791</v>
      </c>
      <c r="D5341" s="51" t="n">
        <v>0</v>
      </c>
    </row>
    <row r="5342" customFormat="false" ht="15" hidden="true" customHeight="false" outlineLevel="0" collapsed="false">
      <c r="A5342" s="51" t="s">
        <v>661</v>
      </c>
      <c r="B5342" s="55" t="n">
        <v>44834</v>
      </c>
      <c r="C5342" s="51" t="s">
        <v>791</v>
      </c>
      <c r="D5342" s="51" t="n">
        <v>0</v>
      </c>
    </row>
    <row r="5343" customFormat="false" ht="15" hidden="true" customHeight="false" outlineLevel="0" collapsed="false">
      <c r="A5343" s="51" t="s">
        <v>666</v>
      </c>
      <c r="B5343" s="55" t="n">
        <v>44834</v>
      </c>
      <c r="C5343" s="51" t="s">
        <v>791</v>
      </c>
      <c r="D5343" s="51" t="n">
        <v>0</v>
      </c>
    </row>
    <row r="5344" customFormat="false" ht="15" hidden="true" customHeight="false" outlineLevel="0" collapsed="false">
      <c r="A5344" s="51" t="s">
        <v>671</v>
      </c>
      <c r="B5344" s="55" t="n">
        <v>44834</v>
      </c>
      <c r="C5344" s="51" t="s">
        <v>791</v>
      </c>
      <c r="D5344" s="51" t="n">
        <v>0</v>
      </c>
    </row>
    <row r="5345" customFormat="false" ht="15" hidden="true" customHeight="false" outlineLevel="0" collapsed="false">
      <c r="A5345" s="51" t="s">
        <v>676</v>
      </c>
      <c r="B5345" s="55" t="n">
        <v>44834</v>
      </c>
      <c r="C5345" s="51" t="s">
        <v>791</v>
      </c>
      <c r="D5345" s="51" t="n">
        <v>0</v>
      </c>
    </row>
    <row r="5346" customFormat="false" ht="15" hidden="true" customHeight="false" outlineLevel="0" collapsed="false">
      <c r="A5346" s="51" t="s">
        <v>681</v>
      </c>
      <c r="B5346" s="55" t="n">
        <v>44834</v>
      </c>
      <c r="C5346" s="51" t="s">
        <v>791</v>
      </c>
      <c r="D5346" s="51" t="n">
        <v>0</v>
      </c>
    </row>
    <row r="5347" customFormat="false" ht="15" hidden="true" customHeight="false" outlineLevel="0" collapsed="false">
      <c r="A5347" s="51" t="s">
        <v>686</v>
      </c>
      <c r="B5347" s="55" t="n">
        <v>44834</v>
      </c>
      <c r="C5347" s="51" t="s">
        <v>791</v>
      </c>
      <c r="D5347" s="51" t="n">
        <v>0</v>
      </c>
    </row>
    <row r="5348" customFormat="false" ht="15" hidden="true" customHeight="false" outlineLevel="0" collapsed="false">
      <c r="A5348" s="51" t="s">
        <v>691</v>
      </c>
      <c r="B5348" s="55" t="n">
        <v>44834</v>
      </c>
      <c r="C5348" s="51" t="s">
        <v>791</v>
      </c>
      <c r="D5348" s="51" t="n">
        <v>0</v>
      </c>
    </row>
    <row r="5349" customFormat="false" ht="15" hidden="true" customHeight="false" outlineLevel="0" collapsed="false">
      <c r="A5349" s="51" t="s">
        <v>696</v>
      </c>
      <c r="B5349" s="55" t="n">
        <v>44834</v>
      </c>
      <c r="C5349" s="51" t="s">
        <v>791</v>
      </c>
      <c r="D5349" s="51" t="n">
        <v>0</v>
      </c>
    </row>
    <row r="5350" customFormat="false" ht="15" hidden="true" customHeight="false" outlineLevel="0" collapsed="false">
      <c r="A5350" s="51" t="s">
        <v>701</v>
      </c>
      <c r="B5350" s="55" t="n">
        <v>44834</v>
      </c>
      <c r="C5350" s="51" t="s">
        <v>791</v>
      </c>
      <c r="D5350" s="51" t="n">
        <v>0</v>
      </c>
    </row>
    <row r="5351" customFormat="false" ht="15" hidden="true" customHeight="false" outlineLevel="0" collapsed="false">
      <c r="A5351" s="51" t="s">
        <v>707</v>
      </c>
      <c r="B5351" s="55" t="n">
        <v>44834</v>
      </c>
      <c r="C5351" s="51" t="s">
        <v>791</v>
      </c>
      <c r="D5351" s="51" t="n">
        <v>0</v>
      </c>
    </row>
    <row r="5352" customFormat="false" ht="15" hidden="true" customHeight="false" outlineLevel="0" collapsed="false">
      <c r="A5352" s="51" t="s">
        <v>712</v>
      </c>
      <c r="B5352" s="55" t="n">
        <v>44834</v>
      </c>
      <c r="C5352" s="51" t="s">
        <v>791</v>
      </c>
      <c r="D5352" s="51" t="n">
        <v>0</v>
      </c>
    </row>
    <row r="5353" customFormat="false" ht="15" hidden="true" customHeight="false" outlineLevel="0" collapsed="false">
      <c r="A5353" s="51" t="s">
        <v>717</v>
      </c>
      <c r="B5353" s="55" t="n">
        <v>44834</v>
      </c>
      <c r="C5353" s="51" t="s">
        <v>791</v>
      </c>
      <c r="D5353" s="51" t="n">
        <v>0</v>
      </c>
    </row>
    <row r="5354" customFormat="false" ht="15" hidden="true" customHeight="false" outlineLevel="0" collapsed="false">
      <c r="A5354" s="51" t="s">
        <v>767</v>
      </c>
      <c r="B5354" s="55" t="n">
        <v>44834</v>
      </c>
      <c r="C5354" s="51" t="s">
        <v>791</v>
      </c>
      <c r="D5354" s="51" t="n">
        <v>0</v>
      </c>
    </row>
    <row r="5355" customFormat="false" ht="15" hidden="true" customHeight="false" outlineLevel="0" collapsed="false">
      <c r="A5355" s="51" t="s">
        <v>722</v>
      </c>
      <c r="B5355" s="55" t="n">
        <v>44834</v>
      </c>
      <c r="C5355" s="51" t="s">
        <v>791</v>
      </c>
      <c r="D5355" s="51" t="n">
        <v>0</v>
      </c>
    </row>
    <row r="5356" customFormat="false" ht="15" hidden="true" customHeight="false" outlineLevel="0" collapsed="false">
      <c r="A5356" s="51" t="s">
        <v>727</v>
      </c>
      <c r="B5356" s="55" t="n">
        <v>44834</v>
      </c>
      <c r="C5356" s="51" t="s">
        <v>791</v>
      </c>
      <c r="D5356" s="51" t="n">
        <v>0</v>
      </c>
    </row>
    <row r="5357" customFormat="false" ht="15" hidden="true" customHeight="false" outlineLevel="0" collapsed="false">
      <c r="A5357" s="51" t="s">
        <v>732</v>
      </c>
      <c r="B5357" s="55" t="n">
        <v>44834</v>
      </c>
      <c r="C5357" s="51" t="s">
        <v>791</v>
      </c>
      <c r="D5357" s="51" t="n">
        <v>0</v>
      </c>
    </row>
    <row r="5358" customFormat="false" ht="15" hidden="true" customHeight="false" outlineLevel="0" collapsed="false">
      <c r="A5358" s="51" t="s">
        <v>736</v>
      </c>
      <c r="B5358" s="55" t="n">
        <v>44834</v>
      </c>
      <c r="C5358" s="51" t="s">
        <v>791</v>
      </c>
      <c r="D5358" s="51" t="n">
        <v>0</v>
      </c>
    </row>
    <row r="5359" customFormat="false" ht="15" hidden="true" customHeight="false" outlineLevel="0" collapsed="false">
      <c r="A5359" s="51" t="s">
        <v>741</v>
      </c>
      <c r="B5359" s="55" t="n">
        <v>44834</v>
      </c>
      <c r="C5359" s="51" t="s">
        <v>791</v>
      </c>
      <c r="D5359" s="51" t="n">
        <v>0</v>
      </c>
    </row>
    <row r="5360" customFormat="false" ht="15" hidden="true" customHeight="false" outlineLevel="0" collapsed="false">
      <c r="A5360" s="51" t="s">
        <v>746</v>
      </c>
      <c r="B5360" s="55" t="n">
        <v>44834</v>
      </c>
      <c r="C5360" s="51" t="s">
        <v>791</v>
      </c>
      <c r="D5360" s="51" t="n">
        <v>0</v>
      </c>
    </row>
    <row r="5361" customFormat="false" ht="15" hidden="true" customHeight="false" outlineLevel="0" collapsed="false">
      <c r="A5361" s="51" t="s">
        <v>751</v>
      </c>
      <c r="B5361" s="55" t="n">
        <v>44834</v>
      </c>
      <c r="C5361" s="51" t="s">
        <v>791</v>
      </c>
      <c r="D5361" s="51" t="n">
        <v>0</v>
      </c>
    </row>
    <row r="5362" customFormat="false" ht="15" hidden="false" customHeight="false" outlineLevel="0" collapsed="false">
      <c r="A5362" s="51" t="s">
        <v>781</v>
      </c>
      <c r="B5362" s="55" t="n">
        <v>44926</v>
      </c>
      <c r="C5362" s="51" t="s">
        <v>782</v>
      </c>
      <c r="D5362" s="51" t="n">
        <v>0</v>
      </c>
    </row>
    <row r="5363" customFormat="false" ht="15" hidden="true" customHeight="false" outlineLevel="0" collapsed="false">
      <c r="A5363" s="51" t="s">
        <v>783</v>
      </c>
      <c r="B5363" s="55" t="n">
        <v>44926</v>
      </c>
      <c r="C5363" s="51" t="s">
        <v>782</v>
      </c>
      <c r="D5363" s="51" t="n">
        <v>0</v>
      </c>
    </row>
    <row r="5364" customFormat="false" ht="15" hidden="true" customHeight="false" outlineLevel="0" collapsed="false">
      <c r="A5364" s="51" t="s">
        <v>96</v>
      </c>
      <c r="B5364" s="55" t="n">
        <v>44926</v>
      </c>
      <c r="C5364" s="51" t="s">
        <v>782</v>
      </c>
      <c r="D5364" s="51" t="n">
        <v>0</v>
      </c>
    </row>
    <row r="5365" customFormat="false" ht="15" hidden="true" customHeight="false" outlineLevel="0" collapsed="false">
      <c r="A5365" s="51" t="s">
        <v>101</v>
      </c>
      <c r="B5365" s="55" t="n">
        <v>44926</v>
      </c>
      <c r="C5365" s="51" t="s">
        <v>782</v>
      </c>
      <c r="D5365" s="51" t="n">
        <v>0</v>
      </c>
    </row>
    <row r="5366" customFormat="false" ht="15" hidden="true" customHeight="false" outlineLevel="0" collapsed="false">
      <c r="A5366" s="51" t="s">
        <v>106</v>
      </c>
      <c r="B5366" s="55" t="n">
        <v>44926</v>
      </c>
      <c r="C5366" s="51" t="s">
        <v>782</v>
      </c>
      <c r="D5366" s="51" t="n">
        <v>0</v>
      </c>
    </row>
    <row r="5367" customFormat="false" ht="15" hidden="true" customHeight="false" outlineLevel="0" collapsed="false">
      <c r="A5367" s="51" t="s">
        <v>110</v>
      </c>
      <c r="B5367" s="55" t="n">
        <v>44926</v>
      </c>
      <c r="C5367" s="51" t="s">
        <v>782</v>
      </c>
      <c r="D5367" s="51" t="n">
        <v>0</v>
      </c>
    </row>
    <row r="5368" customFormat="false" ht="15" hidden="true" customHeight="false" outlineLevel="0" collapsed="false">
      <c r="A5368" s="51" t="s">
        <v>115</v>
      </c>
      <c r="B5368" s="55" t="n">
        <v>44926</v>
      </c>
      <c r="C5368" s="51" t="s">
        <v>782</v>
      </c>
      <c r="D5368" s="51" t="n">
        <v>0</v>
      </c>
    </row>
    <row r="5369" customFormat="false" ht="15" hidden="true" customHeight="false" outlineLevel="0" collapsed="false">
      <c r="A5369" s="51" t="s">
        <v>120</v>
      </c>
      <c r="B5369" s="55" t="n">
        <v>44926</v>
      </c>
      <c r="C5369" s="51" t="s">
        <v>782</v>
      </c>
      <c r="D5369" s="51" t="n">
        <v>0</v>
      </c>
    </row>
    <row r="5370" customFormat="false" ht="15" hidden="true" customHeight="false" outlineLevel="0" collapsed="false">
      <c r="A5370" s="51" t="s">
        <v>124</v>
      </c>
      <c r="B5370" s="55" t="n">
        <v>44926</v>
      </c>
      <c r="C5370" s="51" t="s">
        <v>782</v>
      </c>
      <c r="D5370" s="51" t="n">
        <v>0</v>
      </c>
    </row>
    <row r="5371" customFormat="false" ht="15" hidden="true" customHeight="false" outlineLevel="0" collapsed="false">
      <c r="A5371" s="51" t="s">
        <v>129</v>
      </c>
      <c r="B5371" s="55" t="n">
        <v>44926</v>
      </c>
      <c r="C5371" s="51" t="s">
        <v>782</v>
      </c>
      <c r="D5371" s="51" t="n">
        <v>0</v>
      </c>
    </row>
    <row r="5372" customFormat="false" ht="15" hidden="true" customHeight="false" outlineLevel="0" collapsed="false">
      <c r="A5372" s="51" t="s">
        <v>134</v>
      </c>
      <c r="B5372" s="55" t="n">
        <v>44926</v>
      </c>
      <c r="C5372" s="51" t="s">
        <v>782</v>
      </c>
      <c r="D5372" s="51" t="n">
        <v>0</v>
      </c>
    </row>
    <row r="5373" customFormat="false" ht="15" hidden="true" customHeight="false" outlineLevel="0" collapsed="false">
      <c r="A5373" s="51" t="s">
        <v>141</v>
      </c>
      <c r="B5373" s="55" t="n">
        <v>44926</v>
      </c>
      <c r="C5373" s="51" t="s">
        <v>782</v>
      </c>
      <c r="D5373" s="51" t="n">
        <v>0</v>
      </c>
    </row>
    <row r="5374" customFormat="false" ht="15" hidden="true" customHeight="false" outlineLevel="0" collapsed="false">
      <c r="A5374" s="51" t="s">
        <v>146</v>
      </c>
      <c r="B5374" s="55" t="n">
        <v>44926</v>
      </c>
      <c r="C5374" s="51" t="s">
        <v>782</v>
      </c>
      <c r="D5374" s="51" t="n">
        <v>0</v>
      </c>
    </row>
    <row r="5375" customFormat="false" ht="15" hidden="true" customHeight="false" outlineLevel="0" collapsed="false">
      <c r="A5375" s="51" t="s">
        <v>151</v>
      </c>
      <c r="B5375" s="55" t="n">
        <v>44926</v>
      </c>
      <c r="C5375" s="51" t="s">
        <v>782</v>
      </c>
      <c r="D5375" s="51" t="n">
        <v>0</v>
      </c>
    </row>
    <row r="5376" customFormat="false" ht="15" hidden="true" customHeight="false" outlineLevel="0" collapsed="false">
      <c r="A5376" s="51" t="s">
        <v>156</v>
      </c>
      <c r="B5376" s="55" t="n">
        <v>44926</v>
      </c>
      <c r="C5376" s="51" t="s">
        <v>782</v>
      </c>
      <c r="D5376" s="51" t="n">
        <v>0</v>
      </c>
    </row>
    <row r="5377" customFormat="false" ht="15" hidden="true" customHeight="false" outlineLevel="0" collapsed="false">
      <c r="A5377" s="51" t="s">
        <v>161</v>
      </c>
      <c r="B5377" s="55" t="n">
        <v>44926</v>
      </c>
      <c r="C5377" s="51" t="s">
        <v>782</v>
      </c>
      <c r="D5377" s="51" t="n">
        <v>0</v>
      </c>
    </row>
    <row r="5378" customFormat="false" ht="15" hidden="true" customHeight="false" outlineLevel="0" collapsed="false">
      <c r="A5378" s="51" t="s">
        <v>166</v>
      </c>
      <c r="B5378" s="55" t="n">
        <v>44926</v>
      </c>
      <c r="C5378" s="51" t="s">
        <v>782</v>
      </c>
      <c r="D5378" s="51" t="n">
        <v>0</v>
      </c>
    </row>
    <row r="5379" customFormat="false" ht="15" hidden="true" customHeight="false" outlineLevel="0" collapsed="false">
      <c r="A5379" s="51" t="s">
        <v>171</v>
      </c>
      <c r="B5379" s="55" t="n">
        <v>44926</v>
      </c>
      <c r="C5379" s="51" t="s">
        <v>782</v>
      </c>
      <c r="D5379" s="51" t="n">
        <v>0</v>
      </c>
    </row>
    <row r="5380" customFormat="false" ht="15" hidden="true" customHeight="false" outlineLevel="0" collapsed="false">
      <c r="A5380" s="51" t="s">
        <v>176</v>
      </c>
      <c r="B5380" s="55" t="n">
        <v>44926</v>
      </c>
      <c r="C5380" s="51" t="s">
        <v>782</v>
      </c>
      <c r="D5380" s="51" t="n">
        <v>0</v>
      </c>
    </row>
    <row r="5381" customFormat="false" ht="15" hidden="true" customHeight="false" outlineLevel="0" collapsed="false">
      <c r="A5381" s="51" t="s">
        <v>181</v>
      </c>
      <c r="B5381" s="55" t="n">
        <v>44926</v>
      </c>
      <c r="C5381" s="51" t="s">
        <v>782</v>
      </c>
      <c r="D5381" s="51" t="n">
        <v>0</v>
      </c>
    </row>
    <row r="5382" customFormat="false" ht="15" hidden="true" customHeight="false" outlineLevel="0" collapsed="false">
      <c r="A5382" s="51" t="s">
        <v>186</v>
      </c>
      <c r="B5382" s="55" t="n">
        <v>44926</v>
      </c>
      <c r="C5382" s="51" t="s">
        <v>782</v>
      </c>
      <c r="D5382" s="51" t="n">
        <v>0</v>
      </c>
    </row>
    <row r="5383" customFormat="false" ht="15" hidden="true" customHeight="false" outlineLevel="0" collapsed="false">
      <c r="A5383" s="51" t="s">
        <v>191</v>
      </c>
      <c r="B5383" s="55" t="n">
        <v>44926</v>
      </c>
      <c r="C5383" s="51" t="s">
        <v>782</v>
      </c>
      <c r="D5383" s="51" t="n">
        <v>0</v>
      </c>
    </row>
    <row r="5384" customFormat="false" ht="15" hidden="true" customHeight="false" outlineLevel="0" collapsed="false">
      <c r="A5384" s="51" t="s">
        <v>196</v>
      </c>
      <c r="B5384" s="55" t="n">
        <v>44926</v>
      </c>
      <c r="C5384" s="51" t="s">
        <v>782</v>
      </c>
      <c r="D5384" s="51" t="n">
        <v>0</v>
      </c>
    </row>
    <row r="5385" customFormat="false" ht="15" hidden="true" customHeight="false" outlineLevel="0" collapsed="false">
      <c r="A5385" s="51" t="s">
        <v>201</v>
      </c>
      <c r="B5385" s="55" t="n">
        <v>44926</v>
      </c>
      <c r="C5385" s="51" t="s">
        <v>782</v>
      </c>
      <c r="D5385" s="51" t="n">
        <v>0</v>
      </c>
    </row>
    <row r="5386" customFormat="false" ht="15" hidden="true" customHeight="false" outlineLevel="0" collapsed="false">
      <c r="A5386" s="51" t="s">
        <v>206</v>
      </c>
      <c r="B5386" s="55" t="n">
        <v>44926</v>
      </c>
      <c r="C5386" s="51" t="s">
        <v>782</v>
      </c>
      <c r="D5386" s="51" t="n">
        <v>0</v>
      </c>
    </row>
    <row r="5387" customFormat="false" ht="15" hidden="true" customHeight="false" outlineLevel="0" collapsed="false">
      <c r="A5387" s="51" t="s">
        <v>210</v>
      </c>
      <c r="B5387" s="55" t="n">
        <v>44926</v>
      </c>
      <c r="C5387" s="51" t="s">
        <v>782</v>
      </c>
      <c r="D5387" s="51" t="n">
        <v>0</v>
      </c>
    </row>
    <row r="5388" customFormat="false" ht="15" hidden="true" customHeight="false" outlineLevel="0" collapsed="false">
      <c r="A5388" s="51" t="s">
        <v>215</v>
      </c>
      <c r="B5388" s="55" t="n">
        <v>44926</v>
      </c>
      <c r="C5388" s="51" t="s">
        <v>782</v>
      </c>
      <c r="D5388" s="51" t="n">
        <v>0</v>
      </c>
    </row>
    <row r="5389" customFormat="false" ht="15" hidden="true" customHeight="false" outlineLevel="0" collapsed="false">
      <c r="A5389" s="51" t="s">
        <v>790</v>
      </c>
      <c r="B5389" s="55" t="n">
        <v>44926</v>
      </c>
      <c r="C5389" s="51" t="s">
        <v>782</v>
      </c>
      <c r="D5389" s="51" t="n">
        <v>0</v>
      </c>
    </row>
    <row r="5390" customFormat="false" ht="15" hidden="true" customHeight="false" outlineLevel="0" collapsed="false">
      <c r="A5390" s="51" t="s">
        <v>225</v>
      </c>
      <c r="B5390" s="55" t="n">
        <v>44926</v>
      </c>
      <c r="C5390" s="51" t="s">
        <v>782</v>
      </c>
      <c r="D5390" s="51" t="n">
        <v>0</v>
      </c>
    </row>
    <row r="5391" customFormat="false" ht="15" hidden="true" customHeight="false" outlineLevel="0" collapsed="false">
      <c r="A5391" s="51" t="s">
        <v>230</v>
      </c>
      <c r="B5391" s="55" t="n">
        <v>44926</v>
      </c>
      <c r="C5391" s="51" t="s">
        <v>782</v>
      </c>
      <c r="D5391" s="51" t="n">
        <v>0</v>
      </c>
    </row>
    <row r="5392" customFormat="false" ht="15" hidden="true" customHeight="false" outlineLevel="0" collapsed="false">
      <c r="A5392" s="51" t="s">
        <v>235</v>
      </c>
      <c r="B5392" s="55" t="n">
        <v>44926</v>
      </c>
      <c r="C5392" s="51" t="s">
        <v>782</v>
      </c>
      <c r="D5392" s="51" t="n">
        <v>0</v>
      </c>
    </row>
    <row r="5393" customFormat="false" ht="15" hidden="true" customHeight="false" outlineLevel="0" collapsed="false">
      <c r="A5393" s="51" t="s">
        <v>240</v>
      </c>
      <c r="B5393" s="55" t="n">
        <v>44926</v>
      </c>
      <c r="C5393" s="51" t="s">
        <v>782</v>
      </c>
      <c r="D5393" s="51" t="n">
        <v>0</v>
      </c>
    </row>
    <row r="5394" customFormat="false" ht="15" hidden="true" customHeight="false" outlineLevel="0" collapsed="false">
      <c r="A5394" s="51" t="s">
        <v>246</v>
      </c>
      <c r="B5394" s="55" t="n">
        <v>44926</v>
      </c>
      <c r="C5394" s="51" t="s">
        <v>782</v>
      </c>
      <c r="D5394" s="51" t="n">
        <v>0</v>
      </c>
    </row>
    <row r="5395" customFormat="false" ht="15" hidden="true" customHeight="false" outlineLevel="0" collapsed="false">
      <c r="A5395" s="51" t="s">
        <v>252</v>
      </c>
      <c r="B5395" s="55" t="n">
        <v>44926</v>
      </c>
      <c r="C5395" s="51" t="s">
        <v>782</v>
      </c>
      <c r="D5395" s="51" t="n">
        <v>0</v>
      </c>
    </row>
    <row r="5396" customFormat="false" ht="15" hidden="true" customHeight="false" outlineLevel="0" collapsed="false">
      <c r="A5396" s="51" t="s">
        <v>257</v>
      </c>
      <c r="B5396" s="55" t="n">
        <v>44926</v>
      </c>
      <c r="C5396" s="51" t="s">
        <v>782</v>
      </c>
      <c r="D5396" s="51" t="n">
        <v>0</v>
      </c>
    </row>
    <row r="5397" customFormat="false" ht="15" hidden="true" customHeight="false" outlineLevel="0" collapsed="false">
      <c r="A5397" s="51" t="s">
        <v>262</v>
      </c>
      <c r="B5397" s="55" t="n">
        <v>44926</v>
      </c>
      <c r="C5397" s="51" t="s">
        <v>782</v>
      </c>
      <c r="D5397" s="51" t="n">
        <v>0</v>
      </c>
    </row>
    <row r="5398" customFormat="false" ht="15" hidden="true" customHeight="false" outlineLevel="0" collapsed="false">
      <c r="A5398" s="51" t="s">
        <v>267</v>
      </c>
      <c r="B5398" s="55" t="n">
        <v>44926</v>
      </c>
      <c r="C5398" s="51" t="s">
        <v>782</v>
      </c>
      <c r="D5398" s="51" t="n">
        <v>0</v>
      </c>
    </row>
    <row r="5399" customFormat="false" ht="15" hidden="true" customHeight="false" outlineLevel="0" collapsed="false">
      <c r="A5399" s="51" t="s">
        <v>272</v>
      </c>
      <c r="B5399" s="55" t="n">
        <v>44926</v>
      </c>
      <c r="C5399" s="51" t="s">
        <v>782</v>
      </c>
      <c r="D5399" s="51" t="n">
        <v>0</v>
      </c>
    </row>
    <row r="5400" customFormat="false" ht="15" hidden="true" customHeight="false" outlineLevel="0" collapsed="false">
      <c r="A5400" s="51" t="s">
        <v>277</v>
      </c>
      <c r="B5400" s="55" t="n">
        <v>44926</v>
      </c>
      <c r="C5400" s="51" t="s">
        <v>782</v>
      </c>
      <c r="D5400" s="51" t="n">
        <v>0</v>
      </c>
    </row>
    <row r="5401" customFormat="false" ht="15" hidden="true" customHeight="false" outlineLevel="0" collapsed="false">
      <c r="A5401" s="51" t="s">
        <v>282</v>
      </c>
      <c r="B5401" s="55" t="n">
        <v>44926</v>
      </c>
      <c r="C5401" s="51" t="s">
        <v>782</v>
      </c>
      <c r="D5401" s="51" t="n">
        <v>0</v>
      </c>
    </row>
    <row r="5402" customFormat="false" ht="15" hidden="true" customHeight="false" outlineLevel="0" collapsed="false">
      <c r="A5402" s="51" t="s">
        <v>287</v>
      </c>
      <c r="B5402" s="55" t="n">
        <v>44926</v>
      </c>
      <c r="C5402" s="51" t="s">
        <v>782</v>
      </c>
      <c r="D5402" s="51" t="n">
        <v>0</v>
      </c>
    </row>
    <row r="5403" customFormat="false" ht="15" hidden="true" customHeight="false" outlineLevel="0" collapsed="false">
      <c r="A5403" s="51" t="s">
        <v>292</v>
      </c>
      <c r="B5403" s="55" t="n">
        <v>44926</v>
      </c>
      <c r="C5403" s="51" t="s">
        <v>782</v>
      </c>
      <c r="D5403" s="51" t="n">
        <v>0</v>
      </c>
    </row>
    <row r="5404" customFormat="false" ht="15" hidden="true" customHeight="false" outlineLevel="0" collapsed="false">
      <c r="A5404" s="51" t="s">
        <v>297</v>
      </c>
      <c r="B5404" s="55" t="n">
        <v>44926</v>
      </c>
      <c r="C5404" s="51" t="s">
        <v>782</v>
      </c>
      <c r="D5404" s="51" t="n">
        <v>0</v>
      </c>
    </row>
    <row r="5405" customFormat="false" ht="15" hidden="true" customHeight="false" outlineLevel="0" collapsed="false">
      <c r="A5405" s="51" t="s">
        <v>302</v>
      </c>
      <c r="B5405" s="55" t="n">
        <v>44926</v>
      </c>
      <c r="C5405" s="51" t="s">
        <v>782</v>
      </c>
      <c r="D5405" s="51" t="n">
        <v>0</v>
      </c>
    </row>
    <row r="5406" customFormat="false" ht="15" hidden="true" customHeight="false" outlineLevel="0" collapsed="false">
      <c r="A5406" s="51" t="s">
        <v>307</v>
      </c>
      <c r="B5406" s="55" t="n">
        <v>44926</v>
      </c>
      <c r="C5406" s="51" t="s">
        <v>782</v>
      </c>
      <c r="D5406" s="51" t="n">
        <v>0</v>
      </c>
    </row>
    <row r="5407" customFormat="false" ht="15" hidden="true" customHeight="false" outlineLevel="0" collapsed="false">
      <c r="A5407" s="51" t="s">
        <v>311</v>
      </c>
      <c r="B5407" s="55" t="n">
        <v>44926</v>
      </c>
      <c r="C5407" s="51" t="s">
        <v>782</v>
      </c>
      <c r="D5407" s="51" t="n">
        <v>0</v>
      </c>
    </row>
    <row r="5408" customFormat="false" ht="15" hidden="true" customHeight="false" outlineLevel="0" collapsed="false">
      <c r="A5408" s="51" t="s">
        <v>317</v>
      </c>
      <c r="B5408" s="55" t="n">
        <v>44926</v>
      </c>
      <c r="C5408" s="51" t="s">
        <v>782</v>
      </c>
      <c r="D5408" s="51" t="n">
        <v>0</v>
      </c>
    </row>
    <row r="5409" customFormat="false" ht="15" hidden="true" customHeight="false" outlineLevel="0" collapsed="false">
      <c r="A5409" s="51" t="s">
        <v>322</v>
      </c>
      <c r="B5409" s="55" t="n">
        <v>44926</v>
      </c>
      <c r="C5409" s="51" t="s">
        <v>782</v>
      </c>
      <c r="D5409" s="51" t="n">
        <v>0</v>
      </c>
    </row>
    <row r="5410" customFormat="false" ht="15" hidden="true" customHeight="false" outlineLevel="0" collapsed="false">
      <c r="A5410" s="51" t="s">
        <v>327</v>
      </c>
      <c r="B5410" s="55" t="n">
        <v>44926</v>
      </c>
      <c r="C5410" s="51" t="s">
        <v>782</v>
      </c>
      <c r="D5410" s="51" t="n">
        <v>0</v>
      </c>
    </row>
    <row r="5411" customFormat="false" ht="15" hidden="true" customHeight="false" outlineLevel="0" collapsed="false">
      <c r="A5411" s="51" t="s">
        <v>332</v>
      </c>
      <c r="B5411" s="55" t="n">
        <v>44926</v>
      </c>
      <c r="C5411" s="51" t="s">
        <v>782</v>
      </c>
      <c r="D5411" s="51" t="n">
        <v>0</v>
      </c>
    </row>
    <row r="5412" customFormat="false" ht="15" hidden="true" customHeight="false" outlineLevel="0" collapsed="false">
      <c r="A5412" s="51" t="s">
        <v>339</v>
      </c>
      <c r="B5412" s="55" t="n">
        <v>44926</v>
      </c>
      <c r="C5412" s="51" t="s">
        <v>782</v>
      </c>
      <c r="D5412" s="51" t="n">
        <v>0</v>
      </c>
    </row>
    <row r="5413" customFormat="false" ht="15" hidden="true" customHeight="false" outlineLevel="0" collapsed="false">
      <c r="A5413" s="51" t="s">
        <v>344</v>
      </c>
      <c r="B5413" s="55" t="n">
        <v>44926</v>
      </c>
      <c r="C5413" s="51" t="s">
        <v>782</v>
      </c>
      <c r="D5413" s="51" t="n">
        <v>0</v>
      </c>
    </row>
    <row r="5414" customFormat="false" ht="15" hidden="true" customHeight="false" outlineLevel="0" collapsed="false">
      <c r="A5414" s="51" t="s">
        <v>349</v>
      </c>
      <c r="B5414" s="55" t="n">
        <v>44926</v>
      </c>
      <c r="C5414" s="51" t="s">
        <v>782</v>
      </c>
      <c r="D5414" s="51" t="n">
        <v>50000</v>
      </c>
    </row>
    <row r="5415" customFormat="false" ht="15" hidden="true" customHeight="false" outlineLevel="0" collapsed="false">
      <c r="A5415" s="51" t="s">
        <v>354</v>
      </c>
      <c r="B5415" s="55" t="n">
        <v>44926</v>
      </c>
      <c r="C5415" s="51" t="s">
        <v>782</v>
      </c>
      <c r="D5415" s="51" t="n">
        <v>3252000</v>
      </c>
    </row>
    <row r="5416" customFormat="false" ht="15" hidden="true" customHeight="false" outlineLevel="0" collapsed="false">
      <c r="A5416" s="51" t="s">
        <v>359</v>
      </c>
      <c r="B5416" s="55" t="n">
        <v>44926</v>
      </c>
      <c r="C5416" s="51" t="s">
        <v>782</v>
      </c>
      <c r="D5416" s="51" t="n">
        <v>2543605.42</v>
      </c>
    </row>
    <row r="5417" customFormat="false" ht="15" hidden="true" customHeight="false" outlineLevel="0" collapsed="false">
      <c r="A5417" s="51" t="s">
        <v>364</v>
      </c>
      <c r="B5417" s="55" t="n">
        <v>44926</v>
      </c>
      <c r="C5417" s="51" t="s">
        <v>782</v>
      </c>
      <c r="D5417" s="51" t="n">
        <v>361000</v>
      </c>
    </row>
    <row r="5418" customFormat="false" ht="15" hidden="true" customHeight="false" outlineLevel="0" collapsed="false">
      <c r="A5418" s="51" t="s">
        <v>369</v>
      </c>
      <c r="B5418" s="55" t="n">
        <v>44926</v>
      </c>
      <c r="C5418" s="51" t="s">
        <v>782</v>
      </c>
      <c r="D5418" s="51" t="n">
        <v>0</v>
      </c>
    </row>
    <row r="5419" customFormat="false" ht="15" hidden="true" customHeight="false" outlineLevel="0" collapsed="false">
      <c r="A5419" s="51" t="s">
        <v>374</v>
      </c>
      <c r="B5419" s="55" t="n">
        <v>44926</v>
      </c>
      <c r="C5419" s="51" t="s">
        <v>782</v>
      </c>
      <c r="D5419" s="51" t="n">
        <v>0</v>
      </c>
    </row>
    <row r="5420" customFormat="false" ht="15" hidden="true" customHeight="false" outlineLevel="0" collapsed="false">
      <c r="A5420" s="51" t="s">
        <v>379</v>
      </c>
      <c r="B5420" s="55" t="n">
        <v>44926</v>
      </c>
      <c r="C5420" s="51" t="s">
        <v>782</v>
      </c>
      <c r="D5420" s="51" t="n">
        <v>0</v>
      </c>
    </row>
    <row r="5421" customFormat="false" ht="15" hidden="true" customHeight="false" outlineLevel="0" collapsed="false">
      <c r="A5421" s="51" t="s">
        <v>384</v>
      </c>
      <c r="B5421" s="55" t="n">
        <v>44926</v>
      </c>
      <c r="C5421" s="51" t="s">
        <v>782</v>
      </c>
      <c r="D5421" s="51" t="n">
        <v>0</v>
      </c>
    </row>
    <row r="5422" customFormat="false" ht="15" hidden="true" customHeight="false" outlineLevel="0" collapsed="false">
      <c r="A5422" s="51" t="s">
        <v>389</v>
      </c>
      <c r="B5422" s="55" t="n">
        <v>44926</v>
      </c>
      <c r="C5422" s="51" t="s">
        <v>782</v>
      </c>
      <c r="D5422" s="51" t="n">
        <v>0</v>
      </c>
    </row>
    <row r="5423" customFormat="false" ht="15" hidden="true" customHeight="false" outlineLevel="0" collapsed="false">
      <c r="A5423" s="51" t="s">
        <v>394</v>
      </c>
      <c r="B5423" s="55" t="n">
        <v>44926</v>
      </c>
      <c r="C5423" s="51" t="s">
        <v>782</v>
      </c>
      <c r="D5423" s="51" t="n">
        <v>0</v>
      </c>
    </row>
    <row r="5424" customFormat="false" ht="15" hidden="true" customHeight="false" outlineLevel="0" collapsed="false">
      <c r="A5424" s="51" t="s">
        <v>399</v>
      </c>
      <c r="B5424" s="55" t="n">
        <v>44926</v>
      </c>
      <c r="C5424" s="51" t="s">
        <v>782</v>
      </c>
      <c r="D5424" s="51" t="n">
        <v>0</v>
      </c>
    </row>
    <row r="5425" customFormat="false" ht="15" hidden="true" customHeight="false" outlineLevel="0" collapsed="false">
      <c r="A5425" s="51" t="s">
        <v>404</v>
      </c>
      <c r="B5425" s="55" t="n">
        <v>44926</v>
      </c>
      <c r="C5425" s="51" t="s">
        <v>782</v>
      </c>
      <c r="D5425" s="51" t="n">
        <v>0</v>
      </c>
    </row>
    <row r="5426" customFormat="false" ht="15" hidden="true" customHeight="false" outlineLevel="0" collapsed="false">
      <c r="A5426" s="51" t="s">
        <v>409</v>
      </c>
      <c r="B5426" s="55" t="n">
        <v>44926</v>
      </c>
      <c r="C5426" s="51" t="s">
        <v>782</v>
      </c>
      <c r="D5426" s="51" t="n">
        <v>0</v>
      </c>
    </row>
    <row r="5427" customFormat="false" ht="15" hidden="true" customHeight="false" outlineLevel="0" collapsed="false">
      <c r="A5427" s="51" t="s">
        <v>414</v>
      </c>
      <c r="B5427" s="55" t="n">
        <v>44926</v>
      </c>
      <c r="C5427" s="51" t="s">
        <v>782</v>
      </c>
      <c r="D5427" s="51" t="n">
        <v>0</v>
      </c>
    </row>
    <row r="5428" customFormat="false" ht="15" hidden="true" customHeight="false" outlineLevel="0" collapsed="false">
      <c r="A5428" s="51" t="s">
        <v>419</v>
      </c>
      <c r="B5428" s="55" t="n">
        <v>44926</v>
      </c>
      <c r="C5428" s="51" t="s">
        <v>782</v>
      </c>
      <c r="D5428" s="51" t="n">
        <v>0</v>
      </c>
    </row>
    <row r="5429" customFormat="false" ht="15" hidden="true" customHeight="false" outlineLevel="0" collapsed="false">
      <c r="A5429" s="51" t="s">
        <v>424</v>
      </c>
      <c r="B5429" s="55" t="n">
        <v>44926</v>
      </c>
      <c r="C5429" s="51" t="s">
        <v>782</v>
      </c>
      <c r="D5429" s="51" t="n">
        <v>0</v>
      </c>
    </row>
    <row r="5430" customFormat="false" ht="15" hidden="true" customHeight="false" outlineLevel="0" collapsed="false">
      <c r="A5430" s="51" t="s">
        <v>429</v>
      </c>
      <c r="B5430" s="55" t="n">
        <v>44926</v>
      </c>
      <c r="C5430" s="51" t="s">
        <v>782</v>
      </c>
      <c r="D5430" s="51" t="n">
        <v>0</v>
      </c>
    </row>
    <row r="5431" customFormat="false" ht="15" hidden="true" customHeight="false" outlineLevel="0" collapsed="false">
      <c r="A5431" s="51" t="s">
        <v>434</v>
      </c>
      <c r="B5431" s="55" t="n">
        <v>44926</v>
      </c>
      <c r="C5431" s="51" t="s">
        <v>782</v>
      </c>
      <c r="D5431" s="51" t="n">
        <v>0</v>
      </c>
    </row>
    <row r="5432" customFormat="false" ht="15" hidden="true" customHeight="false" outlineLevel="0" collapsed="false">
      <c r="A5432" s="51" t="s">
        <v>438</v>
      </c>
      <c r="B5432" s="55" t="n">
        <v>44926</v>
      </c>
      <c r="C5432" s="51" t="s">
        <v>782</v>
      </c>
      <c r="D5432" s="51" t="n">
        <v>0</v>
      </c>
    </row>
    <row r="5433" customFormat="false" ht="15" hidden="true" customHeight="false" outlineLevel="0" collapsed="false">
      <c r="A5433" s="51" t="s">
        <v>443</v>
      </c>
      <c r="B5433" s="55" t="n">
        <v>44926</v>
      </c>
      <c r="C5433" s="51" t="s">
        <v>782</v>
      </c>
      <c r="D5433" s="51" t="n">
        <v>0</v>
      </c>
    </row>
    <row r="5434" customFormat="false" ht="15" hidden="true" customHeight="false" outlineLevel="0" collapsed="false">
      <c r="A5434" s="51" t="s">
        <v>448</v>
      </c>
      <c r="B5434" s="55" t="n">
        <v>44926</v>
      </c>
      <c r="C5434" s="51" t="s">
        <v>782</v>
      </c>
      <c r="D5434" s="51" t="n">
        <v>0</v>
      </c>
    </row>
    <row r="5435" customFormat="false" ht="15" hidden="true" customHeight="false" outlineLevel="0" collapsed="false">
      <c r="A5435" s="51" t="s">
        <v>453</v>
      </c>
      <c r="B5435" s="55" t="n">
        <v>44926</v>
      </c>
      <c r="C5435" s="51" t="s">
        <v>782</v>
      </c>
      <c r="D5435" s="51" t="n">
        <v>0</v>
      </c>
    </row>
    <row r="5436" customFormat="false" ht="15" hidden="true" customHeight="false" outlineLevel="0" collapsed="false">
      <c r="A5436" s="51" t="s">
        <v>458</v>
      </c>
      <c r="B5436" s="55" t="n">
        <v>44926</v>
      </c>
      <c r="C5436" s="51" t="s">
        <v>782</v>
      </c>
      <c r="D5436" s="51" t="n">
        <v>0</v>
      </c>
    </row>
    <row r="5437" customFormat="false" ht="15" hidden="true" customHeight="false" outlineLevel="0" collapsed="false">
      <c r="A5437" s="51" t="s">
        <v>473</v>
      </c>
      <c r="B5437" s="55" t="n">
        <v>44926</v>
      </c>
      <c r="C5437" s="51" t="s">
        <v>782</v>
      </c>
      <c r="D5437" s="51" t="n">
        <v>0</v>
      </c>
    </row>
    <row r="5438" customFormat="false" ht="15" hidden="true" customHeight="false" outlineLevel="0" collapsed="false">
      <c r="A5438" s="51" t="s">
        <v>479</v>
      </c>
      <c r="B5438" s="55" t="n">
        <v>44926</v>
      </c>
      <c r="C5438" s="51" t="s">
        <v>782</v>
      </c>
      <c r="D5438" s="51" t="n">
        <v>0</v>
      </c>
    </row>
    <row r="5439" customFormat="false" ht="15" hidden="true" customHeight="false" outlineLevel="0" collapsed="false">
      <c r="A5439" s="51" t="s">
        <v>484</v>
      </c>
      <c r="B5439" s="55" t="n">
        <v>44926</v>
      </c>
      <c r="C5439" s="51" t="s">
        <v>782</v>
      </c>
      <c r="D5439" s="51" t="n">
        <v>0</v>
      </c>
    </row>
    <row r="5440" customFormat="false" ht="15" hidden="true" customHeight="false" outlineLevel="0" collapsed="false">
      <c r="A5440" s="51" t="s">
        <v>489</v>
      </c>
      <c r="B5440" s="55" t="n">
        <v>44926</v>
      </c>
      <c r="C5440" s="51" t="s">
        <v>782</v>
      </c>
      <c r="D5440" s="51" t="n">
        <v>0</v>
      </c>
    </row>
    <row r="5441" customFormat="false" ht="15" hidden="true" customHeight="false" outlineLevel="0" collapsed="false">
      <c r="A5441" s="51" t="s">
        <v>494</v>
      </c>
      <c r="B5441" s="55" t="n">
        <v>44926</v>
      </c>
      <c r="C5441" s="51" t="s">
        <v>782</v>
      </c>
      <c r="D5441" s="51" t="n">
        <v>0</v>
      </c>
    </row>
    <row r="5442" customFormat="false" ht="15" hidden="true" customHeight="false" outlineLevel="0" collapsed="false">
      <c r="A5442" s="51" t="s">
        <v>499</v>
      </c>
      <c r="B5442" s="55" t="n">
        <v>44926</v>
      </c>
      <c r="C5442" s="51" t="s">
        <v>782</v>
      </c>
      <c r="D5442" s="51" t="n">
        <v>0</v>
      </c>
    </row>
    <row r="5443" customFormat="false" ht="15" hidden="true" customHeight="false" outlineLevel="0" collapsed="false">
      <c r="A5443" s="51" t="s">
        <v>504</v>
      </c>
      <c r="B5443" s="55" t="n">
        <v>44926</v>
      </c>
      <c r="C5443" s="51" t="s">
        <v>782</v>
      </c>
      <c r="D5443" s="51" t="n">
        <v>0</v>
      </c>
    </row>
    <row r="5444" customFormat="false" ht="15" hidden="true" customHeight="false" outlineLevel="0" collapsed="false">
      <c r="A5444" s="51" t="s">
        <v>509</v>
      </c>
      <c r="B5444" s="55" t="n">
        <v>44926</v>
      </c>
      <c r="C5444" s="51" t="s">
        <v>782</v>
      </c>
      <c r="D5444" s="51" t="n">
        <v>0</v>
      </c>
    </row>
    <row r="5445" customFormat="false" ht="15" hidden="true" customHeight="false" outlineLevel="0" collapsed="false">
      <c r="A5445" s="51" t="s">
        <v>515</v>
      </c>
      <c r="B5445" s="55" t="n">
        <v>44926</v>
      </c>
      <c r="C5445" s="51" t="s">
        <v>782</v>
      </c>
      <c r="D5445" s="51" t="n">
        <v>0</v>
      </c>
    </row>
    <row r="5446" customFormat="false" ht="15" hidden="true" customHeight="false" outlineLevel="0" collapsed="false">
      <c r="A5446" s="51" t="s">
        <v>520</v>
      </c>
      <c r="B5446" s="55" t="n">
        <v>44926</v>
      </c>
      <c r="C5446" s="51" t="s">
        <v>782</v>
      </c>
      <c r="D5446" s="51" t="n">
        <v>0</v>
      </c>
    </row>
    <row r="5447" customFormat="false" ht="15" hidden="true" customHeight="false" outlineLevel="0" collapsed="false">
      <c r="A5447" s="51" t="s">
        <v>525</v>
      </c>
      <c r="B5447" s="55" t="n">
        <v>44926</v>
      </c>
      <c r="C5447" s="51" t="s">
        <v>782</v>
      </c>
      <c r="D5447" s="51" t="n">
        <v>0</v>
      </c>
    </row>
    <row r="5448" customFormat="false" ht="15" hidden="true" customHeight="false" outlineLevel="0" collapsed="false">
      <c r="A5448" s="51" t="s">
        <v>531</v>
      </c>
      <c r="B5448" s="55" t="n">
        <v>44926</v>
      </c>
      <c r="C5448" s="51" t="s">
        <v>782</v>
      </c>
      <c r="D5448" s="51" t="n">
        <v>0</v>
      </c>
    </row>
    <row r="5449" customFormat="false" ht="15" hidden="true" customHeight="false" outlineLevel="0" collapsed="false">
      <c r="A5449" s="51" t="s">
        <v>536</v>
      </c>
      <c r="B5449" s="55" t="n">
        <v>44926</v>
      </c>
      <c r="C5449" s="51" t="s">
        <v>782</v>
      </c>
      <c r="D5449" s="51" t="n">
        <v>0</v>
      </c>
    </row>
    <row r="5450" customFormat="false" ht="15" hidden="true" customHeight="false" outlineLevel="0" collapsed="false">
      <c r="A5450" s="51" t="s">
        <v>541</v>
      </c>
      <c r="B5450" s="55" t="n">
        <v>44926</v>
      </c>
      <c r="C5450" s="51" t="s">
        <v>782</v>
      </c>
      <c r="D5450" s="51" t="n">
        <v>0</v>
      </c>
    </row>
    <row r="5451" customFormat="false" ht="15" hidden="true" customHeight="false" outlineLevel="0" collapsed="false">
      <c r="A5451" s="51" t="s">
        <v>549</v>
      </c>
      <c r="B5451" s="55" t="n">
        <v>44926</v>
      </c>
      <c r="C5451" s="51" t="s">
        <v>782</v>
      </c>
      <c r="D5451" s="51" t="n">
        <v>0</v>
      </c>
    </row>
    <row r="5452" customFormat="false" ht="15" hidden="true" customHeight="false" outlineLevel="0" collapsed="false">
      <c r="A5452" s="51" t="s">
        <v>554</v>
      </c>
      <c r="B5452" s="55" t="n">
        <v>44926</v>
      </c>
      <c r="C5452" s="51" t="s">
        <v>782</v>
      </c>
      <c r="D5452" s="51" t="n">
        <v>0</v>
      </c>
    </row>
    <row r="5453" customFormat="false" ht="15" hidden="true" customHeight="false" outlineLevel="0" collapsed="false">
      <c r="A5453" s="51" t="s">
        <v>559</v>
      </c>
      <c r="B5453" s="55" t="n">
        <v>44926</v>
      </c>
      <c r="C5453" s="51" t="s">
        <v>782</v>
      </c>
      <c r="D5453" s="51" t="n">
        <v>0</v>
      </c>
    </row>
    <row r="5454" customFormat="false" ht="15" hidden="true" customHeight="false" outlineLevel="0" collapsed="false">
      <c r="A5454" s="51" t="s">
        <v>564</v>
      </c>
      <c r="B5454" s="55" t="n">
        <v>44926</v>
      </c>
      <c r="C5454" s="51" t="s">
        <v>782</v>
      </c>
      <c r="D5454" s="51" t="n">
        <v>0</v>
      </c>
    </row>
    <row r="5455" customFormat="false" ht="15" hidden="true" customHeight="false" outlineLevel="0" collapsed="false">
      <c r="A5455" s="51" t="s">
        <v>569</v>
      </c>
      <c r="B5455" s="55" t="n">
        <v>44926</v>
      </c>
      <c r="C5455" s="51" t="s">
        <v>782</v>
      </c>
      <c r="D5455" s="51" t="n">
        <v>0</v>
      </c>
    </row>
    <row r="5456" customFormat="false" ht="15" hidden="true" customHeight="false" outlineLevel="0" collapsed="false">
      <c r="A5456" s="51" t="s">
        <v>574</v>
      </c>
      <c r="B5456" s="55" t="n">
        <v>44926</v>
      </c>
      <c r="C5456" s="51" t="s">
        <v>782</v>
      </c>
      <c r="D5456" s="51" t="n">
        <v>0</v>
      </c>
    </row>
    <row r="5457" customFormat="false" ht="15" hidden="true" customHeight="false" outlineLevel="0" collapsed="false">
      <c r="A5457" s="51" t="s">
        <v>579</v>
      </c>
      <c r="B5457" s="55" t="n">
        <v>44926</v>
      </c>
      <c r="C5457" s="51" t="s">
        <v>782</v>
      </c>
      <c r="D5457" s="51" t="n">
        <v>0</v>
      </c>
    </row>
    <row r="5458" customFormat="false" ht="15" hidden="true" customHeight="false" outlineLevel="0" collapsed="false">
      <c r="A5458" s="51" t="s">
        <v>584</v>
      </c>
      <c r="B5458" s="55" t="n">
        <v>44926</v>
      </c>
      <c r="C5458" s="51" t="s">
        <v>782</v>
      </c>
      <c r="D5458" s="51" t="n">
        <v>0</v>
      </c>
    </row>
    <row r="5459" customFormat="false" ht="15" hidden="true" customHeight="false" outlineLevel="0" collapsed="false">
      <c r="A5459" s="51" t="s">
        <v>589</v>
      </c>
      <c r="B5459" s="55" t="n">
        <v>44926</v>
      </c>
      <c r="C5459" s="51" t="s">
        <v>782</v>
      </c>
      <c r="D5459" s="51" t="n">
        <v>0</v>
      </c>
    </row>
    <row r="5460" customFormat="false" ht="15" hidden="true" customHeight="false" outlineLevel="0" collapsed="false">
      <c r="A5460" s="51" t="s">
        <v>756</v>
      </c>
      <c r="B5460" s="55" t="n">
        <v>44926</v>
      </c>
      <c r="C5460" s="51" t="s">
        <v>782</v>
      </c>
      <c r="D5460" s="51" t="n">
        <v>0</v>
      </c>
    </row>
    <row r="5461" customFormat="false" ht="15" hidden="true" customHeight="false" outlineLevel="0" collapsed="false">
      <c r="A5461" s="51" t="s">
        <v>594</v>
      </c>
      <c r="B5461" s="55" t="n">
        <v>44926</v>
      </c>
      <c r="C5461" s="51" t="s">
        <v>782</v>
      </c>
      <c r="D5461" s="51" t="n">
        <v>0</v>
      </c>
    </row>
    <row r="5462" customFormat="false" ht="15" hidden="true" customHeight="false" outlineLevel="0" collapsed="false">
      <c r="A5462" s="51" t="s">
        <v>761</v>
      </c>
      <c r="B5462" s="55" t="n">
        <v>44926</v>
      </c>
      <c r="C5462" s="51" t="s">
        <v>782</v>
      </c>
      <c r="D5462" s="51" t="n">
        <v>0</v>
      </c>
    </row>
    <row r="5463" customFormat="false" ht="15" hidden="true" customHeight="false" outlineLevel="0" collapsed="false">
      <c r="A5463" s="51" t="s">
        <v>599</v>
      </c>
      <c r="B5463" s="55" t="n">
        <v>44926</v>
      </c>
      <c r="C5463" s="51" t="s">
        <v>782</v>
      </c>
      <c r="D5463" s="51" t="n">
        <v>0</v>
      </c>
    </row>
    <row r="5464" customFormat="false" ht="15" hidden="true" customHeight="false" outlineLevel="0" collapsed="false">
      <c r="A5464" s="51" t="s">
        <v>604</v>
      </c>
      <c r="B5464" s="55" t="n">
        <v>44926</v>
      </c>
      <c r="C5464" s="51" t="s">
        <v>782</v>
      </c>
      <c r="D5464" s="51" t="n">
        <v>0</v>
      </c>
    </row>
    <row r="5465" customFormat="false" ht="15" hidden="true" customHeight="false" outlineLevel="0" collapsed="false">
      <c r="A5465" s="51" t="s">
        <v>609</v>
      </c>
      <c r="B5465" s="55" t="n">
        <v>44926</v>
      </c>
      <c r="C5465" s="51" t="s">
        <v>782</v>
      </c>
      <c r="D5465" s="51" t="n">
        <v>0</v>
      </c>
    </row>
    <row r="5466" customFormat="false" ht="15" hidden="true" customHeight="false" outlineLevel="0" collapsed="false">
      <c r="A5466" s="51" t="s">
        <v>614</v>
      </c>
      <c r="B5466" s="55" t="n">
        <v>44926</v>
      </c>
      <c r="C5466" s="51" t="s">
        <v>782</v>
      </c>
      <c r="D5466" s="51" t="n">
        <v>0</v>
      </c>
    </row>
    <row r="5467" customFormat="false" ht="15" hidden="true" customHeight="false" outlineLevel="0" collapsed="false">
      <c r="A5467" s="51" t="s">
        <v>619</v>
      </c>
      <c r="B5467" s="55" t="n">
        <v>44926</v>
      </c>
      <c r="C5467" s="51" t="s">
        <v>782</v>
      </c>
      <c r="D5467" s="51" t="n">
        <v>0</v>
      </c>
    </row>
    <row r="5468" customFormat="false" ht="15" hidden="true" customHeight="false" outlineLevel="0" collapsed="false">
      <c r="A5468" s="51" t="s">
        <v>624</v>
      </c>
      <c r="B5468" s="55" t="n">
        <v>44926</v>
      </c>
      <c r="C5468" s="51" t="s">
        <v>782</v>
      </c>
      <c r="D5468" s="51" t="n">
        <v>0</v>
      </c>
    </row>
    <row r="5469" customFormat="false" ht="15" hidden="true" customHeight="false" outlineLevel="0" collapsed="false">
      <c r="A5469" s="51" t="s">
        <v>629</v>
      </c>
      <c r="B5469" s="55" t="n">
        <v>44926</v>
      </c>
      <c r="C5469" s="51" t="s">
        <v>782</v>
      </c>
      <c r="D5469" s="51" t="n">
        <v>0</v>
      </c>
    </row>
    <row r="5470" customFormat="false" ht="15" hidden="true" customHeight="false" outlineLevel="0" collapsed="false">
      <c r="A5470" s="51" t="s">
        <v>633</v>
      </c>
      <c r="B5470" s="55" t="n">
        <v>44926</v>
      </c>
      <c r="C5470" s="51" t="s">
        <v>782</v>
      </c>
      <c r="D5470" s="51" t="n">
        <v>0</v>
      </c>
    </row>
    <row r="5471" customFormat="false" ht="15" hidden="true" customHeight="false" outlineLevel="0" collapsed="false">
      <c r="A5471" s="51" t="s">
        <v>638</v>
      </c>
      <c r="B5471" s="55" t="n">
        <v>44926</v>
      </c>
      <c r="C5471" s="51" t="s">
        <v>782</v>
      </c>
      <c r="D5471" s="51" t="n">
        <v>0</v>
      </c>
    </row>
    <row r="5472" customFormat="false" ht="15" hidden="true" customHeight="false" outlineLevel="0" collapsed="false">
      <c r="A5472" s="51" t="s">
        <v>642</v>
      </c>
      <c r="B5472" s="55" t="n">
        <v>44926</v>
      </c>
      <c r="C5472" s="51" t="s">
        <v>782</v>
      </c>
      <c r="D5472" s="51" t="n">
        <v>0</v>
      </c>
    </row>
    <row r="5473" customFormat="false" ht="15" hidden="true" customHeight="false" outlineLevel="0" collapsed="false">
      <c r="A5473" s="51" t="s">
        <v>646</v>
      </c>
      <c r="B5473" s="55" t="n">
        <v>44926</v>
      </c>
      <c r="C5473" s="51" t="s">
        <v>782</v>
      </c>
      <c r="D5473" s="51" t="n">
        <v>0</v>
      </c>
    </row>
    <row r="5474" customFormat="false" ht="15" hidden="true" customHeight="false" outlineLevel="0" collapsed="false">
      <c r="A5474" s="51" t="s">
        <v>651</v>
      </c>
      <c r="B5474" s="55" t="n">
        <v>44926</v>
      </c>
      <c r="C5474" s="51" t="s">
        <v>782</v>
      </c>
      <c r="D5474" s="51" t="n">
        <v>0</v>
      </c>
    </row>
    <row r="5475" customFormat="false" ht="15" hidden="true" customHeight="false" outlineLevel="0" collapsed="false">
      <c r="A5475" s="51" t="s">
        <v>656</v>
      </c>
      <c r="B5475" s="55" t="n">
        <v>44926</v>
      </c>
      <c r="C5475" s="51" t="s">
        <v>782</v>
      </c>
      <c r="D5475" s="51" t="n">
        <v>0</v>
      </c>
    </row>
    <row r="5476" customFormat="false" ht="15" hidden="true" customHeight="false" outlineLevel="0" collapsed="false">
      <c r="A5476" s="51" t="s">
        <v>661</v>
      </c>
      <c r="B5476" s="55" t="n">
        <v>44926</v>
      </c>
      <c r="C5476" s="51" t="s">
        <v>782</v>
      </c>
      <c r="D5476" s="51" t="n">
        <v>0</v>
      </c>
    </row>
    <row r="5477" customFormat="false" ht="15" hidden="true" customHeight="false" outlineLevel="0" collapsed="false">
      <c r="A5477" s="51" t="s">
        <v>666</v>
      </c>
      <c r="B5477" s="55" t="n">
        <v>44926</v>
      </c>
      <c r="C5477" s="51" t="s">
        <v>782</v>
      </c>
      <c r="D5477" s="51" t="n">
        <v>0</v>
      </c>
    </row>
    <row r="5478" customFormat="false" ht="15" hidden="true" customHeight="false" outlineLevel="0" collapsed="false">
      <c r="A5478" s="51" t="s">
        <v>671</v>
      </c>
      <c r="B5478" s="55" t="n">
        <v>44926</v>
      </c>
      <c r="C5478" s="51" t="s">
        <v>782</v>
      </c>
      <c r="D5478" s="51" t="n">
        <v>0</v>
      </c>
    </row>
    <row r="5479" customFormat="false" ht="15" hidden="true" customHeight="false" outlineLevel="0" collapsed="false">
      <c r="A5479" s="51" t="s">
        <v>676</v>
      </c>
      <c r="B5479" s="55" t="n">
        <v>44926</v>
      </c>
      <c r="C5479" s="51" t="s">
        <v>782</v>
      </c>
      <c r="D5479" s="51" t="n">
        <v>0</v>
      </c>
    </row>
    <row r="5480" customFormat="false" ht="15" hidden="true" customHeight="false" outlineLevel="0" collapsed="false">
      <c r="A5480" s="51" t="s">
        <v>681</v>
      </c>
      <c r="B5480" s="55" t="n">
        <v>44926</v>
      </c>
      <c r="C5480" s="51" t="s">
        <v>782</v>
      </c>
      <c r="D5480" s="51" t="n">
        <v>0</v>
      </c>
    </row>
    <row r="5481" customFormat="false" ht="15" hidden="true" customHeight="false" outlineLevel="0" collapsed="false">
      <c r="A5481" s="51" t="s">
        <v>686</v>
      </c>
      <c r="B5481" s="55" t="n">
        <v>44926</v>
      </c>
      <c r="C5481" s="51" t="s">
        <v>782</v>
      </c>
      <c r="D5481" s="51" t="n">
        <v>0</v>
      </c>
    </row>
    <row r="5482" customFormat="false" ht="15" hidden="true" customHeight="false" outlineLevel="0" collapsed="false">
      <c r="A5482" s="51" t="s">
        <v>691</v>
      </c>
      <c r="B5482" s="55" t="n">
        <v>44926</v>
      </c>
      <c r="C5482" s="51" t="s">
        <v>782</v>
      </c>
      <c r="D5482" s="51" t="n">
        <v>0</v>
      </c>
    </row>
    <row r="5483" customFormat="false" ht="15" hidden="true" customHeight="false" outlineLevel="0" collapsed="false">
      <c r="A5483" s="51" t="s">
        <v>696</v>
      </c>
      <c r="B5483" s="55" t="n">
        <v>44926</v>
      </c>
      <c r="C5483" s="51" t="s">
        <v>782</v>
      </c>
      <c r="D5483" s="51" t="n">
        <v>0</v>
      </c>
    </row>
    <row r="5484" customFormat="false" ht="15" hidden="true" customHeight="false" outlineLevel="0" collapsed="false">
      <c r="A5484" s="51" t="s">
        <v>701</v>
      </c>
      <c r="B5484" s="55" t="n">
        <v>44926</v>
      </c>
      <c r="C5484" s="51" t="s">
        <v>782</v>
      </c>
      <c r="D5484" s="51" t="n">
        <v>0</v>
      </c>
    </row>
    <row r="5485" customFormat="false" ht="15" hidden="true" customHeight="false" outlineLevel="0" collapsed="false">
      <c r="A5485" s="51" t="s">
        <v>707</v>
      </c>
      <c r="B5485" s="55" t="n">
        <v>44926</v>
      </c>
      <c r="C5485" s="51" t="s">
        <v>782</v>
      </c>
      <c r="D5485" s="51" t="n">
        <v>0</v>
      </c>
    </row>
    <row r="5486" customFormat="false" ht="15" hidden="true" customHeight="false" outlineLevel="0" collapsed="false">
      <c r="A5486" s="51" t="s">
        <v>712</v>
      </c>
      <c r="B5486" s="55" t="n">
        <v>44926</v>
      </c>
      <c r="C5486" s="51" t="s">
        <v>782</v>
      </c>
      <c r="D5486" s="51" t="n">
        <v>0</v>
      </c>
    </row>
    <row r="5487" customFormat="false" ht="15" hidden="true" customHeight="false" outlineLevel="0" collapsed="false">
      <c r="A5487" s="51" t="s">
        <v>717</v>
      </c>
      <c r="B5487" s="55" t="n">
        <v>44926</v>
      </c>
      <c r="C5487" s="51" t="s">
        <v>782</v>
      </c>
      <c r="D5487" s="51" t="n">
        <v>0</v>
      </c>
    </row>
    <row r="5488" customFormat="false" ht="15" hidden="true" customHeight="false" outlineLevel="0" collapsed="false">
      <c r="A5488" s="51" t="s">
        <v>767</v>
      </c>
      <c r="B5488" s="55" t="n">
        <v>44926</v>
      </c>
      <c r="C5488" s="51" t="s">
        <v>782</v>
      </c>
      <c r="D5488" s="51" t="n">
        <v>0</v>
      </c>
    </row>
    <row r="5489" customFormat="false" ht="15" hidden="true" customHeight="false" outlineLevel="0" collapsed="false">
      <c r="A5489" s="51" t="s">
        <v>722</v>
      </c>
      <c r="B5489" s="55" t="n">
        <v>44926</v>
      </c>
      <c r="C5489" s="51" t="s">
        <v>782</v>
      </c>
      <c r="D5489" s="51" t="n">
        <v>0</v>
      </c>
    </row>
    <row r="5490" customFormat="false" ht="15" hidden="true" customHeight="false" outlineLevel="0" collapsed="false">
      <c r="A5490" s="51" t="s">
        <v>727</v>
      </c>
      <c r="B5490" s="55" t="n">
        <v>44926</v>
      </c>
      <c r="C5490" s="51" t="s">
        <v>782</v>
      </c>
      <c r="D5490" s="51" t="n">
        <v>0</v>
      </c>
    </row>
    <row r="5491" customFormat="false" ht="15" hidden="true" customHeight="false" outlineLevel="0" collapsed="false">
      <c r="A5491" s="51" t="s">
        <v>732</v>
      </c>
      <c r="B5491" s="55" t="n">
        <v>44926</v>
      </c>
      <c r="C5491" s="51" t="s">
        <v>782</v>
      </c>
      <c r="D5491" s="51" t="n">
        <v>0</v>
      </c>
    </row>
    <row r="5492" customFormat="false" ht="15" hidden="true" customHeight="false" outlineLevel="0" collapsed="false">
      <c r="A5492" s="51" t="s">
        <v>736</v>
      </c>
      <c r="B5492" s="55" t="n">
        <v>44926</v>
      </c>
      <c r="C5492" s="51" t="s">
        <v>782</v>
      </c>
      <c r="D5492" s="51" t="n">
        <v>0</v>
      </c>
    </row>
    <row r="5493" customFormat="false" ht="15" hidden="true" customHeight="false" outlineLevel="0" collapsed="false">
      <c r="A5493" s="51" t="s">
        <v>741</v>
      </c>
      <c r="B5493" s="55" t="n">
        <v>44926</v>
      </c>
      <c r="C5493" s="51" t="s">
        <v>782</v>
      </c>
      <c r="D5493" s="51" t="n">
        <v>0</v>
      </c>
    </row>
    <row r="5494" customFormat="false" ht="15" hidden="true" customHeight="false" outlineLevel="0" collapsed="false">
      <c r="A5494" s="51" t="s">
        <v>746</v>
      </c>
      <c r="B5494" s="55" t="n">
        <v>44926</v>
      </c>
      <c r="C5494" s="51" t="s">
        <v>782</v>
      </c>
      <c r="D5494" s="51" t="n">
        <v>0</v>
      </c>
    </row>
    <row r="5495" customFormat="false" ht="15" hidden="true" customHeight="false" outlineLevel="0" collapsed="false">
      <c r="A5495" s="51" t="s">
        <v>751</v>
      </c>
      <c r="B5495" s="55" t="n">
        <v>44926</v>
      </c>
      <c r="C5495" s="51" t="s">
        <v>782</v>
      </c>
      <c r="D5495" s="51" t="n">
        <v>0</v>
      </c>
    </row>
    <row r="5496" customFormat="false" ht="15" hidden="false" customHeight="false" outlineLevel="0" collapsed="false">
      <c r="A5496" s="51" t="s">
        <v>781</v>
      </c>
      <c r="B5496" s="55" t="n">
        <v>44926</v>
      </c>
      <c r="C5496" s="51" t="s">
        <v>82</v>
      </c>
      <c r="D5496" s="51" t="n">
        <v>0</v>
      </c>
    </row>
    <row r="5497" customFormat="false" ht="15" hidden="true" customHeight="false" outlineLevel="0" collapsed="false">
      <c r="A5497" s="51" t="s">
        <v>783</v>
      </c>
      <c r="B5497" s="55" t="n">
        <v>44926</v>
      </c>
      <c r="C5497" s="51" t="s">
        <v>82</v>
      </c>
      <c r="D5497" s="51" t="n">
        <v>0</v>
      </c>
    </row>
    <row r="5498" customFormat="false" ht="15" hidden="true" customHeight="false" outlineLevel="0" collapsed="false">
      <c r="A5498" s="51" t="s">
        <v>96</v>
      </c>
      <c r="B5498" s="55" t="n">
        <v>44926</v>
      </c>
      <c r="C5498" s="51" t="s">
        <v>82</v>
      </c>
      <c r="D5498" s="51" t="n">
        <v>0</v>
      </c>
    </row>
    <row r="5499" customFormat="false" ht="15" hidden="true" customHeight="false" outlineLevel="0" collapsed="false">
      <c r="A5499" s="51" t="s">
        <v>101</v>
      </c>
      <c r="B5499" s="55" t="n">
        <v>44926</v>
      </c>
      <c r="C5499" s="51" t="s">
        <v>82</v>
      </c>
      <c r="D5499" s="51" t="n">
        <v>0</v>
      </c>
    </row>
    <row r="5500" customFormat="false" ht="15" hidden="true" customHeight="false" outlineLevel="0" collapsed="false">
      <c r="A5500" s="51" t="s">
        <v>106</v>
      </c>
      <c r="B5500" s="55" t="n">
        <v>44926</v>
      </c>
      <c r="C5500" s="51" t="s">
        <v>82</v>
      </c>
      <c r="D5500" s="51" t="n">
        <v>0</v>
      </c>
    </row>
    <row r="5501" customFormat="false" ht="15" hidden="true" customHeight="false" outlineLevel="0" collapsed="false">
      <c r="A5501" s="51" t="s">
        <v>110</v>
      </c>
      <c r="B5501" s="55" t="n">
        <v>44926</v>
      </c>
      <c r="C5501" s="51" t="s">
        <v>82</v>
      </c>
      <c r="D5501" s="51" t="n">
        <v>0</v>
      </c>
    </row>
    <row r="5502" customFormat="false" ht="15" hidden="true" customHeight="false" outlineLevel="0" collapsed="false">
      <c r="A5502" s="51" t="s">
        <v>115</v>
      </c>
      <c r="B5502" s="55" t="n">
        <v>44926</v>
      </c>
      <c r="C5502" s="51" t="s">
        <v>82</v>
      </c>
      <c r="D5502" s="51" t="n">
        <v>0</v>
      </c>
    </row>
    <row r="5503" customFormat="false" ht="15" hidden="true" customHeight="false" outlineLevel="0" collapsed="false">
      <c r="A5503" s="51" t="s">
        <v>120</v>
      </c>
      <c r="B5503" s="55" t="n">
        <v>44926</v>
      </c>
      <c r="C5503" s="51" t="s">
        <v>82</v>
      </c>
      <c r="D5503" s="51" t="n">
        <v>0</v>
      </c>
    </row>
    <row r="5504" customFormat="false" ht="15" hidden="true" customHeight="false" outlineLevel="0" collapsed="false">
      <c r="A5504" s="51" t="s">
        <v>124</v>
      </c>
      <c r="B5504" s="55" t="n">
        <v>44926</v>
      </c>
      <c r="C5504" s="51" t="s">
        <v>82</v>
      </c>
      <c r="D5504" s="51" t="n">
        <v>0</v>
      </c>
    </row>
    <row r="5505" customFormat="false" ht="15" hidden="true" customHeight="false" outlineLevel="0" collapsed="false">
      <c r="A5505" s="51" t="s">
        <v>129</v>
      </c>
      <c r="B5505" s="55" t="n">
        <v>44926</v>
      </c>
      <c r="C5505" s="51" t="s">
        <v>82</v>
      </c>
      <c r="D5505" s="51" t="n">
        <v>0</v>
      </c>
    </row>
    <row r="5506" customFormat="false" ht="15" hidden="true" customHeight="false" outlineLevel="0" collapsed="false">
      <c r="A5506" s="51" t="s">
        <v>134</v>
      </c>
      <c r="B5506" s="55" t="n">
        <v>44926</v>
      </c>
      <c r="C5506" s="51" t="s">
        <v>82</v>
      </c>
      <c r="D5506" s="51" t="n">
        <v>0</v>
      </c>
    </row>
    <row r="5507" customFormat="false" ht="15" hidden="true" customHeight="false" outlineLevel="0" collapsed="false">
      <c r="A5507" s="51" t="s">
        <v>141</v>
      </c>
      <c r="B5507" s="55" t="n">
        <v>44926</v>
      </c>
      <c r="C5507" s="51" t="s">
        <v>82</v>
      </c>
      <c r="D5507" s="51" t="n">
        <v>0</v>
      </c>
    </row>
    <row r="5508" customFormat="false" ht="15" hidden="true" customHeight="false" outlineLevel="0" collapsed="false">
      <c r="A5508" s="51" t="s">
        <v>146</v>
      </c>
      <c r="B5508" s="55" t="n">
        <v>44926</v>
      </c>
      <c r="C5508" s="51" t="s">
        <v>82</v>
      </c>
      <c r="D5508" s="51" t="n">
        <v>0</v>
      </c>
    </row>
    <row r="5509" customFormat="false" ht="15" hidden="true" customHeight="false" outlineLevel="0" collapsed="false">
      <c r="A5509" s="51" t="s">
        <v>151</v>
      </c>
      <c r="B5509" s="55" t="n">
        <v>44926</v>
      </c>
      <c r="C5509" s="51" t="s">
        <v>82</v>
      </c>
      <c r="D5509" s="51" t="n">
        <v>0</v>
      </c>
    </row>
    <row r="5510" customFormat="false" ht="15" hidden="true" customHeight="false" outlineLevel="0" collapsed="false">
      <c r="A5510" s="51" t="s">
        <v>156</v>
      </c>
      <c r="B5510" s="55" t="n">
        <v>44926</v>
      </c>
      <c r="C5510" s="51" t="s">
        <v>82</v>
      </c>
      <c r="D5510" s="51" t="n">
        <v>0</v>
      </c>
    </row>
    <row r="5511" customFormat="false" ht="15" hidden="true" customHeight="false" outlineLevel="0" collapsed="false">
      <c r="A5511" s="51" t="s">
        <v>161</v>
      </c>
      <c r="B5511" s="55" t="n">
        <v>44926</v>
      </c>
      <c r="C5511" s="51" t="s">
        <v>82</v>
      </c>
      <c r="D5511" s="51" t="n">
        <v>0</v>
      </c>
    </row>
    <row r="5512" customFormat="false" ht="15" hidden="true" customHeight="false" outlineLevel="0" collapsed="false">
      <c r="A5512" s="51" t="s">
        <v>166</v>
      </c>
      <c r="B5512" s="55" t="n">
        <v>44926</v>
      </c>
      <c r="C5512" s="51" t="s">
        <v>82</v>
      </c>
      <c r="D5512" s="51" t="n">
        <v>0</v>
      </c>
    </row>
    <row r="5513" customFormat="false" ht="15" hidden="true" customHeight="false" outlineLevel="0" collapsed="false">
      <c r="A5513" s="51" t="s">
        <v>171</v>
      </c>
      <c r="B5513" s="55" t="n">
        <v>44926</v>
      </c>
      <c r="C5513" s="51" t="s">
        <v>82</v>
      </c>
      <c r="D5513" s="51" t="n">
        <v>0</v>
      </c>
    </row>
    <row r="5514" customFormat="false" ht="15" hidden="true" customHeight="false" outlineLevel="0" collapsed="false">
      <c r="A5514" s="51" t="s">
        <v>176</v>
      </c>
      <c r="B5514" s="55" t="n">
        <v>44926</v>
      </c>
      <c r="C5514" s="51" t="s">
        <v>82</v>
      </c>
      <c r="D5514" s="51" t="n">
        <v>0</v>
      </c>
    </row>
    <row r="5515" customFormat="false" ht="15" hidden="true" customHeight="false" outlineLevel="0" collapsed="false">
      <c r="A5515" s="51" t="s">
        <v>181</v>
      </c>
      <c r="B5515" s="55" t="n">
        <v>44926</v>
      </c>
      <c r="C5515" s="51" t="s">
        <v>82</v>
      </c>
      <c r="D5515" s="51" t="n">
        <v>0</v>
      </c>
    </row>
    <row r="5516" customFormat="false" ht="15" hidden="true" customHeight="false" outlineLevel="0" collapsed="false">
      <c r="A5516" s="51" t="s">
        <v>186</v>
      </c>
      <c r="B5516" s="55" t="n">
        <v>44926</v>
      </c>
      <c r="C5516" s="51" t="s">
        <v>82</v>
      </c>
      <c r="D5516" s="51" t="n">
        <v>0</v>
      </c>
    </row>
    <row r="5517" customFormat="false" ht="15" hidden="true" customHeight="false" outlineLevel="0" collapsed="false">
      <c r="A5517" s="51" t="s">
        <v>191</v>
      </c>
      <c r="B5517" s="55" t="n">
        <v>44926</v>
      </c>
      <c r="C5517" s="51" t="s">
        <v>82</v>
      </c>
      <c r="D5517" s="51" t="n">
        <v>0</v>
      </c>
    </row>
    <row r="5518" customFormat="false" ht="15" hidden="true" customHeight="false" outlineLevel="0" collapsed="false">
      <c r="A5518" s="51" t="s">
        <v>196</v>
      </c>
      <c r="B5518" s="55" t="n">
        <v>44926</v>
      </c>
      <c r="C5518" s="51" t="s">
        <v>82</v>
      </c>
      <c r="D5518" s="51" t="n">
        <v>0</v>
      </c>
    </row>
    <row r="5519" customFormat="false" ht="15" hidden="true" customHeight="false" outlineLevel="0" collapsed="false">
      <c r="A5519" s="51" t="s">
        <v>201</v>
      </c>
      <c r="B5519" s="55" t="n">
        <v>44926</v>
      </c>
      <c r="C5519" s="51" t="s">
        <v>82</v>
      </c>
      <c r="D5519" s="51" t="n">
        <v>0</v>
      </c>
    </row>
    <row r="5520" customFormat="false" ht="15" hidden="true" customHeight="false" outlineLevel="0" collapsed="false">
      <c r="A5520" s="51" t="s">
        <v>206</v>
      </c>
      <c r="B5520" s="55" t="n">
        <v>44926</v>
      </c>
      <c r="C5520" s="51" t="s">
        <v>82</v>
      </c>
      <c r="D5520" s="51" t="n">
        <v>0</v>
      </c>
    </row>
    <row r="5521" customFormat="false" ht="15" hidden="true" customHeight="false" outlineLevel="0" collapsed="false">
      <c r="A5521" s="51" t="s">
        <v>210</v>
      </c>
      <c r="B5521" s="55" t="n">
        <v>44926</v>
      </c>
      <c r="C5521" s="51" t="s">
        <v>82</v>
      </c>
      <c r="D5521" s="51" t="n">
        <v>0</v>
      </c>
    </row>
    <row r="5522" customFormat="false" ht="15" hidden="true" customHeight="false" outlineLevel="0" collapsed="false">
      <c r="A5522" s="51" t="s">
        <v>215</v>
      </c>
      <c r="B5522" s="55" t="n">
        <v>44926</v>
      </c>
      <c r="C5522" s="51" t="s">
        <v>82</v>
      </c>
      <c r="D5522" s="51" t="n">
        <v>0</v>
      </c>
    </row>
    <row r="5523" customFormat="false" ht="15" hidden="true" customHeight="false" outlineLevel="0" collapsed="false">
      <c r="A5523" s="51" t="s">
        <v>790</v>
      </c>
      <c r="B5523" s="55" t="n">
        <v>44926</v>
      </c>
      <c r="C5523" s="51" t="s">
        <v>82</v>
      </c>
      <c r="D5523" s="51" t="n">
        <v>0</v>
      </c>
    </row>
    <row r="5524" customFormat="false" ht="15" hidden="true" customHeight="false" outlineLevel="0" collapsed="false">
      <c r="A5524" s="51" t="s">
        <v>225</v>
      </c>
      <c r="B5524" s="55" t="n">
        <v>44926</v>
      </c>
      <c r="C5524" s="51" t="s">
        <v>82</v>
      </c>
      <c r="D5524" s="51" t="n">
        <v>0</v>
      </c>
    </row>
    <row r="5525" customFormat="false" ht="15" hidden="true" customHeight="false" outlineLevel="0" collapsed="false">
      <c r="A5525" s="51" t="s">
        <v>230</v>
      </c>
      <c r="B5525" s="55" t="n">
        <v>44926</v>
      </c>
      <c r="C5525" s="51" t="s">
        <v>82</v>
      </c>
      <c r="D5525" s="51" t="n">
        <v>0</v>
      </c>
    </row>
    <row r="5526" customFormat="false" ht="15" hidden="true" customHeight="false" outlineLevel="0" collapsed="false">
      <c r="A5526" s="51" t="s">
        <v>235</v>
      </c>
      <c r="B5526" s="55" t="n">
        <v>44926</v>
      </c>
      <c r="C5526" s="51" t="s">
        <v>82</v>
      </c>
      <c r="D5526" s="51" t="n">
        <v>0</v>
      </c>
    </row>
    <row r="5527" customFormat="false" ht="15" hidden="true" customHeight="false" outlineLevel="0" collapsed="false">
      <c r="A5527" s="51" t="s">
        <v>240</v>
      </c>
      <c r="B5527" s="55" t="n">
        <v>44926</v>
      </c>
      <c r="C5527" s="51" t="s">
        <v>82</v>
      </c>
      <c r="D5527" s="51" t="n">
        <v>0</v>
      </c>
    </row>
    <row r="5528" customFormat="false" ht="15" hidden="true" customHeight="false" outlineLevel="0" collapsed="false">
      <c r="A5528" s="51" t="s">
        <v>246</v>
      </c>
      <c r="B5528" s="55" t="n">
        <v>44926</v>
      </c>
      <c r="C5528" s="51" t="s">
        <v>82</v>
      </c>
      <c r="D5528" s="51" t="n">
        <v>0</v>
      </c>
    </row>
    <row r="5529" customFormat="false" ht="15" hidden="true" customHeight="false" outlineLevel="0" collapsed="false">
      <c r="A5529" s="51" t="s">
        <v>252</v>
      </c>
      <c r="B5529" s="55" t="n">
        <v>44926</v>
      </c>
      <c r="C5529" s="51" t="s">
        <v>82</v>
      </c>
      <c r="D5529" s="51" t="n">
        <v>0</v>
      </c>
    </row>
    <row r="5530" customFormat="false" ht="15" hidden="true" customHeight="false" outlineLevel="0" collapsed="false">
      <c r="A5530" s="51" t="s">
        <v>257</v>
      </c>
      <c r="B5530" s="55" t="n">
        <v>44926</v>
      </c>
      <c r="C5530" s="51" t="s">
        <v>82</v>
      </c>
      <c r="D5530" s="51" t="n">
        <v>0</v>
      </c>
    </row>
    <row r="5531" customFormat="false" ht="15" hidden="true" customHeight="false" outlineLevel="0" collapsed="false">
      <c r="A5531" s="51" t="s">
        <v>262</v>
      </c>
      <c r="B5531" s="55" t="n">
        <v>44926</v>
      </c>
      <c r="C5531" s="51" t="s">
        <v>82</v>
      </c>
      <c r="D5531" s="51" t="n">
        <v>0</v>
      </c>
    </row>
    <row r="5532" customFormat="false" ht="15" hidden="true" customHeight="false" outlineLevel="0" collapsed="false">
      <c r="A5532" s="51" t="s">
        <v>267</v>
      </c>
      <c r="B5532" s="55" t="n">
        <v>44926</v>
      </c>
      <c r="C5532" s="51" t="s">
        <v>82</v>
      </c>
      <c r="D5532" s="51" t="n">
        <v>0</v>
      </c>
    </row>
    <row r="5533" customFormat="false" ht="15" hidden="true" customHeight="false" outlineLevel="0" collapsed="false">
      <c r="A5533" s="51" t="s">
        <v>272</v>
      </c>
      <c r="B5533" s="55" t="n">
        <v>44926</v>
      </c>
      <c r="C5533" s="51" t="s">
        <v>82</v>
      </c>
      <c r="D5533" s="51" t="n">
        <v>0</v>
      </c>
    </row>
    <row r="5534" customFormat="false" ht="15" hidden="true" customHeight="false" outlineLevel="0" collapsed="false">
      <c r="A5534" s="51" t="s">
        <v>277</v>
      </c>
      <c r="B5534" s="55" t="n">
        <v>44926</v>
      </c>
      <c r="C5534" s="51" t="s">
        <v>82</v>
      </c>
      <c r="D5534" s="51" t="n">
        <v>0</v>
      </c>
    </row>
    <row r="5535" customFormat="false" ht="15" hidden="true" customHeight="false" outlineLevel="0" collapsed="false">
      <c r="A5535" s="51" t="s">
        <v>282</v>
      </c>
      <c r="B5535" s="55" t="n">
        <v>44926</v>
      </c>
      <c r="C5535" s="51" t="s">
        <v>82</v>
      </c>
      <c r="D5535" s="51" t="n">
        <v>0</v>
      </c>
    </row>
    <row r="5536" customFormat="false" ht="15" hidden="true" customHeight="false" outlineLevel="0" collapsed="false">
      <c r="A5536" s="51" t="s">
        <v>287</v>
      </c>
      <c r="B5536" s="55" t="n">
        <v>44926</v>
      </c>
      <c r="C5536" s="51" t="s">
        <v>82</v>
      </c>
      <c r="D5536" s="51" t="n">
        <v>0</v>
      </c>
    </row>
    <row r="5537" customFormat="false" ht="15" hidden="true" customHeight="false" outlineLevel="0" collapsed="false">
      <c r="A5537" s="51" t="s">
        <v>292</v>
      </c>
      <c r="B5537" s="55" t="n">
        <v>44926</v>
      </c>
      <c r="C5537" s="51" t="s">
        <v>82</v>
      </c>
      <c r="D5537" s="51" t="n">
        <v>0</v>
      </c>
    </row>
    <row r="5538" customFormat="false" ht="15" hidden="true" customHeight="false" outlineLevel="0" collapsed="false">
      <c r="A5538" s="51" t="s">
        <v>297</v>
      </c>
      <c r="B5538" s="55" t="n">
        <v>44926</v>
      </c>
      <c r="C5538" s="51" t="s">
        <v>82</v>
      </c>
      <c r="D5538" s="51" t="n">
        <v>0</v>
      </c>
    </row>
    <row r="5539" customFormat="false" ht="15" hidden="true" customHeight="false" outlineLevel="0" collapsed="false">
      <c r="A5539" s="51" t="s">
        <v>302</v>
      </c>
      <c r="B5539" s="55" t="n">
        <v>44926</v>
      </c>
      <c r="C5539" s="51" t="s">
        <v>82</v>
      </c>
      <c r="D5539" s="51" t="n">
        <v>0</v>
      </c>
    </row>
    <row r="5540" customFormat="false" ht="15" hidden="true" customHeight="false" outlineLevel="0" collapsed="false">
      <c r="A5540" s="51" t="s">
        <v>307</v>
      </c>
      <c r="B5540" s="55" t="n">
        <v>44926</v>
      </c>
      <c r="C5540" s="51" t="s">
        <v>82</v>
      </c>
      <c r="D5540" s="51" t="n">
        <v>0</v>
      </c>
    </row>
    <row r="5541" customFormat="false" ht="15" hidden="true" customHeight="false" outlineLevel="0" collapsed="false">
      <c r="A5541" s="51" t="s">
        <v>311</v>
      </c>
      <c r="B5541" s="55" t="n">
        <v>44926</v>
      </c>
      <c r="C5541" s="51" t="s">
        <v>82</v>
      </c>
      <c r="D5541" s="51" t="n">
        <v>0</v>
      </c>
    </row>
    <row r="5542" customFormat="false" ht="15" hidden="true" customHeight="false" outlineLevel="0" collapsed="false">
      <c r="A5542" s="51" t="s">
        <v>317</v>
      </c>
      <c r="B5542" s="55" t="n">
        <v>44926</v>
      </c>
      <c r="C5542" s="51" t="s">
        <v>82</v>
      </c>
      <c r="D5542" s="51" t="n">
        <v>0</v>
      </c>
    </row>
    <row r="5543" customFormat="false" ht="15" hidden="true" customHeight="false" outlineLevel="0" collapsed="false">
      <c r="A5543" s="51" t="s">
        <v>322</v>
      </c>
      <c r="B5543" s="55" t="n">
        <v>44926</v>
      </c>
      <c r="C5543" s="51" t="s">
        <v>82</v>
      </c>
      <c r="D5543" s="51" t="n">
        <v>0</v>
      </c>
    </row>
    <row r="5544" customFormat="false" ht="15" hidden="true" customHeight="false" outlineLevel="0" collapsed="false">
      <c r="A5544" s="51" t="s">
        <v>327</v>
      </c>
      <c r="B5544" s="55" t="n">
        <v>44926</v>
      </c>
      <c r="C5544" s="51" t="s">
        <v>82</v>
      </c>
      <c r="D5544" s="51" t="n">
        <v>0</v>
      </c>
    </row>
    <row r="5545" customFormat="false" ht="15" hidden="true" customHeight="false" outlineLevel="0" collapsed="false">
      <c r="A5545" s="51" t="s">
        <v>332</v>
      </c>
      <c r="B5545" s="55" t="n">
        <v>44926</v>
      </c>
      <c r="C5545" s="51" t="s">
        <v>82</v>
      </c>
      <c r="D5545" s="51" t="n">
        <v>0</v>
      </c>
    </row>
    <row r="5546" customFormat="false" ht="15" hidden="true" customHeight="false" outlineLevel="0" collapsed="false">
      <c r="A5546" s="51" t="s">
        <v>339</v>
      </c>
      <c r="B5546" s="55" t="n">
        <v>44926</v>
      </c>
      <c r="C5546" s="51" t="s">
        <v>82</v>
      </c>
      <c r="D5546" s="51" t="n">
        <v>0</v>
      </c>
    </row>
    <row r="5547" customFormat="false" ht="15" hidden="true" customHeight="false" outlineLevel="0" collapsed="false">
      <c r="A5547" s="51" t="s">
        <v>344</v>
      </c>
      <c r="B5547" s="55" t="n">
        <v>44926</v>
      </c>
      <c r="C5547" s="51" t="s">
        <v>82</v>
      </c>
      <c r="D5547" s="51" t="n">
        <v>0</v>
      </c>
    </row>
    <row r="5548" customFormat="false" ht="15" hidden="true" customHeight="false" outlineLevel="0" collapsed="false">
      <c r="A5548" s="51" t="s">
        <v>349</v>
      </c>
      <c r="B5548" s="55" t="n">
        <v>44926</v>
      </c>
      <c r="C5548" s="51" t="s">
        <v>82</v>
      </c>
      <c r="D5548" s="51" t="n">
        <v>50000</v>
      </c>
    </row>
    <row r="5549" customFormat="false" ht="15" hidden="true" customHeight="false" outlineLevel="0" collapsed="false">
      <c r="A5549" s="51" t="s">
        <v>354</v>
      </c>
      <c r="B5549" s="55" t="n">
        <v>44926</v>
      </c>
      <c r="C5549" s="51" t="s">
        <v>82</v>
      </c>
      <c r="D5549" s="51" t="n">
        <v>3252000</v>
      </c>
    </row>
    <row r="5550" customFormat="false" ht="15" hidden="true" customHeight="false" outlineLevel="0" collapsed="false">
      <c r="A5550" s="51" t="s">
        <v>359</v>
      </c>
      <c r="B5550" s="55" t="n">
        <v>44926</v>
      </c>
      <c r="C5550" s="51" t="s">
        <v>82</v>
      </c>
      <c r="D5550" s="51" t="n">
        <v>2543605.42</v>
      </c>
    </row>
    <row r="5551" customFormat="false" ht="15" hidden="true" customHeight="false" outlineLevel="0" collapsed="false">
      <c r="A5551" s="51" t="s">
        <v>364</v>
      </c>
      <c r="B5551" s="55" t="n">
        <v>44926</v>
      </c>
      <c r="C5551" s="51" t="s">
        <v>82</v>
      </c>
      <c r="D5551" s="51" t="n">
        <v>361000</v>
      </c>
    </row>
    <row r="5552" customFormat="false" ht="15" hidden="true" customHeight="false" outlineLevel="0" collapsed="false">
      <c r="A5552" s="51" t="s">
        <v>369</v>
      </c>
      <c r="B5552" s="55" t="n">
        <v>44926</v>
      </c>
      <c r="C5552" s="51" t="s">
        <v>82</v>
      </c>
      <c r="D5552" s="51" t="n">
        <v>0</v>
      </c>
    </row>
    <row r="5553" customFormat="false" ht="15" hidden="true" customHeight="false" outlineLevel="0" collapsed="false">
      <c r="A5553" s="51" t="s">
        <v>374</v>
      </c>
      <c r="B5553" s="55" t="n">
        <v>44926</v>
      </c>
      <c r="C5553" s="51" t="s">
        <v>82</v>
      </c>
      <c r="D5553" s="51" t="n">
        <v>0</v>
      </c>
    </row>
    <row r="5554" customFormat="false" ht="15" hidden="true" customHeight="false" outlineLevel="0" collapsed="false">
      <c r="A5554" s="51" t="s">
        <v>379</v>
      </c>
      <c r="B5554" s="55" t="n">
        <v>44926</v>
      </c>
      <c r="C5554" s="51" t="s">
        <v>82</v>
      </c>
      <c r="D5554" s="51" t="n">
        <v>0</v>
      </c>
    </row>
    <row r="5555" customFormat="false" ht="15" hidden="true" customHeight="false" outlineLevel="0" collapsed="false">
      <c r="A5555" s="51" t="s">
        <v>384</v>
      </c>
      <c r="B5555" s="55" t="n">
        <v>44926</v>
      </c>
      <c r="C5555" s="51" t="s">
        <v>82</v>
      </c>
      <c r="D5555" s="51" t="n">
        <v>0</v>
      </c>
    </row>
    <row r="5556" customFormat="false" ht="15" hidden="true" customHeight="false" outlineLevel="0" collapsed="false">
      <c r="A5556" s="51" t="s">
        <v>389</v>
      </c>
      <c r="B5556" s="55" t="n">
        <v>44926</v>
      </c>
      <c r="C5556" s="51" t="s">
        <v>82</v>
      </c>
      <c r="D5556" s="51" t="n">
        <v>0</v>
      </c>
    </row>
    <row r="5557" customFormat="false" ht="15" hidden="true" customHeight="false" outlineLevel="0" collapsed="false">
      <c r="A5557" s="51" t="s">
        <v>394</v>
      </c>
      <c r="B5557" s="55" t="n">
        <v>44926</v>
      </c>
      <c r="C5557" s="51" t="s">
        <v>82</v>
      </c>
      <c r="D5557" s="51" t="n">
        <v>0</v>
      </c>
    </row>
    <row r="5558" customFormat="false" ht="15" hidden="true" customHeight="false" outlineLevel="0" collapsed="false">
      <c r="A5558" s="51" t="s">
        <v>399</v>
      </c>
      <c r="B5558" s="55" t="n">
        <v>44926</v>
      </c>
      <c r="C5558" s="51" t="s">
        <v>82</v>
      </c>
      <c r="D5558" s="51" t="n">
        <v>0</v>
      </c>
    </row>
    <row r="5559" customFormat="false" ht="15" hidden="true" customHeight="false" outlineLevel="0" collapsed="false">
      <c r="A5559" s="51" t="s">
        <v>404</v>
      </c>
      <c r="B5559" s="55" t="n">
        <v>44926</v>
      </c>
      <c r="C5559" s="51" t="s">
        <v>82</v>
      </c>
      <c r="D5559" s="51" t="n">
        <v>0</v>
      </c>
    </row>
    <row r="5560" customFormat="false" ht="15" hidden="true" customHeight="false" outlineLevel="0" collapsed="false">
      <c r="A5560" s="51" t="s">
        <v>409</v>
      </c>
      <c r="B5560" s="55" t="n">
        <v>44926</v>
      </c>
      <c r="C5560" s="51" t="s">
        <v>82</v>
      </c>
      <c r="D5560" s="51" t="n">
        <v>0</v>
      </c>
    </row>
    <row r="5561" customFormat="false" ht="15" hidden="true" customHeight="false" outlineLevel="0" collapsed="false">
      <c r="A5561" s="51" t="s">
        <v>414</v>
      </c>
      <c r="B5561" s="55" t="n">
        <v>44926</v>
      </c>
      <c r="C5561" s="51" t="s">
        <v>82</v>
      </c>
      <c r="D5561" s="51" t="n">
        <v>0</v>
      </c>
    </row>
    <row r="5562" customFormat="false" ht="15" hidden="true" customHeight="false" outlineLevel="0" collapsed="false">
      <c r="A5562" s="51" t="s">
        <v>419</v>
      </c>
      <c r="B5562" s="55" t="n">
        <v>44926</v>
      </c>
      <c r="C5562" s="51" t="s">
        <v>82</v>
      </c>
      <c r="D5562" s="51" t="n">
        <v>0</v>
      </c>
    </row>
    <row r="5563" customFormat="false" ht="15" hidden="true" customHeight="false" outlineLevel="0" collapsed="false">
      <c r="A5563" s="51" t="s">
        <v>424</v>
      </c>
      <c r="B5563" s="55" t="n">
        <v>44926</v>
      </c>
      <c r="C5563" s="51" t="s">
        <v>82</v>
      </c>
      <c r="D5563" s="51" t="n">
        <v>0</v>
      </c>
    </row>
    <row r="5564" customFormat="false" ht="15" hidden="true" customHeight="false" outlineLevel="0" collapsed="false">
      <c r="A5564" s="51" t="s">
        <v>429</v>
      </c>
      <c r="B5564" s="55" t="n">
        <v>44926</v>
      </c>
      <c r="C5564" s="51" t="s">
        <v>82</v>
      </c>
      <c r="D5564" s="51" t="n">
        <v>0</v>
      </c>
    </row>
    <row r="5565" customFormat="false" ht="15" hidden="true" customHeight="false" outlineLevel="0" collapsed="false">
      <c r="A5565" s="51" t="s">
        <v>434</v>
      </c>
      <c r="B5565" s="55" t="n">
        <v>44926</v>
      </c>
      <c r="C5565" s="51" t="s">
        <v>82</v>
      </c>
      <c r="D5565" s="51" t="n">
        <v>0</v>
      </c>
    </row>
    <row r="5566" customFormat="false" ht="15" hidden="true" customHeight="false" outlineLevel="0" collapsed="false">
      <c r="A5566" s="51" t="s">
        <v>438</v>
      </c>
      <c r="B5566" s="55" t="n">
        <v>44926</v>
      </c>
      <c r="C5566" s="51" t="s">
        <v>82</v>
      </c>
      <c r="D5566" s="51" t="n">
        <v>0</v>
      </c>
    </row>
    <row r="5567" customFormat="false" ht="15" hidden="true" customHeight="false" outlineLevel="0" collapsed="false">
      <c r="A5567" s="51" t="s">
        <v>443</v>
      </c>
      <c r="B5567" s="55" t="n">
        <v>44926</v>
      </c>
      <c r="C5567" s="51" t="s">
        <v>82</v>
      </c>
      <c r="D5567" s="51" t="n">
        <v>0</v>
      </c>
    </row>
    <row r="5568" customFormat="false" ht="15" hidden="true" customHeight="false" outlineLevel="0" collapsed="false">
      <c r="A5568" s="51" t="s">
        <v>448</v>
      </c>
      <c r="B5568" s="55" t="n">
        <v>44926</v>
      </c>
      <c r="C5568" s="51" t="s">
        <v>82</v>
      </c>
      <c r="D5568" s="51" t="n">
        <v>0</v>
      </c>
    </row>
    <row r="5569" customFormat="false" ht="15" hidden="true" customHeight="false" outlineLevel="0" collapsed="false">
      <c r="A5569" s="51" t="s">
        <v>453</v>
      </c>
      <c r="B5569" s="55" t="n">
        <v>44926</v>
      </c>
      <c r="C5569" s="51" t="s">
        <v>82</v>
      </c>
      <c r="D5569" s="51" t="n">
        <v>0</v>
      </c>
    </row>
    <row r="5570" customFormat="false" ht="15" hidden="true" customHeight="false" outlineLevel="0" collapsed="false">
      <c r="A5570" s="51" t="s">
        <v>458</v>
      </c>
      <c r="B5570" s="55" t="n">
        <v>44926</v>
      </c>
      <c r="C5570" s="51" t="s">
        <v>82</v>
      </c>
      <c r="D5570" s="51" t="n">
        <v>0</v>
      </c>
    </row>
    <row r="5571" customFormat="false" ht="15" hidden="true" customHeight="false" outlineLevel="0" collapsed="false">
      <c r="A5571" s="51" t="s">
        <v>473</v>
      </c>
      <c r="B5571" s="55" t="n">
        <v>44926</v>
      </c>
      <c r="C5571" s="51" t="s">
        <v>82</v>
      </c>
      <c r="D5571" s="51" t="n">
        <v>0</v>
      </c>
    </row>
    <row r="5572" customFormat="false" ht="15" hidden="true" customHeight="false" outlineLevel="0" collapsed="false">
      <c r="A5572" s="51" t="s">
        <v>479</v>
      </c>
      <c r="B5572" s="55" t="n">
        <v>44926</v>
      </c>
      <c r="C5572" s="51" t="s">
        <v>82</v>
      </c>
      <c r="D5572" s="51" t="n">
        <v>0</v>
      </c>
    </row>
    <row r="5573" customFormat="false" ht="15" hidden="true" customHeight="false" outlineLevel="0" collapsed="false">
      <c r="A5573" s="51" t="s">
        <v>484</v>
      </c>
      <c r="B5573" s="55" t="n">
        <v>44926</v>
      </c>
      <c r="C5573" s="51" t="s">
        <v>82</v>
      </c>
      <c r="D5573" s="51" t="n">
        <v>0</v>
      </c>
    </row>
    <row r="5574" customFormat="false" ht="15" hidden="true" customHeight="false" outlineLevel="0" collapsed="false">
      <c r="A5574" s="51" t="s">
        <v>489</v>
      </c>
      <c r="B5574" s="55" t="n">
        <v>44926</v>
      </c>
      <c r="C5574" s="51" t="s">
        <v>82</v>
      </c>
      <c r="D5574" s="51" t="n">
        <v>0</v>
      </c>
    </row>
    <row r="5575" customFormat="false" ht="15" hidden="true" customHeight="false" outlineLevel="0" collapsed="false">
      <c r="A5575" s="51" t="s">
        <v>494</v>
      </c>
      <c r="B5575" s="55" t="n">
        <v>44926</v>
      </c>
      <c r="C5575" s="51" t="s">
        <v>82</v>
      </c>
      <c r="D5575" s="51" t="n">
        <v>0</v>
      </c>
    </row>
    <row r="5576" customFormat="false" ht="15" hidden="true" customHeight="false" outlineLevel="0" collapsed="false">
      <c r="A5576" s="51" t="s">
        <v>499</v>
      </c>
      <c r="B5576" s="55" t="n">
        <v>44926</v>
      </c>
      <c r="C5576" s="51" t="s">
        <v>82</v>
      </c>
      <c r="D5576" s="51" t="n">
        <v>0</v>
      </c>
    </row>
    <row r="5577" customFormat="false" ht="15" hidden="true" customHeight="false" outlineLevel="0" collapsed="false">
      <c r="A5577" s="51" t="s">
        <v>504</v>
      </c>
      <c r="B5577" s="55" t="n">
        <v>44926</v>
      </c>
      <c r="C5577" s="51" t="s">
        <v>82</v>
      </c>
      <c r="D5577" s="51" t="n">
        <v>0</v>
      </c>
    </row>
    <row r="5578" customFormat="false" ht="15" hidden="true" customHeight="false" outlineLevel="0" collapsed="false">
      <c r="A5578" s="51" t="s">
        <v>509</v>
      </c>
      <c r="B5578" s="55" t="n">
        <v>44926</v>
      </c>
      <c r="C5578" s="51" t="s">
        <v>82</v>
      </c>
      <c r="D5578" s="51" t="n">
        <v>0</v>
      </c>
    </row>
    <row r="5579" customFormat="false" ht="15" hidden="true" customHeight="false" outlineLevel="0" collapsed="false">
      <c r="A5579" s="51" t="s">
        <v>515</v>
      </c>
      <c r="B5579" s="55" t="n">
        <v>44926</v>
      </c>
      <c r="C5579" s="51" t="s">
        <v>82</v>
      </c>
      <c r="D5579" s="51" t="n">
        <v>0</v>
      </c>
    </row>
    <row r="5580" customFormat="false" ht="15" hidden="true" customHeight="false" outlineLevel="0" collapsed="false">
      <c r="A5580" s="51" t="s">
        <v>520</v>
      </c>
      <c r="B5580" s="55" t="n">
        <v>44926</v>
      </c>
      <c r="C5580" s="51" t="s">
        <v>82</v>
      </c>
      <c r="D5580" s="51" t="n">
        <v>0</v>
      </c>
    </row>
    <row r="5581" customFormat="false" ht="15" hidden="true" customHeight="false" outlineLevel="0" collapsed="false">
      <c r="A5581" s="51" t="s">
        <v>525</v>
      </c>
      <c r="B5581" s="55" t="n">
        <v>44926</v>
      </c>
      <c r="C5581" s="51" t="s">
        <v>82</v>
      </c>
      <c r="D5581" s="51" t="n">
        <v>0</v>
      </c>
    </row>
    <row r="5582" customFormat="false" ht="15" hidden="true" customHeight="false" outlineLevel="0" collapsed="false">
      <c r="A5582" s="51" t="s">
        <v>531</v>
      </c>
      <c r="B5582" s="55" t="n">
        <v>44926</v>
      </c>
      <c r="C5582" s="51" t="s">
        <v>82</v>
      </c>
      <c r="D5582" s="51" t="n">
        <v>0</v>
      </c>
    </row>
    <row r="5583" customFormat="false" ht="15" hidden="true" customHeight="false" outlineLevel="0" collapsed="false">
      <c r="A5583" s="51" t="s">
        <v>536</v>
      </c>
      <c r="B5583" s="55" t="n">
        <v>44926</v>
      </c>
      <c r="C5583" s="51" t="s">
        <v>82</v>
      </c>
      <c r="D5583" s="51" t="n">
        <v>0</v>
      </c>
    </row>
    <row r="5584" customFormat="false" ht="15" hidden="true" customHeight="false" outlineLevel="0" collapsed="false">
      <c r="A5584" s="51" t="s">
        <v>541</v>
      </c>
      <c r="B5584" s="55" t="n">
        <v>44926</v>
      </c>
      <c r="C5584" s="51" t="s">
        <v>82</v>
      </c>
      <c r="D5584" s="51" t="n">
        <v>0</v>
      </c>
    </row>
    <row r="5585" customFormat="false" ht="15" hidden="true" customHeight="false" outlineLevel="0" collapsed="false">
      <c r="A5585" s="51" t="s">
        <v>549</v>
      </c>
      <c r="B5585" s="55" t="n">
        <v>44926</v>
      </c>
      <c r="C5585" s="51" t="s">
        <v>82</v>
      </c>
      <c r="D5585" s="51" t="n">
        <v>0</v>
      </c>
    </row>
    <row r="5586" customFormat="false" ht="15" hidden="true" customHeight="false" outlineLevel="0" collapsed="false">
      <c r="A5586" s="51" t="s">
        <v>554</v>
      </c>
      <c r="B5586" s="55" t="n">
        <v>44926</v>
      </c>
      <c r="C5586" s="51" t="s">
        <v>82</v>
      </c>
      <c r="D5586" s="51" t="n">
        <v>0</v>
      </c>
    </row>
    <row r="5587" customFormat="false" ht="15" hidden="true" customHeight="false" outlineLevel="0" collapsed="false">
      <c r="A5587" s="51" t="s">
        <v>559</v>
      </c>
      <c r="B5587" s="55" t="n">
        <v>44926</v>
      </c>
      <c r="C5587" s="51" t="s">
        <v>82</v>
      </c>
      <c r="D5587" s="51" t="n">
        <v>0</v>
      </c>
    </row>
    <row r="5588" customFormat="false" ht="15" hidden="true" customHeight="false" outlineLevel="0" collapsed="false">
      <c r="A5588" s="51" t="s">
        <v>564</v>
      </c>
      <c r="B5588" s="55" t="n">
        <v>44926</v>
      </c>
      <c r="C5588" s="51" t="s">
        <v>82</v>
      </c>
      <c r="D5588" s="51" t="n">
        <v>0</v>
      </c>
    </row>
    <row r="5589" customFormat="false" ht="15" hidden="true" customHeight="false" outlineLevel="0" collapsed="false">
      <c r="A5589" s="51" t="s">
        <v>569</v>
      </c>
      <c r="B5589" s="55" t="n">
        <v>44926</v>
      </c>
      <c r="C5589" s="51" t="s">
        <v>82</v>
      </c>
      <c r="D5589" s="51" t="n">
        <v>0</v>
      </c>
    </row>
    <row r="5590" customFormat="false" ht="15" hidden="true" customHeight="false" outlineLevel="0" collapsed="false">
      <c r="A5590" s="51" t="s">
        <v>574</v>
      </c>
      <c r="B5590" s="55" t="n">
        <v>44926</v>
      </c>
      <c r="C5590" s="51" t="s">
        <v>82</v>
      </c>
      <c r="D5590" s="51" t="n">
        <v>0</v>
      </c>
    </row>
    <row r="5591" customFormat="false" ht="15" hidden="true" customHeight="false" outlineLevel="0" collapsed="false">
      <c r="A5591" s="51" t="s">
        <v>579</v>
      </c>
      <c r="B5591" s="55" t="n">
        <v>44926</v>
      </c>
      <c r="C5591" s="51" t="s">
        <v>82</v>
      </c>
      <c r="D5591" s="51" t="n">
        <v>0</v>
      </c>
    </row>
    <row r="5592" customFormat="false" ht="15" hidden="true" customHeight="false" outlineLevel="0" collapsed="false">
      <c r="A5592" s="51" t="s">
        <v>584</v>
      </c>
      <c r="B5592" s="55" t="n">
        <v>44926</v>
      </c>
      <c r="C5592" s="51" t="s">
        <v>82</v>
      </c>
      <c r="D5592" s="51" t="n">
        <v>0</v>
      </c>
    </row>
    <row r="5593" customFormat="false" ht="15" hidden="true" customHeight="false" outlineLevel="0" collapsed="false">
      <c r="A5593" s="51" t="s">
        <v>589</v>
      </c>
      <c r="B5593" s="55" t="n">
        <v>44926</v>
      </c>
      <c r="C5593" s="51" t="s">
        <v>82</v>
      </c>
      <c r="D5593" s="51" t="n">
        <v>0</v>
      </c>
    </row>
    <row r="5594" customFormat="false" ht="15" hidden="true" customHeight="false" outlineLevel="0" collapsed="false">
      <c r="A5594" s="51" t="s">
        <v>756</v>
      </c>
      <c r="B5594" s="55" t="n">
        <v>44926</v>
      </c>
      <c r="C5594" s="51" t="s">
        <v>82</v>
      </c>
      <c r="D5594" s="51" t="n">
        <v>0</v>
      </c>
    </row>
    <row r="5595" customFormat="false" ht="15" hidden="true" customHeight="false" outlineLevel="0" collapsed="false">
      <c r="A5595" s="51" t="s">
        <v>594</v>
      </c>
      <c r="B5595" s="55" t="n">
        <v>44926</v>
      </c>
      <c r="C5595" s="51" t="s">
        <v>82</v>
      </c>
      <c r="D5595" s="51" t="n">
        <v>0</v>
      </c>
    </row>
    <row r="5596" customFormat="false" ht="15" hidden="true" customHeight="false" outlineLevel="0" collapsed="false">
      <c r="A5596" s="51" t="s">
        <v>761</v>
      </c>
      <c r="B5596" s="55" t="n">
        <v>44926</v>
      </c>
      <c r="C5596" s="51" t="s">
        <v>82</v>
      </c>
      <c r="D5596" s="51" t="n">
        <v>0</v>
      </c>
    </row>
    <row r="5597" customFormat="false" ht="15" hidden="true" customHeight="false" outlineLevel="0" collapsed="false">
      <c r="A5597" s="51" t="s">
        <v>599</v>
      </c>
      <c r="B5597" s="55" t="n">
        <v>44926</v>
      </c>
      <c r="C5597" s="51" t="s">
        <v>82</v>
      </c>
      <c r="D5597" s="51" t="n">
        <v>0</v>
      </c>
    </row>
    <row r="5598" customFormat="false" ht="15" hidden="true" customHeight="false" outlineLevel="0" collapsed="false">
      <c r="A5598" s="51" t="s">
        <v>604</v>
      </c>
      <c r="B5598" s="55" t="n">
        <v>44926</v>
      </c>
      <c r="C5598" s="51" t="s">
        <v>82</v>
      </c>
      <c r="D5598" s="51" t="n">
        <v>0</v>
      </c>
    </row>
    <row r="5599" customFormat="false" ht="15" hidden="true" customHeight="false" outlineLevel="0" collapsed="false">
      <c r="A5599" s="51" t="s">
        <v>609</v>
      </c>
      <c r="B5599" s="55" t="n">
        <v>44926</v>
      </c>
      <c r="C5599" s="51" t="s">
        <v>82</v>
      </c>
      <c r="D5599" s="51" t="n">
        <v>0</v>
      </c>
    </row>
    <row r="5600" customFormat="false" ht="15" hidden="true" customHeight="false" outlineLevel="0" collapsed="false">
      <c r="A5600" s="51" t="s">
        <v>614</v>
      </c>
      <c r="B5600" s="55" t="n">
        <v>44926</v>
      </c>
      <c r="C5600" s="51" t="s">
        <v>82</v>
      </c>
      <c r="D5600" s="51" t="n">
        <v>0</v>
      </c>
    </row>
    <row r="5601" customFormat="false" ht="15" hidden="true" customHeight="false" outlineLevel="0" collapsed="false">
      <c r="A5601" s="51" t="s">
        <v>619</v>
      </c>
      <c r="B5601" s="55" t="n">
        <v>44926</v>
      </c>
      <c r="C5601" s="51" t="s">
        <v>82</v>
      </c>
      <c r="D5601" s="51" t="n">
        <v>0</v>
      </c>
    </row>
    <row r="5602" customFormat="false" ht="15" hidden="true" customHeight="false" outlineLevel="0" collapsed="false">
      <c r="A5602" s="51" t="s">
        <v>624</v>
      </c>
      <c r="B5602" s="55" t="n">
        <v>44926</v>
      </c>
      <c r="C5602" s="51" t="s">
        <v>82</v>
      </c>
      <c r="D5602" s="51" t="n">
        <v>0</v>
      </c>
    </row>
    <row r="5603" customFormat="false" ht="15" hidden="true" customHeight="false" outlineLevel="0" collapsed="false">
      <c r="A5603" s="51" t="s">
        <v>629</v>
      </c>
      <c r="B5603" s="55" t="n">
        <v>44926</v>
      </c>
      <c r="C5603" s="51" t="s">
        <v>82</v>
      </c>
      <c r="D5603" s="51" t="n">
        <v>0</v>
      </c>
    </row>
    <row r="5604" customFormat="false" ht="15" hidden="true" customHeight="false" outlineLevel="0" collapsed="false">
      <c r="A5604" s="51" t="s">
        <v>633</v>
      </c>
      <c r="B5604" s="55" t="n">
        <v>44926</v>
      </c>
      <c r="C5604" s="51" t="s">
        <v>82</v>
      </c>
      <c r="D5604" s="51" t="n">
        <v>0</v>
      </c>
    </row>
    <row r="5605" customFormat="false" ht="15" hidden="true" customHeight="false" outlineLevel="0" collapsed="false">
      <c r="A5605" s="51" t="s">
        <v>638</v>
      </c>
      <c r="B5605" s="55" t="n">
        <v>44926</v>
      </c>
      <c r="C5605" s="51" t="s">
        <v>82</v>
      </c>
      <c r="D5605" s="51" t="n">
        <v>0</v>
      </c>
    </row>
    <row r="5606" customFormat="false" ht="15" hidden="true" customHeight="false" outlineLevel="0" collapsed="false">
      <c r="A5606" s="51" t="s">
        <v>642</v>
      </c>
      <c r="B5606" s="55" t="n">
        <v>44926</v>
      </c>
      <c r="C5606" s="51" t="s">
        <v>82</v>
      </c>
      <c r="D5606" s="51" t="n">
        <v>0</v>
      </c>
    </row>
    <row r="5607" customFormat="false" ht="15" hidden="true" customHeight="false" outlineLevel="0" collapsed="false">
      <c r="A5607" s="51" t="s">
        <v>646</v>
      </c>
      <c r="B5607" s="55" t="n">
        <v>44926</v>
      </c>
      <c r="C5607" s="51" t="s">
        <v>82</v>
      </c>
      <c r="D5607" s="51" t="n">
        <v>0</v>
      </c>
    </row>
    <row r="5608" customFormat="false" ht="15" hidden="true" customHeight="false" outlineLevel="0" collapsed="false">
      <c r="A5608" s="51" t="s">
        <v>651</v>
      </c>
      <c r="B5608" s="55" t="n">
        <v>44926</v>
      </c>
      <c r="C5608" s="51" t="s">
        <v>82</v>
      </c>
      <c r="D5608" s="51" t="n">
        <v>0</v>
      </c>
    </row>
    <row r="5609" customFormat="false" ht="15" hidden="true" customHeight="false" outlineLevel="0" collapsed="false">
      <c r="A5609" s="51" t="s">
        <v>656</v>
      </c>
      <c r="B5609" s="55" t="n">
        <v>44926</v>
      </c>
      <c r="C5609" s="51" t="s">
        <v>82</v>
      </c>
      <c r="D5609" s="51" t="n">
        <v>0</v>
      </c>
    </row>
    <row r="5610" customFormat="false" ht="15" hidden="true" customHeight="false" outlineLevel="0" collapsed="false">
      <c r="A5610" s="51" t="s">
        <v>661</v>
      </c>
      <c r="B5610" s="55" t="n">
        <v>44926</v>
      </c>
      <c r="C5610" s="51" t="s">
        <v>82</v>
      </c>
      <c r="D5610" s="51" t="n">
        <v>0</v>
      </c>
    </row>
    <row r="5611" customFormat="false" ht="15" hidden="true" customHeight="false" outlineLevel="0" collapsed="false">
      <c r="A5611" s="51" t="s">
        <v>666</v>
      </c>
      <c r="B5611" s="55" t="n">
        <v>44926</v>
      </c>
      <c r="C5611" s="51" t="s">
        <v>82</v>
      </c>
      <c r="D5611" s="51" t="n">
        <v>0</v>
      </c>
    </row>
    <row r="5612" customFormat="false" ht="15" hidden="true" customHeight="false" outlineLevel="0" collapsed="false">
      <c r="A5612" s="51" t="s">
        <v>671</v>
      </c>
      <c r="B5612" s="55" t="n">
        <v>44926</v>
      </c>
      <c r="C5612" s="51" t="s">
        <v>82</v>
      </c>
      <c r="D5612" s="51" t="n">
        <v>0</v>
      </c>
    </row>
    <row r="5613" customFormat="false" ht="15" hidden="true" customHeight="false" outlineLevel="0" collapsed="false">
      <c r="A5613" s="51" t="s">
        <v>676</v>
      </c>
      <c r="B5613" s="55" t="n">
        <v>44926</v>
      </c>
      <c r="C5613" s="51" t="s">
        <v>82</v>
      </c>
      <c r="D5613" s="51" t="n">
        <v>0</v>
      </c>
    </row>
    <row r="5614" customFormat="false" ht="15" hidden="true" customHeight="false" outlineLevel="0" collapsed="false">
      <c r="A5614" s="51" t="s">
        <v>681</v>
      </c>
      <c r="B5614" s="55" t="n">
        <v>44926</v>
      </c>
      <c r="C5614" s="51" t="s">
        <v>82</v>
      </c>
      <c r="D5614" s="51" t="n">
        <v>0</v>
      </c>
    </row>
    <row r="5615" customFormat="false" ht="15" hidden="true" customHeight="false" outlineLevel="0" collapsed="false">
      <c r="A5615" s="51" t="s">
        <v>686</v>
      </c>
      <c r="B5615" s="55" t="n">
        <v>44926</v>
      </c>
      <c r="C5615" s="51" t="s">
        <v>82</v>
      </c>
      <c r="D5615" s="51" t="n">
        <v>0</v>
      </c>
    </row>
    <row r="5616" customFormat="false" ht="15" hidden="true" customHeight="false" outlineLevel="0" collapsed="false">
      <c r="A5616" s="51" t="s">
        <v>691</v>
      </c>
      <c r="B5616" s="55" t="n">
        <v>44926</v>
      </c>
      <c r="C5616" s="51" t="s">
        <v>82</v>
      </c>
      <c r="D5616" s="51" t="n">
        <v>0</v>
      </c>
    </row>
    <row r="5617" customFormat="false" ht="15" hidden="true" customHeight="false" outlineLevel="0" collapsed="false">
      <c r="A5617" s="51" t="s">
        <v>696</v>
      </c>
      <c r="B5617" s="55" t="n">
        <v>44926</v>
      </c>
      <c r="C5617" s="51" t="s">
        <v>82</v>
      </c>
      <c r="D5617" s="51" t="n">
        <v>0</v>
      </c>
    </row>
    <row r="5618" customFormat="false" ht="15" hidden="true" customHeight="false" outlineLevel="0" collapsed="false">
      <c r="A5618" s="51" t="s">
        <v>701</v>
      </c>
      <c r="B5618" s="55" t="n">
        <v>44926</v>
      </c>
      <c r="C5618" s="51" t="s">
        <v>82</v>
      </c>
      <c r="D5618" s="51" t="n">
        <v>0</v>
      </c>
    </row>
    <row r="5619" customFormat="false" ht="15" hidden="true" customHeight="false" outlineLevel="0" collapsed="false">
      <c r="A5619" s="51" t="s">
        <v>707</v>
      </c>
      <c r="B5619" s="55" t="n">
        <v>44926</v>
      </c>
      <c r="C5619" s="51" t="s">
        <v>82</v>
      </c>
      <c r="D5619" s="51" t="n">
        <v>0</v>
      </c>
    </row>
    <row r="5620" customFormat="false" ht="15" hidden="true" customHeight="false" outlineLevel="0" collapsed="false">
      <c r="A5620" s="51" t="s">
        <v>712</v>
      </c>
      <c r="B5620" s="55" t="n">
        <v>44926</v>
      </c>
      <c r="C5620" s="51" t="s">
        <v>82</v>
      </c>
      <c r="D5620" s="51" t="n">
        <v>0</v>
      </c>
    </row>
    <row r="5621" customFormat="false" ht="15" hidden="true" customHeight="false" outlineLevel="0" collapsed="false">
      <c r="A5621" s="51" t="s">
        <v>717</v>
      </c>
      <c r="B5621" s="55" t="n">
        <v>44926</v>
      </c>
      <c r="C5621" s="51" t="s">
        <v>82</v>
      </c>
      <c r="D5621" s="51" t="n">
        <v>0</v>
      </c>
    </row>
    <row r="5622" customFormat="false" ht="15" hidden="true" customHeight="false" outlineLevel="0" collapsed="false">
      <c r="A5622" s="51" t="s">
        <v>767</v>
      </c>
      <c r="B5622" s="55" t="n">
        <v>44926</v>
      </c>
      <c r="C5622" s="51" t="s">
        <v>82</v>
      </c>
      <c r="D5622" s="51" t="n">
        <v>0</v>
      </c>
    </row>
    <row r="5623" customFormat="false" ht="15" hidden="true" customHeight="false" outlineLevel="0" collapsed="false">
      <c r="A5623" s="51" t="s">
        <v>722</v>
      </c>
      <c r="B5623" s="55" t="n">
        <v>44926</v>
      </c>
      <c r="C5623" s="51" t="s">
        <v>82</v>
      </c>
      <c r="D5623" s="51" t="n">
        <v>0</v>
      </c>
    </row>
    <row r="5624" customFormat="false" ht="15" hidden="true" customHeight="false" outlineLevel="0" collapsed="false">
      <c r="A5624" s="51" t="s">
        <v>727</v>
      </c>
      <c r="B5624" s="55" t="n">
        <v>44926</v>
      </c>
      <c r="C5624" s="51" t="s">
        <v>82</v>
      </c>
      <c r="D5624" s="51" t="n">
        <v>0</v>
      </c>
    </row>
    <row r="5625" customFormat="false" ht="15" hidden="true" customHeight="false" outlineLevel="0" collapsed="false">
      <c r="A5625" s="51" t="s">
        <v>732</v>
      </c>
      <c r="B5625" s="55" t="n">
        <v>44926</v>
      </c>
      <c r="C5625" s="51" t="s">
        <v>82</v>
      </c>
      <c r="D5625" s="51" t="n">
        <v>0</v>
      </c>
    </row>
    <row r="5626" customFormat="false" ht="15" hidden="true" customHeight="false" outlineLevel="0" collapsed="false">
      <c r="A5626" s="51" t="s">
        <v>736</v>
      </c>
      <c r="B5626" s="55" t="n">
        <v>44926</v>
      </c>
      <c r="C5626" s="51" t="s">
        <v>82</v>
      </c>
      <c r="D5626" s="51" t="n">
        <v>0</v>
      </c>
    </row>
    <row r="5627" customFormat="false" ht="15" hidden="true" customHeight="false" outlineLevel="0" collapsed="false">
      <c r="A5627" s="51" t="s">
        <v>741</v>
      </c>
      <c r="B5627" s="55" t="n">
        <v>44926</v>
      </c>
      <c r="C5627" s="51" t="s">
        <v>82</v>
      </c>
      <c r="D5627" s="51" t="n">
        <v>0</v>
      </c>
    </row>
    <row r="5628" customFormat="false" ht="15" hidden="true" customHeight="false" outlineLevel="0" collapsed="false">
      <c r="A5628" s="51" t="s">
        <v>746</v>
      </c>
      <c r="B5628" s="55" t="n">
        <v>44926</v>
      </c>
      <c r="C5628" s="51" t="s">
        <v>82</v>
      </c>
      <c r="D5628" s="51" t="n">
        <v>0</v>
      </c>
    </row>
    <row r="5629" customFormat="false" ht="15" hidden="true" customHeight="false" outlineLevel="0" collapsed="false">
      <c r="A5629" s="51" t="s">
        <v>751</v>
      </c>
      <c r="B5629" s="55" t="n">
        <v>44926</v>
      </c>
      <c r="C5629" s="51" t="s">
        <v>82</v>
      </c>
      <c r="D5629" s="51" t="n">
        <v>0</v>
      </c>
    </row>
    <row r="5630" customFormat="false" ht="15" hidden="false" customHeight="false" outlineLevel="0" collapsed="false">
      <c r="A5630" s="51" t="s">
        <v>781</v>
      </c>
      <c r="B5630" s="55" t="n">
        <v>44926</v>
      </c>
      <c r="C5630" s="51" t="s">
        <v>73</v>
      </c>
      <c r="D5630" s="51" t="n">
        <v>0</v>
      </c>
    </row>
    <row r="5631" customFormat="false" ht="15" hidden="true" customHeight="false" outlineLevel="0" collapsed="false">
      <c r="A5631" s="51" t="s">
        <v>783</v>
      </c>
      <c r="B5631" s="55" t="n">
        <v>44926</v>
      </c>
      <c r="C5631" s="51" t="s">
        <v>73</v>
      </c>
      <c r="D5631" s="51" t="n">
        <v>0</v>
      </c>
    </row>
    <row r="5632" customFormat="false" ht="15" hidden="true" customHeight="false" outlineLevel="0" collapsed="false">
      <c r="A5632" s="51" t="s">
        <v>96</v>
      </c>
      <c r="B5632" s="55" t="n">
        <v>44926</v>
      </c>
      <c r="C5632" s="51" t="s">
        <v>73</v>
      </c>
      <c r="D5632" s="51" t="n">
        <v>0</v>
      </c>
    </row>
    <row r="5633" customFormat="false" ht="15" hidden="true" customHeight="false" outlineLevel="0" collapsed="false">
      <c r="A5633" s="51" t="s">
        <v>101</v>
      </c>
      <c r="B5633" s="55" t="n">
        <v>44926</v>
      </c>
      <c r="C5633" s="51" t="s">
        <v>73</v>
      </c>
      <c r="D5633" s="51" t="n">
        <v>0</v>
      </c>
    </row>
    <row r="5634" customFormat="false" ht="15" hidden="true" customHeight="false" outlineLevel="0" collapsed="false">
      <c r="A5634" s="51" t="s">
        <v>106</v>
      </c>
      <c r="B5634" s="55" t="n">
        <v>44926</v>
      </c>
      <c r="C5634" s="51" t="s">
        <v>73</v>
      </c>
      <c r="D5634" s="51" t="n">
        <v>0</v>
      </c>
    </row>
    <row r="5635" customFormat="false" ht="15" hidden="true" customHeight="false" outlineLevel="0" collapsed="false">
      <c r="A5635" s="51" t="s">
        <v>110</v>
      </c>
      <c r="B5635" s="55" t="n">
        <v>44926</v>
      </c>
      <c r="C5635" s="51" t="s">
        <v>73</v>
      </c>
      <c r="D5635" s="51" t="n">
        <v>0</v>
      </c>
    </row>
    <row r="5636" customFormat="false" ht="15" hidden="true" customHeight="false" outlineLevel="0" collapsed="false">
      <c r="A5636" s="51" t="s">
        <v>115</v>
      </c>
      <c r="B5636" s="55" t="n">
        <v>44926</v>
      </c>
      <c r="C5636" s="51" t="s">
        <v>73</v>
      </c>
      <c r="D5636" s="51" t="n">
        <v>0</v>
      </c>
    </row>
    <row r="5637" customFormat="false" ht="15" hidden="true" customHeight="false" outlineLevel="0" collapsed="false">
      <c r="A5637" s="51" t="s">
        <v>120</v>
      </c>
      <c r="B5637" s="55" t="n">
        <v>44926</v>
      </c>
      <c r="C5637" s="51" t="s">
        <v>73</v>
      </c>
      <c r="D5637" s="51" t="n">
        <v>0</v>
      </c>
    </row>
    <row r="5638" customFormat="false" ht="15" hidden="true" customHeight="false" outlineLevel="0" collapsed="false">
      <c r="A5638" s="51" t="s">
        <v>124</v>
      </c>
      <c r="B5638" s="55" t="n">
        <v>44926</v>
      </c>
      <c r="C5638" s="51" t="s">
        <v>73</v>
      </c>
      <c r="D5638" s="51" t="n">
        <v>578611.11</v>
      </c>
    </row>
    <row r="5639" customFormat="false" ht="15" hidden="true" customHeight="false" outlineLevel="0" collapsed="false">
      <c r="A5639" s="51" t="s">
        <v>129</v>
      </c>
      <c r="B5639" s="55" t="n">
        <v>44926</v>
      </c>
      <c r="C5639" s="51" t="s">
        <v>73</v>
      </c>
      <c r="D5639" s="51" t="n">
        <v>0</v>
      </c>
    </row>
    <row r="5640" customFormat="false" ht="15" hidden="true" customHeight="false" outlineLevel="0" collapsed="false">
      <c r="A5640" s="51" t="s">
        <v>134</v>
      </c>
      <c r="B5640" s="55" t="n">
        <v>44926</v>
      </c>
      <c r="C5640" s="51" t="s">
        <v>73</v>
      </c>
      <c r="D5640" s="51" t="n">
        <v>0</v>
      </c>
    </row>
    <row r="5641" customFormat="false" ht="15" hidden="true" customHeight="false" outlineLevel="0" collapsed="false">
      <c r="A5641" s="51" t="s">
        <v>141</v>
      </c>
      <c r="B5641" s="55" t="n">
        <v>44926</v>
      </c>
      <c r="C5641" s="51" t="s">
        <v>73</v>
      </c>
      <c r="D5641" s="51" t="n">
        <v>0</v>
      </c>
    </row>
    <row r="5642" customFormat="false" ht="15" hidden="true" customHeight="false" outlineLevel="0" collapsed="false">
      <c r="A5642" s="51" t="s">
        <v>146</v>
      </c>
      <c r="B5642" s="55" t="n">
        <v>44926</v>
      </c>
      <c r="C5642" s="51" t="s">
        <v>73</v>
      </c>
      <c r="D5642" s="51" t="n">
        <v>0</v>
      </c>
    </row>
    <row r="5643" customFormat="false" ht="15" hidden="true" customHeight="false" outlineLevel="0" collapsed="false">
      <c r="A5643" s="51" t="s">
        <v>151</v>
      </c>
      <c r="B5643" s="55" t="n">
        <v>44926</v>
      </c>
      <c r="C5643" s="51" t="s">
        <v>73</v>
      </c>
      <c r="D5643" s="51" t="n">
        <v>0</v>
      </c>
    </row>
    <row r="5644" customFormat="false" ht="15" hidden="true" customHeight="false" outlineLevel="0" collapsed="false">
      <c r="A5644" s="51" t="s">
        <v>156</v>
      </c>
      <c r="B5644" s="55" t="n">
        <v>44926</v>
      </c>
      <c r="C5644" s="51" t="s">
        <v>73</v>
      </c>
      <c r="D5644" s="51" t="n">
        <v>0</v>
      </c>
    </row>
    <row r="5645" customFormat="false" ht="15" hidden="true" customHeight="false" outlineLevel="0" collapsed="false">
      <c r="A5645" s="51" t="s">
        <v>161</v>
      </c>
      <c r="B5645" s="55" t="n">
        <v>44926</v>
      </c>
      <c r="C5645" s="51" t="s">
        <v>73</v>
      </c>
      <c r="D5645" s="51" t="n">
        <v>0</v>
      </c>
    </row>
    <row r="5646" customFormat="false" ht="15" hidden="true" customHeight="false" outlineLevel="0" collapsed="false">
      <c r="A5646" s="51" t="s">
        <v>166</v>
      </c>
      <c r="B5646" s="55" t="n">
        <v>44926</v>
      </c>
      <c r="C5646" s="51" t="s">
        <v>73</v>
      </c>
      <c r="D5646" s="51" t="n">
        <v>712375</v>
      </c>
    </row>
    <row r="5647" customFormat="false" ht="15" hidden="true" customHeight="false" outlineLevel="0" collapsed="false">
      <c r="A5647" s="51" t="s">
        <v>171</v>
      </c>
      <c r="B5647" s="55" t="n">
        <v>44926</v>
      </c>
      <c r="C5647" s="51" t="s">
        <v>73</v>
      </c>
      <c r="D5647" s="51" t="n">
        <v>0</v>
      </c>
    </row>
    <row r="5648" customFormat="false" ht="15" hidden="true" customHeight="false" outlineLevel="0" collapsed="false">
      <c r="A5648" s="51" t="s">
        <v>176</v>
      </c>
      <c r="B5648" s="55" t="n">
        <v>44926</v>
      </c>
      <c r="C5648" s="51" t="s">
        <v>73</v>
      </c>
      <c r="D5648" s="51" t="n">
        <v>0</v>
      </c>
    </row>
    <row r="5649" customFormat="false" ht="15" hidden="true" customHeight="false" outlineLevel="0" collapsed="false">
      <c r="A5649" s="51" t="s">
        <v>181</v>
      </c>
      <c r="B5649" s="55" t="n">
        <v>44926</v>
      </c>
      <c r="C5649" s="51" t="s">
        <v>73</v>
      </c>
      <c r="D5649" s="51" t="n">
        <v>0</v>
      </c>
    </row>
    <row r="5650" customFormat="false" ht="15" hidden="true" customHeight="false" outlineLevel="0" collapsed="false">
      <c r="A5650" s="51" t="s">
        <v>186</v>
      </c>
      <c r="B5650" s="55" t="n">
        <v>44926</v>
      </c>
      <c r="C5650" s="51" t="s">
        <v>73</v>
      </c>
      <c r="D5650" s="51" t="n">
        <v>0</v>
      </c>
    </row>
    <row r="5651" customFormat="false" ht="15" hidden="true" customHeight="false" outlineLevel="0" collapsed="false">
      <c r="A5651" s="51" t="s">
        <v>191</v>
      </c>
      <c r="B5651" s="55" t="n">
        <v>44926</v>
      </c>
      <c r="C5651" s="51" t="s">
        <v>73</v>
      </c>
      <c r="D5651" s="51" t="n">
        <v>0</v>
      </c>
    </row>
    <row r="5652" customFormat="false" ht="15" hidden="true" customHeight="false" outlineLevel="0" collapsed="false">
      <c r="A5652" s="51" t="s">
        <v>196</v>
      </c>
      <c r="B5652" s="55" t="n">
        <v>44926</v>
      </c>
      <c r="C5652" s="51" t="s">
        <v>73</v>
      </c>
      <c r="D5652" s="51" t="n">
        <v>0</v>
      </c>
    </row>
    <row r="5653" customFormat="false" ht="15" hidden="true" customHeight="false" outlineLevel="0" collapsed="false">
      <c r="A5653" s="51" t="s">
        <v>201</v>
      </c>
      <c r="B5653" s="55" t="n">
        <v>44926</v>
      </c>
      <c r="C5653" s="51" t="s">
        <v>73</v>
      </c>
      <c r="D5653" s="51" t="n">
        <v>0</v>
      </c>
    </row>
    <row r="5654" customFormat="false" ht="15" hidden="true" customHeight="false" outlineLevel="0" collapsed="false">
      <c r="A5654" s="51" t="s">
        <v>206</v>
      </c>
      <c r="B5654" s="55" t="n">
        <v>44926</v>
      </c>
      <c r="C5654" s="51" t="s">
        <v>73</v>
      </c>
      <c r="D5654" s="51" t="n">
        <v>0</v>
      </c>
    </row>
    <row r="5655" customFormat="false" ht="15" hidden="true" customHeight="false" outlineLevel="0" collapsed="false">
      <c r="A5655" s="51" t="s">
        <v>210</v>
      </c>
      <c r="B5655" s="55" t="n">
        <v>44926</v>
      </c>
      <c r="C5655" s="51" t="s">
        <v>73</v>
      </c>
      <c r="D5655" s="51" t="n">
        <v>0</v>
      </c>
    </row>
    <row r="5656" customFormat="false" ht="15" hidden="true" customHeight="false" outlineLevel="0" collapsed="false">
      <c r="A5656" s="51" t="s">
        <v>215</v>
      </c>
      <c r="B5656" s="55" t="n">
        <v>44926</v>
      </c>
      <c r="C5656" s="51" t="s">
        <v>73</v>
      </c>
      <c r="D5656" s="51" t="n">
        <v>0</v>
      </c>
    </row>
    <row r="5657" customFormat="false" ht="15" hidden="true" customHeight="false" outlineLevel="0" collapsed="false">
      <c r="A5657" s="51" t="s">
        <v>790</v>
      </c>
      <c r="B5657" s="55" t="n">
        <v>44926</v>
      </c>
      <c r="C5657" s="51" t="s">
        <v>73</v>
      </c>
      <c r="D5657" s="51" t="n">
        <v>0</v>
      </c>
    </row>
    <row r="5658" customFormat="false" ht="15" hidden="true" customHeight="false" outlineLevel="0" collapsed="false">
      <c r="A5658" s="51" t="s">
        <v>225</v>
      </c>
      <c r="B5658" s="55" t="n">
        <v>44926</v>
      </c>
      <c r="C5658" s="51" t="s">
        <v>73</v>
      </c>
      <c r="D5658" s="51" t="n">
        <v>0</v>
      </c>
    </row>
    <row r="5659" customFormat="false" ht="15" hidden="true" customHeight="false" outlineLevel="0" collapsed="false">
      <c r="A5659" s="51" t="s">
        <v>230</v>
      </c>
      <c r="B5659" s="55" t="n">
        <v>44926</v>
      </c>
      <c r="C5659" s="51" t="s">
        <v>73</v>
      </c>
      <c r="D5659" s="51" t="n">
        <v>153750</v>
      </c>
    </row>
    <row r="5660" customFormat="false" ht="15" hidden="true" customHeight="false" outlineLevel="0" collapsed="false">
      <c r="A5660" s="51" t="s">
        <v>235</v>
      </c>
      <c r="B5660" s="55" t="n">
        <v>44926</v>
      </c>
      <c r="C5660" s="51" t="s">
        <v>73</v>
      </c>
      <c r="D5660" s="51" t="n">
        <v>0</v>
      </c>
    </row>
    <row r="5661" customFormat="false" ht="15" hidden="true" customHeight="false" outlineLevel="0" collapsed="false">
      <c r="A5661" s="51" t="s">
        <v>240</v>
      </c>
      <c r="B5661" s="55" t="n">
        <v>44926</v>
      </c>
      <c r="C5661" s="51" t="s">
        <v>73</v>
      </c>
      <c r="D5661" s="51" t="n">
        <v>154300</v>
      </c>
    </row>
    <row r="5662" customFormat="false" ht="15" hidden="true" customHeight="false" outlineLevel="0" collapsed="false">
      <c r="A5662" s="51" t="s">
        <v>246</v>
      </c>
      <c r="B5662" s="55" t="n">
        <v>44926</v>
      </c>
      <c r="C5662" s="51" t="s">
        <v>73</v>
      </c>
      <c r="D5662" s="51" t="n">
        <v>1922291.5</v>
      </c>
    </row>
    <row r="5663" customFormat="false" ht="15" hidden="true" customHeight="false" outlineLevel="0" collapsed="false">
      <c r="A5663" s="51" t="s">
        <v>252</v>
      </c>
      <c r="B5663" s="55" t="n">
        <v>44926</v>
      </c>
      <c r="C5663" s="51" t="s">
        <v>73</v>
      </c>
      <c r="D5663" s="51" t="n">
        <v>900000</v>
      </c>
    </row>
    <row r="5664" customFormat="false" ht="15" hidden="true" customHeight="false" outlineLevel="0" collapsed="false">
      <c r="A5664" s="51" t="s">
        <v>257</v>
      </c>
      <c r="B5664" s="55" t="n">
        <v>44926</v>
      </c>
      <c r="C5664" s="51" t="s">
        <v>73</v>
      </c>
      <c r="D5664" s="51" t="n">
        <v>588549.5</v>
      </c>
    </row>
    <row r="5665" customFormat="false" ht="15" hidden="true" customHeight="false" outlineLevel="0" collapsed="false">
      <c r="A5665" s="51" t="s">
        <v>262</v>
      </c>
      <c r="B5665" s="55" t="n">
        <v>44926</v>
      </c>
      <c r="C5665" s="51" t="s">
        <v>73</v>
      </c>
      <c r="D5665" s="51" t="n">
        <v>0</v>
      </c>
    </row>
    <row r="5666" customFormat="false" ht="15" hidden="true" customHeight="false" outlineLevel="0" collapsed="false">
      <c r="A5666" s="51" t="s">
        <v>267</v>
      </c>
      <c r="B5666" s="55" t="n">
        <v>44926</v>
      </c>
      <c r="C5666" s="51" t="s">
        <v>73</v>
      </c>
      <c r="D5666" s="51" t="n">
        <v>0</v>
      </c>
    </row>
    <row r="5667" customFormat="false" ht="15" hidden="true" customHeight="false" outlineLevel="0" collapsed="false">
      <c r="A5667" s="51" t="s">
        <v>272</v>
      </c>
      <c r="B5667" s="55" t="n">
        <v>44926</v>
      </c>
      <c r="C5667" s="51" t="s">
        <v>73</v>
      </c>
      <c r="D5667" s="51" t="n">
        <v>159250</v>
      </c>
    </row>
    <row r="5668" customFormat="false" ht="15" hidden="true" customHeight="false" outlineLevel="0" collapsed="false">
      <c r="A5668" s="51" t="s">
        <v>277</v>
      </c>
      <c r="B5668" s="55" t="n">
        <v>44926</v>
      </c>
      <c r="C5668" s="51" t="s">
        <v>73</v>
      </c>
      <c r="D5668" s="51" t="n">
        <v>0</v>
      </c>
    </row>
    <row r="5669" customFormat="false" ht="15" hidden="true" customHeight="false" outlineLevel="0" collapsed="false">
      <c r="A5669" s="51" t="s">
        <v>282</v>
      </c>
      <c r="B5669" s="55" t="n">
        <v>44926</v>
      </c>
      <c r="C5669" s="51" t="s">
        <v>73</v>
      </c>
      <c r="D5669" s="51" t="n">
        <v>300000</v>
      </c>
    </row>
    <row r="5670" customFormat="false" ht="15" hidden="true" customHeight="false" outlineLevel="0" collapsed="false">
      <c r="A5670" s="51" t="s">
        <v>287</v>
      </c>
      <c r="B5670" s="55" t="n">
        <v>44926</v>
      </c>
      <c r="C5670" s="51" t="s">
        <v>73</v>
      </c>
      <c r="D5670" s="51" t="n">
        <v>25750</v>
      </c>
    </row>
    <row r="5671" customFormat="false" ht="15" hidden="true" customHeight="false" outlineLevel="0" collapsed="false">
      <c r="A5671" s="51" t="s">
        <v>292</v>
      </c>
      <c r="B5671" s="55" t="n">
        <v>44926</v>
      </c>
      <c r="C5671" s="51" t="s">
        <v>73</v>
      </c>
      <c r="D5671" s="51" t="n">
        <v>100000</v>
      </c>
    </row>
    <row r="5672" customFormat="false" ht="15" hidden="true" customHeight="false" outlineLevel="0" collapsed="false">
      <c r="A5672" s="51" t="s">
        <v>297</v>
      </c>
      <c r="B5672" s="55" t="n">
        <v>44926</v>
      </c>
      <c r="C5672" s="51" t="s">
        <v>73</v>
      </c>
      <c r="D5672" s="51" t="n">
        <v>300000</v>
      </c>
    </row>
    <row r="5673" customFormat="false" ht="15" hidden="true" customHeight="false" outlineLevel="0" collapsed="false">
      <c r="A5673" s="51" t="s">
        <v>302</v>
      </c>
      <c r="B5673" s="55" t="n">
        <v>44926</v>
      </c>
      <c r="C5673" s="51" t="s">
        <v>73</v>
      </c>
      <c r="D5673" s="51" t="n">
        <v>100000</v>
      </c>
    </row>
    <row r="5674" customFormat="false" ht="15" hidden="true" customHeight="false" outlineLevel="0" collapsed="false">
      <c r="A5674" s="51" t="s">
        <v>307</v>
      </c>
      <c r="B5674" s="55" t="n">
        <v>44926</v>
      </c>
      <c r="C5674" s="51" t="s">
        <v>73</v>
      </c>
      <c r="D5674" s="51" t="n">
        <v>1237500</v>
      </c>
    </row>
    <row r="5675" customFormat="false" ht="15" hidden="true" customHeight="false" outlineLevel="0" collapsed="false">
      <c r="A5675" s="51" t="s">
        <v>311</v>
      </c>
      <c r="B5675" s="55" t="n">
        <v>44926</v>
      </c>
      <c r="C5675" s="51" t="s">
        <v>73</v>
      </c>
      <c r="D5675" s="51" t="n">
        <v>1104048.06</v>
      </c>
    </row>
    <row r="5676" customFormat="false" ht="15" hidden="true" customHeight="false" outlineLevel="0" collapsed="false">
      <c r="A5676" s="51" t="s">
        <v>317</v>
      </c>
      <c r="B5676" s="55" t="n">
        <v>44926</v>
      </c>
      <c r="C5676" s="51" t="s">
        <v>73</v>
      </c>
      <c r="D5676" s="51" t="n">
        <v>803750</v>
      </c>
    </row>
    <row r="5677" customFormat="false" ht="15" hidden="true" customHeight="false" outlineLevel="0" collapsed="false">
      <c r="A5677" s="51" t="s">
        <v>322</v>
      </c>
      <c r="B5677" s="55" t="n">
        <v>44926</v>
      </c>
      <c r="C5677" s="51" t="s">
        <v>73</v>
      </c>
      <c r="D5677" s="51" t="n">
        <v>1600000</v>
      </c>
    </row>
    <row r="5678" customFormat="false" ht="15" hidden="true" customHeight="false" outlineLevel="0" collapsed="false">
      <c r="A5678" s="51" t="s">
        <v>327</v>
      </c>
      <c r="B5678" s="55" t="n">
        <v>44926</v>
      </c>
      <c r="C5678" s="51" t="s">
        <v>73</v>
      </c>
      <c r="D5678" s="51" t="n">
        <v>300000</v>
      </c>
    </row>
    <row r="5679" customFormat="false" ht="15" hidden="true" customHeight="false" outlineLevel="0" collapsed="false">
      <c r="A5679" s="51" t="s">
        <v>332</v>
      </c>
      <c r="B5679" s="55" t="n">
        <v>44926</v>
      </c>
      <c r="C5679" s="51" t="s">
        <v>73</v>
      </c>
      <c r="D5679" s="51" t="n">
        <v>0</v>
      </c>
    </row>
    <row r="5680" customFormat="false" ht="15" hidden="true" customHeight="false" outlineLevel="0" collapsed="false">
      <c r="A5680" s="51" t="s">
        <v>339</v>
      </c>
      <c r="B5680" s="55" t="n">
        <v>44926</v>
      </c>
      <c r="C5680" s="51" t="s">
        <v>73</v>
      </c>
      <c r="D5680" s="51" t="n">
        <v>0</v>
      </c>
    </row>
    <row r="5681" customFormat="false" ht="15" hidden="true" customHeight="false" outlineLevel="0" collapsed="false">
      <c r="A5681" s="51" t="s">
        <v>344</v>
      </c>
      <c r="B5681" s="55" t="n">
        <v>44926</v>
      </c>
      <c r="C5681" s="51" t="s">
        <v>73</v>
      </c>
      <c r="D5681" s="51" t="n">
        <v>300000</v>
      </c>
    </row>
    <row r="5682" customFormat="false" ht="15" hidden="true" customHeight="false" outlineLevel="0" collapsed="false">
      <c r="A5682" s="51" t="s">
        <v>349</v>
      </c>
      <c r="B5682" s="55" t="n">
        <v>44926</v>
      </c>
      <c r="C5682" s="51" t="s">
        <v>73</v>
      </c>
      <c r="D5682" s="51" t="n">
        <v>50000</v>
      </c>
    </row>
    <row r="5683" customFormat="false" ht="15" hidden="true" customHeight="false" outlineLevel="0" collapsed="false">
      <c r="A5683" s="51" t="s">
        <v>354</v>
      </c>
      <c r="B5683" s="55" t="n">
        <v>44926</v>
      </c>
      <c r="C5683" s="51" t="s">
        <v>73</v>
      </c>
      <c r="D5683" s="51" t="n">
        <v>0</v>
      </c>
    </row>
    <row r="5684" customFormat="false" ht="15" hidden="true" customHeight="false" outlineLevel="0" collapsed="false">
      <c r="A5684" s="51" t="s">
        <v>359</v>
      </c>
      <c r="B5684" s="55" t="n">
        <v>44926</v>
      </c>
      <c r="C5684" s="51" t="s">
        <v>73</v>
      </c>
      <c r="D5684" s="51" t="n">
        <v>0</v>
      </c>
    </row>
    <row r="5685" customFormat="false" ht="15" hidden="true" customHeight="false" outlineLevel="0" collapsed="false">
      <c r="A5685" s="51" t="s">
        <v>364</v>
      </c>
      <c r="B5685" s="55" t="n">
        <v>44926</v>
      </c>
      <c r="C5685" s="51" t="s">
        <v>73</v>
      </c>
      <c r="D5685" s="51" t="n">
        <v>0</v>
      </c>
    </row>
    <row r="5686" customFormat="false" ht="15" hidden="true" customHeight="false" outlineLevel="0" collapsed="false">
      <c r="A5686" s="51" t="s">
        <v>369</v>
      </c>
      <c r="B5686" s="55" t="n">
        <v>44926</v>
      </c>
      <c r="C5686" s="51" t="s">
        <v>73</v>
      </c>
      <c r="D5686" s="51" t="n">
        <v>0</v>
      </c>
    </row>
    <row r="5687" customFormat="false" ht="15" hidden="true" customHeight="false" outlineLevel="0" collapsed="false">
      <c r="A5687" s="51" t="s">
        <v>374</v>
      </c>
      <c r="B5687" s="55" t="n">
        <v>44926</v>
      </c>
      <c r="C5687" s="51" t="s">
        <v>73</v>
      </c>
      <c r="D5687" s="51" t="n">
        <v>0</v>
      </c>
    </row>
    <row r="5688" customFormat="false" ht="15" hidden="true" customHeight="false" outlineLevel="0" collapsed="false">
      <c r="A5688" s="51" t="s">
        <v>379</v>
      </c>
      <c r="B5688" s="55" t="n">
        <v>44926</v>
      </c>
      <c r="C5688" s="51" t="s">
        <v>73</v>
      </c>
      <c r="D5688" s="51" t="n">
        <v>0</v>
      </c>
    </row>
    <row r="5689" customFormat="false" ht="15" hidden="true" customHeight="false" outlineLevel="0" collapsed="false">
      <c r="A5689" s="51" t="s">
        <v>384</v>
      </c>
      <c r="B5689" s="55" t="n">
        <v>44926</v>
      </c>
      <c r="C5689" s="51" t="s">
        <v>73</v>
      </c>
      <c r="D5689" s="51" t="n">
        <v>0</v>
      </c>
    </row>
    <row r="5690" customFormat="false" ht="15" hidden="true" customHeight="false" outlineLevel="0" collapsed="false">
      <c r="A5690" s="51" t="s">
        <v>389</v>
      </c>
      <c r="B5690" s="55" t="n">
        <v>44926</v>
      </c>
      <c r="C5690" s="51" t="s">
        <v>73</v>
      </c>
      <c r="D5690" s="51" t="n">
        <v>0</v>
      </c>
    </row>
    <row r="5691" customFormat="false" ht="15" hidden="true" customHeight="false" outlineLevel="0" collapsed="false">
      <c r="A5691" s="51" t="s">
        <v>394</v>
      </c>
      <c r="B5691" s="55" t="n">
        <v>44926</v>
      </c>
      <c r="C5691" s="51" t="s">
        <v>73</v>
      </c>
      <c r="D5691" s="51" t="n">
        <v>0</v>
      </c>
    </row>
    <row r="5692" customFormat="false" ht="15" hidden="true" customHeight="false" outlineLevel="0" collapsed="false">
      <c r="A5692" s="51" t="s">
        <v>399</v>
      </c>
      <c r="B5692" s="55" t="n">
        <v>44926</v>
      </c>
      <c r="C5692" s="51" t="s">
        <v>73</v>
      </c>
      <c r="D5692" s="51" t="n">
        <v>0</v>
      </c>
    </row>
    <row r="5693" customFormat="false" ht="15" hidden="true" customHeight="false" outlineLevel="0" collapsed="false">
      <c r="A5693" s="51" t="s">
        <v>404</v>
      </c>
      <c r="B5693" s="55" t="n">
        <v>44926</v>
      </c>
      <c r="C5693" s="51" t="s">
        <v>73</v>
      </c>
      <c r="D5693" s="51" t="n">
        <v>0</v>
      </c>
    </row>
    <row r="5694" customFormat="false" ht="15" hidden="true" customHeight="false" outlineLevel="0" collapsed="false">
      <c r="A5694" s="51" t="s">
        <v>409</v>
      </c>
      <c r="B5694" s="55" t="n">
        <v>44926</v>
      </c>
      <c r="C5694" s="51" t="s">
        <v>73</v>
      </c>
      <c r="D5694" s="51" t="n">
        <v>0</v>
      </c>
    </row>
    <row r="5695" customFormat="false" ht="15" hidden="true" customHeight="false" outlineLevel="0" collapsed="false">
      <c r="A5695" s="51" t="s">
        <v>414</v>
      </c>
      <c r="B5695" s="55" t="n">
        <v>44926</v>
      </c>
      <c r="C5695" s="51" t="s">
        <v>73</v>
      </c>
      <c r="D5695" s="51" t="n">
        <v>0</v>
      </c>
    </row>
    <row r="5696" customFormat="false" ht="15" hidden="true" customHeight="false" outlineLevel="0" collapsed="false">
      <c r="A5696" s="51" t="s">
        <v>419</v>
      </c>
      <c r="B5696" s="55" t="n">
        <v>44926</v>
      </c>
      <c r="C5696" s="51" t="s">
        <v>73</v>
      </c>
      <c r="D5696" s="51" t="n">
        <v>0</v>
      </c>
    </row>
    <row r="5697" customFormat="false" ht="15" hidden="true" customHeight="false" outlineLevel="0" collapsed="false">
      <c r="A5697" s="51" t="s">
        <v>424</v>
      </c>
      <c r="B5697" s="55" t="n">
        <v>44926</v>
      </c>
      <c r="C5697" s="51" t="s">
        <v>73</v>
      </c>
      <c r="D5697" s="51" t="n">
        <v>0</v>
      </c>
    </row>
    <row r="5698" customFormat="false" ht="15" hidden="true" customHeight="false" outlineLevel="0" collapsed="false">
      <c r="A5698" s="51" t="s">
        <v>429</v>
      </c>
      <c r="B5698" s="55" t="n">
        <v>44926</v>
      </c>
      <c r="C5698" s="51" t="s">
        <v>73</v>
      </c>
      <c r="D5698" s="51" t="n">
        <v>0</v>
      </c>
    </row>
    <row r="5699" customFormat="false" ht="15" hidden="true" customHeight="false" outlineLevel="0" collapsed="false">
      <c r="A5699" s="51" t="s">
        <v>434</v>
      </c>
      <c r="B5699" s="55" t="n">
        <v>44926</v>
      </c>
      <c r="C5699" s="51" t="s">
        <v>73</v>
      </c>
      <c r="D5699" s="51" t="n">
        <v>0</v>
      </c>
    </row>
    <row r="5700" customFormat="false" ht="15" hidden="true" customHeight="false" outlineLevel="0" collapsed="false">
      <c r="A5700" s="51" t="s">
        <v>438</v>
      </c>
      <c r="B5700" s="55" t="n">
        <v>44926</v>
      </c>
      <c r="C5700" s="51" t="s">
        <v>73</v>
      </c>
      <c r="D5700" s="51" t="n">
        <v>0</v>
      </c>
    </row>
    <row r="5701" customFormat="false" ht="15" hidden="true" customHeight="false" outlineLevel="0" collapsed="false">
      <c r="A5701" s="51" t="s">
        <v>443</v>
      </c>
      <c r="B5701" s="55" t="n">
        <v>44926</v>
      </c>
      <c r="C5701" s="51" t="s">
        <v>73</v>
      </c>
      <c r="D5701" s="51" t="n">
        <v>0</v>
      </c>
    </row>
    <row r="5702" customFormat="false" ht="15" hidden="true" customHeight="false" outlineLevel="0" collapsed="false">
      <c r="A5702" s="51" t="s">
        <v>448</v>
      </c>
      <c r="B5702" s="55" t="n">
        <v>44926</v>
      </c>
      <c r="C5702" s="51" t="s">
        <v>73</v>
      </c>
      <c r="D5702" s="51" t="n">
        <v>0</v>
      </c>
    </row>
    <row r="5703" customFormat="false" ht="15" hidden="true" customHeight="false" outlineLevel="0" collapsed="false">
      <c r="A5703" s="51" t="s">
        <v>453</v>
      </c>
      <c r="B5703" s="55" t="n">
        <v>44926</v>
      </c>
      <c r="C5703" s="51" t="s">
        <v>73</v>
      </c>
      <c r="D5703" s="51" t="n">
        <v>0</v>
      </c>
    </row>
    <row r="5704" customFormat="false" ht="15" hidden="true" customHeight="false" outlineLevel="0" collapsed="false">
      <c r="A5704" s="51" t="s">
        <v>458</v>
      </c>
      <c r="B5704" s="55" t="n">
        <v>44926</v>
      </c>
      <c r="C5704" s="51" t="s">
        <v>73</v>
      </c>
      <c r="D5704" s="51" t="n">
        <v>0</v>
      </c>
    </row>
    <row r="5705" customFormat="false" ht="15" hidden="true" customHeight="false" outlineLevel="0" collapsed="false">
      <c r="A5705" s="51" t="s">
        <v>473</v>
      </c>
      <c r="B5705" s="55" t="n">
        <v>44926</v>
      </c>
      <c r="C5705" s="51" t="s">
        <v>73</v>
      </c>
      <c r="D5705" s="51" t="n">
        <v>0</v>
      </c>
    </row>
    <row r="5706" customFormat="false" ht="15" hidden="true" customHeight="false" outlineLevel="0" collapsed="false">
      <c r="A5706" s="51" t="s">
        <v>479</v>
      </c>
      <c r="B5706" s="55" t="n">
        <v>44926</v>
      </c>
      <c r="C5706" s="51" t="s">
        <v>73</v>
      </c>
      <c r="D5706" s="51" t="n">
        <v>0</v>
      </c>
    </row>
    <row r="5707" customFormat="false" ht="15" hidden="true" customHeight="false" outlineLevel="0" collapsed="false">
      <c r="A5707" s="51" t="s">
        <v>484</v>
      </c>
      <c r="B5707" s="55" t="n">
        <v>44926</v>
      </c>
      <c r="C5707" s="51" t="s">
        <v>73</v>
      </c>
      <c r="D5707" s="51" t="n">
        <v>0</v>
      </c>
    </row>
    <row r="5708" customFormat="false" ht="15" hidden="true" customHeight="false" outlineLevel="0" collapsed="false">
      <c r="A5708" s="51" t="s">
        <v>489</v>
      </c>
      <c r="B5708" s="55" t="n">
        <v>44926</v>
      </c>
      <c r="C5708" s="51" t="s">
        <v>73</v>
      </c>
      <c r="D5708" s="51" t="n">
        <v>0</v>
      </c>
    </row>
    <row r="5709" customFormat="false" ht="15" hidden="true" customHeight="false" outlineLevel="0" collapsed="false">
      <c r="A5709" s="51" t="s">
        <v>494</v>
      </c>
      <c r="B5709" s="55" t="n">
        <v>44926</v>
      </c>
      <c r="C5709" s="51" t="s">
        <v>73</v>
      </c>
      <c r="D5709" s="51" t="n">
        <v>0</v>
      </c>
    </row>
    <row r="5710" customFormat="false" ht="15" hidden="true" customHeight="false" outlineLevel="0" collapsed="false">
      <c r="A5710" s="51" t="s">
        <v>499</v>
      </c>
      <c r="B5710" s="55" t="n">
        <v>44926</v>
      </c>
      <c r="C5710" s="51" t="s">
        <v>73</v>
      </c>
      <c r="D5710" s="51" t="n">
        <v>0</v>
      </c>
    </row>
    <row r="5711" customFormat="false" ht="15" hidden="true" customHeight="false" outlineLevel="0" collapsed="false">
      <c r="A5711" s="51" t="s">
        <v>504</v>
      </c>
      <c r="B5711" s="55" t="n">
        <v>44926</v>
      </c>
      <c r="C5711" s="51" t="s">
        <v>73</v>
      </c>
      <c r="D5711" s="51" t="n">
        <v>0</v>
      </c>
    </row>
    <row r="5712" customFormat="false" ht="15" hidden="true" customHeight="false" outlineLevel="0" collapsed="false">
      <c r="A5712" s="51" t="s">
        <v>509</v>
      </c>
      <c r="B5712" s="55" t="n">
        <v>44926</v>
      </c>
      <c r="C5712" s="51" t="s">
        <v>73</v>
      </c>
      <c r="D5712" s="51" t="n">
        <v>0</v>
      </c>
    </row>
    <row r="5713" customFormat="false" ht="15" hidden="true" customHeight="false" outlineLevel="0" collapsed="false">
      <c r="A5713" s="51" t="s">
        <v>515</v>
      </c>
      <c r="B5713" s="55" t="n">
        <v>44926</v>
      </c>
      <c r="C5713" s="51" t="s">
        <v>73</v>
      </c>
      <c r="D5713" s="51" t="n">
        <v>0</v>
      </c>
    </row>
    <row r="5714" customFormat="false" ht="15" hidden="true" customHeight="false" outlineLevel="0" collapsed="false">
      <c r="A5714" s="51" t="s">
        <v>520</v>
      </c>
      <c r="B5714" s="55" t="n">
        <v>44926</v>
      </c>
      <c r="C5714" s="51" t="s">
        <v>73</v>
      </c>
      <c r="D5714" s="51" t="n">
        <v>0</v>
      </c>
    </row>
    <row r="5715" customFormat="false" ht="15" hidden="true" customHeight="false" outlineLevel="0" collapsed="false">
      <c r="A5715" s="51" t="s">
        <v>525</v>
      </c>
      <c r="B5715" s="55" t="n">
        <v>44926</v>
      </c>
      <c r="C5715" s="51" t="s">
        <v>73</v>
      </c>
      <c r="D5715" s="51" t="n">
        <v>0</v>
      </c>
    </row>
    <row r="5716" customFormat="false" ht="15" hidden="true" customHeight="false" outlineLevel="0" collapsed="false">
      <c r="A5716" s="51" t="s">
        <v>531</v>
      </c>
      <c r="B5716" s="55" t="n">
        <v>44926</v>
      </c>
      <c r="C5716" s="51" t="s">
        <v>73</v>
      </c>
      <c r="D5716" s="51" t="n">
        <v>0</v>
      </c>
    </row>
    <row r="5717" customFormat="false" ht="15" hidden="true" customHeight="false" outlineLevel="0" collapsed="false">
      <c r="A5717" s="51" t="s">
        <v>536</v>
      </c>
      <c r="B5717" s="55" t="n">
        <v>44926</v>
      </c>
      <c r="C5717" s="51" t="s">
        <v>73</v>
      </c>
      <c r="D5717" s="51" t="n">
        <v>0</v>
      </c>
    </row>
    <row r="5718" customFormat="false" ht="15" hidden="true" customHeight="false" outlineLevel="0" collapsed="false">
      <c r="A5718" s="51" t="s">
        <v>541</v>
      </c>
      <c r="B5718" s="55" t="n">
        <v>44926</v>
      </c>
      <c r="C5718" s="51" t="s">
        <v>73</v>
      </c>
      <c r="D5718" s="51" t="n">
        <v>0</v>
      </c>
    </row>
    <row r="5719" customFormat="false" ht="15" hidden="true" customHeight="false" outlineLevel="0" collapsed="false">
      <c r="A5719" s="51" t="s">
        <v>549</v>
      </c>
      <c r="B5719" s="55" t="n">
        <v>44926</v>
      </c>
      <c r="C5719" s="51" t="s">
        <v>73</v>
      </c>
      <c r="D5719" s="51" t="n">
        <v>0</v>
      </c>
    </row>
    <row r="5720" customFormat="false" ht="15" hidden="true" customHeight="false" outlineLevel="0" collapsed="false">
      <c r="A5720" s="51" t="s">
        <v>554</v>
      </c>
      <c r="B5720" s="55" t="n">
        <v>44926</v>
      </c>
      <c r="C5720" s="51" t="s">
        <v>73</v>
      </c>
      <c r="D5720" s="51" t="n">
        <v>0</v>
      </c>
    </row>
    <row r="5721" customFormat="false" ht="15" hidden="true" customHeight="false" outlineLevel="0" collapsed="false">
      <c r="A5721" s="51" t="s">
        <v>559</v>
      </c>
      <c r="B5721" s="55" t="n">
        <v>44926</v>
      </c>
      <c r="C5721" s="51" t="s">
        <v>73</v>
      </c>
      <c r="D5721" s="51" t="n">
        <v>0</v>
      </c>
    </row>
    <row r="5722" customFormat="false" ht="15" hidden="true" customHeight="false" outlineLevel="0" collapsed="false">
      <c r="A5722" s="51" t="s">
        <v>564</v>
      </c>
      <c r="B5722" s="55" t="n">
        <v>44926</v>
      </c>
      <c r="C5722" s="51" t="s">
        <v>73</v>
      </c>
      <c r="D5722" s="51" t="n">
        <v>0</v>
      </c>
    </row>
    <row r="5723" customFormat="false" ht="15" hidden="true" customHeight="false" outlineLevel="0" collapsed="false">
      <c r="A5723" s="51" t="s">
        <v>569</v>
      </c>
      <c r="B5723" s="55" t="n">
        <v>44926</v>
      </c>
      <c r="C5723" s="51" t="s">
        <v>73</v>
      </c>
      <c r="D5723" s="51" t="n">
        <v>0</v>
      </c>
    </row>
    <row r="5724" customFormat="false" ht="15" hidden="true" customHeight="false" outlineLevel="0" collapsed="false">
      <c r="A5724" s="51" t="s">
        <v>574</v>
      </c>
      <c r="B5724" s="55" t="n">
        <v>44926</v>
      </c>
      <c r="C5724" s="51" t="s">
        <v>73</v>
      </c>
      <c r="D5724" s="51" t="n">
        <v>0</v>
      </c>
    </row>
    <row r="5725" customFormat="false" ht="15" hidden="true" customHeight="false" outlineLevel="0" collapsed="false">
      <c r="A5725" s="51" t="s">
        <v>579</v>
      </c>
      <c r="B5725" s="55" t="n">
        <v>44926</v>
      </c>
      <c r="C5725" s="51" t="s">
        <v>73</v>
      </c>
      <c r="D5725" s="51" t="n">
        <v>0</v>
      </c>
    </row>
    <row r="5726" customFormat="false" ht="15" hidden="true" customHeight="false" outlineLevel="0" collapsed="false">
      <c r="A5726" s="51" t="s">
        <v>584</v>
      </c>
      <c r="B5726" s="55" t="n">
        <v>44926</v>
      </c>
      <c r="C5726" s="51" t="s">
        <v>73</v>
      </c>
      <c r="D5726" s="51" t="n">
        <v>0</v>
      </c>
    </row>
    <row r="5727" customFormat="false" ht="15" hidden="true" customHeight="false" outlineLevel="0" collapsed="false">
      <c r="A5727" s="51" t="s">
        <v>589</v>
      </c>
      <c r="B5727" s="55" t="n">
        <v>44926</v>
      </c>
      <c r="C5727" s="51" t="s">
        <v>73</v>
      </c>
      <c r="D5727" s="51" t="n">
        <v>0</v>
      </c>
    </row>
    <row r="5728" customFormat="false" ht="15" hidden="true" customHeight="false" outlineLevel="0" collapsed="false">
      <c r="A5728" s="51" t="s">
        <v>756</v>
      </c>
      <c r="B5728" s="55" t="n">
        <v>44926</v>
      </c>
      <c r="C5728" s="51" t="s">
        <v>73</v>
      </c>
      <c r="D5728" s="51" t="n">
        <v>0</v>
      </c>
    </row>
    <row r="5729" customFormat="false" ht="15" hidden="true" customHeight="false" outlineLevel="0" collapsed="false">
      <c r="A5729" s="51" t="s">
        <v>594</v>
      </c>
      <c r="B5729" s="55" t="n">
        <v>44926</v>
      </c>
      <c r="C5729" s="51" t="s">
        <v>73</v>
      </c>
      <c r="D5729" s="51" t="n">
        <v>0</v>
      </c>
    </row>
    <row r="5730" customFormat="false" ht="15" hidden="true" customHeight="false" outlineLevel="0" collapsed="false">
      <c r="A5730" s="51" t="s">
        <v>761</v>
      </c>
      <c r="B5730" s="55" t="n">
        <v>44926</v>
      </c>
      <c r="C5730" s="51" t="s">
        <v>73</v>
      </c>
      <c r="D5730" s="51" t="n">
        <v>0</v>
      </c>
    </row>
    <row r="5731" customFormat="false" ht="15" hidden="true" customHeight="false" outlineLevel="0" collapsed="false">
      <c r="A5731" s="51" t="s">
        <v>599</v>
      </c>
      <c r="B5731" s="55" t="n">
        <v>44926</v>
      </c>
      <c r="C5731" s="51" t="s">
        <v>73</v>
      </c>
      <c r="D5731" s="51" t="n">
        <v>0</v>
      </c>
    </row>
    <row r="5732" customFormat="false" ht="15" hidden="true" customHeight="false" outlineLevel="0" collapsed="false">
      <c r="A5732" s="51" t="s">
        <v>604</v>
      </c>
      <c r="B5732" s="55" t="n">
        <v>44926</v>
      </c>
      <c r="C5732" s="51" t="s">
        <v>73</v>
      </c>
      <c r="D5732" s="51" t="n">
        <v>0</v>
      </c>
    </row>
    <row r="5733" customFormat="false" ht="15" hidden="true" customHeight="false" outlineLevel="0" collapsed="false">
      <c r="A5733" s="51" t="s">
        <v>609</v>
      </c>
      <c r="B5733" s="55" t="n">
        <v>44926</v>
      </c>
      <c r="C5733" s="51" t="s">
        <v>73</v>
      </c>
      <c r="D5733" s="51" t="n">
        <v>0</v>
      </c>
    </row>
    <row r="5734" customFormat="false" ht="15" hidden="true" customHeight="false" outlineLevel="0" collapsed="false">
      <c r="A5734" s="51" t="s">
        <v>614</v>
      </c>
      <c r="B5734" s="55" t="n">
        <v>44926</v>
      </c>
      <c r="C5734" s="51" t="s">
        <v>73</v>
      </c>
      <c r="D5734" s="51" t="n">
        <v>0</v>
      </c>
    </row>
    <row r="5735" customFormat="false" ht="15" hidden="true" customHeight="false" outlineLevel="0" collapsed="false">
      <c r="A5735" s="51" t="s">
        <v>619</v>
      </c>
      <c r="B5735" s="55" t="n">
        <v>44926</v>
      </c>
      <c r="C5735" s="51" t="s">
        <v>73</v>
      </c>
      <c r="D5735" s="51" t="n">
        <v>0</v>
      </c>
    </row>
    <row r="5736" customFormat="false" ht="15" hidden="true" customHeight="false" outlineLevel="0" collapsed="false">
      <c r="A5736" s="51" t="s">
        <v>624</v>
      </c>
      <c r="B5736" s="55" t="n">
        <v>44926</v>
      </c>
      <c r="C5736" s="51" t="s">
        <v>73</v>
      </c>
      <c r="D5736" s="51" t="n">
        <v>0</v>
      </c>
    </row>
    <row r="5737" customFormat="false" ht="15" hidden="true" customHeight="false" outlineLevel="0" collapsed="false">
      <c r="A5737" s="51" t="s">
        <v>629</v>
      </c>
      <c r="B5737" s="55" t="n">
        <v>44926</v>
      </c>
      <c r="C5737" s="51" t="s">
        <v>73</v>
      </c>
      <c r="D5737" s="51" t="n">
        <v>0</v>
      </c>
    </row>
    <row r="5738" customFormat="false" ht="15" hidden="true" customHeight="false" outlineLevel="0" collapsed="false">
      <c r="A5738" s="51" t="s">
        <v>633</v>
      </c>
      <c r="B5738" s="55" t="n">
        <v>44926</v>
      </c>
      <c r="C5738" s="51" t="s">
        <v>73</v>
      </c>
      <c r="D5738" s="51" t="n">
        <v>0</v>
      </c>
    </row>
    <row r="5739" customFormat="false" ht="15" hidden="true" customHeight="false" outlineLevel="0" collapsed="false">
      <c r="A5739" s="51" t="s">
        <v>638</v>
      </c>
      <c r="B5739" s="55" t="n">
        <v>44926</v>
      </c>
      <c r="C5739" s="51" t="s">
        <v>73</v>
      </c>
      <c r="D5739" s="51" t="n">
        <v>0</v>
      </c>
    </row>
    <row r="5740" customFormat="false" ht="15" hidden="true" customHeight="false" outlineLevel="0" collapsed="false">
      <c r="A5740" s="51" t="s">
        <v>642</v>
      </c>
      <c r="B5740" s="55" t="n">
        <v>44926</v>
      </c>
      <c r="C5740" s="51" t="s">
        <v>73</v>
      </c>
      <c r="D5740" s="51" t="n">
        <v>0</v>
      </c>
    </row>
    <row r="5741" customFormat="false" ht="15" hidden="true" customHeight="false" outlineLevel="0" collapsed="false">
      <c r="A5741" s="51" t="s">
        <v>646</v>
      </c>
      <c r="B5741" s="55" t="n">
        <v>44926</v>
      </c>
      <c r="C5741" s="51" t="s">
        <v>73</v>
      </c>
      <c r="D5741" s="51" t="n">
        <v>0</v>
      </c>
    </row>
    <row r="5742" customFormat="false" ht="15" hidden="true" customHeight="false" outlineLevel="0" collapsed="false">
      <c r="A5742" s="51" t="s">
        <v>651</v>
      </c>
      <c r="B5742" s="55" t="n">
        <v>44926</v>
      </c>
      <c r="C5742" s="51" t="s">
        <v>73</v>
      </c>
      <c r="D5742" s="51" t="n">
        <v>0</v>
      </c>
    </row>
    <row r="5743" customFormat="false" ht="15" hidden="true" customHeight="false" outlineLevel="0" collapsed="false">
      <c r="A5743" s="51" t="s">
        <v>656</v>
      </c>
      <c r="B5743" s="55" t="n">
        <v>44926</v>
      </c>
      <c r="C5743" s="51" t="s">
        <v>73</v>
      </c>
      <c r="D5743" s="51" t="n">
        <v>0</v>
      </c>
    </row>
    <row r="5744" customFormat="false" ht="15" hidden="true" customHeight="false" outlineLevel="0" collapsed="false">
      <c r="A5744" s="51" t="s">
        <v>661</v>
      </c>
      <c r="B5744" s="55" t="n">
        <v>44926</v>
      </c>
      <c r="C5744" s="51" t="s">
        <v>73</v>
      </c>
      <c r="D5744" s="51" t="n">
        <v>0</v>
      </c>
    </row>
    <row r="5745" customFormat="false" ht="15" hidden="true" customHeight="false" outlineLevel="0" collapsed="false">
      <c r="A5745" s="51" t="s">
        <v>666</v>
      </c>
      <c r="B5745" s="55" t="n">
        <v>44926</v>
      </c>
      <c r="C5745" s="51" t="s">
        <v>73</v>
      </c>
      <c r="D5745" s="51" t="n">
        <v>0</v>
      </c>
    </row>
    <row r="5746" customFormat="false" ht="15" hidden="true" customHeight="false" outlineLevel="0" collapsed="false">
      <c r="A5746" s="51" t="s">
        <v>671</v>
      </c>
      <c r="B5746" s="55" t="n">
        <v>44926</v>
      </c>
      <c r="C5746" s="51" t="s">
        <v>73</v>
      </c>
      <c r="D5746" s="51" t="n">
        <v>0</v>
      </c>
    </row>
    <row r="5747" customFormat="false" ht="15" hidden="true" customHeight="false" outlineLevel="0" collapsed="false">
      <c r="A5747" s="51" t="s">
        <v>676</v>
      </c>
      <c r="B5747" s="55" t="n">
        <v>44926</v>
      </c>
      <c r="C5747" s="51" t="s">
        <v>73</v>
      </c>
      <c r="D5747" s="51" t="n">
        <v>0</v>
      </c>
    </row>
    <row r="5748" customFormat="false" ht="15" hidden="true" customHeight="false" outlineLevel="0" collapsed="false">
      <c r="A5748" s="51" t="s">
        <v>681</v>
      </c>
      <c r="B5748" s="55" t="n">
        <v>44926</v>
      </c>
      <c r="C5748" s="51" t="s">
        <v>73</v>
      </c>
      <c r="D5748" s="51" t="n">
        <v>0</v>
      </c>
    </row>
    <row r="5749" customFormat="false" ht="15" hidden="true" customHeight="false" outlineLevel="0" collapsed="false">
      <c r="A5749" s="51" t="s">
        <v>686</v>
      </c>
      <c r="B5749" s="55" t="n">
        <v>44926</v>
      </c>
      <c r="C5749" s="51" t="s">
        <v>73</v>
      </c>
      <c r="D5749" s="51" t="n">
        <v>0</v>
      </c>
    </row>
    <row r="5750" customFormat="false" ht="15" hidden="true" customHeight="false" outlineLevel="0" collapsed="false">
      <c r="A5750" s="51" t="s">
        <v>691</v>
      </c>
      <c r="B5750" s="55" t="n">
        <v>44926</v>
      </c>
      <c r="C5750" s="51" t="s">
        <v>73</v>
      </c>
      <c r="D5750" s="51" t="n">
        <v>0</v>
      </c>
    </row>
    <row r="5751" customFormat="false" ht="15" hidden="true" customHeight="false" outlineLevel="0" collapsed="false">
      <c r="A5751" s="51" t="s">
        <v>696</v>
      </c>
      <c r="B5751" s="55" t="n">
        <v>44926</v>
      </c>
      <c r="C5751" s="51" t="s">
        <v>73</v>
      </c>
      <c r="D5751" s="51" t="n">
        <v>0</v>
      </c>
    </row>
    <row r="5752" customFormat="false" ht="15" hidden="true" customHeight="false" outlineLevel="0" collapsed="false">
      <c r="A5752" s="51" t="s">
        <v>701</v>
      </c>
      <c r="B5752" s="55" t="n">
        <v>44926</v>
      </c>
      <c r="C5752" s="51" t="s">
        <v>73</v>
      </c>
      <c r="D5752" s="51" t="n">
        <v>0</v>
      </c>
    </row>
    <row r="5753" customFormat="false" ht="15" hidden="true" customHeight="false" outlineLevel="0" collapsed="false">
      <c r="A5753" s="51" t="s">
        <v>707</v>
      </c>
      <c r="B5753" s="55" t="n">
        <v>44926</v>
      </c>
      <c r="C5753" s="51" t="s">
        <v>73</v>
      </c>
      <c r="D5753" s="51" t="n">
        <v>0</v>
      </c>
    </row>
    <row r="5754" customFormat="false" ht="15" hidden="true" customHeight="false" outlineLevel="0" collapsed="false">
      <c r="A5754" s="51" t="s">
        <v>712</v>
      </c>
      <c r="B5754" s="55" t="n">
        <v>44926</v>
      </c>
      <c r="C5754" s="51" t="s">
        <v>73</v>
      </c>
      <c r="D5754" s="51" t="n">
        <v>0</v>
      </c>
    </row>
    <row r="5755" customFormat="false" ht="15" hidden="true" customHeight="false" outlineLevel="0" collapsed="false">
      <c r="A5755" s="51" t="s">
        <v>717</v>
      </c>
      <c r="B5755" s="55" t="n">
        <v>44926</v>
      </c>
      <c r="C5755" s="51" t="s">
        <v>73</v>
      </c>
      <c r="D5755" s="51" t="n">
        <v>0</v>
      </c>
    </row>
    <row r="5756" customFormat="false" ht="15" hidden="true" customHeight="false" outlineLevel="0" collapsed="false">
      <c r="A5756" s="51" t="s">
        <v>767</v>
      </c>
      <c r="B5756" s="55" t="n">
        <v>44926</v>
      </c>
      <c r="C5756" s="51" t="s">
        <v>73</v>
      </c>
      <c r="D5756" s="51" t="n">
        <v>0</v>
      </c>
    </row>
    <row r="5757" customFormat="false" ht="15" hidden="true" customHeight="false" outlineLevel="0" collapsed="false">
      <c r="A5757" s="51" t="s">
        <v>722</v>
      </c>
      <c r="B5757" s="55" t="n">
        <v>44926</v>
      </c>
      <c r="C5757" s="51" t="s">
        <v>73</v>
      </c>
      <c r="D5757" s="51" t="n">
        <v>0</v>
      </c>
    </row>
    <row r="5758" customFormat="false" ht="15" hidden="true" customHeight="false" outlineLevel="0" collapsed="false">
      <c r="A5758" s="51" t="s">
        <v>727</v>
      </c>
      <c r="B5758" s="55" t="n">
        <v>44926</v>
      </c>
      <c r="C5758" s="51" t="s">
        <v>73</v>
      </c>
      <c r="D5758" s="51" t="n">
        <v>0</v>
      </c>
    </row>
    <row r="5759" customFormat="false" ht="15" hidden="true" customHeight="false" outlineLevel="0" collapsed="false">
      <c r="A5759" s="51" t="s">
        <v>732</v>
      </c>
      <c r="B5759" s="55" t="n">
        <v>44926</v>
      </c>
      <c r="C5759" s="51" t="s">
        <v>73</v>
      </c>
      <c r="D5759" s="51" t="n">
        <v>0</v>
      </c>
    </row>
    <row r="5760" customFormat="false" ht="15" hidden="true" customHeight="false" outlineLevel="0" collapsed="false">
      <c r="A5760" s="51" t="s">
        <v>736</v>
      </c>
      <c r="B5760" s="55" t="n">
        <v>44926</v>
      </c>
      <c r="C5760" s="51" t="s">
        <v>73</v>
      </c>
      <c r="D5760" s="51" t="n">
        <v>0</v>
      </c>
    </row>
    <row r="5761" customFormat="false" ht="15" hidden="true" customHeight="false" outlineLevel="0" collapsed="false">
      <c r="A5761" s="51" t="s">
        <v>741</v>
      </c>
      <c r="B5761" s="55" t="n">
        <v>44926</v>
      </c>
      <c r="C5761" s="51" t="s">
        <v>73</v>
      </c>
      <c r="D5761" s="51" t="n">
        <v>0</v>
      </c>
    </row>
    <row r="5762" customFormat="false" ht="15" hidden="true" customHeight="false" outlineLevel="0" collapsed="false">
      <c r="A5762" s="51" t="s">
        <v>746</v>
      </c>
      <c r="B5762" s="55" t="n">
        <v>44926</v>
      </c>
      <c r="C5762" s="51" t="s">
        <v>73</v>
      </c>
      <c r="D5762" s="51" t="n">
        <v>0</v>
      </c>
    </row>
    <row r="5763" customFormat="false" ht="15" hidden="true" customHeight="false" outlineLevel="0" collapsed="false">
      <c r="A5763" s="51" t="s">
        <v>751</v>
      </c>
      <c r="B5763" s="55" t="n">
        <v>44926</v>
      </c>
      <c r="C5763" s="51" t="s">
        <v>73</v>
      </c>
      <c r="D5763" s="51" t="n">
        <v>0</v>
      </c>
    </row>
    <row r="5764" customFormat="false" ht="15" hidden="false" customHeight="false" outlineLevel="0" collapsed="false">
      <c r="A5764" s="51" t="s">
        <v>781</v>
      </c>
      <c r="B5764" s="55" t="n">
        <v>44926</v>
      </c>
      <c r="C5764" s="51" t="s">
        <v>791</v>
      </c>
      <c r="D5764" s="51" t="n">
        <v>0</v>
      </c>
    </row>
    <row r="5765" customFormat="false" ht="15" hidden="true" customHeight="false" outlineLevel="0" collapsed="false">
      <c r="A5765" s="51" t="s">
        <v>783</v>
      </c>
      <c r="B5765" s="55" t="n">
        <v>44926</v>
      </c>
      <c r="C5765" s="51" t="s">
        <v>791</v>
      </c>
      <c r="D5765" s="51" t="n">
        <v>0</v>
      </c>
    </row>
    <row r="5766" customFormat="false" ht="15" hidden="true" customHeight="false" outlineLevel="0" collapsed="false">
      <c r="A5766" s="51" t="s">
        <v>96</v>
      </c>
      <c r="B5766" s="55" t="n">
        <v>44926</v>
      </c>
      <c r="C5766" s="51" t="s">
        <v>791</v>
      </c>
      <c r="D5766" s="51" t="n">
        <v>0</v>
      </c>
    </row>
    <row r="5767" customFormat="false" ht="15" hidden="true" customHeight="false" outlineLevel="0" collapsed="false">
      <c r="A5767" s="51" t="s">
        <v>101</v>
      </c>
      <c r="B5767" s="55" t="n">
        <v>44926</v>
      </c>
      <c r="C5767" s="51" t="s">
        <v>791</v>
      </c>
      <c r="D5767" s="51" t="n">
        <v>0</v>
      </c>
    </row>
    <row r="5768" customFormat="false" ht="15" hidden="true" customHeight="false" outlineLevel="0" collapsed="false">
      <c r="A5768" s="51" t="s">
        <v>106</v>
      </c>
      <c r="B5768" s="55" t="n">
        <v>44926</v>
      </c>
      <c r="C5768" s="51" t="s">
        <v>791</v>
      </c>
      <c r="D5768" s="51" t="n">
        <v>0</v>
      </c>
    </row>
    <row r="5769" customFormat="false" ht="15" hidden="true" customHeight="false" outlineLevel="0" collapsed="false">
      <c r="A5769" s="51" t="s">
        <v>110</v>
      </c>
      <c r="B5769" s="55" t="n">
        <v>44926</v>
      </c>
      <c r="C5769" s="51" t="s">
        <v>791</v>
      </c>
      <c r="D5769" s="51" t="n">
        <v>0</v>
      </c>
    </row>
    <row r="5770" customFormat="false" ht="15" hidden="true" customHeight="false" outlineLevel="0" collapsed="false">
      <c r="A5770" s="51" t="s">
        <v>115</v>
      </c>
      <c r="B5770" s="55" t="n">
        <v>44926</v>
      </c>
      <c r="C5770" s="51" t="s">
        <v>791</v>
      </c>
      <c r="D5770" s="51" t="n">
        <v>0</v>
      </c>
    </row>
    <row r="5771" customFormat="false" ht="15" hidden="true" customHeight="false" outlineLevel="0" collapsed="false">
      <c r="A5771" s="51" t="s">
        <v>120</v>
      </c>
      <c r="B5771" s="55" t="n">
        <v>44926</v>
      </c>
      <c r="C5771" s="51" t="s">
        <v>791</v>
      </c>
      <c r="D5771" s="51" t="n">
        <v>0</v>
      </c>
    </row>
    <row r="5772" customFormat="false" ht="15" hidden="true" customHeight="false" outlineLevel="0" collapsed="false">
      <c r="A5772" s="51" t="s">
        <v>124</v>
      </c>
      <c r="B5772" s="55" t="n">
        <v>44926</v>
      </c>
      <c r="C5772" s="51" t="s">
        <v>791</v>
      </c>
      <c r="D5772" s="51" t="n">
        <v>-578611.11</v>
      </c>
    </row>
    <row r="5773" customFormat="false" ht="15" hidden="true" customHeight="false" outlineLevel="0" collapsed="false">
      <c r="A5773" s="51" t="s">
        <v>129</v>
      </c>
      <c r="B5773" s="55" t="n">
        <v>44926</v>
      </c>
      <c r="C5773" s="51" t="s">
        <v>791</v>
      </c>
      <c r="D5773" s="51" t="n">
        <v>0</v>
      </c>
    </row>
    <row r="5774" customFormat="false" ht="15" hidden="true" customHeight="false" outlineLevel="0" collapsed="false">
      <c r="A5774" s="51" t="s">
        <v>134</v>
      </c>
      <c r="B5774" s="55" t="n">
        <v>44926</v>
      </c>
      <c r="C5774" s="51" t="s">
        <v>791</v>
      </c>
      <c r="D5774" s="51" t="n">
        <v>0</v>
      </c>
    </row>
    <row r="5775" customFormat="false" ht="15" hidden="true" customHeight="false" outlineLevel="0" collapsed="false">
      <c r="A5775" s="51" t="s">
        <v>141</v>
      </c>
      <c r="B5775" s="55" t="n">
        <v>44926</v>
      </c>
      <c r="C5775" s="51" t="s">
        <v>791</v>
      </c>
      <c r="D5775" s="51" t="n">
        <v>0</v>
      </c>
    </row>
    <row r="5776" customFormat="false" ht="15" hidden="true" customHeight="false" outlineLevel="0" collapsed="false">
      <c r="A5776" s="51" t="s">
        <v>146</v>
      </c>
      <c r="B5776" s="55" t="n">
        <v>44926</v>
      </c>
      <c r="C5776" s="51" t="s">
        <v>791</v>
      </c>
      <c r="D5776" s="51" t="n">
        <v>0</v>
      </c>
    </row>
    <row r="5777" customFormat="false" ht="15" hidden="true" customHeight="false" outlineLevel="0" collapsed="false">
      <c r="A5777" s="51" t="s">
        <v>151</v>
      </c>
      <c r="B5777" s="55" t="n">
        <v>44926</v>
      </c>
      <c r="C5777" s="51" t="s">
        <v>791</v>
      </c>
      <c r="D5777" s="51" t="n">
        <v>0</v>
      </c>
    </row>
    <row r="5778" customFormat="false" ht="15" hidden="true" customHeight="false" outlineLevel="0" collapsed="false">
      <c r="A5778" s="51" t="s">
        <v>156</v>
      </c>
      <c r="B5778" s="55" t="n">
        <v>44926</v>
      </c>
      <c r="C5778" s="51" t="s">
        <v>791</v>
      </c>
      <c r="D5778" s="51" t="n">
        <v>0</v>
      </c>
    </row>
    <row r="5779" customFormat="false" ht="15" hidden="true" customHeight="false" outlineLevel="0" collapsed="false">
      <c r="A5779" s="51" t="s">
        <v>161</v>
      </c>
      <c r="B5779" s="55" t="n">
        <v>44926</v>
      </c>
      <c r="C5779" s="51" t="s">
        <v>791</v>
      </c>
      <c r="D5779" s="51" t="n">
        <v>0</v>
      </c>
    </row>
    <row r="5780" customFormat="false" ht="15" hidden="true" customHeight="false" outlineLevel="0" collapsed="false">
      <c r="A5780" s="51" t="s">
        <v>166</v>
      </c>
      <c r="B5780" s="55" t="n">
        <v>44926</v>
      </c>
      <c r="C5780" s="51" t="s">
        <v>791</v>
      </c>
      <c r="D5780" s="51" t="n">
        <v>-712375</v>
      </c>
    </row>
    <row r="5781" customFormat="false" ht="15" hidden="true" customHeight="false" outlineLevel="0" collapsed="false">
      <c r="A5781" s="51" t="s">
        <v>171</v>
      </c>
      <c r="B5781" s="55" t="n">
        <v>44926</v>
      </c>
      <c r="C5781" s="51" t="s">
        <v>791</v>
      </c>
      <c r="D5781" s="51" t="n">
        <v>0</v>
      </c>
    </row>
    <row r="5782" customFormat="false" ht="15" hidden="true" customHeight="false" outlineLevel="0" collapsed="false">
      <c r="A5782" s="51" t="s">
        <v>176</v>
      </c>
      <c r="B5782" s="55" t="n">
        <v>44926</v>
      </c>
      <c r="C5782" s="51" t="s">
        <v>791</v>
      </c>
      <c r="D5782" s="51" t="n">
        <v>0</v>
      </c>
    </row>
    <row r="5783" customFormat="false" ht="15" hidden="true" customHeight="false" outlineLevel="0" collapsed="false">
      <c r="A5783" s="51" t="s">
        <v>181</v>
      </c>
      <c r="B5783" s="55" t="n">
        <v>44926</v>
      </c>
      <c r="C5783" s="51" t="s">
        <v>791</v>
      </c>
      <c r="D5783" s="51" t="n">
        <v>0</v>
      </c>
    </row>
    <row r="5784" customFormat="false" ht="15" hidden="true" customHeight="false" outlineLevel="0" collapsed="false">
      <c r="A5784" s="51" t="s">
        <v>186</v>
      </c>
      <c r="B5784" s="55" t="n">
        <v>44926</v>
      </c>
      <c r="C5784" s="51" t="s">
        <v>791</v>
      </c>
      <c r="D5784" s="51" t="n">
        <v>0</v>
      </c>
    </row>
    <row r="5785" customFormat="false" ht="15" hidden="true" customHeight="false" outlineLevel="0" collapsed="false">
      <c r="A5785" s="51" t="s">
        <v>191</v>
      </c>
      <c r="B5785" s="55" t="n">
        <v>44926</v>
      </c>
      <c r="C5785" s="51" t="s">
        <v>791</v>
      </c>
      <c r="D5785" s="51" t="n">
        <v>0</v>
      </c>
    </row>
    <row r="5786" customFormat="false" ht="15" hidden="true" customHeight="false" outlineLevel="0" collapsed="false">
      <c r="A5786" s="51" t="s">
        <v>196</v>
      </c>
      <c r="B5786" s="55" t="n">
        <v>44926</v>
      </c>
      <c r="C5786" s="51" t="s">
        <v>791</v>
      </c>
      <c r="D5786" s="51" t="n">
        <v>0</v>
      </c>
    </row>
    <row r="5787" customFormat="false" ht="15" hidden="true" customHeight="false" outlineLevel="0" collapsed="false">
      <c r="A5787" s="51" t="s">
        <v>201</v>
      </c>
      <c r="B5787" s="55" t="n">
        <v>44926</v>
      </c>
      <c r="C5787" s="51" t="s">
        <v>791</v>
      </c>
      <c r="D5787" s="51" t="n">
        <v>0</v>
      </c>
    </row>
    <row r="5788" customFormat="false" ht="15" hidden="true" customHeight="false" outlineLevel="0" collapsed="false">
      <c r="A5788" s="51" t="s">
        <v>206</v>
      </c>
      <c r="B5788" s="55" t="n">
        <v>44926</v>
      </c>
      <c r="C5788" s="51" t="s">
        <v>791</v>
      </c>
      <c r="D5788" s="51" t="n">
        <v>0</v>
      </c>
    </row>
    <row r="5789" customFormat="false" ht="15" hidden="true" customHeight="false" outlineLevel="0" collapsed="false">
      <c r="A5789" s="51" t="s">
        <v>210</v>
      </c>
      <c r="B5789" s="55" t="n">
        <v>44926</v>
      </c>
      <c r="C5789" s="51" t="s">
        <v>791</v>
      </c>
      <c r="D5789" s="51" t="n">
        <v>0</v>
      </c>
    </row>
    <row r="5790" customFormat="false" ht="15" hidden="true" customHeight="false" outlineLevel="0" collapsed="false">
      <c r="A5790" s="51" t="s">
        <v>215</v>
      </c>
      <c r="B5790" s="55" t="n">
        <v>44926</v>
      </c>
      <c r="C5790" s="51" t="s">
        <v>791</v>
      </c>
      <c r="D5790" s="51" t="n">
        <v>0</v>
      </c>
    </row>
    <row r="5791" customFormat="false" ht="15" hidden="true" customHeight="false" outlineLevel="0" collapsed="false">
      <c r="A5791" s="51" t="s">
        <v>790</v>
      </c>
      <c r="B5791" s="55" t="n">
        <v>44926</v>
      </c>
      <c r="C5791" s="51" t="s">
        <v>791</v>
      </c>
      <c r="D5791" s="51" t="n">
        <v>0</v>
      </c>
    </row>
    <row r="5792" customFormat="false" ht="15" hidden="true" customHeight="false" outlineLevel="0" collapsed="false">
      <c r="A5792" s="51" t="s">
        <v>225</v>
      </c>
      <c r="B5792" s="55" t="n">
        <v>44926</v>
      </c>
      <c r="C5792" s="51" t="s">
        <v>791</v>
      </c>
      <c r="D5792" s="51" t="n">
        <v>0</v>
      </c>
    </row>
    <row r="5793" customFormat="false" ht="15" hidden="true" customHeight="false" outlineLevel="0" collapsed="false">
      <c r="A5793" s="51" t="s">
        <v>230</v>
      </c>
      <c r="B5793" s="55" t="n">
        <v>44926</v>
      </c>
      <c r="C5793" s="51" t="s">
        <v>791</v>
      </c>
      <c r="D5793" s="51" t="n">
        <v>-153750</v>
      </c>
    </row>
    <row r="5794" customFormat="false" ht="15" hidden="true" customHeight="false" outlineLevel="0" collapsed="false">
      <c r="A5794" s="51" t="s">
        <v>235</v>
      </c>
      <c r="B5794" s="55" t="n">
        <v>44926</v>
      </c>
      <c r="C5794" s="51" t="s">
        <v>791</v>
      </c>
      <c r="D5794" s="51" t="n">
        <v>0</v>
      </c>
    </row>
    <row r="5795" customFormat="false" ht="15" hidden="true" customHeight="false" outlineLevel="0" collapsed="false">
      <c r="A5795" s="51" t="s">
        <v>240</v>
      </c>
      <c r="B5795" s="55" t="n">
        <v>44926</v>
      </c>
      <c r="C5795" s="51" t="s">
        <v>791</v>
      </c>
      <c r="D5795" s="51" t="n">
        <v>-154300</v>
      </c>
    </row>
    <row r="5796" customFormat="false" ht="15" hidden="true" customHeight="false" outlineLevel="0" collapsed="false">
      <c r="A5796" s="51" t="s">
        <v>246</v>
      </c>
      <c r="B5796" s="55" t="n">
        <v>44926</v>
      </c>
      <c r="C5796" s="51" t="s">
        <v>791</v>
      </c>
      <c r="D5796" s="51" t="n">
        <v>-1922291.5</v>
      </c>
    </row>
    <row r="5797" customFormat="false" ht="15" hidden="true" customHeight="false" outlineLevel="0" collapsed="false">
      <c r="A5797" s="51" t="s">
        <v>252</v>
      </c>
      <c r="B5797" s="55" t="n">
        <v>44926</v>
      </c>
      <c r="C5797" s="51" t="s">
        <v>791</v>
      </c>
      <c r="D5797" s="51" t="n">
        <v>-900000</v>
      </c>
    </row>
    <row r="5798" customFormat="false" ht="15" hidden="true" customHeight="false" outlineLevel="0" collapsed="false">
      <c r="A5798" s="51" t="s">
        <v>257</v>
      </c>
      <c r="B5798" s="55" t="n">
        <v>44926</v>
      </c>
      <c r="C5798" s="51" t="s">
        <v>791</v>
      </c>
      <c r="D5798" s="51" t="n">
        <v>-588549.5</v>
      </c>
    </row>
    <row r="5799" customFormat="false" ht="15" hidden="true" customHeight="false" outlineLevel="0" collapsed="false">
      <c r="A5799" s="51" t="s">
        <v>262</v>
      </c>
      <c r="B5799" s="55" t="n">
        <v>44926</v>
      </c>
      <c r="C5799" s="51" t="s">
        <v>791</v>
      </c>
      <c r="D5799" s="51" t="n">
        <v>0</v>
      </c>
    </row>
    <row r="5800" customFormat="false" ht="15" hidden="true" customHeight="false" outlineLevel="0" collapsed="false">
      <c r="A5800" s="51" t="s">
        <v>267</v>
      </c>
      <c r="B5800" s="55" t="n">
        <v>44926</v>
      </c>
      <c r="C5800" s="51" t="s">
        <v>791</v>
      </c>
      <c r="D5800" s="51" t="n">
        <v>0</v>
      </c>
    </row>
    <row r="5801" customFormat="false" ht="15" hidden="true" customHeight="false" outlineLevel="0" collapsed="false">
      <c r="A5801" s="51" t="s">
        <v>272</v>
      </c>
      <c r="B5801" s="55" t="n">
        <v>44926</v>
      </c>
      <c r="C5801" s="51" t="s">
        <v>791</v>
      </c>
      <c r="D5801" s="51" t="n">
        <v>-159250</v>
      </c>
    </row>
    <row r="5802" customFormat="false" ht="15" hidden="true" customHeight="false" outlineLevel="0" collapsed="false">
      <c r="A5802" s="51" t="s">
        <v>277</v>
      </c>
      <c r="B5802" s="55" t="n">
        <v>44926</v>
      </c>
      <c r="C5802" s="51" t="s">
        <v>791</v>
      </c>
      <c r="D5802" s="51" t="n">
        <v>0</v>
      </c>
    </row>
    <row r="5803" customFormat="false" ht="15" hidden="true" customHeight="false" outlineLevel="0" collapsed="false">
      <c r="A5803" s="51" t="s">
        <v>282</v>
      </c>
      <c r="B5803" s="55" t="n">
        <v>44926</v>
      </c>
      <c r="C5803" s="51" t="s">
        <v>791</v>
      </c>
      <c r="D5803" s="51" t="n">
        <v>-300000</v>
      </c>
    </row>
    <row r="5804" customFormat="false" ht="15" hidden="true" customHeight="false" outlineLevel="0" collapsed="false">
      <c r="A5804" s="51" t="s">
        <v>287</v>
      </c>
      <c r="B5804" s="55" t="n">
        <v>44926</v>
      </c>
      <c r="C5804" s="51" t="s">
        <v>791</v>
      </c>
      <c r="D5804" s="51" t="n">
        <v>-25750</v>
      </c>
    </row>
    <row r="5805" customFormat="false" ht="15" hidden="true" customHeight="false" outlineLevel="0" collapsed="false">
      <c r="A5805" s="51" t="s">
        <v>292</v>
      </c>
      <c r="B5805" s="55" t="n">
        <v>44926</v>
      </c>
      <c r="C5805" s="51" t="s">
        <v>791</v>
      </c>
      <c r="D5805" s="51" t="n">
        <v>-100000</v>
      </c>
    </row>
    <row r="5806" customFormat="false" ht="15" hidden="true" customHeight="false" outlineLevel="0" collapsed="false">
      <c r="A5806" s="51" t="s">
        <v>297</v>
      </c>
      <c r="B5806" s="55" t="n">
        <v>44926</v>
      </c>
      <c r="C5806" s="51" t="s">
        <v>791</v>
      </c>
      <c r="D5806" s="51" t="n">
        <v>-300000</v>
      </c>
    </row>
    <row r="5807" customFormat="false" ht="15" hidden="true" customHeight="false" outlineLevel="0" collapsed="false">
      <c r="A5807" s="51" t="s">
        <v>302</v>
      </c>
      <c r="B5807" s="55" t="n">
        <v>44926</v>
      </c>
      <c r="C5807" s="51" t="s">
        <v>791</v>
      </c>
      <c r="D5807" s="51" t="n">
        <v>-100000</v>
      </c>
    </row>
    <row r="5808" customFormat="false" ht="15" hidden="true" customHeight="false" outlineLevel="0" collapsed="false">
      <c r="A5808" s="51" t="s">
        <v>307</v>
      </c>
      <c r="B5808" s="55" t="n">
        <v>44926</v>
      </c>
      <c r="C5808" s="51" t="s">
        <v>791</v>
      </c>
      <c r="D5808" s="51" t="n">
        <v>-1237500</v>
      </c>
    </row>
    <row r="5809" customFormat="false" ht="15" hidden="true" customHeight="false" outlineLevel="0" collapsed="false">
      <c r="A5809" s="51" t="s">
        <v>311</v>
      </c>
      <c r="B5809" s="55" t="n">
        <v>44926</v>
      </c>
      <c r="C5809" s="51" t="s">
        <v>791</v>
      </c>
      <c r="D5809" s="51" t="n">
        <v>-1104048.06</v>
      </c>
    </row>
    <row r="5810" customFormat="false" ht="15" hidden="true" customHeight="false" outlineLevel="0" collapsed="false">
      <c r="A5810" s="51" t="s">
        <v>317</v>
      </c>
      <c r="B5810" s="55" t="n">
        <v>44926</v>
      </c>
      <c r="C5810" s="51" t="s">
        <v>791</v>
      </c>
      <c r="D5810" s="51" t="n">
        <v>-803750</v>
      </c>
    </row>
    <row r="5811" customFormat="false" ht="15" hidden="true" customHeight="false" outlineLevel="0" collapsed="false">
      <c r="A5811" s="51" t="s">
        <v>322</v>
      </c>
      <c r="B5811" s="55" t="n">
        <v>44926</v>
      </c>
      <c r="C5811" s="51" t="s">
        <v>791</v>
      </c>
      <c r="D5811" s="51" t="n">
        <v>-1600000</v>
      </c>
    </row>
    <row r="5812" customFormat="false" ht="15" hidden="true" customHeight="false" outlineLevel="0" collapsed="false">
      <c r="A5812" s="51" t="s">
        <v>327</v>
      </c>
      <c r="B5812" s="55" t="n">
        <v>44926</v>
      </c>
      <c r="C5812" s="51" t="s">
        <v>791</v>
      </c>
      <c r="D5812" s="51" t="n">
        <v>-300000</v>
      </c>
    </row>
    <row r="5813" customFormat="false" ht="15" hidden="true" customHeight="false" outlineLevel="0" collapsed="false">
      <c r="A5813" s="51" t="s">
        <v>332</v>
      </c>
      <c r="B5813" s="55" t="n">
        <v>44926</v>
      </c>
      <c r="C5813" s="51" t="s">
        <v>791</v>
      </c>
      <c r="D5813" s="51" t="n">
        <v>0</v>
      </c>
    </row>
    <row r="5814" customFormat="false" ht="15" hidden="true" customHeight="false" outlineLevel="0" collapsed="false">
      <c r="A5814" s="51" t="s">
        <v>339</v>
      </c>
      <c r="B5814" s="55" t="n">
        <v>44926</v>
      </c>
      <c r="C5814" s="51" t="s">
        <v>791</v>
      </c>
      <c r="D5814" s="51" t="n">
        <v>0</v>
      </c>
    </row>
    <row r="5815" customFormat="false" ht="15" hidden="true" customHeight="false" outlineLevel="0" collapsed="false">
      <c r="A5815" s="51" t="s">
        <v>344</v>
      </c>
      <c r="B5815" s="55" t="n">
        <v>44926</v>
      </c>
      <c r="C5815" s="51" t="s">
        <v>791</v>
      </c>
      <c r="D5815" s="51" t="n">
        <v>-300000</v>
      </c>
    </row>
    <row r="5816" customFormat="false" ht="15" hidden="true" customHeight="false" outlineLevel="0" collapsed="false">
      <c r="A5816" s="51" t="s">
        <v>349</v>
      </c>
      <c r="B5816" s="55" t="n">
        <v>44926</v>
      </c>
      <c r="C5816" s="51" t="s">
        <v>791</v>
      </c>
      <c r="D5816" s="51" t="n">
        <v>0</v>
      </c>
    </row>
    <row r="5817" customFormat="false" ht="15" hidden="true" customHeight="false" outlineLevel="0" collapsed="false">
      <c r="A5817" s="51" t="s">
        <v>354</v>
      </c>
      <c r="B5817" s="55" t="n">
        <v>44926</v>
      </c>
      <c r="C5817" s="51" t="s">
        <v>791</v>
      </c>
      <c r="D5817" s="51" t="n">
        <v>3252000</v>
      </c>
    </row>
    <row r="5818" customFormat="false" ht="15" hidden="true" customHeight="false" outlineLevel="0" collapsed="false">
      <c r="A5818" s="51" t="s">
        <v>359</v>
      </c>
      <c r="B5818" s="55" t="n">
        <v>44926</v>
      </c>
      <c r="C5818" s="51" t="s">
        <v>791</v>
      </c>
      <c r="D5818" s="51" t="n">
        <v>2543605.42</v>
      </c>
    </row>
    <row r="5819" customFormat="false" ht="15" hidden="true" customHeight="false" outlineLevel="0" collapsed="false">
      <c r="A5819" s="51" t="s">
        <v>364</v>
      </c>
      <c r="B5819" s="55" t="n">
        <v>44926</v>
      </c>
      <c r="C5819" s="51" t="s">
        <v>791</v>
      </c>
      <c r="D5819" s="51" t="n">
        <v>361000</v>
      </c>
    </row>
    <row r="5820" customFormat="false" ht="15" hidden="true" customHeight="false" outlineLevel="0" collapsed="false">
      <c r="A5820" s="51" t="s">
        <v>369</v>
      </c>
      <c r="B5820" s="55" t="n">
        <v>44926</v>
      </c>
      <c r="C5820" s="51" t="s">
        <v>791</v>
      </c>
      <c r="D5820" s="51" t="n">
        <v>0</v>
      </c>
    </row>
    <row r="5821" customFormat="false" ht="15" hidden="true" customHeight="false" outlineLevel="0" collapsed="false">
      <c r="A5821" s="51" t="s">
        <v>374</v>
      </c>
      <c r="B5821" s="55" t="n">
        <v>44926</v>
      </c>
      <c r="C5821" s="51" t="s">
        <v>791</v>
      </c>
      <c r="D5821" s="51" t="n">
        <v>0</v>
      </c>
    </row>
    <row r="5822" customFormat="false" ht="15" hidden="true" customHeight="false" outlineLevel="0" collapsed="false">
      <c r="A5822" s="51" t="s">
        <v>379</v>
      </c>
      <c r="B5822" s="55" t="n">
        <v>44926</v>
      </c>
      <c r="C5822" s="51" t="s">
        <v>791</v>
      </c>
      <c r="D5822" s="51" t="n">
        <v>0</v>
      </c>
    </row>
    <row r="5823" customFormat="false" ht="15" hidden="true" customHeight="false" outlineLevel="0" collapsed="false">
      <c r="A5823" s="51" t="s">
        <v>384</v>
      </c>
      <c r="B5823" s="55" t="n">
        <v>44926</v>
      </c>
      <c r="C5823" s="51" t="s">
        <v>791</v>
      </c>
      <c r="D5823" s="51" t="n">
        <v>0</v>
      </c>
    </row>
    <row r="5824" customFormat="false" ht="15" hidden="true" customHeight="false" outlineLevel="0" collapsed="false">
      <c r="A5824" s="51" t="s">
        <v>389</v>
      </c>
      <c r="B5824" s="55" t="n">
        <v>44926</v>
      </c>
      <c r="C5824" s="51" t="s">
        <v>791</v>
      </c>
      <c r="D5824" s="51" t="n">
        <v>0</v>
      </c>
    </row>
    <row r="5825" customFormat="false" ht="15" hidden="true" customHeight="false" outlineLevel="0" collapsed="false">
      <c r="A5825" s="51" t="s">
        <v>394</v>
      </c>
      <c r="B5825" s="55" t="n">
        <v>44926</v>
      </c>
      <c r="C5825" s="51" t="s">
        <v>791</v>
      </c>
      <c r="D5825" s="51" t="n">
        <v>0</v>
      </c>
    </row>
    <row r="5826" customFormat="false" ht="15" hidden="true" customHeight="false" outlineLevel="0" collapsed="false">
      <c r="A5826" s="51" t="s">
        <v>399</v>
      </c>
      <c r="B5826" s="55" t="n">
        <v>44926</v>
      </c>
      <c r="C5826" s="51" t="s">
        <v>791</v>
      </c>
      <c r="D5826" s="51" t="n">
        <v>0</v>
      </c>
    </row>
    <row r="5827" customFormat="false" ht="15" hidden="true" customHeight="false" outlineLevel="0" collapsed="false">
      <c r="A5827" s="51" t="s">
        <v>404</v>
      </c>
      <c r="B5827" s="55" t="n">
        <v>44926</v>
      </c>
      <c r="C5827" s="51" t="s">
        <v>791</v>
      </c>
      <c r="D5827" s="51" t="n">
        <v>0</v>
      </c>
    </row>
    <row r="5828" customFormat="false" ht="15" hidden="true" customHeight="false" outlineLevel="0" collapsed="false">
      <c r="A5828" s="51" t="s">
        <v>409</v>
      </c>
      <c r="B5828" s="55" t="n">
        <v>44926</v>
      </c>
      <c r="C5828" s="51" t="s">
        <v>791</v>
      </c>
      <c r="D5828" s="51" t="n">
        <v>0</v>
      </c>
    </row>
    <row r="5829" customFormat="false" ht="15" hidden="true" customHeight="false" outlineLevel="0" collapsed="false">
      <c r="A5829" s="51" t="s">
        <v>414</v>
      </c>
      <c r="B5829" s="55" t="n">
        <v>44926</v>
      </c>
      <c r="C5829" s="51" t="s">
        <v>791</v>
      </c>
      <c r="D5829" s="51" t="n">
        <v>0</v>
      </c>
    </row>
    <row r="5830" customFormat="false" ht="15" hidden="true" customHeight="false" outlineLevel="0" collapsed="false">
      <c r="A5830" s="51" t="s">
        <v>419</v>
      </c>
      <c r="B5830" s="55" t="n">
        <v>44926</v>
      </c>
      <c r="C5830" s="51" t="s">
        <v>791</v>
      </c>
      <c r="D5830" s="51" t="n">
        <v>0</v>
      </c>
    </row>
    <row r="5831" customFormat="false" ht="15" hidden="true" customHeight="false" outlineLevel="0" collapsed="false">
      <c r="A5831" s="51" t="s">
        <v>424</v>
      </c>
      <c r="B5831" s="55" t="n">
        <v>44926</v>
      </c>
      <c r="C5831" s="51" t="s">
        <v>791</v>
      </c>
      <c r="D5831" s="51" t="n">
        <v>0</v>
      </c>
    </row>
    <row r="5832" customFormat="false" ht="15" hidden="true" customHeight="false" outlineLevel="0" collapsed="false">
      <c r="A5832" s="51" t="s">
        <v>429</v>
      </c>
      <c r="B5832" s="55" t="n">
        <v>44926</v>
      </c>
      <c r="C5832" s="51" t="s">
        <v>791</v>
      </c>
      <c r="D5832" s="51" t="n">
        <v>0</v>
      </c>
    </row>
    <row r="5833" customFormat="false" ht="15" hidden="true" customHeight="false" outlineLevel="0" collapsed="false">
      <c r="A5833" s="51" t="s">
        <v>434</v>
      </c>
      <c r="B5833" s="55" t="n">
        <v>44926</v>
      </c>
      <c r="C5833" s="51" t="s">
        <v>791</v>
      </c>
      <c r="D5833" s="51" t="n">
        <v>0</v>
      </c>
    </row>
    <row r="5834" customFormat="false" ht="15" hidden="true" customHeight="false" outlineLevel="0" collapsed="false">
      <c r="A5834" s="51" t="s">
        <v>438</v>
      </c>
      <c r="B5834" s="55" t="n">
        <v>44926</v>
      </c>
      <c r="C5834" s="51" t="s">
        <v>791</v>
      </c>
      <c r="D5834" s="51" t="n">
        <v>0</v>
      </c>
    </row>
    <row r="5835" customFormat="false" ht="15" hidden="true" customHeight="false" outlineLevel="0" collapsed="false">
      <c r="A5835" s="51" t="s">
        <v>443</v>
      </c>
      <c r="B5835" s="55" t="n">
        <v>44926</v>
      </c>
      <c r="C5835" s="51" t="s">
        <v>791</v>
      </c>
      <c r="D5835" s="51" t="n">
        <v>0</v>
      </c>
    </row>
    <row r="5836" customFormat="false" ht="15" hidden="true" customHeight="false" outlineLevel="0" collapsed="false">
      <c r="A5836" s="51" t="s">
        <v>448</v>
      </c>
      <c r="B5836" s="55" t="n">
        <v>44926</v>
      </c>
      <c r="C5836" s="51" t="s">
        <v>791</v>
      </c>
      <c r="D5836" s="51" t="n">
        <v>0</v>
      </c>
    </row>
    <row r="5837" customFormat="false" ht="15" hidden="true" customHeight="false" outlineLevel="0" collapsed="false">
      <c r="A5837" s="51" t="s">
        <v>453</v>
      </c>
      <c r="B5837" s="55" t="n">
        <v>44926</v>
      </c>
      <c r="C5837" s="51" t="s">
        <v>791</v>
      </c>
      <c r="D5837" s="51" t="n">
        <v>0</v>
      </c>
    </row>
    <row r="5838" customFormat="false" ht="15" hidden="true" customHeight="false" outlineLevel="0" collapsed="false">
      <c r="A5838" s="51" t="s">
        <v>458</v>
      </c>
      <c r="B5838" s="55" t="n">
        <v>44926</v>
      </c>
      <c r="C5838" s="51" t="s">
        <v>791</v>
      </c>
      <c r="D5838" s="51" t="n">
        <v>0</v>
      </c>
    </row>
    <row r="5839" customFormat="false" ht="15" hidden="true" customHeight="false" outlineLevel="0" collapsed="false">
      <c r="A5839" s="51" t="s">
        <v>473</v>
      </c>
      <c r="B5839" s="55" t="n">
        <v>44926</v>
      </c>
      <c r="C5839" s="51" t="s">
        <v>791</v>
      </c>
      <c r="D5839" s="51" t="n">
        <v>0</v>
      </c>
    </row>
    <row r="5840" customFormat="false" ht="15" hidden="true" customHeight="false" outlineLevel="0" collapsed="false">
      <c r="A5840" s="51" t="s">
        <v>479</v>
      </c>
      <c r="B5840" s="55" t="n">
        <v>44926</v>
      </c>
      <c r="C5840" s="51" t="s">
        <v>791</v>
      </c>
      <c r="D5840" s="51" t="n">
        <v>0</v>
      </c>
    </row>
    <row r="5841" customFormat="false" ht="15" hidden="true" customHeight="false" outlineLevel="0" collapsed="false">
      <c r="A5841" s="51" t="s">
        <v>484</v>
      </c>
      <c r="B5841" s="55" t="n">
        <v>44926</v>
      </c>
      <c r="C5841" s="51" t="s">
        <v>791</v>
      </c>
      <c r="D5841" s="51" t="n">
        <v>0</v>
      </c>
    </row>
    <row r="5842" customFormat="false" ht="15" hidden="true" customHeight="false" outlineLevel="0" collapsed="false">
      <c r="A5842" s="51" t="s">
        <v>489</v>
      </c>
      <c r="B5842" s="55" t="n">
        <v>44926</v>
      </c>
      <c r="C5842" s="51" t="s">
        <v>791</v>
      </c>
      <c r="D5842" s="51" t="n">
        <v>0</v>
      </c>
    </row>
    <row r="5843" customFormat="false" ht="15" hidden="true" customHeight="false" outlineLevel="0" collapsed="false">
      <c r="A5843" s="51" t="s">
        <v>494</v>
      </c>
      <c r="B5843" s="55" t="n">
        <v>44926</v>
      </c>
      <c r="C5843" s="51" t="s">
        <v>791</v>
      </c>
      <c r="D5843" s="51" t="n">
        <v>0</v>
      </c>
    </row>
    <row r="5844" customFormat="false" ht="15" hidden="true" customHeight="false" outlineLevel="0" collapsed="false">
      <c r="A5844" s="51" t="s">
        <v>499</v>
      </c>
      <c r="B5844" s="55" t="n">
        <v>44926</v>
      </c>
      <c r="C5844" s="51" t="s">
        <v>791</v>
      </c>
      <c r="D5844" s="51" t="n">
        <v>0</v>
      </c>
    </row>
    <row r="5845" customFormat="false" ht="15" hidden="true" customHeight="false" outlineLevel="0" collapsed="false">
      <c r="A5845" s="51" t="s">
        <v>504</v>
      </c>
      <c r="B5845" s="55" t="n">
        <v>44926</v>
      </c>
      <c r="C5845" s="51" t="s">
        <v>791</v>
      </c>
      <c r="D5845" s="51" t="n">
        <v>0</v>
      </c>
    </row>
    <row r="5846" customFormat="false" ht="15" hidden="true" customHeight="false" outlineLevel="0" collapsed="false">
      <c r="A5846" s="51" t="s">
        <v>509</v>
      </c>
      <c r="B5846" s="55" t="n">
        <v>44926</v>
      </c>
      <c r="C5846" s="51" t="s">
        <v>791</v>
      </c>
      <c r="D5846" s="51" t="n">
        <v>0</v>
      </c>
    </row>
    <row r="5847" customFormat="false" ht="15" hidden="true" customHeight="false" outlineLevel="0" collapsed="false">
      <c r="A5847" s="51" t="s">
        <v>515</v>
      </c>
      <c r="B5847" s="55" t="n">
        <v>44926</v>
      </c>
      <c r="C5847" s="51" t="s">
        <v>791</v>
      </c>
      <c r="D5847" s="51" t="n">
        <v>0</v>
      </c>
    </row>
    <row r="5848" customFormat="false" ht="15" hidden="true" customHeight="false" outlineLevel="0" collapsed="false">
      <c r="A5848" s="51" t="s">
        <v>520</v>
      </c>
      <c r="B5848" s="55" t="n">
        <v>44926</v>
      </c>
      <c r="C5848" s="51" t="s">
        <v>791</v>
      </c>
      <c r="D5848" s="51" t="n">
        <v>0</v>
      </c>
    </row>
    <row r="5849" customFormat="false" ht="15" hidden="true" customHeight="false" outlineLevel="0" collapsed="false">
      <c r="A5849" s="51" t="s">
        <v>525</v>
      </c>
      <c r="B5849" s="55" t="n">
        <v>44926</v>
      </c>
      <c r="C5849" s="51" t="s">
        <v>791</v>
      </c>
      <c r="D5849" s="51" t="n">
        <v>0</v>
      </c>
    </row>
    <row r="5850" customFormat="false" ht="15" hidden="true" customHeight="false" outlineLevel="0" collapsed="false">
      <c r="A5850" s="51" t="s">
        <v>531</v>
      </c>
      <c r="B5850" s="55" t="n">
        <v>44926</v>
      </c>
      <c r="C5850" s="51" t="s">
        <v>791</v>
      </c>
      <c r="D5850" s="51" t="n">
        <v>0</v>
      </c>
    </row>
    <row r="5851" customFormat="false" ht="15" hidden="true" customHeight="false" outlineLevel="0" collapsed="false">
      <c r="A5851" s="51" t="s">
        <v>536</v>
      </c>
      <c r="B5851" s="55" t="n">
        <v>44926</v>
      </c>
      <c r="C5851" s="51" t="s">
        <v>791</v>
      </c>
      <c r="D5851" s="51" t="n">
        <v>0</v>
      </c>
    </row>
    <row r="5852" customFormat="false" ht="15" hidden="true" customHeight="false" outlineLevel="0" collapsed="false">
      <c r="A5852" s="51" t="s">
        <v>541</v>
      </c>
      <c r="B5852" s="55" t="n">
        <v>44926</v>
      </c>
      <c r="C5852" s="51" t="s">
        <v>791</v>
      </c>
      <c r="D5852" s="51" t="n">
        <v>0</v>
      </c>
    </row>
    <row r="5853" customFormat="false" ht="15" hidden="true" customHeight="false" outlineLevel="0" collapsed="false">
      <c r="A5853" s="51" t="s">
        <v>549</v>
      </c>
      <c r="B5853" s="55" t="n">
        <v>44926</v>
      </c>
      <c r="C5853" s="51" t="s">
        <v>791</v>
      </c>
      <c r="D5853" s="51" t="n">
        <v>0</v>
      </c>
    </row>
    <row r="5854" customFormat="false" ht="15" hidden="true" customHeight="false" outlineLevel="0" collapsed="false">
      <c r="A5854" s="51" t="s">
        <v>554</v>
      </c>
      <c r="B5854" s="55" t="n">
        <v>44926</v>
      </c>
      <c r="C5854" s="51" t="s">
        <v>791</v>
      </c>
      <c r="D5854" s="51" t="n">
        <v>0</v>
      </c>
    </row>
    <row r="5855" customFormat="false" ht="15" hidden="true" customHeight="false" outlineLevel="0" collapsed="false">
      <c r="A5855" s="51" t="s">
        <v>559</v>
      </c>
      <c r="B5855" s="55" t="n">
        <v>44926</v>
      </c>
      <c r="C5855" s="51" t="s">
        <v>791</v>
      </c>
      <c r="D5855" s="51" t="n">
        <v>0</v>
      </c>
    </row>
    <row r="5856" customFormat="false" ht="15" hidden="true" customHeight="false" outlineLevel="0" collapsed="false">
      <c r="A5856" s="51" t="s">
        <v>564</v>
      </c>
      <c r="B5856" s="55" t="n">
        <v>44926</v>
      </c>
      <c r="C5856" s="51" t="s">
        <v>791</v>
      </c>
      <c r="D5856" s="51" t="n">
        <v>0</v>
      </c>
    </row>
    <row r="5857" customFormat="false" ht="15" hidden="true" customHeight="false" outlineLevel="0" collapsed="false">
      <c r="A5857" s="51" t="s">
        <v>569</v>
      </c>
      <c r="B5857" s="55" t="n">
        <v>44926</v>
      </c>
      <c r="C5857" s="51" t="s">
        <v>791</v>
      </c>
      <c r="D5857" s="51" t="n">
        <v>0</v>
      </c>
    </row>
    <row r="5858" customFormat="false" ht="15" hidden="true" customHeight="false" outlineLevel="0" collapsed="false">
      <c r="A5858" s="51" t="s">
        <v>574</v>
      </c>
      <c r="B5858" s="55" t="n">
        <v>44926</v>
      </c>
      <c r="C5858" s="51" t="s">
        <v>791</v>
      </c>
      <c r="D5858" s="51" t="n">
        <v>0</v>
      </c>
    </row>
    <row r="5859" customFormat="false" ht="15" hidden="true" customHeight="false" outlineLevel="0" collapsed="false">
      <c r="A5859" s="51" t="s">
        <v>579</v>
      </c>
      <c r="B5859" s="55" t="n">
        <v>44926</v>
      </c>
      <c r="C5859" s="51" t="s">
        <v>791</v>
      </c>
      <c r="D5859" s="51" t="n">
        <v>0</v>
      </c>
    </row>
    <row r="5860" customFormat="false" ht="15" hidden="true" customHeight="false" outlineLevel="0" collapsed="false">
      <c r="A5860" s="51" t="s">
        <v>584</v>
      </c>
      <c r="B5860" s="55" t="n">
        <v>44926</v>
      </c>
      <c r="C5860" s="51" t="s">
        <v>791</v>
      </c>
      <c r="D5860" s="51" t="n">
        <v>0</v>
      </c>
    </row>
    <row r="5861" customFormat="false" ht="15" hidden="true" customHeight="false" outlineLevel="0" collapsed="false">
      <c r="A5861" s="51" t="s">
        <v>589</v>
      </c>
      <c r="B5861" s="55" t="n">
        <v>44926</v>
      </c>
      <c r="C5861" s="51" t="s">
        <v>791</v>
      </c>
      <c r="D5861" s="51" t="n">
        <v>0</v>
      </c>
    </row>
    <row r="5862" customFormat="false" ht="15" hidden="true" customHeight="false" outlineLevel="0" collapsed="false">
      <c r="A5862" s="51" t="s">
        <v>756</v>
      </c>
      <c r="B5862" s="55" t="n">
        <v>44926</v>
      </c>
      <c r="C5862" s="51" t="s">
        <v>791</v>
      </c>
      <c r="D5862" s="51" t="n">
        <v>0</v>
      </c>
    </row>
    <row r="5863" customFormat="false" ht="15" hidden="true" customHeight="false" outlineLevel="0" collapsed="false">
      <c r="A5863" s="51" t="s">
        <v>594</v>
      </c>
      <c r="B5863" s="55" t="n">
        <v>44926</v>
      </c>
      <c r="C5863" s="51" t="s">
        <v>791</v>
      </c>
      <c r="D5863" s="51" t="n">
        <v>0</v>
      </c>
    </row>
    <row r="5864" customFormat="false" ht="15" hidden="true" customHeight="false" outlineLevel="0" collapsed="false">
      <c r="A5864" s="51" t="s">
        <v>761</v>
      </c>
      <c r="B5864" s="55" t="n">
        <v>44926</v>
      </c>
      <c r="C5864" s="51" t="s">
        <v>791</v>
      </c>
      <c r="D5864" s="51" t="n">
        <v>0</v>
      </c>
    </row>
    <row r="5865" customFormat="false" ht="15" hidden="true" customHeight="false" outlineLevel="0" collapsed="false">
      <c r="A5865" s="51" t="s">
        <v>599</v>
      </c>
      <c r="B5865" s="55" t="n">
        <v>44926</v>
      </c>
      <c r="C5865" s="51" t="s">
        <v>791</v>
      </c>
      <c r="D5865" s="51" t="n">
        <v>0</v>
      </c>
    </row>
    <row r="5866" customFormat="false" ht="15" hidden="true" customHeight="false" outlineLevel="0" collapsed="false">
      <c r="A5866" s="51" t="s">
        <v>604</v>
      </c>
      <c r="B5866" s="55" t="n">
        <v>44926</v>
      </c>
      <c r="C5866" s="51" t="s">
        <v>791</v>
      </c>
      <c r="D5866" s="51" t="n">
        <v>0</v>
      </c>
    </row>
    <row r="5867" customFormat="false" ht="15" hidden="true" customHeight="false" outlineLevel="0" collapsed="false">
      <c r="A5867" s="51" t="s">
        <v>609</v>
      </c>
      <c r="B5867" s="55" t="n">
        <v>44926</v>
      </c>
      <c r="C5867" s="51" t="s">
        <v>791</v>
      </c>
      <c r="D5867" s="51" t="n">
        <v>0</v>
      </c>
    </row>
    <row r="5868" customFormat="false" ht="15" hidden="true" customHeight="false" outlineLevel="0" collapsed="false">
      <c r="A5868" s="51" t="s">
        <v>614</v>
      </c>
      <c r="B5868" s="55" t="n">
        <v>44926</v>
      </c>
      <c r="C5868" s="51" t="s">
        <v>791</v>
      </c>
      <c r="D5868" s="51" t="n">
        <v>0</v>
      </c>
    </row>
    <row r="5869" customFormat="false" ht="15" hidden="true" customHeight="false" outlineLevel="0" collapsed="false">
      <c r="A5869" s="51" t="s">
        <v>619</v>
      </c>
      <c r="B5869" s="55" t="n">
        <v>44926</v>
      </c>
      <c r="C5869" s="51" t="s">
        <v>791</v>
      </c>
      <c r="D5869" s="51" t="n">
        <v>0</v>
      </c>
    </row>
    <row r="5870" customFormat="false" ht="15" hidden="true" customHeight="false" outlineLevel="0" collapsed="false">
      <c r="A5870" s="51" t="s">
        <v>624</v>
      </c>
      <c r="B5870" s="55" t="n">
        <v>44926</v>
      </c>
      <c r="C5870" s="51" t="s">
        <v>791</v>
      </c>
      <c r="D5870" s="51" t="n">
        <v>0</v>
      </c>
    </row>
    <row r="5871" customFormat="false" ht="15" hidden="true" customHeight="false" outlineLevel="0" collapsed="false">
      <c r="A5871" s="51" t="s">
        <v>629</v>
      </c>
      <c r="B5871" s="55" t="n">
        <v>44926</v>
      </c>
      <c r="C5871" s="51" t="s">
        <v>791</v>
      </c>
      <c r="D5871" s="51" t="n">
        <v>0</v>
      </c>
    </row>
    <row r="5872" customFormat="false" ht="15" hidden="true" customHeight="false" outlineLevel="0" collapsed="false">
      <c r="A5872" s="51" t="s">
        <v>633</v>
      </c>
      <c r="B5872" s="55" t="n">
        <v>44926</v>
      </c>
      <c r="C5872" s="51" t="s">
        <v>791</v>
      </c>
      <c r="D5872" s="51" t="n">
        <v>0</v>
      </c>
    </row>
    <row r="5873" customFormat="false" ht="15" hidden="true" customHeight="false" outlineLevel="0" collapsed="false">
      <c r="A5873" s="51" t="s">
        <v>638</v>
      </c>
      <c r="B5873" s="55" t="n">
        <v>44926</v>
      </c>
      <c r="C5873" s="51" t="s">
        <v>791</v>
      </c>
      <c r="D5873" s="51" t="n">
        <v>0</v>
      </c>
    </row>
    <row r="5874" customFormat="false" ht="15" hidden="true" customHeight="false" outlineLevel="0" collapsed="false">
      <c r="A5874" s="51" t="s">
        <v>642</v>
      </c>
      <c r="B5874" s="55" t="n">
        <v>44926</v>
      </c>
      <c r="C5874" s="51" t="s">
        <v>791</v>
      </c>
      <c r="D5874" s="51" t="n">
        <v>0</v>
      </c>
    </row>
    <row r="5875" customFormat="false" ht="15" hidden="true" customHeight="false" outlineLevel="0" collapsed="false">
      <c r="A5875" s="51" t="s">
        <v>646</v>
      </c>
      <c r="B5875" s="55" t="n">
        <v>44926</v>
      </c>
      <c r="C5875" s="51" t="s">
        <v>791</v>
      </c>
      <c r="D5875" s="51" t="n">
        <v>0</v>
      </c>
    </row>
    <row r="5876" customFormat="false" ht="15" hidden="true" customHeight="false" outlineLevel="0" collapsed="false">
      <c r="A5876" s="51" t="s">
        <v>651</v>
      </c>
      <c r="B5876" s="55" t="n">
        <v>44926</v>
      </c>
      <c r="C5876" s="51" t="s">
        <v>791</v>
      </c>
      <c r="D5876" s="51" t="n">
        <v>0</v>
      </c>
    </row>
    <row r="5877" customFormat="false" ht="15" hidden="true" customHeight="false" outlineLevel="0" collapsed="false">
      <c r="A5877" s="51" t="s">
        <v>656</v>
      </c>
      <c r="B5877" s="55" t="n">
        <v>44926</v>
      </c>
      <c r="C5877" s="51" t="s">
        <v>791</v>
      </c>
      <c r="D5877" s="51" t="n">
        <v>0</v>
      </c>
    </row>
    <row r="5878" customFormat="false" ht="15" hidden="true" customHeight="false" outlineLevel="0" collapsed="false">
      <c r="A5878" s="51" t="s">
        <v>661</v>
      </c>
      <c r="B5878" s="55" t="n">
        <v>44926</v>
      </c>
      <c r="C5878" s="51" t="s">
        <v>791</v>
      </c>
      <c r="D5878" s="51" t="n">
        <v>0</v>
      </c>
    </row>
    <row r="5879" customFormat="false" ht="15" hidden="true" customHeight="false" outlineLevel="0" collapsed="false">
      <c r="A5879" s="51" t="s">
        <v>666</v>
      </c>
      <c r="B5879" s="55" t="n">
        <v>44926</v>
      </c>
      <c r="C5879" s="51" t="s">
        <v>791</v>
      </c>
      <c r="D5879" s="51" t="n">
        <v>0</v>
      </c>
    </row>
    <row r="5880" customFormat="false" ht="15" hidden="true" customHeight="false" outlineLevel="0" collapsed="false">
      <c r="A5880" s="51" t="s">
        <v>671</v>
      </c>
      <c r="B5880" s="55" t="n">
        <v>44926</v>
      </c>
      <c r="C5880" s="51" t="s">
        <v>791</v>
      </c>
      <c r="D5880" s="51" t="n">
        <v>0</v>
      </c>
    </row>
    <row r="5881" customFormat="false" ht="15" hidden="true" customHeight="false" outlineLevel="0" collapsed="false">
      <c r="A5881" s="51" t="s">
        <v>676</v>
      </c>
      <c r="B5881" s="55" t="n">
        <v>44926</v>
      </c>
      <c r="C5881" s="51" t="s">
        <v>791</v>
      </c>
      <c r="D5881" s="51" t="n">
        <v>0</v>
      </c>
    </row>
    <row r="5882" customFormat="false" ht="15" hidden="true" customHeight="false" outlineLevel="0" collapsed="false">
      <c r="A5882" s="51" t="s">
        <v>681</v>
      </c>
      <c r="B5882" s="55" t="n">
        <v>44926</v>
      </c>
      <c r="C5882" s="51" t="s">
        <v>791</v>
      </c>
      <c r="D5882" s="51" t="n">
        <v>0</v>
      </c>
    </row>
    <row r="5883" customFormat="false" ht="15" hidden="true" customHeight="false" outlineLevel="0" collapsed="false">
      <c r="A5883" s="51" t="s">
        <v>686</v>
      </c>
      <c r="B5883" s="55" t="n">
        <v>44926</v>
      </c>
      <c r="C5883" s="51" t="s">
        <v>791</v>
      </c>
      <c r="D5883" s="51" t="n">
        <v>0</v>
      </c>
    </row>
    <row r="5884" customFormat="false" ht="15" hidden="true" customHeight="false" outlineLevel="0" collapsed="false">
      <c r="A5884" s="51" t="s">
        <v>691</v>
      </c>
      <c r="B5884" s="55" t="n">
        <v>44926</v>
      </c>
      <c r="C5884" s="51" t="s">
        <v>791</v>
      </c>
      <c r="D5884" s="51" t="n">
        <v>0</v>
      </c>
    </row>
    <row r="5885" customFormat="false" ht="15" hidden="true" customHeight="false" outlineLevel="0" collapsed="false">
      <c r="A5885" s="51" t="s">
        <v>696</v>
      </c>
      <c r="B5885" s="55" t="n">
        <v>44926</v>
      </c>
      <c r="C5885" s="51" t="s">
        <v>791</v>
      </c>
      <c r="D5885" s="51" t="n">
        <v>0</v>
      </c>
    </row>
    <row r="5886" customFormat="false" ht="15" hidden="true" customHeight="false" outlineLevel="0" collapsed="false">
      <c r="A5886" s="51" t="s">
        <v>701</v>
      </c>
      <c r="B5886" s="55" t="n">
        <v>44926</v>
      </c>
      <c r="C5886" s="51" t="s">
        <v>791</v>
      </c>
      <c r="D5886" s="51" t="n">
        <v>0</v>
      </c>
    </row>
    <row r="5887" customFormat="false" ht="15" hidden="true" customHeight="false" outlineLevel="0" collapsed="false">
      <c r="A5887" s="51" t="s">
        <v>707</v>
      </c>
      <c r="B5887" s="55" t="n">
        <v>44926</v>
      </c>
      <c r="C5887" s="51" t="s">
        <v>791</v>
      </c>
      <c r="D5887" s="51" t="n">
        <v>0</v>
      </c>
    </row>
    <row r="5888" customFormat="false" ht="15" hidden="true" customHeight="false" outlineLevel="0" collapsed="false">
      <c r="A5888" s="51" t="s">
        <v>712</v>
      </c>
      <c r="B5888" s="55" t="n">
        <v>44926</v>
      </c>
      <c r="C5888" s="51" t="s">
        <v>791</v>
      </c>
      <c r="D5888" s="51" t="n">
        <v>0</v>
      </c>
    </row>
    <row r="5889" customFormat="false" ht="15" hidden="true" customHeight="false" outlineLevel="0" collapsed="false">
      <c r="A5889" s="51" t="s">
        <v>717</v>
      </c>
      <c r="B5889" s="55" t="n">
        <v>44926</v>
      </c>
      <c r="C5889" s="51" t="s">
        <v>791</v>
      </c>
      <c r="D5889" s="51" t="n">
        <v>0</v>
      </c>
    </row>
    <row r="5890" customFormat="false" ht="15" hidden="true" customHeight="false" outlineLevel="0" collapsed="false">
      <c r="A5890" s="51" t="s">
        <v>767</v>
      </c>
      <c r="B5890" s="55" t="n">
        <v>44926</v>
      </c>
      <c r="C5890" s="51" t="s">
        <v>791</v>
      </c>
      <c r="D5890" s="51" t="n">
        <v>0</v>
      </c>
    </row>
    <row r="5891" customFormat="false" ht="15" hidden="true" customHeight="false" outlineLevel="0" collapsed="false">
      <c r="A5891" s="51" t="s">
        <v>722</v>
      </c>
      <c r="B5891" s="55" t="n">
        <v>44926</v>
      </c>
      <c r="C5891" s="51" t="s">
        <v>791</v>
      </c>
      <c r="D5891" s="51" t="n">
        <v>0</v>
      </c>
    </row>
    <row r="5892" customFormat="false" ht="15" hidden="true" customHeight="false" outlineLevel="0" collapsed="false">
      <c r="A5892" s="51" t="s">
        <v>727</v>
      </c>
      <c r="B5892" s="55" t="n">
        <v>44926</v>
      </c>
      <c r="C5892" s="51" t="s">
        <v>791</v>
      </c>
      <c r="D5892" s="51" t="n">
        <v>0</v>
      </c>
    </row>
    <row r="5893" customFormat="false" ht="15" hidden="true" customHeight="false" outlineLevel="0" collapsed="false">
      <c r="A5893" s="51" t="s">
        <v>732</v>
      </c>
      <c r="B5893" s="55" t="n">
        <v>44926</v>
      </c>
      <c r="C5893" s="51" t="s">
        <v>791</v>
      </c>
      <c r="D5893" s="51" t="n">
        <v>0</v>
      </c>
    </row>
    <row r="5894" customFormat="false" ht="15" hidden="true" customHeight="false" outlineLevel="0" collapsed="false">
      <c r="A5894" s="51" t="s">
        <v>736</v>
      </c>
      <c r="B5894" s="55" t="n">
        <v>44926</v>
      </c>
      <c r="C5894" s="51" t="s">
        <v>791</v>
      </c>
      <c r="D5894" s="51" t="n">
        <v>0</v>
      </c>
    </row>
    <row r="5895" customFormat="false" ht="15" hidden="true" customHeight="false" outlineLevel="0" collapsed="false">
      <c r="A5895" s="51" t="s">
        <v>741</v>
      </c>
      <c r="B5895" s="55" t="n">
        <v>44926</v>
      </c>
      <c r="C5895" s="51" t="s">
        <v>791</v>
      </c>
      <c r="D5895" s="51" t="n">
        <v>0</v>
      </c>
    </row>
    <row r="5896" customFormat="false" ht="15" hidden="true" customHeight="false" outlineLevel="0" collapsed="false">
      <c r="A5896" s="51" t="s">
        <v>746</v>
      </c>
      <c r="B5896" s="55" t="n">
        <v>44926</v>
      </c>
      <c r="C5896" s="51" t="s">
        <v>791</v>
      </c>
      <c r="D5896" s="51" t="n">
        <v>0</v>
      </c>
    </row>
    <row r="5897" customFormat="false" ht="15" hidden="true" customHeight="false" outlineLevel="0" collapsed="false">
      <c r="A5897" s="51" t="s">
        <v>751</v>
      </c>
      <c r="B5897" s="55" t="n">
        <v>44926</v>
      </c>
      <c r="C5897" s="51" t="s">
        <v>791</v>
      </c>
      <c r="D5897" s="51" t="n">
        <v>0</v>
      </c>
    </row>
    <row r="5898" customFormat="false" ht="15" hidden="false" customHeight="false" outlineLevel="0" collapsed="false">
      <c r="A5898" s="51" t="s">
        <v>781</v>
      </c>
      <c r="B5898" s="55" t="n">
        <v>45015</v>
      </c>
      <c r="C5898" s="51" t="s">
        <v>782</v>
      </c>
      <c r="D5898" s="51" t="n">
        <v>0</v>
      </c>
    </row>
    <row r="5899" customFormat="false" ht="15" hidden="true" customHeight="false" outlineLevel="0" collapsed="false">
      <c r="A5899" s="51" t="s">
        <v>783</v>
      </c>
      <c r="B5899" s="55" t="n">
        <v>45015</v>
      </c>
      <c r="C5899" s="51" t="s">
        <v>782</v>
      </c>
      <c r="D5899" s="51" t="n">
        <v>0</v>
      </c>
    </row>
    <row r="5900" customFormat="false" ht="15" hidden="true" customHeight="false" outlineLevel="0" collapsed="false">
      <c r="A5900" s="51" t="s">
        <v>96</v>
      </c>
      <c r="B5900" s="55" t="n">
        <v>45015</v>
      </c>
      <c r="C5900" s="51" t="s">
        <v>782</v>
      </c>
      <c r="D5900" s="51" t="n">
        <v>0</v>
      </c>
    </row>
    <row r="5901" customFormat="false" ht="15" hidden="true" customHeight="false" outlineLevel="0" collapsed="false">
      <c r="A5901" s="51" t="s">
        <v>101</v>
      </c>
      <c r="B5901" s="55" t="n">
        <v>45015</v>
      </c>
      <c r="C5901" s="51" t="s">
        <v>782</v>
      </c>
      <c r="D5901" s="51" t="n">
        <v>0</v>
      </c>
    </row>
    <row r="5902" customFormat="false" ht="15" hidden="true" customHeight="false" outlineLevel="0" collapsed="false">
      <c r="A5902" s="51" t="s">
        <v>106</v>
      </c>
      <c r="B5902" s="55" t="n">
        <v>45015</v>
      </c>
      <c r="C5902" s="51" t="s">
        <v>782</v>
      </c>
      <c r="D5902" s="51" t="n">
        <v>0</v>
      </c>
    </row>
    <row r="5903" customFormat="false" ht="15" hidden="true" customHeight="false" outlineLevel="0" collapsed="false">
      <c r="A5903" s="51" t="s">
        <v>110</v>
      </c>
      <c r="B5903" s="55" t="n">
        <v>45015</v>
      </c>
      <c r="C5903" s="51" t="s">
        <v>782</v>
      </c>
      <c r="D5903" s="51" t="n">
        <v>0</v>
      </c>
    </row>
    <row r="5904" customFormat="false" ht="15" hidden="true" customHeight="false" outlineLevel="0" collapsed="false">
      <c r="A5904" s="51" t="s">
        <v>115</v>
      </c>
      <c r="B5904" s="55" t="n">
        <v>45015</v>
      </c>
      <c r="C5904" s="51" t="s">
        <v>782</v>
      </c>
      <c r="D5904" s="51" t="n">
        <v>0</v>
      </c>
    </row>
    <row r="5905" customFormat="false" ht="15" hidden="true" customHeight="false" outlineLevel="0" collapsed="false">
      <c r="A5905" s="51" t="s">
        <v>120</v>
      </c>
      <c r="B5905" s="55" t="n">
        <v>45015</v>
      </c>
      <c r="C5905" s="51" t="s">
        <v>782</v>
      </c>
      <c r="D5905" s="51" t="n">
        <v>0</v>
      </c>
    </row>
    <row r="5906" customFormat="false" ht="15" hidden="true" customHeight="false" outlineLevel="0" collapsed="false">
      <c r="A5906" s="51" t="s">
        <v>124</v>
      </c>
      <c r="B5906" s="55" t="n">
        <v>45015</v>
      </c>
      <c r="C5906" s="51" t="s">
        <v>782</v>
      </c>
      <c r="D5906" s="51" t="n">
        <v>0</v>
      </c>
    </row>
    <row r="5907" customFormat="false" ht="15" hidden="true" customHeight="false" outlineLevel="0" collapsed="false">
      <c r="A5907" s="51" t="s">
        <v>129</v>
      </c>
      <c r="B5907" s="55" t="n">
        <v>45015</v>
      </c>
      <c r="C5907" s="51" t="s">
        <v>782</v>
      </c>
      <c r="D5907" s="51" t="n">
        <v>0</v>
      </c>
    </row>
    <row r="5908" customFormat="false" ht="15" hidden="true" customHeight="false" outlineLevel="0" collapsed="false">
      <c r="A5908" s="51" t="s">
        <v>134</v>
      </c>
      <c r="B5908" s="55" t="n">
        <v>45015</v>
      </c>
      <c r="C5908" s="51" t="s">
        <v>782</v>
      </c>
      <c r="D5908" s="51" t="n">
        <v>0</v>
      </c>
    </row>
    <row r="5909" customFormat="false" ht="15" hidden="true" customHeight="false" outlineLevel="0" collapsed="false">
      <c r="A5909" s="51" t="s">
        <v>141</v>
      </c>
      <c r="B5909" s="55" t="n">
        <v>45015</v>
      </c>
      <c r="C5909" s="51" t="s">
        <v>782</v>
      </c>
      <c r="D5909" s="51" t="n">
        <v>0</v>
      </c>
    </row>
    <row r="5910" customFormat="false" ht="15" hidden="true" customHeight="false" outlineLevel="0" collapsed="false">
      <c r="A5910" s="51" t="s">
        <v>146</v>
      </c>
      <c r="B5910" s="55" t="n">
        <v>45015</v>
      </c>
      <c r="C5910" s="51" t="s">
        <v>782</v>
      </c>
      <c r="D5910" s="51" t="n">
        <v>0</v>
      </c>
    </row>
    <row r="5911" customFormat="false" ht="15" hidden="true" customHeight="false" outlineLevel="0" collapsed="false">
      <c r="A5911" s="51" t="s">
        <v>151</v>
      </c>
      <c r="B5911" s="55" t="n">
        <v>45015</v>
      </c>
      <c r="C5911" s="51" t="s">
        <v>782</v>
      </c>
      <c r="D5911" s="51" t="n">
        <v>0</v>
      </c>
    </row>
    <row r="5912" customFormat="false" ht="15" hidden="true" customHeight="false" outlineLevel="0" collapsed="false">
      <c r="A5912" s="51" t="s">
        <v>156</v>
      </c>
      <c r="B5912" s="55" t="n">
        <v>45015</v>
      </c>
      <c r="C5912" s="51" t="s">
        <v>782</v>
      </c>
      <c r="D5912" s="51" t="n">
        <v>0</v>
      </c>
    </row>
    <row r="5913" customFormat="false" ht="15" hidden="true" customHeight="false" outlineLevel="0" collapsed="false">
      <c r="A5913" s="51" t="s">
        <v>161</v>
      </c>
      <c r="B5913" s="55" t="n">
        <v>45015</v>
      </c>
      <c r="C5913" s="51" t="s">
        <v>782</v>
      </c>
      <c r="D5913" s="51" t="n">
        <v>0</v>
      </c>
    </row>
    <row r="5914" customFormat="false" ht="15" hidden="true" customHeight="false" outlineLevel="0" collapsed="false">
      <c r="A5914" s="51" t="s">
        <v>166</v>
      </c>
      <c r="B5914" s="55" t="n">
        <v>45015</v>
      </c>
      <c r="C5914" s="51" t="s">
        <v>782</v>
      </c>
      <c r="D5914" s="51" t="n">
        <v>0</v>
      </c>
    </row>
    <row r="5915" customFormat="false" ht="15" hidden="true" customHeight="false" outlineLevel="0" collapsed="false">
      <c r="A5915" s="51" t="s">
        <v>171</v>
      </c>
      <c r="B5915" s="55" t="n">
        <v>45015</v>
      </c>
      <c r="C5915" s="51" t="s">
        <v>782</v>
      </c>
      <c r="D5915" s="51" t="n">
        <v>0</v>
      </c>
    </row>
    <row r="5916" customFormat="false" ht="15" hidden="true" customHeight="false" outlineLevel="0" collapsed="false">
      <c r="A5916" s="51" t="s">
        <v>176</v>
      </c>
      <c r="B5916" s="55" t="n">
        <v>45015</v>
      </c>
      <c r="C5916" s="51" t="s">
        <v>782</v>
      </c>
      <c r="D5916" s="51" t="n">
        <v>0</v>
      </c>
    </row>
    <row r="5917" customFormat="false" ht="15" hidden="true" customHeight="false" outlineLevel="0" collapsed="false">
      <c r="A5917" s="51" t="s">
        <v>181</v>
      </c>
      <c r="B5917" s="55" t="n">
        <v>45015</v>
      </c>
      <c r="C5917" s="51" t="s">
        <v>782</v>
      </c>
      <c r="D5917" s="51" t="n">
        <v>0</v>
      </c>
    </row>
    <row r="5918" customFormat="false" ht="15" hidden="true" customHeight="false" outlineLevel="0" collapsed="false">
      <c r="A5918" s="51" t="s">
        <v>186</v>
      </c>
      <c r="B5918" s="55" t="n">
        <v>45015</v>
      </c>
      <c r="C5918" s="51" t="s">
        <v>782</v>
      </c>
      <c r="D5918" s="51" t="n">
        <v>0</v>
      </c>
    </row>
    <row r="5919" customFormat="false" ht="15" hidden="true" customHeight="false" outlineLevel="0" collapsed="false">
      <c r="A5919" s="51" t="s">
        <v>191</v>
      </c>
      <c r="B5919" s="55" t="n">
        <v>45015</v>
      </c>
      <c r="C5919" s="51" t="s">
        <v>782</v>
      </c>
      <c r="D5919" s="51" t="n">
        <v>0</v>
      </c>
    </row>
    <row r="5920" customFormat="false" ht="15" hidden="true" customHeight="false" outlineLevel="0" collapsed="false">
      <c r="A5920" s="51" t="s">
        <v>196</v>
      </c>
      <c r="B5920" s="55" t="n">
        <v>45015</v>
      </c>
      <c r="C5920" s="51" t="s">
        <v>782</v>
      </c>
      <c r="D5920" s="51" t="n">
        <v>0</v>
      </c>
    </row>
    <row r="5921" customFormat="false" ht="15" hidden="true" customHeight="false" outlineLevel="0" collapsed="false">
      <c r="A5921" s="51" t="s">
        <v>201</v>
      </c>
      <c r="B5921" s="55" t="n">
        <v>45015</v>
      </c>
      <c r="C5921" s="51" t="s">
        <v>782</v>
      </c>
      <c r="D5921" s="51" t="n">
        <v>0</v>
      </c>
    </row>
    <row r="5922" customFormat="false" ht="15" hidden="true" customHeight="false" outlineLevel="0" collapsed="false">
      <c r="A5922" s="51" t="s">
        <v>206</v>
      </c>
      <c r="B5922" s="55" t="n">
        <v>45015</v>
      </c>
      <c r="C5922" s="51" t="s">
        <v>782</v>
      </c>
      <c r="D5922" s="51" t="n">
        <v>0</v>
      </c>
    </row>
    <row r="5923" customFormat="false" ht="15" hidden="true" customHeight="false" outlineLevel="0" collapsed="false">
      <c r="A5923" s="51" t="s">
        <v>210</v>
      </c>
      <c r="B5923" s="55" t="n">
        <v>45015</v>
      </c>
      <c r="C5923" s="51" t="s">
        <v>782</v>
      </c>
      <c r="D5923" s="51" t="n">
        <v>0</v>
      </c>
    </row>
    <row r="5924" customFormat="false" ht="15" hidden="true" customHeight="false" outlineLevel="0" collapsed="false">
      <c r="A5924" s="51" t="s">
        <v>215</v>
      </c>
      <c r="B5924" s="55" t="n">
        <v>45015</v>
      </c>
      <c r="C5924" s="51" t="s">
        <v>782</v>
      </c>
      <c r="D5924" s="51" t="n">
        <v>0</v>
      </c>
    </row>
    <row r="5925" customFormat="false" ht="15" hidden="true" customHeight="false" outlineLevel="0" collapsed="false">
      <c r="A5925" s="51" t="s">
        <v>790</v>
      </c>
      <c r="B5925" s="55" t="n">
        <v>45015</v>
      </c>
      <c r="C5925" s="51" t="s">
        <v>782</v>
      </c>
      <c r="D5925" s="51" t="n">
        <v>0</v>
      </c>
    </row>
    <row r="5926" customFormat="false" ht="15" hidden="true" customHeight="false" outlineLevel="0" collapsed="false">
      <c r="A5926" s="51" t="s">
        <v>225</v>
      </c>
      <c r="B5926" s="55" t="n">
        <v>45015</v>
      </c>
      <c r="C5926" s="51" t="s">
        <v>782</v>
      </c>
      <c r="D5926" s="51" t="n">
        <v>0</v>
      </c>
    </row>
    <row r="5927" customFormat="false" ht="15" hidden="true" customHeight="false" outlineLevel="0" collapsed="false">
      <c r="A5927" s="51" t="s">
        <v>230</v>
      </c>
      <c r="B5927" s="55" t="n">
        <v>45015</v>
      </c>
      <c r="C5927" s="51" t="s">
        <v>782</v>
      </c>
      <c r="D5927" s="51" t="n">
        <v>0</v>
      </c>
    </row>
    <row r="5928" customFormat="false" ht="15" hidden="true" customHeight="false" outlineLevel="0" collapsed="false">
      <c r="A5928" s="51" t="s">
        <v>235</v>
      </c>
      <c r="B5928" s="55" t="n">
        <v>45015</v>
      </c>
      <c r="C5928" s="51" t="s">
        <v>782</v>
      </c>
      <c r="D5928" s="51" t="n">
        <v>0</v>
      </c>
    </row>
    <row r="5929" customFormat="false" ht="15" hidden="true" customHeight="false" outlineLevel="0" collapsed="false">
      <c r="A5929" s="51" t="s">
        <v>240</v>
      </c>
      <c r="B5929" s="55" t="n">
        <v>45015</v>
      </c>
      <c r="C5929" s="51" t="s">
        <v>782</v>
      </c>
      <c r="D5929" s="51" t="n">
        <v>0</v>
      </c>
    </row>
    <row r="5930" customFormat="false" ht="15" hidden="true" customHeight="false" outlineLevel="0" collapsed="false">
      <c r="A5930" s="51" t="s">
        <v>246</v>
      </c>
      <c r="B5930" s="55" t="n">
        <v>45015</v>
      </c>
      <c r="C5930" s="51" t="s">
        <v>782</v>
      </c>
      <c r="D5930" s="51" t="n">
        <v>0</v>
      </c>
    </row>
    <row r="5931" customFormat="false" ht="15" hidden="true" customHeight="false" outlineLevel="0" collapsed="false">
      <c r="A5931" s="51" t="s">
        <v>252</v>
      </c>
      <c r="B5931" s="55" t="n">
        <v>45015</v>
      </c>
      <c r="C5931" s="51" t="s">
        <v>782</v>
      </c>
      <c r="D5931" s="51" t="n">
        <v>0</v>
      </c>
    </row>
    <row r="5932" customFormat="false" ht="15" hidden="true" customHeight="false" outlineLevel="0" collapsed="false">
      <c r="A5932" s="51" t="s">
        <v>257</v>
      </c>
      <c r="B5932" s="55" t="n">
        <v>45015</v>
      </c>
      <c r="C5932" s="51" t="s">
        <v>782</v>
      </c>
      <c r="D5932" s="51" t="n">
        <v>0</v>
      </c>
    </row>
    <row r="5933" customFormat="false" ht="15" hidden="true" customHeight="false" outlineLevel="0" collapsed="false">
      <c r="A5933" s="51" t="s">
        <v>262</v>
      </c>
      <c r="B5933" s="55" t="n">
        <v>45015</v>
      </c>
      <c r="C5933" s="51" t="s">
        <v>782</v>
      </c>
      <c r="D5933" s="51" t="n">
        <v>0</v>
      </c>
    </row>
    <row r="5934" customFormat="false" ht="15" hidden="true" customHeight="false" outlineLevel="0" collapsed="false">
      <c r="A5934" s="51" t="s">
        <v>267</v>
      </c>
      <c r="B5934" s="55" t="n">
        <v>45015</v>
      </c>
      <c r="C5934" s="51" t="s">
        <v>782</v>
      </c>
      <c r="D5934" s="51" t="n">
        <v>0</v>
      </c>
    </row>
    <row r="5935" customFormat="false" ht="15" hidden="true" customHeight="false" outlineLevel="0" collapsed="false">
      <c r="A5935" s="51" t="s">
        <v>272</v>
      </c>
      <c r="B5935" s="55" t="n">
        <v>45015</v>
      </c>
      <c r="C5935" s="51" t="s">
        <v>782</v>
      </c>
      <c r="D5935" s="51" t="n">
        <v>0</v>
      </c>
    </row>
    <row r="5936" customFormat="false" ht="15" hidden="true" customHeight="false" outlineLevel="0" collapsed="false">
      <c r="A5936" s="51" t="s">
        <v>277</v>
      </c>
      <c r="B5936" s="55" t="n">
        <v>45015</v>
      </c>
      <c r="C5936" s="51" t="s">
        <v>782</v>
      </c>
      <c r="D5936" s="51" t="n">
        <v>0</v>
      </c>
    </row>
    <row r="5937" customFormat="false" ht="15" hidden="true" customHeight="false" outlineLevel="0" collapsed="false">
      <c r="A5937" s="51" t="s">
        <v>282</v>
      </c>
      <c r="B5937" s="55" t="n">
        <v>45015</v>
      </c>
      <c r="C5937" s="51" t="s">
        <v>782</v>
      </c>
      <c r="D5937" s="51" t="n">
        <v>0</v>
      </c>
    </row>
    <row r="5938" customFormat="false" ht="15" hidden="true" customHeight="false" outlineLevel="0" collapsed="false">
      <c r="A5938" s="51" t="s">
        <v>287</v>
      </c>
      <c r="B5938" s="55" t="n">
        <v>45015</v>
      </c>
      <c r="C5938" s="51" t="s">
        <v>782</v>
      </c>
      <c r="D5938" s="51" t="n">
        <v>0</v>
      </c>
    </row>
    <row r="5939" customFormat="false" ht="15" hidden="true" customHeight="false" outlineLevel="0" collapsed="false">
      <c r="A5939" s="51" t="s">
        <v>292</v>
      </c>
      <c r="B5939" s="55" t="n">
        <v>45015</v>
      </c>
      <c r="C5939" s="51" t="s">
        <v>782</v>
      </c>
      <c r="D5939" s="51" t="n">
        <v>0</v>
      </c>
    </row>
    <row r="5940" customFormat="false" ht="15" hidden="true" customHeight="false" outlineLevel="0" collapsed="false">
      <c r="A5940" s="51" t="s">
        <v>297</v>
      </c>
      <c r="B5940" s="55" t="n">
        <v>45015</v>
      </c>
      <c r="C5940" s="51" t="s">
        <v>782</v>
      </c>
      <c r="D5940" s="51" t="n">
        <v>0</v>
      </c>
    </row>
    <row r="5941" customFormat="false" ht="15" hidden="true" customHeight="false" outlineLevel="0" collapsed="false">
      <c r="A5941" s="51" t="s">
        <v>302</v>
      </c>
      <c r="B5941" s="55" t="n">
        <v>45015</v>
      </c>
      <c r="C5941" s="51" t="s">
        <v>782</v>
      </c>
      <c r="D5941" s="51" t="n">
        <v>0</v>
      </c>
    </row>
    <row r="5942" customFormat="false" ht="15" hidden="true" customHeight="false" outlineLevel="0" collapsed="false">
      <c r="A5942" s="51" t="s">
        <v>307</v>
      </c>
      <c r="B5942" s="55" t="n">
        <v>45015</v>
      </c>
      <c r="C5942" s="51" t="s">
        <v>782</v>
      </c>
      <c r="D5942" s="51" t="n">
        <v>0</v>
      </c>
    </row>
    <row r="5943" customFormat="false" ht="15" hidden="true" customHeight="false" outlineLevel="0" collapsed="false">
      <c r="A5943" s="51" t="s">
        <v>311</v>
      </c>
      <c r="B5943" s="55" t="n">
        <v>45015</v>
      </c>
      <c r="C5943" s="51" t="s">
        <v>782</v>
      </c>
      <c r="D5943" s="51" t="n">
        <v>0</v>
      </c>
    </row>
    <row r="5944" customFormat="false" ht="15" hidden="true" customHeight="false" outlineLevel="0" collapsed="false">
      <c r="A5944" s="51" t="s">
        <v>317</v>
      </c>
      <c r="B5944" s="55" t="n">
        <v>45015</v>
      </c>
      <c r="C5944" s="51" t="s">
        <v>782</v>
      </c>
      <c r="D5944" s="51" t="n">
        <v>0</v>
      </c>
    </row>
    <row r="5945" customFormat="false" ht="15" hidden="true" customHeight="false" outlineLevel="0" collapsed="false">
      <c r="A5945" s="51" t="s">
        <v>322</v>
      </c>
      <c r="B5945" s="55" t="n">
        <v>45015</v>
      </c>
      <c r="C5945" s="51" t="s">
        <v>782</v>
      </c>
      <c r="D5945" s="51" t="n">
        <v>0</v>
      </c>
    </row>
    <row r="5946" customFormat="false" ht="15" hidden="true" customHeight="false" outlineLevel="0" collapsed="false">
      <c r="A5946" s="51" t="s">
        <v>327</v>
      </c>
      <c r="B5946" s="55" t="n">
        <v>45015</v>
      </c>
      <c r="C5946" s="51" t="s">
        <v>782</v>
      </c>
      <c r="D5946" s="51" t="n">
        <v>0</v>
      </c>
    </row>
    <row r="5947" customFormat="false" ht="15" hidden="true" customHeight="false" outlineLevel="0" collapsed="false">
      <c r="A5947" s="51" t="s">
        <v>332</v>
      </c>
      <c r="B5947" s="55" t="n">
        <v>45015</v>
      </c>
      <c r="C5947" s="51" t="s">
        <v>782</v>
      </c>
      <c r="D5947" s="51" t="n">
        <v>0</v>
      </c>
    </row>
    <row r="5948" customFormat="false" ht="15" hidden="true" customHeight="false" outlineLevel="0" collapsed="false">
      <c r="A5948" s="51" t="s">
        <v>339</v>
      </c>
      <c r="B5948" s="55" t="n">
        <v>45015</v>
      </c>
      <c r="C5948" s="51" t="s">
        <v>782</v>
      </c>
      <c r="D5948" s="51" t="n">
        <v>0</v>
      </c>
    </row>
    <row r="5949" customFormat="false" ht="15" hidden="true" customHeight="false" outlineLevel="0" collapsed="false">
      <c r="A5949" s="51" t="s">
        <v>344</v>
      </c>
      <c r="B5949" s="55" t="n">
        <v>45015</v>
      </c>
      <c r="C5949" s="51" t="s">
        <v>782</v>
      </c>
      <c r="D5949" s="51" t="n">
        <v>0</v>
      </c>
    </row>
    <row r="5950" customFormat="false" ht="15" hidden="true" customHeight="false" outlineLevel="0" collapsed="false">
      <c r="A5950" s="51" t="s">
        <v>349</v>
      </c>
      <c r="B5950" s="55" t="n">
        <v>45015</v>
      </c>
      <c r="C5950" s="51" t="s">
        <v>782</v>
      </c>
      <c r="D5950" s="51" t="n">
        <v>0</v>
      </c>
    </row>
    <row r="5951" customFormat="false" ht="15" hidden="true" customHeight="false" outlineLevel="0" collapsed="false">
      <c r="A5951" s="51" t="s">
        <v>354</v>
      </c>
      <c r="B5951" s="55" t="n">
        <v>45015</v>
      </c>
      <c r="C5951" s="51" t="s">
        <v>782</v>
      </c>
      <c r="D5951" s="51" t="n">
        <v>0</v>
      </c>
    </row>
    <row r="5952" customFormat="false" ht="15" hidden="true" customHeight="false" outlineLevel="0" collapsed="false">
      <c r="A5952" s="51" t="s">
        <v>359</v>
      </c>
      <c r="B5952" s="55" t="n">
        <v>45015</v>
      </c>
      <c r="C5952" s="51" t="s">
        <v>782</v>
      </c>
      <c r="D5952" s="51" t="n">
        <v>0</v>
      </c>
    </row>
    <row r="5953" customFormat="false" ht="15" hidden="true" customHeight="false" outlineLevel="0" collapsed="false">
      <c r="A5953" s="51" t="s">
        <v>364</v>
      </c>
      <c r="B5953" s="55" t="n">
        <v>45015</v>
      </c>
      <c r="C5953" s="51" t="s">
        <v>782</v>
      </c>
      <c r="D5953" s="51" t="n">
        <v>0</v>
      </c>
    </row>
    <row r="5954" customFormat="false" ht="15" hidden="true" customHeight="false" outlineLevel="0" collapsed="false">
      <c r="A5954" s="51" t="s">
        <v>369</v>
      </c>
      <c r="B5954" s="55" t="n">
        <v>45015</v>
      </c>
      <c r="C5954" s="51" t="s">
        <v>782</v>
      </c>
      <c r="D5954" s="51" t="n">
        <v>0</v>
      </c>
    </row>
    <row r="5955" customFormat="false" ht="15" hidden="true" customHeight="false" outlineLevel="0" collapsed="false">
      <c r="A5955" s="51" t="s">
        <v>374</v>
      </c>
      <c r="B5955" s="55" t="n">
        <v>45015</v>
      </c>
      <c r="C5955" s="51" t="s">
        <v>782</v>
      </c>
      <c r="D5955" s="51" t="n">
        <v>1221221.98</v>
      </c>
    </row>
    <row r="5956" customFormat="false" ht="15" hidden="true" customHeight="false" outlineLevel="0" collapsed="false">
      <c r="A5956" s="51" t="s">
        <v>379</v>
      </c>
      <c r="B5956" s="55" t="n">
        <v>45015</v>
      </c>
      <c r="C5956" s="51" t="s">
        <v>782</v>
      </c>
      <c r="D5956" s="51" t="n">
        <v>0</v>
      </c>
    </row>
    <row r="5957" customFormat="false" ht="15" hidden="true" customHeight="false" outlineLevel="0" collapsed="false">
      <c r="A5957" s="51" t="s">
        <v>384</v>
      </c>
      <c r="B5957" s="55" t="n">
        <v>45015</v>
      </c>
      <c r="C5957" s="51" t="s">
        <v>782</v>
      </c>
      <c r="D5957" s="51" t="n">
        <v>1000000</v>
      </c>
    </row>
    <row r="5958" customFormat="false" ht="15" hidden="true" customHeight="false" outlineLevel="0" collapsed="false">
      <c r="A5958" s="51" t="s">
        <v>389</v>
      </c>
      <c r="B5958" s="55" t="n">
        <v>45015</v>
      </c>
      <c r="C5958" s="51" t="s">
        <v>782</v>
      </c>
      <c r="D5958" s="51" t="n">
        <v>0</v>
      </c>
    </row>
    <row r="5959" customFormat="false" ht="15" hidden="true" customHeight="false" outlineLevel="0" collapsed="false">
      <c r="A5959" s="51" t="s">
        <v>394</v>
      </c>
      <c r="B5959" s="55" t="n">
        <v>45015</v>
      </c>
      <c r="C5959" s="51" t="s">
        <v>782</v>
      </c>
      <c r="D5959" s="51" t="n">
        <v>0</v>
      </c>
    </row>
    <row r="5960" customFormat="false" ht="15" hidden="true" customHeight="false" outlineLevel="0" collapsed="false">
      <c r="A5960" s="51" t="s">
        <v>399</v>
      </c>
      <c r="B5960" s="55" t="n">
        <v>45015</v>
      </c>
      <c r="C5960" s="51" t="s">
        <v>782</v>
      </c>
      <c r="D5960" s="51" t="n">
        <v>0</v>
      </c>
    </row>
    <row r="5961" customFormat="false" ht="15" hidden="true" customHeight="false" outlineLevel="0" collapsed="false">
      <c r="A5961" s="51" t="s">
        <v>404</v>
      </c>
      <c r="B5961" s="55" t="n">
        <v>45015</v>
      </c>
      <c r="C5961" s="51" t="s">
        <v>782</v>
      </c>
      <c r="D5961" s="51" t="n">
        <v>0</v>
      </c>
    </row>
    <row r="5962" customFormat="false" ht="15" hidden="true" customHeight="false" outlineLevel="0" collapsed="false">
      <c r="A5962" s="51" t="s">
        <v>409</v>
      </c>
      <c r="B5962" s="55" t="n">
        <v>45015</v>
      </c>
      <c r="C5962" s="51" t="s">
        <v>782</v>
      </c>
      <c r="D5962" s="51" t="n">
        <v>0</v>
      </c>
    </row>
    <row r="5963" customFormat="false" ht="15" hidden="true" customHeight="false" outlineLevel="0" collapsed="false">
      <c r="A5963" s="51" t="s">
        <v>414</v>
      </c>
      <c r="B5963" s="55" t="n">
        <v>45015</v>
      </c>
      <c r="C5963" s="51" t="s">
        <v>782</v>
      </c>
      <c r="D5963" s="51" t="n">
        <v>0</v>
      </c>
    </row>
    <row r="5964" customFormat="false" ht="15" hidden="true" customHeight="false" outlineLevel="0" collapsed="false">
      <c r="A5964" s="51" t="s">
        <v>419</v>
      </c>
      <c r="B5964" s="55" t="n">
        <v>45015</v>
      </c>
      <c r="C5964" s="51" t="s">
        <v>782</v>
      </c>
      <c r="D5964" s="51" t="n">
        <v>0</v>
      </c>
    </row>
    <row r="5965" customFormat="false" ht="15" hidden="true" customHeight="false" outlineLevel="0" collapsed="false">
      <c r="A5965" s="51" t="s">
        <v>424</v>
      </c>
      <c r="B5965" s="55" t="n">
        <v>45015</v>
      </c>
      <c r="C5965" s="51" t="s">
        <v>782</v>
      </c>
      <c r="D5965" s="51" t="n">
        <v>0</v>
      </c>
    </row>
    <row r="5966" customFormat="false" ht="15" hidden="true" customHeight="false" outlineLevel="0" collapsed="false">
      <c r="A5966" s="51" t="s">
        <v>429</v>
      </c>
      <c r="B5966" s="55" t="n">
        <v>45015</v>
      </c>
      <c r="C5966" s="51" t="s">
        <v>782</v>
      </c>
      <c r="D5966" s="51" t="n">
        <v>0</v>
      </c>
    </row>
    <row r="5967" customFormat="false" ht="15" hidden="true" customHeight="false" outlineLevel="0" collapsed="false">
      <c r="A5967" s="51" t="s">
        <v>434</v>
      </c>
      <c r="B5967" s="55" t="n">
        <v>45015</v>
      </c>
      <c r="C5967" s="51" t="s">
        <v>782</v>
      </c>
      <c r="D5967" s="51" t="n">
        <v>0</v>
      </c>
    </row>
    <row r="5968" customFormat="false" ht="15" hidden="true" customHeight="false" outlineLevel="0" collapsed="false">
      <c r="A5968" s="51" t="s">
        <v>438</v>
      </c>
      <c r="B5968" s="55" t="n">
        <v>45015</v>
      </c>
      <c r="C5968" s="51" t="s">
        <v>782</v>
      </c>
      <c r="D5968" s="51" t="n">
        <v>0</v>
      </c>
    </row>
    <row r="5969" customFormat="false" ht="15" hidden="true" customHeight="false" outlineLevel="0" collapsed="false">
      <c r="A5969" s="51" t="s">
        <v>443</v>
      </c>
      <c r="B5969" s="55" t="n">
        <v>45015</v>
      </c>
      <c r="C5969" s="51" t="s">
        <v>782</v>
      </c>
      <c r="D5969" s="51" t="n">
        <v>0</v>
      </c>
    </row>
    <row r="5970" customFormat="false" ht="15" hidden="true" customHeight="false" outlineLevel="0" collapsed="false">
      <c r="A5970" s="51" t="s">
        <v>448</v>
      </c>
      <c r="B5970" s="55" t="n">
        <v>45015</v>
      </c>
      <c r="C5970" s="51" t="s">
        <v>782</v>
      </c>
      <c r="D5970" s="51" t="n">
        <v>0</v>
      </c>
    </row>
    <row r="5971" customFormat="false" ht="15" hidden="true" customHeight="false" outlineLevel="0" collapsed="false">
      <c r="A5971" s="51" t="s">
        <v>453</v>
      </c>
      <c r="B5971" s="55" t="n">
        <v>45015</v>
      </c>
      <c r="C5971" s="51" t="s">
        <v>782</v>
      </c>
      <c r="D5971" s="51" t="n">
        <v>0</v>
      </c>
    </row>
    <row r="5972" customFormat="false" ht="15" hidden="true" customHeight="false" outlineLevel="0" collapsed="false">
      <c r="A5972" s="51" t="s">
        <v>458</v>
      </c>
      <c r="B5972" s="55" t="n">
        <v>45015</v>
      </c>
      <c r="C5972" s="51" t="s">
        <v>782</v>
      </c>
      <c r="D5972" s="51" t="n">
        <v>0</v>
      </c>
    </row>
    <row r="5973" customFormat="false" ht="15" hidden="true" customHeight="false" outlineLevel="0" collapsed="false">
      <c r="A5973" s="51" t="s">
        <v>473</v>
      </c>
      <c r="B5973" s="55" t="n">
        <v>45015</v>
      </c>
      <c r="C5973" s="51" t="s">
        <v>782</v>
      </c>
      <c r="D5973" s="51" t="n">
        <v>0</v>
      </c>
    </row>
    <row r="5974" customFormat="false" ht="15" hidden="true" customHeight="false" outlineLevel="0" collapsed="false">
      <c r="A5974" s="51" t="s">
        <v>479</v>
      </c>
      <c r="B5974" s="55" t="n">
        <v>45015</v>
      </c>
      <c r="C5974" s="51" t="s">
        <v>782</v>
      </c>
      <c r="D5974" s="51" t="n">
        <v>0</v>
      </c>
    </row>
    <row r="5975" customFormat="false" ht="15" hidden="true" customHeight="false" outlineLevel="0" collapsed="false">
      <c r="A5975" s="51" t="s">
        <v>484</v>
      </c>
      <c r="B5975" s="55" t="n">
        <v>45015</v>
      </c>
      <c r="C5975" s="51" t="s">
        <v>782</v>
      </c>
      <c r="D5975" s="51" t="n">
        <v>0</v>
      </c>
    </row>
    <row r="5976" customFormat="false" ht="15" hidden="true" customHeight="false" outlineLevel="0" collapsed="false">
      <c r="A5976" s="51" t="s">
        <v>489</v>
      </c>
      <c r="B5976" s="55" t="n">
        <v>45015</v>
      </c>
      <c r="C5976" s="51" t="s">
        <v>782</v>
      </c>
      <c r="D5976" s="51" t="n">
        <v>0</v>
      </c>
    </row>
    <row r="5977" customFormat="false" ht="15" hidden="true" customHeight="false" outlineLevel="0" collapsed="false">
      <c r="A5977" s="51" t="s">
        <v>494</v>
      </c>
      <c r="B5977" s="55" t="n">
        <v>45015</v>
      </c>
      <c r="C5977" s="51" t="s">
        <v>782</v>
      </c>
      <c r="D5977" s="51" t="n">
        <v>0</v>
      </c>
    </row>
    <row r="5978" customFormat="false" ht="15" hidden="true" customHeight="false" outlineLevel="0" collapsed="false">
      <c r="A5978" s="51" t="s">
        <v>499</v>
      </c>
      <c r="B5978" s="55" t="n">
        <v>45015</v>
      </c>
      <c r="C5978" s="51" t="s">
        <v>782</v>
      </c>
      <c r="D5978" s="51" t="n">
        <v>0</v>
      </c>
    </row>
    <row r="5979" customFormat="false" ht="15" hidden="true" customHeight="false" outlineLevel="0" collapsed="false">
      <c r="A5979" s="51" t="s">
        <v>504</v>
      </c>
      <c r="B5979" s="55" t="n">
        <v>45015</v>
      </c>
      <c r="C5979" s="51" t="s">
        <v>782</v>
      </c>
      <c r="D5979" s="51" t="n">
        <v>0</v>
      </c>
    </row>
    <row r="5980" customFormat="false" ht="15" hidden="true" customHeight="false" outlineLevel="0" collapsed="false">
      <c r="A5980" s="51" t="s">
        <v>509</v>
      </c>
      <c r="B5980" s="55" t="n">
        <v>45015</v>
      </c>
      <c r="C5980" s="51" t="s">
        <v>782</v>
      </c>
      <c r="D5980" s="51" t="n">
        <v>0</v>
      </c>
    </row>
    <row r="5981" customFormat="false" ht="15" hidden="true" customHeight="false" outlineLevel="0" collapsed="false">
      <c r="A5981" s="51" t="s">
        <v>515</v>
      </c>
      <c r="B5981" s="55" t="n">
        <v>45015</v>
      </c>
      <c r="C5981" s="51" t="s">
        <v>782</v>
      </c>
      <c r="D5981" s="51" t="n">
        <v>0</v>
      </c>
    </row>
    <row r="5982" customFormat="false" ht="15" hidden="true" customHeight="false" outlineLevel="0" collapsed="false">
      <c r="A5982" s="51" t="s">
        <v>520</v>
      </c>
      <c r="B5982" s="55" t="n">
        <v>45015</v>
      </c>
      <c r="C5982" s="51" t="s">
        <v>782</v>
      </c>
      <c r="D5982" s="51" t="n">
        <v>0</v>
      </c>
    </row>
    <row r="5983" customFormat="false" ht="15" hidden="true" customHeight="false" outlineLevel="0" collapsed="false">
      <c r="A5983" s="51" t="s">
        <v>525</v>
      </c>
      <c r="B5983" s="55" t="n">
        <v>45015</v>
      </c>
      <c r="C5983" s="51" t="s">
        <v>782</v>
      </c>
      <c r="D5983" s="51" t="n">
        <v>0</v>
      </c>
    </row>
    <row r="5984" customFormat="false" ht="15" hidden="true" customHeight="false" outlineLevel="0" collapsed="false">
      <c r="A5984" s="51" t="s">
        <v>531</v>
      </c>
      <c r="B5984" s="55" t="n">
        <v>45015</v>
      </c>
      <c r="C5984" s="51" t="s">
        <v>782</v>
      </c>
      <c r="D5984" s="51" t="n">
        <v>0</v>
      </c>
    </row>
    <row r="5985" customFormat="false" ht="15" hidden="true" customHeight="false" outlineLevel="0" collapsed="false">
      <c r="A5985" s="51" t="s">
        <v>536</v>
      </c>
      <c r="B5985" s="55" t="n">
        <v>45015</v>
      </c>
      <c r="C5985" s="51" t="s">
        <v>782</v>
      </c>
      <c r="D5985" s="51" t="n">
        <v>0</v>
      </c>
    </row>
    <row r="5986" customFormat="false" ht="15" hidden="true" customHeight="false" outlineLevel="0" collapsed="false">
      <c r="A5986" s="51" t="s">
        <v>541</v>
      </c>
      <c r="B5986" s="55" t="n">
        <v>45015</v>
      </c>
      <c r="C5986" s="51" t="s">
        <v>782</v>
      </c>
      <c r="D5986" s="51" t="n">
        <v>0</v>
      </c>
    </row>
    <row r="5987" customFormat="false" ht="15" hidden="true" customHeight="false" outlineLevel="0" collapsed="false">
      <c r="A5987" s="51" t="s">
        <v>549</v>
      </c>
      <c r="B5987" s="55" t="n">
        <v>45015</v>
      </c>
      <c r="C5987" s="51" t="s">
        <v>782</v>
      </c>
      <c r="D5987" s="51" t="n">
        <v>0</v>
      </c>
    </row>
    <row r="5988" customFormat="false" ht="15" hidden="true" customHeight="false" outlineLevel="0" collapsed="false">
      <c r="A5988" s="51" t="s">
        <v>554</v>
      </c>
      <c r="B5988" s="55" t="n">
        <v>45015</v>
      </c>
      <c r="C5988" s="51" t="s">
        <v>782</v>
      </c>
      <c r="D5988" s="51" t="n">
        <v>0</v>
      </c>
    </row>
    <row r="5989" customFormat="false" ht="15" hidden="true" customHeight="false" outlineLevel="0" collapsed="false">
      <c r="A5989" s="51" t="s">
        <v>559</v>
      </c>
      <c r="B5989" s="55" t="n">
        <v>45015</v>
      </c>
      <c r="C5989" s="51" t="s">
        <v>782</v>
      </c>
      <c r="D5989" s="51" t="n">
        <v>0</v>
      </c>
    </row>
    <row r="5990" customFormat="false" ht="15" hidden="true" customHeight="false" outlineLevel="0" collapsed="false">
      <c r="A5990" s="51" t="s">
        <v>564</v>
      </c>
      <c r="B5990" s="55" t="n">
        <v>45015</v>
      </c>
      <c r="C5990" s="51" t="s">
        <v>782</v>
      </c>
      <c r="D5990" s="51" t="n">
        <v>0</v>
      </c>
    </row>
    <row r="5991" customFormat="false" ht="15" hidden="true" customHeight="false" outlineLevel="0" collapsed="false">
      <c r="A5991" s="51" t="s">
        <v>569</v>
      </c>
      <c r="B5991" s="55" t="n">
        <v>45015</v>
      </c>
      <c r="C5991" s="51" t="s">
        <v>782</v>
      </c>
      <c r="D5991" s="51" t="n">
        <v>0</v>
      </c>
    </row>
    <row r="5992" customFormat="false" ht="15" hidden="true" customHeight="false" outlineLevel="0" collapsed="false">
      <c r="A5992" s="51" t="s">
        <v>574</v>
      </c>
      <c r="B5992" s="55" t="n">
        <v>45015</v>
      </c>
      <c r="C5992" s="51" t="s">
        <v>782</v>
      </c>
      <c r="D5992" s="51" t="n">
        <v>0</v>
      </c>
    </row>
    <row r="5993" customFormat="false" ht="15" hidden="true" customHeight="false" outlineLevel="0" collapsed="false">
      <c r="A5993" s="51" t="s">
        <v>579</v>
      </c>
      <c r="B5993" s="55" t="n">
        <v>45015</v>
      </c>
      <c r="C5993" s="51" t="s">
        <v>782</v>
      </c>
      <c r="D5993" s="51" t="n">
        <v>0</v>
      </c>
    </row>
    <row r="5994" customFormat="false" ht="15" hidden="true" customHeight="false" outlineLevel="0" collapsed="false">
      <c r="A5994" s="51" t="s">
        <v>584</v>
      </c>
      <c r="B5994" s="55" t="n">
        <v>45015</v>
      </c>
      <c r="C5994" s="51" t="s">
        <v>782</v>
      </c>
      <c r="D5994" s="51" t="n">
        <v>0</v>
      </c>
    </row>
    <row r="5995" customFormat="false" ht="15" hidden="true" customHeight="false" outlineLevel="0" collapsed="false">
      <c r="A5995" s="51" t="s">
        <v>589</v>
      </c>
      <c r="B5995" s="55" t="n">
        <v>45015</v>
      </c>
      <c r="C5995" s="51" t="s">
        <v>782</v>
      </c>
      <c r="D5995" s="51" t="n">
        <v>0</v>
      </c>
    </row>
    <row r="5996" customFormat="false" ht="15" hidden="true" customHeight="false" outlineLevel="0" collapsed="false">
      <c r="A5996" s="51" t="s">
        <v>756</v>
      </c>
      <c r="B5996" s="55" t="n">
        <v>45015</v>
      </c>
      <c r="C5996" s="51" t="s">
        <v>782</v>
      </c>
      <c r="D5996" s="51" t="n">
        <v>0</v>
      </c>
    </row>
    <row r="5997" customFormat="false" ht="15" hidden="true" customHeight="false" outlineLevel="0" collapsed="false">
      <c r="A5997" s="51" t="s">
        <v>594</v>
      </c>
      <c r="B5997" s="55" t="n">
        <v>45015</v>
      </c>
      <c r="C5997" s="51" t="s">
        <v>782</v>
      </c>
      <c r="D5997" s="51" t="n">
        <v>0</v>
      </c>
    </row>
    <row r="5998" customFormat="false" ht="15" hidden="true" customHeight="false" outlineLevel="0" collapsed="false">
      <c r="A5998" s="51" t="s">
        <v>761</v>
      </c>
      <c r="B5998" s="55" t="n">
        <v>45015</v>
      </c>
      <c r="C5998" s="51" t="s">
        <v>782</v>
      </c>
      <c r="D5998" s="51" t="n">
        <v>0</v>
      </c>
    </row>
    <row r="5999" customFormat="false" ht="15" hidden="true" customHeight="false" outlineLevel="0" collapsed="false">
      <c r="A5999" s="51" t="s">
        <v>599</v>
      </c>
      <c r="B5999" s="55" t="n">
        <v>45015</v>
      </c>
      <c r="C5999" s="51" t="s">
        <v>782</v>
      </c>
      <c r="D5999" s="51" t="n">
        <v>0</v>
      </c>
    </row>
    <row r="6000" customFormat="false" ht="15" hidden="true" customHeight="false" outlineLevel="0" collapsed="false">
      <c r="A6000" s="51" t="s">
        <v>604</v>
      </c>
      <c r="B6000" s="55" t="n">
        <v>45015</v>
      </c>
      <c r="C6000" s="51" t="s">
        <v>782</v>
      </c>
      <c r="D6000" s="51" t="n">
        <v>0</v>
      </c>
    </row>
    <row r="6001" customFormat="false" ht="15" hidden="true" customHeight="false" outlineLevel="0" collapsed="false">
      <c r="A6001" s="51" t="s">
        <v>609</v>
      </c>
      <c r="B6001" s="55" t="n">
        <v>45015</v>
      </c>
      <c r="C6001" s="51" t="s">
        <v>782</v>
      </c>
      <c r="D6001" s="51" t="n">
        <v>0</v>
      </c>
    </row>
    <row r="6002" customFormat="false" ht="15" hidden="true" customHeight="false" outlineLevel="0" collapsed="false">
      <c r="A6002" s="51" t="s">
        <v>614</v>
      </c>
      <c r="B6002" s="55" t="n">
        <v>45015</v>
      </c>
      <c r="C6002" s="51" t="s">
        <v>782</v>
      </c>
      <c r="D6002" s="51" t="n">
        <v>0</v>
      </c>
    </row>
    <row r="6003" customFormat="false" ht="15" hidden="true" customHeight="false" outlineLevel="0" collapsed="false">
      <c r="A6003" s="51" t="s">
        <v>619</v>
      </c>
      <c r="B6003" s="55" t="n">
        <v>45015</v>
      </c>
      <c r="C6003" s="51" t="s">
        <v>782</v>
      </c>
      <c r="D6003" s="51" t="n">
        <v>0</v>
      </c>
    </row>
    <row r="6004" customFormat="false" ht="15" hidden="true" customHeight="false" outlineLevel="0" collapsed="false">
      <c r="A6004" s="51" t="s">
        <v>624</v>
      </c>
      <c r="B6004" s="55" t="n">
        <v>45015</v>
      </c>
      <c r="C6004" s="51" t="s">
        <v>782</v>
      </c>
      <c r="D6004" s="51" t="n">
        <v>0</v>
      </c>
    </row>
    <row r="6005" customFormat="false" ht="15" hidden="true" customHeight="false" outlineLevel="0" collapsed="false">
      <c r="A6005" s="51" t="s">
        <v>629</v>
      </c>
      <c r="B6005" s="55" t="n">
        <v>45015</v>
      </c>
      <c r="C6005" s="51" t="s">
        <v>782</v>
      </c>
      <c r="D6005" s="51" t="n">
        <v>0</v>
      </c>
    </row>
    <row r="6006" customFormat="false" ht="15" hidden="true" customHeight="false" outlineLevel="0" collapsed="false">
      <c r="A6006" s="51" t="s">
        <v>633</v>
      </c>
      <c r="B6006" s="55" t="n">
        <v>45015</v>
      </c>
      <c r="C6006" s="51" t="s">
        <v>782</v>
      </c>
      <c r="D6006" s="51" t="n">
        <v>0</v>
      </c>
    </row>
    <row r="6007" customFormat="false" ht="15" hidden="true" customHeight="false" outlineLevel="0" collapsed="false">
      <c r="A6007" s="51" t="s">
        <v>638</v>
      </c>
      <c r="B6007" s="55" t="n">
        <v>45015</v>
      </c>
      <c r="C6007" s="51" t="s">
        <v>782</v>
      </c>
      <c r="D6007" s="51" t="n">
        <v>0</v>
      </c>
    </row>
    <row r="6008" customFormat="false" ht="15" hidden="true" customHeight="false" outlineLevel="0" collapsed="false">
      <c r="A6008" s="51" t="s">
        <v>642</v>
      </c>
      <c r="B6008" s="55" t="n">
        <v>45015</v>
      </c>
      <c r="C6008" s="51" t="s">
        <v>782</v>
      </c>
      <c r="D6008" s="51" t="n">
        <v>0</v>
      </c>
    </row>
    <row r="6009" customFormat="false" ht="15" hidden="true" customHeight="false" outlineLevel="0" collapsed="false">
      <c r="A6009" s="51" t="s">
        <v>646</v>
      </c>
      <c r="B6009" s="55" t="n">
        <v>45015</v>
      </c>
      <c r="C6009" s="51" t="s">
        <v>782</v>
      </c>
      <c r="D6009" s="51" t="n">
        <v>0</v>
      </c>
    </row>
    <row r="6010" customFormat="false" ht="15" hidden="true" customHeight="false" outlineLevel="0" collapsed="false">
      <c r="A6010" s="51" t="s">
        <v>651</v>
      </c>
      <c r="B6010" s="55" t="n">
        <v>45015</v>
      </c>
      <c r="C6010" s="51" t="s">
        <v>782</v>
      </c>
      <c r="D6010" s="51" t="n">
        <v>0</v>
      </c>
    </row>
    <row r="6011" customFormat="false" ht="15" hidden="true" customHeight="false" outlineLevel="0" collapsed="false">
      <c r="A6011" s="51" t="s">
        <v>656</v>
      </c>
      <c r="B6011" s="55" t="n">
        <v>45015</v>
      </c>
      <c r="C6011" s="51" t="s">
        <v>782</v>
      </c>
      <c r="D6011" s="51" t="n">
        <v>0</v>
      </c>
    </row>
    <row r="6012" customFormat="false" ht="15" hidden="true" customHeight="false" outlineLevel="0" collapsed="false">
      <c r="A6012" s="51" t="s">
        <v>661</v>
      </c>
      <c r="B6012" s="55" t="n">
        <v>45015</v>
      </c>
      <c r="C6012" s="51" t="s">
        <v>782</v>
      </c>
      <c r="D6012" s="51" t="n">
        <v>0</v>
      </c>
    </row>
    <row r="6013" customFormat="false" ht="15" hidden="true" customHeight="false" outlineLevel="0" collapsed="false">
      <c r="A6013" s="51" t="s">
        <v>666</v>
      </c>
      <c r="B6013" s="55" t="n">
        <v>45015</v>
      </c>
      <c r="C6013" s="51" t="s">
        <v>782</v>
      </c>
      <c r="D6013" s="51" t="n">
        <v>0</v>
      </c>
    </row>
    <row r="6014" customFormat="false" ht="15" hidden="true" customHeight="false" outlineLevel="0" collapsed="false">
      <c r="A6014" s="51" t="s">
        <v>671</v>
      </c>
      <c r="B6014" s="55" t="n">
        <v>45015</v>
      </c>
      <c r="C6014" s="51" t="s">
        <v>782</v>
      </c>
      <c r="D6014" s="51" t="n">
        <v>0</v>
      </c>
    </row>
    <row r="6015" customFormat="false" ht="15" hidden="true" customHeight="false" outlineLevel="0" collapsed="false">
      <c r="A6015" s="51" t="s">
        <v>676</v>
      </c>
      <c r="B6015" s="55" t="n">
        <v>45015</v>
      </c>
      <c r="C6015" s="51" t="s">
        <v>782</v>
      </c>
      <c r="D6015" s="51" t="n">
        <v>0</v>
      </c>
    </row>
    <row r="6016" customFormat="false" ht="15" hidden="true" customHeight="false" outlineLevel="0" collapsed="false">
      <c r="A6016" s="51" t="s">
        <v>681</v>
      </c>
      <c r="B6016" s="55" t="n">
        <v>45015</v>
      </c>
      <c r="C6016" s="51" t="s">
        <v>782</v>
      </c>
      <c r="D6016" s="51" t="n">
        <v>0</v>
      </c>
    </row>
    <row r="6017" customFormat="false" ht="15" hidden="true" customHeight="false" outlineLevel="0" collapsed="false">
      <c r="A6017" s="51" t="s">
        <v>686</v>
      </c>
      <c r="B6017" s="55" t="n">
        <v>45015</v>
      </c>
      <c r="C6017" s="51" t="s">
        <v>782</v>
      </c>
      <c r="D6017" s="51" t="n">
        <v>0</v>
      </c>
    </row>
    <row r="6018" customFormat="false" ht="15" hidden="true" customHeight="false" outlineLevel="0" collapsed="false">
      <c r="A6018" s="51" t="s">
        <v>691</v>
      </c>
      <c r="B6018" s="55" t="n">
        <v>45015</v>
      </c>
      <c r="C6018" s="51" t="s">
        <v>782</v>
      </c>
      <c r="D6018" s="51" t="n">
        <v>0</v>
      </c>
    </row>
    <row r="6019" customFormat="false" ht="15" hidden="true" customHeight="false" outlineLevel="0" collapsed="false">
      <c r="A6019" s="51" t="s">
        <v>696</v>
      </c>
      <c r="B6019" s="55" t="n">
        <v>45015</v>
      </c>
      <c r="C6019" s="51" t="s">
        <v>782</v>
      </c>
      <c r="D6019" s="51" t="n">
        <v>0</v>
      </c>
    </row>
    <row r="6020" customFormat="false" ht="15" hidden="true" customHeight="false" outlineLevel="0" collapsed="false">
      <c r="A6020" s="51" t="s">
        <v>701</v>
      </c>
      <c r="B6020" s="55" t="n">
        <v>45015</v>
      </c>
      <c r="C6020" s="51" t="s">
        <v>782</v>
      </c>
      <c r="D6020" s="51" t="n">
        <v>0</v>
      </c>
    </row>
    <row r="6021" customFormat="false" ht="15" hidden="true" customHeight="false" outlineLevel="0" collapsed="false">
      <c r="A6021" s="51" t="s">
        <v>707</v>
      </c>
      <c r="B6021" s="55" t="n">
        <v>45015</v>
      </c>
      <c r="C6021" s="51" t="s">
        <v>782</v>
      </c>
      <c r="D6021" s="51" t="n">
        <v>0</v>
      </c>
    </row>
    <row r="6022" customFormat="false" ht="15" hidden="true" customHeight="false" outlineLevel="0" collapsed="false">
      <c r="A6022" s="51" t="s">
        <v>712</v>
      </c>
      <c r="B6022" s="55" t="n">
        <v>45015</v>
      </c>
      <c r="C6022" s="51" t="s">
        <v>782</v>
      </c>
      <c r="D6022" s="51" t="n">
        <v>0</v>
      </c>
    </row>
    <row r="6023" customFormat="false" ht="15" hidden="true" customHeight="false" outlineLevel="0" collapsed="false">
      <c r="A6023" s="51" t="s">
        <v>717</v>
      </c>
      <c r="B6023" s="55" t="n">
        <v>45015</v>
      </c>
      <c r="C6023" s="51" t="s">
        <v>782</v>
      </c>
      <c r="D6023" s="51" t="n">
        <v>0</v>
      </c>
    </row>
    <row r="6024" customFormat="false" ht="15" hidden="true" customHeight="false" outlineLevel="0" collapsed="false">
      <c r="A6024" s="51" t="s">
        <v>767</v>
      </c>
      <c r="B6024" s="55" t="n">
        <v>45015</v>
      </c>
      <c r="C6024" s="51" t="s">
        <v>782</v>
      </c>
      <c r="D6024" s="51" t="n">
        <v>0</v>
      </c>
    </row>
    <row r="6025" customFormat="false" ht="15" hidden="true" customHeight="false" outlineLevel="0" collapsed="false">
      <c r="A6025" s="51" t="s">
        <v>722</v>
      </c>
      <c r="B6025" s="55" t="n">
        <v>45015</v>
      </c>
      <c r="C6025" s="51" t="s">
        <v>782</v>
      </c>
      <c r="D6025" s="51" t="n">
        <v>0</v>
      </c>
    </row>
    <row r="6026" customFormat="false" ht="15" hidden="true" customHeight="false" outlineLevel="0" collapsed="false">
      <c r="A6026" s="51" t="s">
        <v>727</v>
      </c>
      <c r="B6026" s="55" t="n">
        <v>45015</v>
      </c>
      <c r="C6026" s="51" t="s">
        <v>782</v>
      </c>
      <c r="D6026" s="51" t="n">
        <v>0</v>
      </c>
    </row>
    <row r="6027" customFormat="false" ht="15" hidden="true" customHeight="false" outlineLevel="0" collapsed="false">
      <c r="A6027" s="51" t="s">
        <v>732</v>
      </c>
      <c r="B6027" s="55" t="n">
        <v>45015</v>
      </c>
      <c r="C6027" s="51" t="s">
        <v>782</v>
      </c>
      <c r="D6027" s="51" t="n">
        <v>0</v>
      </c>
    </row>
    <row r="6028" customFormat="false" ht="15" hidden="true" customHeight="false" outlineLevel="0" collapsed="false">
      <c r="A6028" s="51" t="s">
        <v>736</v>
      </c>
      <c r="B6028" s="55" t="n">
        <v>45015</v>
      </c>
      <c r="C6028" s="51" t="s">
        <v>782</v>
      </c>
      <c r="D6028" s="51" t="n">
        <v>0</v>
      </c>
    </row>
    <row r="6029" customFormat="false" ht="15" hidden="true" customHeight="false" outlineLevel="0" collapsed="false">
      <c r="A6029" s="51" t="s">
        <v>741</v>
      </c>
      <c r="B6029" s="55" t="n">
        <v>45015</v>
      </c>
      <c r="C6029" s="51" t="s">
        <v>782</v>
      </c>
      <c r="D6029" s="51" t="n">
        <v>0</v>
      </c>
    </row>
    <row r="6030" customFormat="false" ht="15" hidden="true" customHeight="false" outlineLevel="0" collapsed="false">
      <c r="A6030" s="51" t="s">
        <v>746</v>
      </c>
      <c r="B6030" s="55" t="n">
        <v>45015</v>
      </c>
      <c r="C6030" s="51" t="s">
        <v>782</v>
      </c>
      <c r="D6030" s="51" t="n">
        <v>0</v>
      </c>
    </row>
    <row r="6031" customFormat="false" ht="15" hidden="true" customHeight="false" outlineLevel="0" collapsed="false">
      <c r="A6031" s="51" t="s">
        <v>751</v>
      </c>
      <c r="B6031" s="55" t="n">
        <v>45015</v>
      </c>
      <c r="C6031" s="51" t="s">
        <v>782</v>
      </c>
      <c r="D6031" s="51" t="n">
        <v>0</v>
      </c>
    </row>
    <row r="6032" customFormat="false" ht="15" hidden="false" customHeight="false" outlineLevel="0" collapsed="false">
      <c r="A6032" s="51" t="s">
        <v>781</v>
      </c>
      <c r="B6032" s="55" t="n">
        <v>45015</v>
      </c>
      <c r="C6032" s="51" t="s">
        <v>82</v>
      </c>
      <c r="D6032" s="51" t="n">
        <v>0</v>
      </c>
    </row>
    <row r="6033" customFormat="false" ht="15" hidden="true" customHeight="false" outlineLevel="0" collapsed="false">
      <c r="A6033" s="51" t="s">
        <v>783</v>
      </c>
      <c r="B6033" s="55" t="n">
        <v>45015</v>
      </c>
      <c r="C6033" s="51" t="s">
        <v>82</v>
      </c>
      <c r="D6033" s="51" t="n">
        <v>0</v>
      </c>
    </row>
    <row r="6034" customFormat="false" ht="15" hidden="true" customHeight="false" outlineLevel="0" collapsed="false">
      <c r="A6034" s="51" t="s">
        <v>96</v>
      </c>
      <c r="B6034" s="55" t="n">
        <v>45015</v>
      </c>
      <c r="C6034" s="51" t="s">
        <v>82</v>
      </c>
      <c r="D6034" s="51" t="n">
        <v>0</v>
      </c>
    </row>
    <row r="6035" customFormat="false" ht="15" hidden="true" customHeight="false" outlineLevel="0" collapsed="false">
      <c r="A6035" s="51" t="s">
        <v>101</v>
      </c>
      <c r="B6035" s="55" t="n">
        <v>45015</v>
      </c>
      <c r="C6035" s="51" t="s">
        <v>82</v>
      </c>
      <c r="D6035" s="51" t="n">
        <v>0</v>
      </c>
    </row>
    <row r="6036" customFormat="false" ht="15" hidden="true" customHeight="false" outlineLevel="0" collapsed="false">
      <c r="A6036" s="51" t="s">
        <v>106</v>
      </c>
      <c r="B6036" s="55" t="n">
        <v>45015</v>
      </c>
      <c r="C6036" s="51" t="s">
        <v>82</v>
      </c>
      <c r="D6036" s="51" t="n">
        <v>0</v>
      </c>
    </row>
    <row r="6037" customFormat="false" ht="15" hidden="true" customHeight="false" outlineLevel="0" collapsed="false">
      <c r="A6037" s="51" t="s">
        <v>110</v>
      </c>
      <c r="B6037" s="55" t="n">
        <v>45015</v>
      </c>
      <c r="C6037" s="51" t="s">
        <v>82</v>
      </c>
      <c r="D6037" s="51" t="n">
        <v>0</v>
      </c>
    </row>
    <row r="6038" customFormat="false" ht="15" hidden="true" customHeight="false" outlineLevel="0" collapsed="false">
      <c r="A6038" s="51" t="s">
        <v>115</v>
      </c>
      <c r="B6038" s="55" t="n">
        <v>45015</v>
      </c>
      <c r="C6038" s="51" t="s">
        <v>82</v>
      </c>
      <c r="D6038" s="51" t="n">
        <v>0</v>
      </c>
    </row>
    <row r="6039" customFormat="false" ht="15" hidden="true" customHeight="false" outlineLevel="0" collapsed="false">
      <c r="A6039" s="51" t="s">
        <v>120</v>
      </c>
      <c r="B6039" s="55" t="n">
        <v>45015</v>
      </c>
      <c r="C6039" s="51" t="s">
        <v>82</v>
      </c>
      <c r="D6039" s="51" t="n">
        <v>0</v>
      </c>
    </row>
    <row r="6040" customFormat="false" ht="15" hidden="true" customHeight="false" outlineLevel="0" collapsed="false">
      <c r="A6040" s="51" t="s">
        <v>124</v>
      </c>
      <c r="B6040" s="55" t="n">
        <v>45015</v>
      </c>
      <c r="C6040" s="51" t="s">
        <v>82</v>
      </c>
      <c r="D6040" s="51" t="n">
        <v>0</v>
      </c>
    </row>
    <row r="6041" customFormat="false" ht="15" hidden="true" customHeight="false" outlineLevel="0" collapsed="false">
      <c r="A6041" s="51" t="s">
        <v>129</v>
      </c>
      <c r="B6041" s="55" t="n">
        <v>45015</v>
      </c>
      <c r="C6041" s="51" t="s">
        <v>82</v>
      </c>
      <c r="D6041" s="51" t="n">
        <v>0</v>
      </c>
    </row>
    <row r="6042" customFormat="false" ht="15" hidden="true" customHeight="false" outlineLevel="0" collapsed="false">
      <c r="A6042" s="51" t="s">
        <v>134</v>
      </c>
      <c r="B6042" s="55" t="n">
        <v>45015</v>
      </c>
      <c r="C6042" s="51" t="s">
        <v>82</v>
      </c>
      <c r="D6042" s="51" t="n">
        <v>0</v>
      </c>
    </row>
    <row r="6043" customFormat="false" ht="15" hidden="true" customHeight="false" outlineLevel="0" collapsed="false">
      <c r="A6043" s="51" t="s">
        <v>141</v>
      </c>
      <c r="B6043" s="55" t="n">
        <v>45015</v>
      </c>
      <c r="C6043" s="51" t="s">
        <v>82</v>
      </c>
      <c r="D6043" s="51" t="n">
        <v>0</v>
      </c>
    </row>
    <row r="6044" customFormat="false" ht="15" hidden="true" customHeight="false" outlineLevel="0" collapsed="false">
      <c r="A6044" s="51" t="s">
        <v>146</v>
      </c>
      <c r="B6044" s="55" t="n">
        <v>45015</v>
      </c>
      <c r="C6044" s="51" t="s">
        <v>82</v>
      </c>
      <c r="D6044" s="51" t="n">
        <v>0</v>
      </c>
    </row>
    <row r="6045" customFormat="false" ht="15" hidden="true" customHeight="false" outlineLevel="0" collapsed="false">
      <c r="A6045" s="51" t="s">
        <v>151</v>
      </c>
      <c r="B6045" s="55" t="n">
        <v>45015</v>
      </c>
      <c r="C6045" s="51" t="s">
        <v>82</v>
      </c>
      <c r="D6045" s="51" t="n">
        <v>0</v>
      </c>
    </row>
    <row r="6046" customFormat="false" ht="15" hidden="true" customHeight="false" outlineLevel="0" collapsed="false">
      <c r="A6046" s="51" t="s">
        <v>156</v>
      </c>
      <c r="B6046" s="55" t="n">
        <v>45015</v>
      </c>
      <c r="C6046" s="51" t="s">
        <v>82</v>
      </c>
      <c r="D6046" s="51" t="n">
        <v>0</v>
      </c>
    </row>
    <row r="6047" customFormat="false" ht="15" hidden="true" customHeight="false" outlineLevel="0" collapsed="false">
      <c r="A6047" s="51" t="s">
        <v>161</v>
      </c>
      <c r="B6047" s="55" t="n">
        <v>45015</v>
      </c>
      <c r="C6047" s="51" t="s">
        <v>82</v>
      </c>
      <c r="D6047" s="51" t="n">
        <v>0</v>
      </c>
    </row>
    <row r="6048" customFormat="false" ht="15" hidden="true" customHeight="false" outlineLevel="0" collapsed="false">
      <c r="A6048" s="51" t="s">
        <v>166</v>
      </c>
      <c r="B6048" s="55" t="n">
        <v>45015</v>
      </c>
      <c r="C6048" s="51" t="s">
        <v>82</v>
      </c>
      <c r="D6048" s="51" t="n">
        <v>0</v>
      </c>
    </row>
    <row r="6049" customFormat="false" ht="15" hidden="true" customHeight="false" outlineLevel="0" collapsed="false">
      <c r="A6049" s="51" t="s">
        <v>171</v>
      </c>
      <c r="B6049" s="55" t="n">
        <v>45015</v>
      </c>
      <c r="C6049" s="51" t="s">
        <v>82</v>
      </c>
      <c r="D6049" s="51" t="n">
        <v>0</v>
      </c>
    </row>
    <row r="6050" customFormat="false" ht="15" hidden="true" customHeight="false" outlineLevel="0" collapsed="false">
      <c r="A6050" s="51" t="s">
        <v>176</v>
      </c>
      <c r="B6050" s="55" t="n">
        <v>45015</v>
      </c>
      <c r="C6050" s="51" t="s">
        <v>82</v>
      </c>
      <c r="D6050" s="51" t="n">
        <v>0</v>
      </c>
    </row>
    <row r="6051" customFormat="false" ht="15" hidden="true" customHeight="false" outlineLevel="0" collapsed="false">
      <c r="A6051" s="51" t="s">
        <v>181</v>
      </c>
      <c r="B6051" s="55" t="n">
        <v>45015</v>
      </c>
      <c r="C6051" s="51" t="s">
        <v>82</v>
      </c>
      <c r="D6051" s="51" t="n">
        <v>0</v>
      </c>
    </row>
    <row r="6052" customFormat="false" ht="15" hidden="true" customHeight="false" outlineLevel="0" collapsed="false">
      <c r="A6052" s="51" t="s">
        <v>186</v>
      </c>
      <c r="B6052" s="55" t="n">
        <v>45015</v>
      </c>
      <c r="C6052" s="51" t="s">
        <v>82</v>
      </c>
      <c r="D6052" s="51" t="n">
        <v>0</v>
      </c>
    </row>
    <row r="6053" customFormat="false" ht="15" hidden="true" customHeight="false" outlineLevel="0" collapsed="false">
      <c r="A6053" s="51" t="s">
        <v>191</v>
      </c>
      <c r="B6053" s="55" t="n">
        <v>45015</v>
      </c>
      <c r="C6053" s="51" t="s">
        <v>82</v>
      </c>
      <c r="D6053" s="51" t="n">
        <v>0</v>
      </c>
    </row>
    <row r="6054" customFormat="false" ht="15" hidden="true" customHeight="false" outlineLevel="0" collapsed="false">
      <c r="A6054" s="51" t="s">
        <v>196</v>
      </c>
      <c r="B6054" s="55" t="n">
        <v>45015</v>
      </c>
      <c r="C6054" s="51" t="s">
        <v>82</v>
      </c>
      <c r="D6054" s="51" t="n">
        <v>0</v>
      </c>
    </row>
    <row r="6055" customFormat="false" ht="15" hidden="true" customHeight="false" outlineLevel="0" collapsed="false">
      <c r="A6055" s="51" t="s">
        <v>201</v>
      </c>
      <c r="B6055" s="55" t="n">
        <v>45015</v>
      </c>
      <c r="C6055" s="51" t="s">
        <v>82</v>
      </c>
      <c r="D6055" s="51" t="n">
        <v>0</v>
      </c>
    </row>
    <row r="6056" customFormat="false" ht="15" hidden="true" customHeight="false" outlineLevel="0" collapsed="false">
      <c r="A6056" s="51" t="s">
        <v>206</v>
      </c>
      <c r="B6056" s="55" t="n">
        <v>45015</v>
      </c>
      <c r="C6056" s="51" t="s">
        <v>82</v>
      </c>
      <c r="D6056" s="51" t="n">
        <v>0</v>
      </c>
    </row>
    <row r="6057" customFormat="false" ht="15" hidden="true" customHeight="false" outlineLevel="0" collapsed="false">
      <c r="A6057" s="51" t="s">
        <v>210</v>
      </c>
      <c r="B6057" s="55" t="n">
        <v>45015</v>
      </c>
      <c r="C6057" s="51" t="s">
        <v>82</v>
      </c>
      <c r="D6057" s="51" t="n">
        <v>0</v>
      </c>
    </row>
    <row r="6058" customFormat="false" ht="15" hidden="true" customHeight="false" outlineLevel="0" collapsed="false">
      <c r="A6058" s="51" t="s">
        <v>215</v>
      </c>
      <c r="B6058" s="55" t="n">
        <v>45015</v>
      </c>
      <c r="C6058" s="51" t="s">
        <v>82</v>
      </c>
      <c r="D6058" s="51" t="n">
        <v>0</v>
      </c>
    </row>
    <row r="6059" customFormat="false" ht="15" hidden="true" customHeight="false" outlineLevel="0" collapsed="false">
      <c r="A6059" s="51" t="s">
        <v>790</v>
      </c>
      <c r="B6059" s="55" t="n">
        <v>45015</v>
      </c>
      <c r="C6059" s="51" t="s">
        <v>82</v>
      </c>
      <c r="D6059" s="51" t="n">
        <v>0</v>
      </c>
    </row>
    <row r="6060" customFormat="false" ht="15" hidden="true" customHeight="false" outlineLevel="0" collapsed="false">
      <c r="A6060" s="51" t="s">
        <v>225</v>
      </c>
      <c r="B6060" s="55" t="n">
        <v>45015</v>
      </c>
      <c r="C6060" s="51" t="s">
        <v>82</v>
      </c>
      <c r="D6060" s="51" t="n">
        <v>0</v>
      </c>
    </row>
    <row r="6061" customFormat="false" ht="15" hidden="true" customHeight="false" outlineLevel="0" collapsed="false">
      <c r="A6061" s="51" t="s">
        <v>230</v>
      </c>
      <c r="B6061" s="55" t="n">
        <v>45015</v>
      </c>
      <c r="C6061" s="51" t="s">
        <v>82</v>
      </c>
      <c r="D6061" s="51" t="n">
        <v>0</v>
      </c>
    </row>
    <row r="6062" customFormat="false" ht="15" hidden="true" customHeight="false" outlineLevel="0" collapsed="false">
      <c r="A6062" s="51" t="s">
        <v>235</v>
      </c>
      <c r="B6062" s="55" t="n">
        <v>45015</v>
      </c>
      <c r="C6062" s="51" t="s">
        <v>82</v>
      </c>
      <c r="D6062" s="51" t="n">
        <v>0</v>
      </c>
    </row>
    <row r="6063" customFormat="false" ht="15" hidden="true" customHeight="false" outlineLevel="0" collapsed="false">
      <c r="A6063" s="51" t="s">
        <v>240</v>
      </c>
      <c r="B6063" s="55" t="n">
        <v>45015</v>
      </c>
      <c r="C6063" s="51" t="s">
        <v>82</v>
      </c>
      <c r="D6063" s="51" t="n">
        <v>0</v>
      </c>
    </row>
    <row r="6064" customFormat="false" ht="15" hidden="true" customHeight="false" outlineLevel="0" collapsed="false">
      <c r="A6064" s="51" t="s">
        <v>246</v>
      </c>
      <c r="B6064" s="55" t="n">
        <v>45015</v>
      </c>
      <c r="C6064" s="51" t="s">
        <v>82</v>
      </c>
      <c r="D6064" s="51" t="n">
        <v>0</v>
      </c>
    </row>
    <row r="6065" customFormat="false" ht="15" hidden="true" customHeight="false" outlineLevel="0" collapsed="false">
      <c r="A6065" s="51" t="s">
        <v>252</v>
      </c>
      <c r="B6065" s="55" t="n">
        <v>45015</v>
      </c>
      <c r="C6065" s="51" t="s">
        <v>82</v>
      </c>
      <c r="D6065" s="51" t="n">
        <v>0</v>
      </c>
    </row>
    <row r="6066" customFormat="false" ht="15" hidden="true" customHeight="false" outlineLevel="0" collapsed="false">
      <c r="A6066" s="51" t="s">
        <v>257</v>
      </c>
      <c r="B6066" s="55" t="n">
        <v>45015</v>
      </c>
      <c r="C6066" s="51" t="s">
        <v>82</v>
      </c>
      <c r="D6066" s="51" t="n">
        <v>0</v>
      </c>
    </row>
    <row r="6067" customFormat="false" ht="15" hidden="true" customHeight="false" outlineLevel="0" collapsed="false">
      <c r="A6067" s="51" t="s">
        <v>262</v>
      </c>
      <c r="B6067" s="55" t="n">
        <v>45015</v>
      </c>
      <c r="C6067" s="51" t="s">
        <v>82</v>
      </c>
      <c r="D6067" s="51" t="n">
        <v>0</v>
      </c>
    </row>
    <row r="6068" customFormat="false" ht="15" hidden="true" customHeight="false" outlineLevel="0" collapsed="false">
      <c r="A6068" s="51" t="s">
        <v>267</v>
      </c>
      <c r="B6068" s="55" t="n">
        <v>45015</v>
      </c>
      <c r="C6068" s="51" t="s">
        <v>82</v>
      </c>
      <c r="D6068" s="51" t="n">
        <v>0</v>
      </c>
    </row>
    <row r="6069" customFormat="false" ht="15" hidden="true" customHeight="false" outlineLevel="0" collapsed="false">
      <c r="A6069" s="51" t="s">
        <v>272</v>
      </c>
      <c r="B6069" s="55" t="n">
        <v>45015</v>
      </c>
      <c r="C6069" s="51" t="s">
        <v>82</v>
      </c>
      <c r="D6069" s="51" t="n">
        <v>0</v>
      </c>
    </row>
    <row r="6070" customFormat="false" ht="15" hidden="true" customHeight="false" outlineLevel="0" collapsed="false">
      <c r="A6070" s="51" t="s">
        <v>277</v>
      </c>
      <c r="B6070" s="55" t="n">
        <v>45015</v>
      </c>
      <c r="C6070" s="51" t="s">
        <v>82</v>
      </c>
      <c r="D6070" s="51" t="n">
        <v>0</v>
      </c>
    </row>
    <row r="6071" customFormat="false" ht="15" hidden="true" customHeight="false" outlineLevel="0" collapsed="false">
      <c r="A6071" s="51" t="s">
        <v>282</v>
      </c>
      <c r="B6071" s="55" t="n">
        <v>45015</v>
      </c>
      <c r="C6071" s="51" t="s">
        <v>82</v>
      </c>
      <c r="D6071" s="51" t="n">
        <v>0</v>
      </c>
    </row>
    <row r="6072" customFormat="false" ht="15" hidden="true" customHeight="false" outlineLevel="0" collapsed="false">
      <c r="A6072" s="51" t="s">
        <v>287</v>
      </c>
      <c r="B6072" s="55" t="n">
        <v>45015</v>
      </c>
      <c r="C6072" s="51" t="s">
        <v>82</v>
      </c>
      <c r="D6072" s="51" t="n">
        <v>0</v>
      </c>
    </row>
    <row r="6073" customFormat="false" ht="15" hidden="true" customHeight="false" outlineLevel="0" collapsed="false">
      <c r="A6073" s="51" t="s">
        <v>292</v>
      </c>
      <c r="B6073" s="55" t="n">
        <v>45015</v>
      </c>
      <c r="C6073" s="51" t="s">
        <v>82</v>
      </c>
      <c r="D6073" s="51" t="n">
        <v>0</v>
      </c>
    </row>
    <row r="6074" customFormat="false" ht="15" hidden="true" customHeight="false" outlineLevel="0" collapsed="false">
      <c r="A6074" s="51" t="s">
        <v>297</v>
      </c>
      <c r="B6074" s="55" t="n">
        <v>45015</v>
      </c>
      <c r="C6074" s="51" t="s">
        <v>82</v>
      </c>
      <c r="D6074" s="51" t="n">
        <v>0</v>
      </c>
    </row>
    <row r="6075" customFormat="false" ht="15" hidden="true" customHeight="false" outlineLevel="0" collapsed="false">
      <c r="A6075" s="51" t="s">
        <v>302</v>
      </c>
      <c r="B6075" s="55" t="n">
        <v>45015</v>
      </c>
      <c r="C6075" s="51" t="s">
        <v>82</v>
      </c>
      <c r="D6075" s="51" t="n">
        <v>0</v>
      </c>
    </row>
    <row r="6076" customFormat="false" ht="15" hidden="true" customHeight="false" outlineLevel="0" collapsed="false">
      <c r="A6076" s="51" t="s">
        <v>307</v>
      </c>
      <c r="B6076" s="55" t="n">
        <v>45015</v>
      </c>
      <c r="C6076" s="51" t="s">
        <v>82</v>
      </c>
      <c r="D6076" s="51" t="n">
        <v>0</v>
      </c>
    </row>
    <row r="6077" customFormat="false" ht="15" hidden="true" customHeight="false" outlineLevel="0" collapsed="false">
      <c r="A6077" s="51" t="s">
        <v>311</v>
      </c>
      <c r="B6077" s="55" t="n">
        <v>45015</v>
      </c>
      <c r="C6077" s="51" t="s">
        <v>82</v>
      </c>
      <c r="D6077" s="51" t="n">
        <v>0</v>
      </c>
    </row>
    <row r="6078" customFormat="false" ht="15" hidden="true" customHeight="false" outlineLevel="0" collapsed="false">
      <c r="A6078" s="51" t="s">
        <v>317</v>
      </c>
      <c r="B6078" s="55" t="n">
        <v>45015</v>
      </c>
      <c r="C6078" s="51" t="s">
        <v>82</v>
      </c>
      <c r="D6078" s="51" t="n">
        <v>0</v>
      </c>
    </row>
    <row r="6079" customFormat="false" ht="15" hidden="true" customHeight="false" outlineLevel="0" collapsed="false">
      <c r="A6079" s="51" t="s">
        <v>322</v>
      </c>
      <c r="B6079" s="55" t="n">
        <v>45015</v>
      </c>
      <c r="C6079" s="51" t="s">
        <v>82</v>
      </c>
      <c r="D6079" s="51" t="n">
        <v>0</v>
      </c>
    </row>
    <row r="6080" customFormat="false" ht="15" hidden="true" customHeight="false" outlineLevel="0" collapsed="false">
      <c r="A6080" s="51" t="s">
        <v>327</v>
      </c>
      <c r="B6080" s="55" t="n">
        <v>45015</v>
      </c>
      <c r="C6080" s="51" t="s">
        <v>82</v>
      </c>
      <c r="D6080" s="51" t="n">
        <v>0</v>
      </c>
    </row>
    <row r="6081" customFormat="false" ht="15" hidden="true" customHeight="false" outlineLevel="0" collapsed="false">
      <c r="A6081" s="51" t="s">
        <v>332</v>
      </c>
      <c r="B6081" s="55" t="n">
        <v>45015</v>
      </c>
      <c r="C6081" s="51" t="s">
        <v>82</v>
      </c>
      <c r="D6081" s="51" t="n">
        <v>0</v>
      </c>
    </row>
    <row r="6082" customFormat="false" ht="15" hidden="true" customHeight="false" outlineLevel="0" collapsed="false">
      <c r="A6082" s="51" t="s">
        <v>339</v>
      </c>
      <c r="B6082" s="55" t="n">
        <v>45015</v>
      </c>
      <c r="C6082" s="51" t="s">
        <v>82</v>
      </c>
      <c r="D6082" s="51" t="n">
        <v>0</v>
      </c>
    </row>
    <row r="6083" customFormat="false" ht="15" hidden="true" customHeight="false" outlineLevel="0" collapsed="false">
      <c r="A6083" s="51" t="s">
        <v>344</v>
      </c>
      <c r="B6083" s="55" t="n">
        <v>45015</v>
      </c>
      <c r="C6083" s="51" t="s">
        <v>82</v>
      </c>
      <c r="D6083" s="51" t="n">
        <v>0</v>
      </c>
    </row>
    <row r="6084" customFormat="false" ht="15" hidden="true" customHeight="false" outlineLevel="0" collapsed="false">
      <c r="A6084" s="51" t="s">
        <v>349</v>
      </c>
      <c r="B6084" s="55" t="n">
        <v>45015</v>
      </c>
      <c r="C6084" s="51" t="s">
        <v>82</v>
      </c>
      <c r="D6084" s="51" t="n">
        <v>0</v>
      </c>
    </row>
    <row r="6085" customFormat="false" ht="15" hidden="true" customHeight="false" outlineLevel="0" collapsed="false">
      <c r="A6085" s="51" t="s">
        <v>354</v>
      </c>
      <c r="B6085" s="55" t="n">
        <v>45015</v>
      </c>
      <c r="C6085" s="51" t="s">
        <v>82</v>
      </c>
      <c r="D6085" s="51" t="n">
        <v>0</v>
      </c>
    </row>
    <row r="6086" customFormat="false" ht="15" hidden="true" customHeight="false" outlineLevel="0" collapsed="false">
      <c r="A6086" s="51" t="s">
        <v>359</v>
      </c>
      <c r="B6086" s="55" t="n">
        <v>45015</v>
      </c>
      <c r="C6086" s="51" t="s">
        <v>82</v>
      </c>
      <c r="D6086" s="51" t="n">
        <v>0</v>
      </c>
    </row>
    <row r="6087" customFormat="false" ht="15" hidden="true" customHeight="false" outlineLevel="0" collapsed="false">
      <c r="A6087" s="51" t="s">
        <v>364</v>
      </c>
      <c r="B6087" s="55" t="n">
        <v>45015</v>
      </c>
      <c r="C6087" s="51" t="s">
        <v>82</v>
      </c>
      <c r="D6087" s="51" t="n">
        <v>0</v>
      </c>
    </row>
    <row r="6088" customFormat="false" ht="15" hidden="true" customHeight="false" outlineLevel="0" collapsed="false">
      <c r="A6088" s="51" t="s">
        <v>369</v>
      </c>
      <c r="B6088" s="55" t="n">
        <v>45015</v>
      </c>
      <c r="C6088" s="51" t="s">
        <v>82</v>
      </c>
      <c r="D6088" s="51" t="n">
        <v>0</v>
      </c>
    </row>
    <row r="6089" customFormat="false" ht="15" hidden="true" customHeight="false" outlineLevel="0" collapsed="false">
      <c r="A6089" s="51" t="s">
        <v>374</v>
      </c>
      <c r="B6089" s="55" t="n">
        <v>45015</v>
      </c>
      <c r="C6089" s="51" t="s">
        <v>82</v>
      </c>
      <c r="D6089" s="51" t="n">
        <v>1221221.98</v>
      </c>
    </row>
    <row r="6090" customFormat="false" ht="15" hidden="true" customHeight="false" outlineLevel="0" collapsed="false">
      <c r="A6090" s="51" t="s">
        <v>379</v>
      </c>
      <c r="B6090" s="55" t="n">
        <v>45015</v>
      </c>
      <c r="C6090" s="51" t="s">
        <v>82</v>
      </c>
      <c r="D6090" s="51" t="n">
        <v>0</v>
      </c>
    </row>
    <row r="6091" customFormat="false" ht="15" hidden="true" customHeight="false" outlineLevel="0" collapsed="false">
      <c r="A6091" s="51" t="s">
        <v>384</v>
      </c>
      <c r="B6091" s="55" t="n">
        <v>45015</v>
      </c>
      <c r="C6091" s="51" t="s">
        <v>82</v>
      </c>
      <c r="D6091" s="51" t="n">
        <v>1000000</v>
      </c>
    </row>
    <row r="6092" customFormat="false" ht="15" hidden="true" customHeight="false" outlineLevel="0" collapsed="false">
      <c r="A6092" s="51" t="s">
        <v>389</v>
      </c>
      <c r="B6092" s="55" t="n">
        <v>45015</v>
      </c>
      <c r="C6092" s="51" t="s">
        <v>82</v>
      </c>
      <c r="D6092" s="51" t="n">
        <v>0</v>
      </c>
    </row>
    <row r="6093" customFormat="false" ht="15" hidden="true" customHeight="false" outlineLevel="0" collapsed="false">
      <c r="A6093" s="51" t="s">
        <v>394</v>
      </c>
      <c r="B6093" s="55" t="n">
        <v>45015</v>
      </c>
      <c r="C6093" s="51" t="s">
        <v>82</v>
      </c>
      <c r="D6093" s="51" t="n">
        <v>0</v>
      </c>
    </row>
    <row r="6094" customFormat="false" ht="15" hidden="true" customHeight="false" outlineLevel="0" collapsed="false">
      <c r="A6094" s="51" t="s">
        <v>399</v>
      </c>
      <c r="B6094" s="55" t="n">
        <v>45015</v>
      </c>
      <c r="C6094" s="51" t="s">
        <v>82</v>
      </c>
      <c r="D6094" s="51" t="n">
        <v>0</v>
      </c>
    </row>
    <row r="6095" customFormat="false" ht="15" hidden="true" customHeight="false" outlineLevel="0" collapsed="false">
      <c r="A6095" s="51" t="s">
        <v>404</v>
      </c>
      <c r="B6095" s="55" t="n">
        <v>45015</v>
      </c>
      <c r="C6095" s="51" t="s">
        <v>82</v>
      </c>
      <c r="D6095" s="51" t="n">
        <v>0</v>
      </c>
    </row>
    <row r="6096" customFormat="false" ht="15" hidden="true" customHeight="false" outlineLevel="0" collapsed="false">
      <c r="A6096" s="51" t="s">
        <v>409</v>
      </c>
      <c r="B6096" s="55" t="n">
        <v>45015</v>
      </c>
      <c r="C6096" s="51" t="s">
        <v>82</v>
      </c>
      <c r="D6096" s="51" t="n">
        <v>0</v>
      </c>
    </row>
    <row r="6097" customFormat="false" ht="15" hidden="true" customHeight="false" outlineLevel="0" collapsed="false">
      <c r="A6097" s="51" t="s">
        <v>414</v>
      </c>
      <c r="B6097" s="55" t="n">
        <v>45015</v>
      </c>
      <c r="C6097" s="51" t="s">
        <v>82</v>
      </c>
      <c r="D6097" s="51" t="n">
        <v>0</v>
      </c>
    </row>
    <row r="6098" customFormat="false" ht="15" hidden="true" customHeight="false" outlineLevel="0" collapsed="false">
      <c r="A6098" s="51" t="s">
        <v>419</v>
      </c>
      <c r="B6098" s="55" t="n">
        <v>45015</v>
      </c>
      <c r="C6098" s="51" t="s">
        <v>82</v>
      </c>
      <c r="D6098" s="51" t="n">
        <v>0</v>
      </c>
    </row>
    <row r="6099" customFormat="false" ht="15" hidden="true" customHeight="false" outlineLevel="0" collapsed="false">
      <c r="A6099" s="51" t="s">
        <v>424</v>
      </c>
      <c r="B6099" s="55" t="n">
        <v>45015</v>
      </c>
      <c r="C6099" s="51" t="s">
        <v>82</v>
      </c>
      <c r="D6099" s="51" t="n">
        <v>0</v>
      </c>
    </row>
    <row r="6100" customFormat="false" ht="15" hidden="true" customHeight="false" outlineLevel="0" collapsed="false">
      <c r="A6100" s="51" t="s">
        <v>429</v>
      </c>
      <c r="B6100" s="55" t="n">
        <v>45015</v>
      </c>
      <c r="C6100" s="51" t="s">
        <v>82</v>
      </c>
      <c r="D6100" s="51" t="n">
        <v>0</v>
      </c>
    </row>
    <row r="6101" customFormat="false" ht="15" hidden="true" customHeight="false" outlineLevel="0" collapsed="false">
      <c r="A6101" s="51" t="s">
        <v>434</v>
      </c>
      <c r="B6101" s="55" t="n">
        <v>45015</v>
      </c>
      <c r="C6101" s="51" t="s">
        <v>82</v>
      </c>
      <c r="D6101" s="51" t="n">
        <v>0</v>
      </c>
    </row>
    <row r="6102" customFormat="false" ht="15" hidden="true" customHeight="false" outlineLevel="0" collapsed="false">
      <c r="A6102" s="51" t="s">
        <v>438</v>
      </c>
      <c r="B6102" s="55" t="n">
        <v>45015</v>
      </c>
      <c r="C6102" s="51" t="s">
        <v>82</v>
      </c>
      <c r="D6102" s="51" t="n">
        <v>0</v>
      </c>
    </row>
    <row r="6103" customFormat="false" ht="15" hidden="true" customHeight="false" outlineLevel="0" collapsed="false">
      <c r="A6103" s="51" t="s">
        <v>443</v>
      </c>
      <c r="B6103" s="55" t="n">
        <v>45015</v>
      </c>
      <c r="C6103" s="51" t="s">
        <v>82</v>
      </c>
      <c r="D6103" s="51" t="n">
        <v>0</v>
      </c>
    </row>
    <row r="6104" customFormat="false" ht="15" hidden="true" customHeight="false" outlineLevel="0" collapsed="false">
      <c r="A6104" s="51" t="s">
        <v>448</v>
      </c>
      <c r="B6104" s="55" t="n">
        <v>45015</v>
      </c>
      <c r="C6104" s="51" t="s">
        <v>82</v>
      </c>
      <c r="D6104" s="51" t="n">
        <v>0</v>
      </c>
    </row>
    <row r="6105" customFormat="false" ht="15" hidden="true" customHeight="false" outlineLevel="0" collapsed="false">
      <c r="A6105" s="51" t="s">
        <v>453</v>
      </c>
      <c r="B6105" s="55" t="n">
        <v>45015</v>
      </c>
      <c r="C6105" s="51" t="s">
        <v>82</v>
      </c>
      <c r="D6105" s="51" t="n">
        <v>0</v>
      </c>
    </row>
    <row r="6106" customFormat="false" ht="15" hidden="true" customHeight="false" outlineLevel="0" collapsed="false">
      <c r="A6106" s="51" t="s">
        <v>458</v>
      </c>
      <c r="B6106" s="55" t="n">
        <v>45015</v>
      </c>
      <c r="C6106" s="51" t="s">
        <v>82</v>
      </c>
      <c r="D6106" s="51" t="n">
        <v>0</v>
      </c>
    </row>
    <row r="6107" customFormat="false" ht="15" hidden="true" customHeight="false" outlineLevel="0" collapsed="false">
      <c r="A6107" s="51" t="s">
        <v>473</v>
      </c>
      <c r="B6107" s="55" t="n">
        <v>45015</v>
      </c>
      <c r="C6107" s="51" t="s">
        <v>82</v>
      </c>
      <c r="D6107" s="51" t="n">
        <v>0</v>
      </c>
    </row>
    <row r="6108" customFormat="false" ht="15" hidden="true" customHeight="false" outlineLevel="0" collapsed="false">
      <c r="A6108" s="51" t="s">
        <v>479</v>
      </c>
      <c r="B6108" s="55" t="n">
        <v>45015</v>
      </c>
      <c r="C6108" s="51" t="s">
        <v>82</v>
      </c>
      <c r="D6108" s="51" t="n">
        <v>0</v>
      </c>
    </row>
    <row r="6109" customFormat="false" ht="15" hidden="true" customHeight="false" outlineLevel="0" collapsed="false">
      <c r="A6109" s="51" t="s">
        <v>484</v>
      </c>
      <c r="B6109" s="55" t="n">
        <v>45015</v>
      </c>
      <c r="C6109" s="51" t="s">
        <v>82</v>
      </c>
      <c r="D6109" s="51" t="n">
        <v>0</v>
      </c>
    </row>
    <row r="6110" customFormat="false" ht="15" hidden="true" customHeight="false" outlineLevel="0" collapsed="false">
      <c r="A6110" s="51" t="s">
        <v>489</v>
      </c>
      <c r="B6110" s="55" t="n">
        <v>45015</v>
      </c>
      <c r="C6110" s="51" t="s">
        <v>82</v>
      </c>
      <c r="D6110" s="51" t="n">
        <v>0</v>
      </c>
    </row>
    <row r="6111" customFormat="false" ht="15" hidden="true" customHeight="false" outlineLevel="0" collapsed="false">
      <c r="A6111" s="51" t="s">
        <v>494</v>
      </c>
      <c r="B6111" s="55" t="n">
        <v>45015</v>
      </c>
      <c r="C6111" s="51" t="s">
        <v>82</v>
      </c>
      <c r="D6111" s="51" t="n">
        <v>0</v>
      </c>
    </row>
    <row r="6112" customFormat="false" ht="15" hidden="true" customHeight="false" outlineLevel="0" collapsed="false">
      <c r="A6112" s="51" t="s">
        <v>499</v>
      </c>
      <c r="B6112" s="55" t="n">
        <v>45015</v>
      </c>
      <c r="C6112" s="51" t="s">
        <v>82</v>
      </c>
      <c r="D6112" s="51" t="n">
        <v>0</v>
      </c>
    </row>
    <row r="6113" customFormat="false" ht="15" hidden="true" customHeight="false" outlineLevel="0" collapsed="false">
      <c r="A6113" s="51" t="s">
        <v>504</v>
      </c>
      <c r="B6113" s="55" t="n">
        <v>45015</v>
      </c>
      <c r="C6113" s="51" t="s">
        <v>82</v>
      </c>
      <c r="D6113" s="51" t="n">
        <v>0</v>
      </c>
    </row>
    <row r="6114" customFormat="false" ht="15" hidden="true" customHeight="false" outlineLevel="0" collapsed="false">
      <c r="A6114" s="51" t="s">
        <v>509</v>
      </c>
      <c r="B6114" s="55" t="n">
        <v>45015</v>
      </c>
      <c r="C6114" s="51" t="s">
        <v>82</v>
      </c>
      <c r="D6114" s="51" t="n">
        <v>0</v>
      </c>
    </row>
    <row r="6115" customFormat="false" ht="15" hidden="true" customHeight="false" outlineLevel="0" collapsed="false">
      <c r="A6115" s="51" t="s">
        <v>515</v>
      </c>
      <c r="B6115" s="55" t="n">
        <v>45015</v>
      </c>
      <c r="C6115" s="51" t="s">
        <v>82</v>
      </c>
      <c r="D6115" s="51" t="n">
        <v>0</v>
      </c>
    </row>
    <row r="6116" customFormat="false" ht="15" hidden="true" customHeight="false" outlineLevel="0" collapsed="false">
      <c r="A6116" s="51" t="s">
        <v>520</v>
      </c>
      <c r="B6116" s="55" t="n">
        <v>45015</v>
      </c>
      <c r="C6116" s="51" t="s">
        <v>82</v>
      </c>
      <c r="D6116" s="51" t="n">
        <v>0</v>
      </c>
    </row>
    <row r="6117" customFormat="false" ht="15" hidden="true" customHeight="false" outlineLevel="0" collapsed="false">
      <c r="A6117" s="51" t="s">
        <v>525</v>
      </c>
      <c r="B6117" s="55" t="n">
        <v>45015</v>
      </c>
      <c r="C6117" s="51" t="s">
        <v>82</v>
      </c>
      <c r="D6117" s="51" t="n">
        <v>0</v>
      </c>
    </row>
    <row r="6118" customFormat="false" ht="15" hidden="true" customHeight="false" outlineLevel="0" collapsed="false">
      <c r="A6118" s="51" t="s">
        <v>531</v>
      </c>
      <c r="B6118" s="55" t="n">
        <v>45015</v>
      </c>
      <c r="C6118" s="51" t="s">
        <v>82</v>
      </c>
      <c r="D6118" s="51" t="n">
        <v>0</v>
      </c>
    </row>
    <row r="6119" customFormat="false" ht="15" hidden="true" customHeight="false" outlineLevel="0" collapsed="false">
      <c r="A6119" s="51" t="s">
        <v>536</v>
      </c>
      <c r="B6119" s="55" t="n">
        <v>45015</v>
      </c>
      <c r="C6119" s="51" t="s">
        <v>82</v>
      </c>
      <c r="D6119" s="51" t="n">
        <v>0</v>
      </c>
    </row>
    <row r="6120" customFormat="false" ht="15" hidden="true" customHeight="false" outlineLevel="0" collapsed="false">
      <c r="A6120" s="51" t="s">
        <v>541</v>
      </c>
      <c r="B6120" s="55" t="n">
        <v>45015</v>
      </c>
      <c r="C6120" s="51" t="s">
        <v>82</v>
      </c>
      <c r="D6120" s="51" t="n">
        <v>0</v>
      </c>
    </row>
    <row r="6121" customFormat="false" ht="15" hidden="true" customHeight="false" outlineLevel="0" collapsed="false">
      <c r="A6121" s="51" t="s">
        <v>549</v>
      </c>
      <c r="B6121" s="55" t="n">
        <v>45015</v>
      </c>
      <c r="C6121" s="51" t="s">
        <v>82</v>
      </c>
      <c r="D6121" s="51" t="n">
        <v>0</v>
      </c>
    </row>
    <row r="6122" customFormat="false" ht="15" hidden="true" customHeight="false" outlineLevel="0" collapsed="false">
      <c r="A6122" s="51" t="s">
        <v>554</v>
      </c>
      <c r="B6122" s="55" t="n">
        <v>45015</v>
      </c>
      <c r="C6122" s="51" t="s">
        <v>82</v>
      </c>
      <c r="D6122" s="51" t="n">
        <v>0</v>
      </c>
    </row>
    <row r="6123" customFormat="false" ht="15" hidden="true" customHeight="false" outlineLevel="0" collapsed="false">
      <c r="A6123" s="51" t="s">
        <v>559</v>
      </c>
      <c r="B6123" s="55" t="n">
        <v>45015</v>
      </c>
      <c r="C6123" s="51" t="s">
        <v>82</v>
      </c>
      <c r="D6123" s="51" t="n">
        <v>0</v>
      </c>
    </row>
    <row r="6124" customFormat="false" ht="15" hidden="true" customHeight="false" outlineLevel="0" collapsed="false">
      <c r="A6124" s="51" t="s">
        <v>564</v>
      </c>
      <c r="B6124" s="55" t="n">
        <v>45015</v>
      </c>
      <c r="C6124" s="51" t="s">
        <v>82</v>
      </c>
      <c r="D6124" s="51" t="n">
        <v>0</v>
      </c>
    </row>
    <row r="6125" customFormat="false" ht="15" hidden="true" customHeight="false" outlineLevel="0" collapsed="false">
      <c r="A6125" s="51" t="s">
        <v>569</v>
      </c>
      <c r="B6125" s="55" t="n">
        <v>45015</v>
      </c>
      <c r="C6125" s="51" t="s">
        <v>82</v>
      </c>
      <c r="D6125" s="51" t="n">
        <v>0</v>
      </c>
    </row>
    <row r="6126" customFormat="false" ht="15" hidden="true" customHeight="false" outlineLevel="0" collapsed="false">
      <c r="A6126" s="51" t="s">
        <v>574</v>
      </c>
      <c r="B6126" s="55" t="n">
        <v>45015</v>
      </c>
      <c r="C6126" s="51" t="s">
        <v>82</v>
      </c>
      <c r="D6126" s="51" t="n">
        <v>0</v>
      </c>
    </row>
    <row r="6127" customFormat="false" ht="15" hidden="true" customHeight="false" outlineLevel="0" collapsed="false">
      <c r="A6127" s="51" t="s">
        <v>579</v>
      </c>
      <c r="B6127" s="55" t="n">
        <v>45015</v>
      </c>
      <c r="C6127" s="51" t="s">
        <v>82</v>
      </c>
      <c r="D6127" s="51" t="n">
        <v>0</v>
      </c>
    </row>
    <row r="6128" customFormat="false" ht="15" hidden="true" customHeight="false" outlineLevel="0" collapsed="false">
      <c r="A6128" s="51" t="s">
        <v>584</v>
      </c>
      <c r="B6128" s="55" t="n">
        <v>45015</v>
      </c>
      <c r="C6128" s="51" t="s">
        <v>82</v>
      </c>
      <c r="D6128" s="51" t="n">
        <v>0</v>
      </c>
    </row>
    <row r="6129" customFormat="false" ht="15" hidden="true" customHeight="false" outlineLevel="0" collapsed="false">
      <c r="A6129" s="51" t="s">
        <v>589</v>
      </c>
      <c r="B6129" s="55" t="n">
        <v>45015</v>
      </c>
      <c r="C6129" s="51" t="s">
        <v>82</v>
      </c>
      <c r="D6129" s="51" t="n">
        <v>0</v>
      </c>
    </row>
    <row r="6130" customFormat="false" ht="15" hidden="true" customHeight="false" outlineLevel="0" collapsed="false">
      <c r="A6130" s="51" t="s">
        <v>756</v>
      </c>
      <c r="B6130" s="55" t="n">
        <v>45015</v>
      </c>
      <c r="C6130" s="51" t="s">
        <v>82</v>
      </c>
      <c r="D6130" s="51" t="n">
        <v>0</v>
      </c>
    </row>
    <row r="6131" customFormat="false" ht="15" hidden="true" customHeight="false" outlineLevel="0" collapsed="false">
      <c r="A6131" s="51" t="s">
        <v>594</v>
      </c>
      <c r="B6131" s="55" t="n">
        <v>45015</v>
      </c>
      <c r="C6131" s="51" t="s">
        <v>82</v>
      </c>
      <c r="D6131" s="51" t="n">
        <v>0</v>
      </c>
    </row>
    <row r="6132" customFormat="false" ht="15" hidden="true" customHeight="false" outlineLevel="0" collapsed="false">
      <c r="A6132" s="51" t="s">
        <v>761</v>
      </c>
      <c r="B6132" s="55" t="n">
        <v>45015</v>
      </c>
      <c r="C6132" s="51" t="s">
        <v>82</v>
      </c>
      <c r="D6132" s="51" t="n">
        <v>0</v>
      </c>
    </row>
    <row r="6133" customFormat="false" ht="15" hidden="true" customHeight="false" outlineLevel="0" collapsed="false">
      <c r="A6133" s="51" t="s">
        <v>599</v>
      </c>
      <c r="B6133" s="55" t="n">
        <v>45015</v>
      </c>
      <c r="C6133" s="51" t="s">
        <v>82</v>
      </c>
      <c r="D6133" s="51" t="n">
        <v>0</v>
      </c>
    </row>
    <row r="6134" customFormat="false" ht="15" hidden="true" customHeight="false" outlineLevel="0" collapsed="false">
      <c r="A6134" s="51" t="s">
        <v>604</v>
      </c>
      <c r="B6134" s="55" t="n">
        <v>45015</v>
      </c>
      <c r="C6134" s="51" t="s">
        <v>82</v>
      </c>
      <c r="D6134" s="51" t="n">
        <v>0</v>
      </c>
    </row>
    <row r="6135" customFormat="false" ht="15" hidden="true" customHeight="false" outlineLevel="0" collapsed="false">
      <c r="A6135" s="51" t="s">
        <v>609</v>
      </c>
      <c r="B6135" s="55" t="n">
        <v>45015</v>
      </c>
      <c r="C6135" s="51" t="s">
        <v>82</v>
      </c>
      <c r="D6135" s="51" t="n">
        <v>0</v>
      </c>
    </row>
    <row r="6136" customFormat="false" ht="15" hidden="true" customHeight="false" outlineLevel="0" collapsed="false">
      <c r="A6136" s="51" t="s">
        <v>614</v>
      </c>
      <c r="B6136" s="55" t="n">
        <v>45015</v>
      </c>
      <c r="C6136" s="51" t="s">
        <v>82</v>
      </c>
      <c r="D6136" s="51" t="n">
        <v>0</v>
      </c>
    </row>
    <row r="6137" customFormat="false" ht="15" hidden="true" customHeight="false" outlineLevel="0" collapsed="false">
      <c r="A6137" s="51" t="s">
        <v>619</v>
      </c>
      <c r="B6137" s="55" t="n">
        <v>45015</v>
      </c>
      <c r="C6137" s="51" t="s">
        <v>82</v>
      </c>
      <c r="D6137" s="51" t="n">
        <v>0</v>
      </c>
    </row>
    <row r="6138" customFormat="false" ht="15" hidden="true" customHeight="false" outlineLevel="0" collapsed="false">
      <c r="A6138" s="51" t="s">
        <v>624</v>
      </c>
      <c r="B6138" s="55" t="n">
        <v>45015</v>
      </c>
      <c r="C6138" s="51" t="s">
        <v>82</v>
      </c>
      <c r="D6138" s="51" t="n">
        <v>0</v>
      </c>
    </row>
    <row r="6139" customFormat="false" ht="15" hidden="true" customHeight="false" outlineLevel="0" collapsed="false">
      <c r="A6139" s="51" t="s">
        <v>629</v>
      </c>
      <c r="B6139" s="55" t="n">
        <v>45015</v>
      </c>
      <c r="C6139" s="51" t="s">
        <v>82</v>
      </c>
      <c r="D6139" s="51" t="n">
        <v>0</v>
      </c>
    </row>
    <row r="6140" customFormat="false" ht="15" hidden="true" customHeight="false" outlineLevel="0" collapsed="false">
      <c r="A6140" s="51" t="s">
        <v>633</v>
      </c>
      <c r="B6140" s="55" t="n">
        <v>45015</v>
      </c>
      <c r="C6140" s="51" t="s">
        <v>82</v>
      </c>
      <c r="D6140" s="51" t="n">
        <v>0</v>
      </c>
    </row>
    <row r="6141" customFormat="false" ht="15" hidden="true" customHeight="false" outlineLevel="0" collapsed="false">
      <c r="A6141" s="51" t="s">
        <v>638</v>
      </c>
      <c r="B6141" s="55" t="n">
        <v>45015</v>
      </c>
      <c r="C6141" s="51" t="s">
        <v>82</v>
      </c>
      <c r="D6141" s="51" t="n">
        <v>0</v>
      </c>
    </row>
    <row r="6142" customFormat="false" ht="15" hidden="true" customHeight="false" outlineLevel="0" collapsed="false">
      <c r="A6142" s="51" t="s">
        <v>642</v>
      </c>
      <c r="B6142" s="55" t="n">
        <v>45015</v>
      </c>
      <c r="C6142" s="51" t="s">
        <v>82</v>
      </c>
      <c r="D6142" s="51" t="n">
        <v>0</v>
      </c>
    </row>
    <row r="6143" customFormat="false" ht="15" hidden="true" customHeight="false" outlineLevel="0" collapsed="false">
      <c r="A6143" s="51" t="s">
        <v>646</v>
      </c>
      <c r="B6143" s="55" t="n">
        <v>45015</v>
      </c>
      <c r="C6143" s="51" t="s">
        <v>82</v>
      </c>
      <c r="D6143" s="51" t="n">
        <v>0</v>
      </c>
    </row>
    <row r="6144" customFormat="false" ht="15" hidden="true" customHeight="false" outlineLevel="0" collapsed="false">
      <c r="A6144" s="51" t="s">
        <v>651</v>
      </c>
      <c r="B6144" s="55" t="n">
        <v>45015</v>
      </c>
      <c r="C6144" s="51" t="s">
        <v>82</v>
      </c>
      <c r="D6144" s="51" t="n">
        <v>0</v>
      </c>
    </row>
    <row r="6145" customFormat="false" ht="15" hidden="true" customHeight="false" outlineLevel="0" collapsed="false">
      <c r="A6145" s="51" t="s">
        <v>656</v>
      </c>
      <c r="B6145" s="55" t="n">
        <v>45015</v>
      </c>
      <c r="C6145" s="51" t="s">
        <v>82</v>
      </c>
      <c r="D6145" s="51" t="n">
        <v>0</v>
      </c>
    </row>
    <row r="6146" customFormat="false" ht="15" hidden="true" customHeight="false" outlineLevel="0" collapsed="false">
      <c r="A6146" s="51" t="s">
        <v>661</v>
      </c>
      <c r="B6146" s="55" t="n">
        <v>45015</v>
      </c>
      <c r="C6146" s="51" t="s">
        <v>82</v>
      </c>
      <c r="D6146" s="51" t="n">
        <v>0</v>
      </c>
    </row>
    <row r="6147" customFormat="false" ht="15" hidden="true" customHeight="false" outlineLevel="0" collapsed="false">
      <c r="A6147" s="51" t="s">
        <v>666</v>
      </c>
      <c r="B6147" s="55" t="n">
        <v>45015</v>
      </c>
      <c r="C6147" s="51" t="s">
        <v>82</v>
      </c>
      <c r="D6147" s="51" t="n">
        <v>0</v>
      </c>
    </row>
    <row r="6148" customFormat="false" ht="15" hidden="true" customHeight="false" outlineLevel="0" collapsed="false">
      <c r="A6148" s="51" t="s">
        <v>671</v>
      </c>
      <c r="B6148" s="55" t="n">
        <v>45015</v>
      </c>
      <c r="C6148" s="51" t="s">
        <v>82</v>
      </c>
      <c r="D6148" s="51" t="n">
        <v>0</v>
      </c>
    </row>
    <row r="6149" customFormat="false" ht="15" hidden="true" customHeight="false" outlineLevel="0" collapsed="false">
      <c r="A6149" s="51" t="s">
        <v>676</v>
      </c>
      <c r="B6149" s="55" t="n">
        <v>45015</v>
      </c>
      <c r="C6149" s="51" t="s">
        <v>82</v>
      </c>
      <c r="D6149" s="51" t="n">
        <v>0</v>
      </c>
    </row>
    <row r="6150" customFormat="false" ht="15" hidden="true" customHeight="false" outlineLevel="0" collapsed="false">
      <c r="A6150" s="51" t="s">
        <v>681</v>
      </c>
      <c r="B6150" s="55" t="n">
        <v>45015</v>
      </c>
      <c r="C6150" s="51" t="s">
        <v>82</v>
      </c>
      <c r="D6150" s="51" t="n">
        <v>0</v>
      </c>
    </row>
    <row r="6151" customFormat="false" ht="15" hidden="true" customHeight="false" outlineLevel="0" collapsed="false">
      <c r="A6151" s="51" t="s">
        <v>686</v>
      </c>
      <c r="B6151" s="55" t="n">
        <v>45015</v>
      </c>
      <c r="C6151" s="51" t="s">
        <v>82</v>
      </c>
      <c r="D6151" s="51" t="n">
        <v>0</v>
      </c>
    </row>
    <row r="6152" customFormat="false" ht="15" hidden="true" customHeight="false" outlineLevel="0" collapsed="false">
      <c r="A6152" s="51" t="s">
        <v>691</v>
      </c>
      <c r="B6152" s="55" t="n">
        <v>45015</v>
      </c>
      <c r="C6152" s="51" t="s">
        <v>82</v>
      </c>
      <c r="D6152" s="51" t="n">
        <v>0</v>
      </c>
    </row>
    <row r="6153" customFormat="false" ht="15" hidden="true" customHeight="false" outlineLevel="0" collapsed="false">
      <c r="A6153" s="51" t="s">
        <v>696</v>
      </c>
      <c r="B6153" s="55" t="n">
        <v>45015</v>
      </c>
      <c r="C6153" s="51" t="s">
        <v>82</v>
      </c>
      <c r="D6153" s="51" t="n">
        <v>0</v>
      </c>
    </row>
    <row r="6154" customFormat="false" ht="15" hidden="true" customHeight="false" outlineLevel="0" collapsed="false">
      <c r="A6154" s="51" t="s">
        <v>701</v>
      </c>
      <c r="B6154" s="55" t="n">
        <v>45015</v>
      </c>
      <c r="C6154" s="51" t="s">
        <v>82</v>
      </c>
      <c r="D6154" s="51" t="n">
        <v>0</v>
      </c>
    </row>
    <row r="6155" customFormat="false" ht="15" hidden="true" customHeight="false" outlineLevel="0" collapsed="false">
      <c r="A6155" s="51" t="s">
        <v>707</v>
      </c>
      <c r="B6155" s="55" t="n">
        <v>45015</v>
      </c>
      <c r="C6155" s="51" t="s">
        <v>82</v>
      </c>
      <c r="D6155" s="51" t="n">
        <v>0</v>
      </c>
    </row>
    <row r="6156" customFormat="false" ht="15" hidden="true" customHeight="false" outlineLevel="0" collapsed="false">
      <c r="A6156" s="51" t="s">
        <v>712</v>
      </c>
      <c r="B6156" s="55" t="n">
        <v>45015</v>
      </c>
      <c r="C6156" s="51" t="s">
        <v>82</v>
      </c>
      <c r="D6156" s="51" t="n">
        <v>0</v>
      </c>
    </row>
    <row r="6157" customFormat="false" ht="15" hidden="true" customHeight="false" outlineLevel="0" collapsed="false">
      <c r="A6157" s="51" t="s">
        <v>717</v>
      </c>
      <c r="B6157" s="55" t="n">
        <v>45015</v>
      </c>
      <c r="C6157" s="51" t="s">
        <v>82</v>
      </c>
      <c r="D6157" s="51" t="n">
        <v>0</v>
      </c>
    </row>
    <row r="6158" customFormat="false" ht="15" hidden="true" customHeight="false" outlineLevel="0" collapsed="false">
      <c r="A6158" s="51" t="s">
        <v>767</v>
      </c>
      <c r="B6158" s="55" t="n">
        <v>45015</v>
      </c>
      <c r="C6158" s="51" t="s">
        <v>82</v>
      </c>
      <c r="D6158" s="51" t="n">
        <v>0</v>
      </c>
    </row>
    <row r="6159" customFormat="false" ht="15" hidden="true" customHeight="false" outlineLevel="0" collapsed="false">
      <c r="A6159" s="51" t="s">
        <v>722</v>
      </c>
      <c r="B6159" s="55" t="n">
        <v>45015</v>
      </c>
      <c r="C6159" s="51" t="s">
        <v>82</v>
      </c>
      <c r="D6159" s="51" t="n">
        <v>0</v>
      </c>
    </row>
    <row r="6160" customFormat="false" ht="15" hidden="true" customHeight="false" outlineLevel="0" collapsed="false">
      <c r="A6160" s="51" t="s">
        <v>727</v>
      </c>
      <c r="B6160" s="55" t="n">
        <v>45015</v>
      </c>
      <c r="C6160" s="51" t="s">
        <v>82</v>
      </c>
      <c r="D6160" s="51" t="n">
        <v>0</v>
      </c>
    </row>
    <row r="6161" customFormat="false" ht="15" hidden="true" customHeight="false" outlineLevel="0" collapsed="false">
      <c r="A6161" s="51" t="s">
        <v>732</v>
      </c>
      <c r="B6161" s="55" t="n">
        <v>45015</v>
      </c>
      <c r="C6161" s="51" t="s">
        <v>82</v>
      </c>
      <c r="D6161" s="51" t="n">
        <v>0</v>
      </c>
    </row>
    <row r="6162" customFormat="false" ht="15" hidden="true" customHeight="false" outlineLevel="0" collapsed="false">
      <c r="A6162" s="51" t="s">
        <v>736</v>
      </c>
      <c r="B6162" s="55" t="n">
        <v>45015</v>
      </c>
      <c r="C6162" s="51" t="s">
        <v>82</v>
      </c>
      <c r="D6162" s="51" t="n">
        <v>0</v>
      </c>
    </row>
    <row r="6163" customFormat="false" ht="15" hidden="true" customHeight="false" outlineLevel="0" collapsed="false">
      <c r="A6163" s="51" t="s">
        <v>741</v>
      </c>
      <c r="B6163" s="55" t="n">
        <v>45015</v>
      </c>
      <c r="C6163" s="51" t="s">
        <v>82</v>
      </c>
      <c r="D6163" s="51" t="n">
        <v>0</v>
      </c>
    </row>
    <row r="6164" customFormat="false" ht="15" hidden="true" customHeight="false" outlineLevel="0" collapsed="false">
      <c r="A6164" s="51" t="s">
        <v>746</v>
      </c>
      <c r="B6164" s="55" t="n">
        <v>45015</v>
      </c>
      <c r="C6164" s="51" t="s">
        <v>82</v>
      </c>
      <c r="D6164" s="51" t="n">
        <v>0</v>
      </c>
    </row>
    <row r="6165" customFormat="false" ht="15" hidden="true" customHeight="false" outlineLevel="0" collapsed="false">
      <c r="A6165" s="51" t="s">
        <v>751</v>
      </c>
      <c r="B6165" s="55" t="n">
        <v>45015</v>
      </c>
      <c r="C6165" s="51" t="s">
        <v>82</v>
      </c>
      <c r="D6165" s="51" t="n">
        <v>0</v>
      </c>
    </row>
    <row r="6166" customFormat="false" ht="15" hidden="false" customHeight="false" outlineLevel="0" collapsed="false">
      <c r="A6166" s="51" t="s">
        <v>781</v>
      </c>
      <c r="B6166" s="55" t="n">
        <v>45015</v>
      </c>
      <c r="C6166" s="51" t="s">
        <v>73</v>
      </c>
      <c r="D6166" s="51" t="n">
        <v>0</v>
      </c>
    </row>
    <row r="6167" customFormat="false" ht="15" hidden="true" customHeight="false" outlineLevel="0" collapsed="false">
      <c r="A6167" s="51" t="s">
        <v>783</v>
      </c>
      <c r="B6167" s="55" t="n">
        <v>45015</v>
      </c>
      <c r="C6167" s="51" t="s">
        <v>73</v>
      </c>
      <c r="D6167" s="51" t="n">
        <v>0</v>
      </c>
    </row>
    <row r="6168" customFormat="false" ht="15" hidden="true" customHeight="false" outlineLevel="0" collapsed="false">
      <c r="A6168" s="51" t="s">
        <v>96</v>
      </c>
      <c r="B6168" s="55" t="n">
        <v>45015</v>
      </c>
      <c r="C6168" s="51" t="s">
        <v>73</v>
      </c>
      <c r="D6168" s="51" t="n">
        <v>0</v>
      </c>
    </row>
    <row r="6169" customFormat="false" ht="15" hidden="true" customHeight="false" outlineLevel="0" collapsed="false">
      <c r="A6169" s="51" t="s">
        <v>101</v>
      </c>
      <c r="B6169" s="55" t="n">
        <v>45015</v>
      </c>
      <c r="C6169" s="51" t="s">
        <v>73</v>
      </c>
      <c r="D6169" s="51" t="n">
        <v>0</v>
      </c>
    </row>
    <row r="6170" customFormat="false" ht="15" hidden="true" customHeight="false" outlineLevel="0" collapsed="false">
      <c r="A6170" s="51" t="s">
        <v>106</v>
      </c>
      <c r="B6170" s="55" t="n">
        <v>45015</v>
      </c>
      <c r="C6170" s="51" t="s">
        <v>73</v>
      </c>
      <c r="D6170" s="51" t="n">
        <v>0</v>
      </c>
    </row>
    <row r="6171" customFormat="false" ht="15" hidden="true" customHeight="false" outlineLevel="0" collapsed="false">
      <c r="A6171" s="51" t="s">
        <v>110</v>
      </c>
      <c r="B6171" s="55" t="n">
        <v>45015</v>
      </c>
      <c r="C6171" s="51" t="s">
        <v>73</v>
      </c>
      <c r="D6171" s="51" t="n">
        <v>0</v>
      </c>
    </row>
    <row r="6172" customFormat="false" ht="15" hidden="true" customHeight="false" outlineLevel="0" collapsed="false">
      <c r="A6172" s="51" t="s">
        <v>115</v>
      </c>
      <c r="B6172" s="55" t="n">
        <v>45015</v>
      </c>
      <c r="C6172" s="51" t="s">
        <v>73</v>
      </c>
      <c r="D6172" s="51" t="n">
        <v>0</v>
      </c>
    </row>
    <row r="6173" customFormat="false" ht="15" hidden="true" customHeight="false" outlineLevel="0" collapsed="false">
      <c r="A6173" s="51" t="s">
        <v>120</v>
      </c>
      <c r="B6173" s="55" t="n">
        <v>45015</v>
      </c>
      <c r="C6173" s="51" t="s">
        <v>73</v>
      </c>
      <c r="D6173" s="51" t="n">
        <v>0</v>
      </c>
    </row>
    <row r="6174" customFormat="false" ht="15" hidden="true" customHeight="false" outlineLevel="0" collapsed="false">
      <c r="A6174" s="51" t="s">
        <v>124</v>
      </c>
      <c r="B6174" s="55" t="n">
        <v>45015</v>
      </c>
      <c r="C6174" s="51" t="s">
        <v>73</v>
      </c>
      <c r="D6174" s="51" t="n">
        <v>1157222.22</v>
      </c>
    </row>
    <row r="6175" customFormat="false" ht="15" hidden="true" customHeight="false" outlineLevel="0" collapsed="false">
      <c r="A6175" s="51" t="s">
        <v>129</v>
      </c>
      <c r="B6175" s="55" t="n">
        <v>45015</v>
      </c>
      <c r="C6175" s="51" t="s">
        <v>73</v>
      </c>
      <c r="D6175" s="51" t="n">
        <v>0</v>
      </c>
    </row>
    <row r="6176" customFormat="false" ht="15" hidden="true" customHeight="false" outlineLevel="0" collapsed="false">
      <c r="A6176" s="51" t="s">
        <v>134</v>
      </c>
      <c r="B6176" s="55" t="n">
        <v>45015</v>
      </c>
      <c r="C6176" s="51" t="s">
        <v>73</v>
      </c>
      <c r="D6176" s="51" t="n">
        <v>0</v>
      </c>
    </row>
    <row r="6177" customFormat="false" ht="15" hidden="true" customHeight="false" outlineLevel="0" collapsed="false">
      <c r="A6177" s="51" t="s">
        <v>141</v>
      </c>
      <c r="B6177" s="55" t="n">
        <v>45015</v>
      </c>
      <c r="C6177" s="51" t="s">
        <v>73</v>
      </c>
      <c r="D6177" s="51" t="n">
        <v>0</v>
      </c>
    </row>
    <row r="6178" customFormat="false" ht="15" hidden="true" customHeight="false" outlineLevel="0" collapsed="false">
      <c r="A6178" s="51" t="s">
        <v>146</v>
      </c>
      <c r="B6178" s="55" t="n">
        <v>45015</v>
      </c>
      <c r="C6178" s="51" t="s">
        <v>73</v>
      </c>
      <c r="D6178" s="51" t="n">
        <v>0</v>
      </c>
    </row>
    <row r="6179" customFormat="false" ht="15" hidden="true" customHeight="false" outlineLevel="0" collapsed="false">
      <c r="A6179" s="51" t="s">
        <v>151</v>
      </c>
      <c r="B6179" s="55" t="n">
        <v>45015</v>
      </c>
      <c r="C6179" s="51" t="s">
        <v>73</v>
      </c>
      <c r="D6179" s="51" t="n">
        <v>0</v>
      </c>
    </row>
    <row r="6180" customFormat="false" ht="15" hidden="true" customHeight="false" outlineLevel="0" collapsed="false">
      <c r="A6180" s="51" t="s">
        <v>156</v>
      </c>
      <c r="B6180" s="55" t="n">
        <v>45015</v>
      </c>
      <c r="C6180" s="51" t="s">
        <v>73</v>
      </c>
      <c r="D6180" s="51" t="n">
        <v>0</v>
      </c>
    </row>
    <row r="6181" customFormat="false" ht="15" hidden="true" customHeight="false" outlineLevel="0" collapsed="false">
      <c r="A6181" s="51" t="s">
        <v>161</v>
      </c>
      <c r="B6181" s="55" t="n">
        <v>45015</v>
      </c>
      <c r="C6181" s="51" t="s">
        <v>73</v>
      </c>
      <c r="D6181" s="51" t="n">
        <v>0</v>
      </c>
    </row>
    <row r="6182" customFormat="false" ht="15" hidden="true" customHeight="false" outlineLevel="0" collapsed="false">
      <c r="A6182" s="51" t="s">
        <v>166</v>
      </c>
      <c r="B6182" s="55" t="n">
        <v>45015</v>
      </c>
      <c r="C6182" s="51" t="s">
        <v>73</v>
      </c>
      <c r="D6182" s="51" t="n">
        <v>712375</v>
      </c>
    </row>
    <row r="6183" customFormat="false" ht="15" hidden="true" customHeight="false" outlineLevel="0" collapsed="false">
      <c r="A6183" s="51" t="s">
        <v>171</v>
      </c>
      <c r="B6183" s="55" t="n">
        <v>45015</v>
      </c>
      <c r="C6183" s="51" t="s">
        <v>73</v>
      </c>
      <c r="D6183" s="51" t="n">
        <v>0</v>
      </c>
    </row>
    <row r="6184" customFormat="false" ht="15" hidden="true" customHeight="false" outlineLevel="0" collapsed="false">
      <c r="A6184" s="51" t="s">
        <v>176</v>
      </c>
      <c r="B6184" s="55" t="n">
        <v>45015</v>
      </c>
      <c r="C6184" s="51" t="s">
        <v>73</v>
      </c>
      <c r="D6184" s="51" t="n">
        <v>0</v>
      </c>
    </row>
    <row r="6185" customFormat="false" ht="15" hidden="true" customHeight="false" outlineLevel="0" collapsed="false">
      <c r="A6185" s="51" t="s">
        <v>181</v>
      </c>
      <c r="B6185" s="55" t="n">
        <v>45015</v>
      </c>
      <c r="C6185" s="51" t="s">
        <v>73</v>
      </c>
      <c r="D6185" s="51" t="n">
        <v>1525600</v>
      </c>
    </row>
    <row r="6186" customFormat="false" ht="15" hidden="true" customHeight="false" outlineLevel="0" collapsed="false">
      <c r="A6186" s="51" t="s">
        <v>186</v>
      </c>
      <c r="B6186" s="55" t="n">
        <v>45015</v>
      </c>
      <c r="C6186" s="51" t="s">
        <v>73</v>
      </c>
      <c r="D6186" s="51" t="n">
        <v>0</v>
      </c>
    </row>
    <row r="6187" customFormat="false" ht="15" hidden="true" customHeight="false" outlineLevel="0" collapsed="false">
      <c r="A6187" s="51" t="s">
        <v>191</v>
      </c>
      <c r="B6187" s="55" t="n">
        <v>45015</v>
      </c>
      <c r="C6187" s="51" t="s">
        <v>73</v>
      </c>
      <c r="D6187" s="51" t="n">
        <v>0</v>
      </c>
    </row>
    <row r="6188" customFormat="false" ht="15" hidden="true" customHeight="false" outlineLevel="0" collapsed="false">
      <c r="A6188" s="51" t="s">
        <v>196</v>
      </c>
      <c r="B6188" s="55" t="n">
        <v>45015</v>
      </c>
      <c r="C6188" s="51" t="s">
        <v>73</v>
      </c>
      <c r="D6188" s="51" t="n">
        <v>0</v>
      </c>
    </row>
    <row r="6189" customFormat="false" ht="15" hidden="true" customHeight="false" outlineLevel="0" collapsed="false">
      <c r="A6189" s="51" t="s">
        <v>201</v>
      </c>
      <c r="B6189" s="55" t="n">
        <v>45015</v>
      </c>
      <c r="C6189" s="51" t="s">
        <v>73</v>
      </c>
      <c r="D6189" s="51" t="n">
        <v>0</v>
      </c>
    </row>
    <row r="6190" customFormat="false" ht="15" hidden="true" customHeight="false" outlineLevel="0" collapsed="false">
      <c r="A6190" s="51" t="s">
        <v>206</v>
      </c>
      <c r="B6190" s="55" t="n">
        <v>45015</v>
      </c>
      <c r="C6190" s="51" t="s">
        <v>73</v>
      </c>
      <c r="D6190" s="51" t="n">
        <v>0</v>
      </c>
    </row>
    <row r="6191" customFormat="false" ht="15" hidden="true" customHeight="false" outlineLevel="0" collapsed="false">
      <c r="A6191" s="51" t="s">
        <v>210</v>
      </c>
      <c r="B6191" s="55" t="n">
        <v>45015</v>
      </c>
      <c r="C6191" s="51" t="s">
        <v>73</v>
      </c>
      <c r="D6191" s="51" t="n">
        <v>0</v>
      </c>
    </row>
    <row r="6192" customFormat="false" ht="15" hidden="true" customHeight="false" outlineLevel="0" collapsed="false">
      <c r="A6192" s="51" t="s">
        <v>215</v>
      </c>
      <c r="B6192" s="55" t="n">
        <v>45015</v>
      </c>
      <c r="C6192" s="51" t="s">
        <v>73</v>
      </c>
      <c r="D6192" s="51" t="n">
        <v>0</v>
      </c>
    </row>
    <row r="6193" customFormat="false" ht="15" hidden="true" customHeight="false" outlineLevel="0" collapsed="false">
      <c r="A6193" s="51" t="s">
        <v>790</v>
      </c>
      <c r="B6193" s="55" t="n">
        <v>45015</v>
      </c>
      <c r="C6193" s="51" t="s">
        <v>73</v>
      </c>
      <c r="D6193" s="51" t="n">
        <v>0</v>
      </c>
    </row>
    <row r="6194" customFormat="false" ht="15" hidden="true" customHeight="false" outlineLevel="0" collapsed="false">
      <c r="A6194" s="51" t="s">
        <v>225</v>
      </c>
      <c r="B6194" s="55" t="n">
        <v>45015</v>
      </c>
      <c r="C6194" s="51" t="s">
        <v>73</v>
      </c>
      <c r="D6194" s="51" t="n">
        <v>0</v>
      </c>
    </row>
    <row r="6195" customFormat="false" ht="15" hidden="true" customHeight="false" outlineLevel="0" collapsed="false">
      <c r="A6195" s="51" t="s">
        <v>230</v>
      </c>
      <c r="B6195" s="55" t="n">
        <v>45015</v>
      </c>
      <c r="C6195" s="51" t="s">
        <v>73</v>
      </c>
      <c r="D6195" s="51" t="n">
        <v>200000</v>
      </c>
    </row>
    <row r="6196" customFormat="false" ht="15" hidden="true" customHeight="false" outlineLevel="0" collapsed="false">
      <c r="A6196" s="51" t="s">
        <v>235</v>
      </c>
      <c r="B6196" s="55" t="n">
        <v>45015</v>
      </c>
      <c r="C6196" s="51" t="s">
        <v>73</v>
      </c>
      <c r="D6196" s="51" t="n">
        <v>0</v>
      </c>
    </row>
    <row r="6197" customFormat="false" ht="15" hidden="true" customHeight="false" outlineLevel="0" collapsed="false">
      <c r="A6197" s="51" t="s">
        <v>240</v>
      </c>
      <c r="B6197" s="55" t="n">
        <v>45015</v>
      </c>
      <c r="C6197" s="51" t="s">
        <v>73</v>
      </c>
      <c r="D6197" s="51" t="n">
        <v>0</v>
      </c>
    </row>
    <row r="6198" customFormat="false" ht="15" hidden="true" customHeight="false" outlineLevel="0" collapsed="false">
      <c r="A6198" s="51" t="s">
        <v>246</v>
      </c>
      <c r="B6198" s="55" t="n">
        <v>45015</v>
      </c>
      <c r="C6198" s="51" t="s">
        <v>73</v>
      </c>
      <c r="D6198" s="51" t="n">
        <v>2000000</v>
      </c>
    </row>
    <row r="6199" customFormat="false" ht="15" hidden="true" customHeight="false" outlineLevel="0" collapsed="false">
      <c r="A6199" s="51" t="s">
        <v>252</v>
      </c>
      <c r="B6199" s="55" t="n">
        <v>45015</v>
      </c>
      <c r="C6199" s="51" t="s">
        <v>73</v>
      </c>
      <c r="D6199" s="51" t="n">
        <v>1428000</v>
      </c>
    </row>
    <row r="6200" customFormat="false" ht="15" hidden="true" customHeight="false" outlineLevel="0" collapsed="false">
      <c r="A6200" s="51" t="s">
        <v>257</v>
      </c>
      <c r="B6200" s="55" t="n">
        <v>45015</v>
      </c>
      <c r="C6200" s="51" t="s">
        <v>73</v>
      </c>
      <c r="D6200" s="51" t="n">
        <v>588549.5</v>
      </c>
    </row>
    <row r="6201" customFormat="false" ht="15" hidden="true" customHeight="false" outlineLevel="0" collapsed="false">
      <c r="A6201" s="51" t="s">
        <v>262</v>
      </c>
      <c r="B6201" s="55" t="n">
        <v>45015</v>
      </c>
      <c r="C6201" s="51" t="s">
        <v>73</v>
      </c>
      <c r="D6201" s="51" t="n">
        <v>0</v>
      </c>
    </row>
    <row r="6202" customFormat="false" ht="15" hidden="true" customHeight="false" outlineLevel="0" collapsed="false">
      <c r="A6202" s="51" t="s">
        <v>267</v>
      </c>
      <c r="B6202" s="55" t="n">
        <v>45015</v>
      </c>
      <c r="C6202" s="51" t="s">
        <v>73</v>
      </c>
      <c r="D6202" s="51" t="n">
        <v>0</v>
      </c>
    </row>
    <row r="6203" customFormat="false" ht="15" hidden="true" customHeight="false" outlineLevel="0" collapsed="false">
      <c r="A6203" s="51" t="s">
        <v>272</v>
      </c>
      <c r="B6203" s="55" t="n">
        <v>45015</v>
      </c>
      <c r="C6203" s="51" t="s">
        <v>73</v>
      </c>
      <c r="D6203" s="51" t="n">
        <v>318500</v>
      </c>
    </row>
    <row r="6204" customFormat="false" ht="15" hidden="true" customHeight="false" outlineLevel="0" collapsed="false">
      <c r="A6204" s="51" t="s">
        <v>277</v>
      </c>
      <c r="B6204" s="55" t="n">
        <v>45015</v>
      </c>
      <c r="C6204" s="51" t="s">
        <v>73</v>
      </c>
      <c r="D6204" s="51" t="n">
        <v>0</v>
      </c>
    </row>
    <row r="6205" customFormat="false" ht="15" hidden="true" customHeight="false" outlineLevel="0" collapsed="false">
      <c r="A6205" s="51" t="s">
        <v>282</v>
      </c>
      <c r="B6205" s="55" t="n">
        <v>45015</v>
      </c>
      <c r="C6205" s="51" t="s">
        <v>73</v>
      </c>
      <c r="D6205" s="51" t="n">
        <v>200000</v>
      </c>
    </row>
    <row r="6206" customFormat="false" ht="15" hidden="true" customHeight="false" outlineLevel="0" collapsed="false">
      <c r="A6206" s="51" t="s">
        <v>287</v>
      </c>
      <c r="B6206" s="55" t="n">
        <v>45015</v>
      </c>
      <c r="C6206" s="51" t="s">
        <v>73</v>
      </c>
      <c r="D6206" s="51" t="n">
        <v>35000</v>
      </c>
    </row>
    <row r="6207" customFormat="false" ht="15" hidden="true" customHeight="false" outlineLevel="0" collapsed="false">
      <c r="A6207" s="51" t="s">
        <v>292</v>
      </c>
      <c r="B6207" s="55" t="n">
        <v>45015</v>
      </c>
      <c r="C6207" s="51" t="s">
        <v>73</v>
      </c>
      <c r="D6207" s="51" t="n">
        <v>0</v>
      </c>
    </row>
    <row r="6208" customFormat="false" ht="15" hidden="true" customHeight="false" outlineLevel="0" collapsed="false">
      <c r="A6208" s="51" t="s">
        <v>297</v>
      </c>
      <c r="B6208" s="55" t="n">
        <v>45015</v>
      </c>
      <c r="C6208" s="51" t="s">
        <v>73</v>
      </c>
      <c r="D6208" s="51" t="n">
        <v>110000</v>
      </c>
    </row>
    <row r="6209" customFormat="false" ht="15" hidden="true" customHeight="false" outlineLevel="0" collapsed="false">
      <c r="A6209" s="51" t="s">
        <v>302</v>
      </c>
      <c r="B6209" s="55" t="n">
        <v>45015</v>
      </c>
      <c r="C6209" s="51" t="s">
        <v>73</v>
      </c>
      <c r="D6209" s="51" t="n">
        <v>200000</v>
      </c>
    </row>
    <row r="6210" customFormat="false" ht="15" hidden="true" customHeight="false" outlineLevel="0" collapsed="false">
      <c r="A6210" s="51" t="s">
        <v>307</v>
      </c>
      <c r="B6210" s="55" t="n">
        <v>45015</v>
      </c>
      <c r="C6210" s="51" t="s">
        <v>73</v>
      </c>
      <c r="D6210" s="51" t="n">
        <v>0</v>
      </c>
    </row>
    <row r="6211" customFormat="false" ht="15" hidden="true" customHeight="false" outlineLevel="0" collapsed="false">
      <c r="A6211" s="51" t="s">
        <v>311</v>
      </c>
      <c r="B6211" s="55" t="n">
        <v>45015</v>
      </c>
      <c r="C6211" s="51" t="s">
        <v>73</v>
      </c>
      <c r="D6211" s="51" t="n">
        <v>370249.43</v>
      </c>
    </row>
    <row r="6212" customFormat="false" ht="15" hidden="true" customHeight="false" outlineLevel="0" collapsed="false">
      <c r="A6212" s="51" t="s">
        <v>317</v>
      </c>
      <c r="B6212" s="55" t="n">
        <v>45015</v>
      </c>
      <c r="C6212" s="51" t="s">
        <v>73</v>
      </c>
      <c r="D6212" s="51" t="n">
        <v>1000000</v>
      </c>
    </row>
    <row r="6213" customFormat="false" ht="15" hidden="true" customHeight="false" outlineLevel="0" collapsed="false">
      <c r="A6213" s="51" t="s">
        <v>322</v>
      </c>
      <c r="B6213" s="55" t="n">
        <v>45015</v>
      </c>
      <c r="C6213" s="51" t="s">
        <v>73</v>
      </c>
      <c r="D6213" s="51" t="n">
        <v>90000</v>
      </c>
    </row>
    <row r="6214" customFormat="false" ht="15" hidden="true" customHeight="false" outlineLevel="0" collapsed="false">
      <c r="A6214" s="51" t="s">
        <v>327</v>
      </c>
      <c r="B6214" s="55" t="n">
        <v>45015</v>
      </c>
      <c r="C6214" s="51" t="s">
        <v>73</v>
      </c>
      <c r="D6214" s="51" t="n">
        <v>650000</v>
      </c>
    </row>
    <row r="6215" customFormat="false" ht="15" hidden="true" customHeight="false" outlineLevel="0" collapsed="false">
      <c r="A6215" s="51" t="s">
        <v>332</v>
      </c>
      <c r="B6215" s="55" t="n">
        <v>45015</v>
      </c>
      <c r="C6215" s="51" t="s">
        <v>73</v>
      </c>
      <c r="D6215" s="51" t="n">
        <v>514000</v>
      </c>
    </row>
    <row r="6216" customFormat="false" ht="15" hidden="true" customHeight="false" outlineLevel="0" collapsed="false">
      <c r="A6216" s="51" t="s">
        <v>339</v>
      </c>
      <c r="B6216" s="55" t="n">
        <v>45015</v>
      </c>
      <c r="C6216" s="51" t="s">
        <v>73</v>
      </c>
      <c r="D6216" s="51" t="n">
        <v>0</v>
      </c>
    </row>
    <row r="6217" customFormat="false" ht="15" hidden="true" customHeight="false" outlineLevel="0" collapsed="false">
      <c r="A6217" s="51" t="s">
        <v>344</v>
      </c>
      <c r="B6217" s="55" t="n">
        <v>45015</v>
      </c>
      <c r="C6217" s="51" t="s">
        <v>73</v>
      </c>
      <c r="D6217" s="51" t="n">
        <v>700000</v>
      </c>
    </row>
    <row r="6218" customFormat="false" ht="15" hidden="true" customHeight="false" outlineLevel="0" collapsed="false">
      <c r="A6218" s="51" t="s">
        <v>349</v>
      </c>
      <c r="B6218" s="55" t="n">
        <v>45015</v>
      </c>
      <c r="C6218" s="51" t="s">
        <v>73</v>
      </c>
      <c r="D6218" s="51" t="n">
        <v>0</v>
      </c>
    </row>
    <row r="6219" customFormat="false" ht="15" hidden="true" customHeight="false" outlineLevel="0" collapsed="false">
      <c r="A6219" s="51" t="s">
        <v>354</v>
      </c>
      <c r="B6219" s="55" t="n">
        <v>45015</v>
      </c>
      <c r="C6219" s="51" t="s">
        <v>73</v>
      </c>
      <c r="D6219" s="51" t="n">
        <v>1084000</v>
      </c>
    </row>
    <row r="6220" customFormat="false" ht="15" hidden="true" customHeight="false" outlineLevel="0" collapsed="false">
      <c r="A6220" s="51" t="s">
        <v>359</v>
      </c>
      <c r="B6220" s="55" t="n">
        <v>45015</v>
      </c>
      <c r="C6220" s="51" t="s">
        <v>73</v>
      </c>
      <c r="D6220" s="51" t="n">
        <v>1108000</v>
      </c>
    </row>
    <row r="6221" customFormat="false" ht="15" hidden="true" customHeight="false" outlineLevel="0" collapsed="false">
      <c r="A6221" s="51" t="s">
        <v>364</v>
      </c>
      <c r="B6221" s="55" t="n">
        <v>45015</v>
      </c>
      <c r="C6221" s="51" t="s">
        <v>73</v>
      </c>
      <c r="D6221" s="51" t="n">
        <v>361000</v>
      </c>
    </row>
    <row r="6222" customFormat="false" ht="15" hidden="true" customHeight="false" outlineLevel="0" collapsed="false">
      <c r="A6222" s="51" t="s">
        <v>369</v>
      </c>
      <c r="B6222" s="55" t="n">
        <v>45015</v>
      </c>
      <c r="C6222" s="51" t="s">
        <v>73</v>
      </c>
      <c r="D6222" s="51" t="n">
        <v>0</v>
      </c>
    </row>
    <row r="6223" customFormat="false" ht="15" hidden="true" customHeight="false" outlineLevel="0" collapsed="false">
      <c r="A6223" s="51" t="s">
        <v>374</v>
      </c>
      <c r="B6223" s="55" t="n">
        <v>45015</v>
      </c>
      <c r="C6223" s="51" t="s">
        <v>73</v>
      </c>
      <c r="D6223" s="51" t="n">
        <v>0</v>
      </c>
    </row>
    <row r="6224" customFormat="false" ht="15" hidden="true" customHeight="false" outlineLevel="0" collapsed="false">
      <c r="A6224" s="51" t="s">
        <v>379</v>
      </c>
      <c r="B6224" s="55" t="n">
        <v>45015</v>
      </c>
      <c r="C6224" s="51" t="s">
        <v>73</v>
      </c>
      <c r="D6224" s="51" t="n">
        <v>0</v>
      </c>
    </row>
    <row r="6225" customFormat="false" ht="15" hidden="true" customHeight="false" outlineLevel="0" collapsed="false">
      <c r="A6225" s="51" t="s">
        <v>384</v>
      </c>
      <c r="B6225" s="55" t="n">
        <v>45015</v>
      </c>
      <c r="C6225" s="51" t="s">
        <v>73</v>
      </c>
      <c r="D6225" s="51" t="n">
        <v>0</v>
      </c>
    </row>
    <row r="6226" customFormat="false" ht="15" hidden="true" customHeight="false" outlineLevel="0" collapsed="false">
      <c r="A6226" s="51" t="s">
        <v>389</v>
      </c>
      <c r="B6226" s="55" t="n">
        <v>45015</v>
      </c>
      <c r="C6226" s="51" t="s">
        <v>73</v>
      </c>
      <c r="D6226" s="51" t="n">
        <v>0</v>
      </c>
    </row>
    <row r="6227" customFormat="false" ht="15" hidden="true" customHeight="false" outlineLevel="0" collapsed="false">
      <c r="A6227" s="51" t="s">
        <v>394</v>
      </c>
      <c r="B6227" s="55" t="n">
        <v>45015</v>
      </c>
      <c r="C6227" s="51" t="s">
        <v>73</v>
      </c>
      <c r="D6227" s="51" t="n">
        <v>0</v>
      </c>
    </row>
    <row r="6228" customFormat="false" ht="15" hidden="true" customHeight="false" outlineLevel="0" collapsed="false">
      <c r="A6228" s="51" t="s">
        <v>399</v>
      </c>
      <c r="B6228" s="55" t="n">
        <v>45015</v>
      </c>
      <c r="C6228" s="51" t="s">
        <v>73</v>
      </c>
      <c r="D6228" s="51" t="n">
        <v>0</v>
      </c>
    </row>
    <row r="6229" customFormat="false" ht="15" hidden="true" customHeight="false" outlineLevel="0" collapsed="false">
      <c r="A6229" s="51" t="s">
        <v>404</v>
      </c>
      <c r="B6229" s="55" t="n">
        <v>45015</v>
      </c>
      <c r="C6229" s="51" t="s">
        <v>73</v>
      </c>
      <c r="D6229" s="51" t="n">
        <v>0</v>
      </c>
    </row>
    <row r="6230" customFormat="false" ht="15" hidden="true" customHeight="false" outlineLevel="0" collapsed="false">
      <c r="A6230" s="51" t="s">
        <v>409</v>
      </c>
      <c r="B6230" s="55" t="n">
        <v>45015</v>
      </c>
      <c r="C6230" s="51" t="s">
        <v>73</v>
      </c>
      <c r="D6230" s="51" t="n">
        <v>0</v>
      </c>
    </row>
    <row r="6231" customFormat="false" ht="15" hidden="true" customHeight="false" outlineLevel="0" collapsed="false">
      <c r="A6231" s="51" t="s">
        <v>414</v>
      </c>
      <c r="B6231" s="55" t="n">
        <v>45015</v>
      </c>
      <c r="C6231" s="51" t="s">
        <v>73</v>
      </c>
      <c r="D6231" s="51" t="n">
        <v>0</v>
      </c>
    </row>
    <row r="6232" customFormat="false" ht="15" hidden="true" customHeight="false" outlineLevel="0" collapsed="false">
      <c r="A6232" s="51" t="s">
        <v>419</v>
      </c>
      <c r="B6232" s="55" t="n">
        <v>45015</v>
      </c>
      <c r="C6232" s="51" t="s">
        <v>73</v>
      </c>
      <c r="D6232" s="51" t="n">
        <v>0</v>
      </c>
    </row>
    <row r="6233" customFormat="false" ht="15" hidden="true" customHeight="false" outlineLevel="0" collapsed="false">
      <c r="A6233" s="51" t="s">
        <v>424</v>
      </c>
      <c r="B6233" s="55" t="n">
        <v>45015</v>
      </c>
      <c r="C6233" s="51" t="s">
        <v>73</v>
      </c>
      <c r="D6233" s="51" t="n">
        <v>0</v>
      </c>
    </row>
    <row r="6234" customFormat="false" ht="15" hidden="true" customHeight="false" outlineLevel="0" collapsed="false">
      <c r="A6234" s="51" t="s">
        <v>429</v>
      </c>
      <c r="B6234" s="55" t="n">
        <v>45015</v>
      </c>
      <c r="C6234" s="51" t="s">
        <v>73</v>
      </c>
      <c r="D6234" s="51" t="n">
        <v>0</v>
      </c>
    </row>
    <row r="6235" customFormat="false" ht="15" hidden="true" customHeight="false" outlineLevel="0" collapsed="false">
      <c r="A6235" s="51" t="s">
        <v>434</v>
      </c>
      <c r="B6235" s="55" t="n">
        <v>45015</v>
      </c>
      <c r="C6235" s="51" t="s">
        <v>73</v>
      </c>
      <c r="D6235" s="51" t="n">
        <v>0</v>
      </c>
    </row>
    <row r="6236" customFormat="false" ht="15" hidden="true" customHeight="false" outlineLevel="0" collapsed="false">
      <c r="A6236" s="51" t="s">
        <v>438</v>
      </c>
      <c r="B6236" s="55" t="n">
        <v>45015</v>
      </c>
      <c r="C6236" s="51" t="s">
        <v>73</v>
      </c>
      <c r="D6236" s="51" t="n">
        <v>0</v>
      </c>
    </row>
    <row r="6237" customFormat="false" ht="15" hidden="true" customHeight="false" outlineLevel="0" collapsed="false">
      <c r="A6237" s="51" t="s">
        <v>443</v>
      </c>
      <c r="B6237" s="55" t="n">
        <v>45015</v>
      </c>
      <c r="C6237" s="51" t="s">
        <v>73</v>
      </c>
      <c r="D6237" s="51" t="n">
        <v>0</v>
      </c>
    </row>
    <row r="6238" customFormat="false" ht="15" hidden="true" customHeight="false" outlineLevel="0" collapsed="false">
      <c r="A6238" s="51" t="s">
        <v>448</v>
      </c>
      <c r="B6238" s="55" t="n">
        <v>45015</v>
      </c>
      <c r="C6238" s="51" t="s">
        <v>73</v>
      </c>
      <c r="D6238" s="51" t="n">
        <v>0</v>
      </c>
    </row>
    <row r="6239" customFormat="false" ht="15" hidden="true" customHeight="false" outlineLevel="0" collapsed="false">
      <c r="A6239" s="51" t="s">
        <v>453</v>
      </c>
      <c r="B6239" s="55" t="n">
        <v>45015</v>
      </c>
      <c r="C6239" s="51" t="s">
        <v>73</v>
      </c>
      <c r="D6239" s="51" t="n">
        <v>0</v>
      </c>
    </row>
    <row r="6240" customFormat="false" ht="15" hidden="true" customHeight="false" outlineLevel="0" collapsed="false">
      <c r="A6240" s="51" t="s">
        <v>458</v>
      </c>
      <c r="B6240" s="55" t="n">
        <v>45015</v>
      </c>
      <c r="C6240" s="51" t="s">
        <v>73</v>
      </c>
      <c r="D6240" s="51" t="n">
        <v>0</v>
      </c>
    </row>
    <row r="6241" customFormat="false" ht="15" hidden="true" customHeight="false" outlineLevel="0" collapsed="false">
      <c r="A6241" s="51" t="s">
        <v>473</v>
      </c>
      <c r="B6241" s="55" t="n">
        <v>45015</v>
      </c>
      <c r="C6241" s="51" t="s">
        <v>73</v>
      </c>
      <c r="D6241" s="51" t="n">
        <v>0</v>
      </c>
    </row>
    <row r="6242" customFormat="false" ht="15" hidden="true" customHeight="false" outlineLevel="0" collapsed="false">
      <c r="A6242" s="51" t="s">
        <v>479</v>
      </c>
      <c r="B6242" s="55" t="n">
        <v>45015</v>
      </c>
      <c r="C6242" s="51" t="s">
        <v>73</v>
      </c>
      <c r="D6242" s="51" t="n">
        <v>0</v>
      </c>
    </row>
    <row r="6243" customFormat="false" ht="15" hidden="true" customHeight="false" outlineLevel="0" collapsed="false">
      <c r="A6243" s="51" t="s">
        <v>484</v>
      </c>
      <c r="B6243" s="55" t="n">
        <v>45015</v>
      </c>
      <c r="C6243" s="51" t="s">
        <v>73</v>
      </c>
      <c r="D6243" s="51" t="n">
        <v>0</v>
      </c>
    </row>
    <row r="6244" customFormat="false" ht="15" hidden="true" customHeight="false" outlineLevel="0" collapsed="false">
      <c r="A6244" s="51" t="s">
        <v>489</v>
      </c>
      <c r="B6244" s="55" t="n">
        <v>45015</v>
      </c>
      <c r="C6244" s="51" t="s">
        <v>73</v>
      </c>
      <c r="D6244" s="51" t="n">
        <v>0</v>
      </c>
    </row>
    <row r="6245" customFormat="false" ht="15" hidden="true" customHeight="false" outlineLevel="0" collapsed="false">
      <c r="A6245" s="51" t="s">
        <v>494</v>
      </c>
      <c r="B6245" s="55" t="n">
        <v>45015</v>
      </c>
      <c r="C6245" s="51" t="s">
        <v>73</v>
      </c>
      <c r="D6245" s="51" t="n">
        <v>0</v>
      </c>
    </row>
    <row r="6246" customFormat="false" ht="15" hidden="true" customHeight="false" outlineLevel="0" collapsed="false">
      <c r="A6246" s="51" t="s">
        <v>499</v>
      </c>
      <c r="B6246" s="55" t="n">
        <v>45015</v>
      </c>
      <c r="C6246" s="51" t="s">
        <v>73</v>
      </c>
      <c r="D6246" s="51" t="n">
        <v>0</v>
      </c>
    </row>
    <row r="6247" customFormat="false" ht="15" hidden="true" customHeight="false" outlineLevel="0" collapsed="false">
      <c r="A6247" s="51" t="s">
        <v>504</v>
      </c>
      <c r="B6247" s="55" t="n">
        <v>45015</v>
      </c>
      <c r="C6247" s="51" t="s">
        <v>73</v>
      </c>
      <c r="D6247" s="51" t="n">
        <v>0</v>
      </c>
    </row>
    <row r="6248" customFormat="false" ht="15" hidden="true" customHeight="false" outlineLevel="0" collapsed="false">
      <c r="A6248" s="51" t="s">
        <v>509</v>
      </c>
      <c r="B6248" s="55" t="n">
        <v>45015</v>
      </c>
      <c r="C6248" s="51" t="s">
        <v>73</v>
      </c>
      <c r="D6248" s="51" t="n">
        <v>0</v>
      </c>
    </row>
    <row r="6249" customFormat="false" ht="15" hidden="true" customHeight="false" outlineLevel="0" collapsed="false">
      <c r="A6249" s="51" t="s">
        <v>515</v>
      </c>
      <c r="B6249" s="55" t="n">
        <v>45015</v>
      </c>
      <c r="C6249" s="51" t="s">
        <v>73</v>
      </c>
      <c r="D6249" s="51" t="n">
        <v>0</v>
      </c>
    </row>
    <row r="6250" customFormat="false" ht="15" hidden="true" customHeight="false" outlineLevel="0" collapsed="false">
      <c r="A6250" s="51" t="s">
        <v>520</v>
      </c>
      <c r="B6250" s="55" t="n">
        <v>45015</v>
      </c>
      <c r="C6250" s="51" t="s">
        <v>73</v>
      </c>
      <c r="D6250" s="51" t="n">
        <v>0</v>
      </c>
    </row>
    <row r="6251" customFormat="false" ht="15" hidden="true" customHeight="false" outlineLevel="0" collapsed="false">
      <c r="A6251" s="51" t="s">
        <v>525</v>
      </c>
      <c r="B6251" s="55" t="n">
        <v>45015</v>
      </c>
      <c r="C6251" s="51" t="s">
        <v>73</v>
      </c>
      <c r="D6251" s="51" t="n">
        <v>0</v>
      </c>
    </row>
    <row r="6252" customFormat="false" ht="15" hidden="true" customHeight="false" outlineLevel="0" collapsed="false">
      <c r="A6252" s="51" t="s">
        <v>531</v>
      </c>
      <c r="B6252" s="55" t="n">
        <v>45015</v>
      </c>
      <c r="C6252" s="51" t="s">
        <v>73</v>
      </c>
      <c r="D6252" s="51" t="n">
        <v>0</v>
      </c>
    </row>
    <row r="6253" customFormat="false" ht="15" hidden="true" customHeight="false" outlineLevel="0" collapsed="false">
      <c r="A6253" s="51" t="s">
        <v>536</v>
      </c>
      <c r="B6253" s="55" t="n">
        <v>45015</v>
      </c>
      <c r="C6253" s="51" t="s">
        <v>73</v>
      </c>
      <c r="D6253" s="51" t="n">
        <v>0</v>
      </c>
    </row>
    <row r="6254" customFormat="false" ht="15" hidden="true" customHeight="false" outlineLevel="0" collapsed="false">
      <c r="A6254" s="51" t="s">
        <v>541</v>
      </c>
      <c r="B6254" s="55" t="n">
        <v>45015</v>
      </c>
      <c r="C6254" s="51" t="s">
        <v>73</v>
      </c>
      <c r="D6254" s="51" t="n">
        <v>0</v>
      </c>
    </row>
    <row r="6255" customFormat="false" ht="15" hidden="true" customHeight="false" outlineLevel="0" collapsed="false">
      <c r="A6255" s="51" t="s">
        <v>549</v>
      </c>
      <c r="B6255" s="55" t="n">
        <v>45015</v>
      </c>
      <c r="C6255" s="51" t="s">
        <v>73</v>
      </c>
      <c r="D6255" s="51" t="n">
        <v>0</v>
      </c>
    </row>
    <row r="6256" customFormat="false" ht="15" hidden="true" customHeight="false" outlineLevel="0" collapsed="false">
      <c r="A6256" s="51" t="s">
        <v>554</v>
      </c>
      <c r="B6256" s="55" t="n">
        <v>45015</v>
      </c>
      <c r="C6256" s="51" t="s">
        <v>73</v>
      </c>
      <c r="D6256" s="51" t="n">
        <v>0</v>
      </c>
    </row>
    <row r="6257" customFormat="false" ht="15" hidden="true" customHeight="false" outlineLevel="0" collapsed="false">
      <c r="A6257" s="51" t="s">
        <v>559</v>
      </c>
      <c r="B6257" s="55" t="n">
        <v>45015</v>
      </c>
      <c r="C6257" s="51" t="s">
        <v>73</v>
      </c>
      <c r="D6257" s="51" t="n">
        <v>0</v>
      </c>
    </row>
    <row r="6258" customFormat="false" ht="15" hidden="true" customHeight="false" outlineLevel="0" collapsed="false">
      <c r="A6258" s="51" t="s">
        <v>564</v>
      </c>
      <c r="B6258" s="55" t="n">
        <v>45015</v>
      </c>
      <c r="C6258" s="51" t="s">
        <v>73</v>
      </c>
      <c r="D6258" s="51" t="n">
        <v>0</v>
      </c>
    </row>
    <row r="6259" customFormat="false" ht="15" hidden="true" customHeight="false" outlineLevel="0" collapsed="false">
      <c r="A6259" s="51" t="s">
        <v>569</v>
      </c>
      <c r="B6259" s="55" t="n">
        <v>45015</v>
      </c>
      <c r="C6259" s="51" t="s">
        <v>73</v>
      </c>
      <c r="D6259" s="51" t="n">
        <v>0</v>
      </c>
    </row>
    <row r="6260" customFormat="false" ht="15" hidden="true" customHeight="false" outlineLevel="0" collapsed="false">
      <c r="A6260" s="51" t="s">
        <v>574</v>
      </c>
      <c r="B6260" s="55" t="n">
        <v>45015</v>
      </c>
      <c r="C6260" s="51" t="s">
        <v>73</v>
      </c>
      <c r="D6260" s="51" t="n">
        <v>0</v>
      </c>
    </row>
    <row r="6261" customFormat="false" ht="15" hidden="true" customHeight="false" outlineLevel="0" collapsed="false">
      <c r="A6261" s="51" t="s">
        <v>579</v>
      </c>
      <c r="B6261" s="55" t="n">
        <v>45015</v>
      </c>
      <c r="C6261" s="51" t="s">
        <v>73</v>
      </c>
      <c r="D6261" s="51" t="n">
        <v>0</v>
      </c>
    </row>
    <row r="6262" customFormat="false" ht="15" hidden="true" customHeight="false" outlineLevel="0" collapsed="false">
      <c r="A6262" s="51" t="s">
        <v>584</v>
      </c>
      <c r="B6262" s="55" t="n">
        <v>45015</v>
      </c>
      <c r="C6262" s="51" t="s">
        <v>73</v>
      </c>
      <c r="D6262" s="51" t="n">
        <v>0</v>
      </c>
    </row>
    <row r="6263" customFormat="false" ht="15" hidden="true" customHeight="false" outlineLevel="0" collapsed="false">
      <c r="A6263" s="51" t="s">
        <v>589</v>
      </c>
      <c r="B6263" s="55" t="n">
        <v>45015</v>
      </c>
      <c r="C6263" s="51" t="s">
        <v>73</v>
      </c>
      <c r="D6263" s="51" t="n">
        <v>0</v>
      </c>
    </row>
    <row r="6264" customFormat="false" ht="15" hidden="true" customHeight="false" outlineLevel="0" collapsed="false">
      <c r="A6264" s="51" t="s">
        <v>756</v>
      </c>
      <c r="B6264" s="55" t="n">
        <v>45015</v>
      </c>
      <c r="C6264" s="51" t="s">
        <v>73</v>
      </c>
      <c r="D6264" s="51" t="n">
        <v>0</v>
      </c>
    </row>
    <row r="6265" customFormat="false" ht="15" hidden="true" customHeight="false" outlineLevel="0" collapsed="false">
      <c r="A6265" s="51" t="s">
        <v>594</v>
      </c>
      <c r="B6265" s="55" t="n">
        <v>45015</v>
      </c>
      <c r="C6265" s="51" t="s">
        <v>73</v>
      </c>
      <c r="D6265" s="51" t="n">
        <v>0</v>
      </c>
    </row>
    <row r="6266" customFormat="false" ht="15" hidden="true" customHeight="false" outlineLevel="0" collapsed="false">
      <c r="A6266" s="51" t="s">
        <v>761</v>
      </c>
      <c r="B6266" s="55" t="n">
        <v>45015</v>
      </c>
      <c r="C6266" s="51" t="s">
        <v>73</v>
      </c>
      <c r="D6266" s="51" t="n">
        <v>0</v>
      </c>
    </row>
    <row r="6267" customFormat="false" ht="15" hidden="true" customHeight="false" outlineLevel="0" collapsed="false">
      <c r="A6267" s="51" t="s">
        <v>599</v>
      </c>
      <c r="B6267" s="55" t="n">
        <v>45015</v>
      </c>
      <c r="C6267" s="51" t="s">
        <v>73</v>
      </c>
      <c r="D6267" s="51" t="n">
        <v>0</v>
      </c>
    </row>
    <row r="6268" customFormat="false" ht="15" hidden="true" customHeight="false" outlineLevel="0" collapsed="false">
      <c r="A6268" s="51" t="s">
        <v>604</v>
      </c>
      <c r="B6268" s="55" t="n">
        <v>45015</v>
      </c>
      <c r="C6268" s="51" t="s">
        <v>73</v>
      </c>
      <c r="D6268" s="51" t="n">
        <v>0</v>
      </c>
    </row>
    <row r="6269" customFormat="false" ht="15" hidden="true" customHeight="false" outlineLevel="0" collapsed="false">
      <c r="A6269" s="51" t="s">
        <v>609</v>
      </c>
      <c r="B6269" s="55" t="n">
        <v>45015</v>
      </c>
      <c r="C6269" s="51" t="s">
        <v>73</v>
      </c>
      <c r="D6269" s="51" t="n">
        <v>0</v>
      </c>
    </row>
    <row r="6270" customFormat="false" ht="15" hidden="true" customHeight="false" outlineLevel="0" collapsed="false">
      <c r="A6270" s="51" t="s">
        <v>614</v>
      </c>
      <c r="B6270" s="55" t="n">
        <v>45015</v>
      </c>
      <c r="C6270" s="51" t="s">
        <v>73</v>
      </c>
      <c r="D6270" s="51" t="n">
        <v>0</v>
      </c>
    </row>
    <row r="6271" customFormat="false" ht="15" hidden="true" customHeight="false" outlineLevel="0" collapsed="false">
      <c r="A6271" s="51" t="s">
        <v>619</v>
      </c>
      <c r="B6271" s="55" t="n">
        <v>45015</v>
      </c>
      <c r="C6271" s="51" t="s">
        <v>73</v>
      </c>
      <c r="D6271" s="51" t="n">
        <v>0</v>
      </c>
    </row>
    <row r="6272" customFormat="false" ht="15" hidden="true" customHeight="false" outlineLevel="0" collapsed="false">
      <c r="A6272" s="51" t="s">
        <v>624</v>
      </c>
      <c r="B6272" s="55" t="n">
        <v>45015</v>
      </c>
      <c r="C6272" s="51" t="s">
        <v>73</v>
      </c>
      <c r="D6272" s="51" t="n">
        <v>0</v>
      </c>
    </row>
    <row r="6273" customFormat="false" ht="15" hidden="true" customHeight="false" outlineLevel="0" collapsed="false">
      <c r="A6273" s="51" t="s">
        <v>629</v>
      </c>
      <c r="B6273" s="55" t="n">
        <v>45015</v>
      </c>
      <c r="C6273" s="51" t="s">
        <v>73</v>
      </c>
      <c r="D6273" s="51" t="n">
        <v>0</v>
      </c>
    </row>
    <row r="6274" customFormat="false" ht="15" hidden="true" customHeight="false" outlineLevel="0" collapsed="false">
      <c r="A6274" s="51" t="s">
        <v>633</v>
      </c>
      <c r="B6274" s="55" t="n">
        <v>45015</v>
      </c>
      <c r="C6274" s="51" t="s">
        <v>73</v>
      </c>
      <c r="D6274" s="51" t="n">
        <v>0</v>
      </c>
    </row>
    <row r="6275" customFormat="false" ht="15" hidden="true" customHeight="false" outlineLevel="0" collapsed="false">
      <c r="A6275" s="51" t="s">
        <v>638</v>
      </c>
      <c r="B6275" s="55" t="n">
        <v>45015</v>
      </c>
      <c r="C6275" s="51" t="s">
        <v>73</v>
      </c>
      <c r="D6275" s="51" t="n">
        <v>0</v>
      </c>
    </row>
    <row r="6276" customFormat="false" ht="15" hidden="true" customHeight="false" outlineLevel="0" collapsed="false">
      <c r="A6276" s="51" t="s">
        <v>642</v>
      </c>
      <c r="B6276" s="55" t="n">
        <v>45015</v>
      </c>
      <c r="C6276" s="51" t="s">
        <v>73</v>
      </c>
      <c r="D6276" s="51" t="n">
        <v>0</v>
      </c>
    </row>
    <row r="6277" customFormat="false" ht="15" hidden="true" customHeight="false" outlineLevel="0" collapsed="false">
      <c r="A6277" s="51" t="s">
        <v>646</v>
      </c>
      <c r="B6277" s="55" t="n">
        <v>45015</v>
      </c>
      <c r="C6277" s="51" t="s">
        <v>73</v>
      </c>
      <c r="D6277" s="51" t="n">
        <v>0</v>
      </c>
    </row>
    <row r="6278" customFormat="false" ht="15" hidden="true" customHeight="false" outlineLevel="0" collapsed="false">
      <c r="A6278" s="51" t="s">
        <v>651</v>
      </c>
      <c r="B6278" s="55" t="n">
        <v>45015</v>
      </c>
      <c r="C6278" s="51" t="s">
        <v>73</v>
      </c>
      <c r="D6278" s="51" t="n">
        <v>0</v>
      </c>
    </row>
    <row r="6279" customFormat="false" ht="15" hidden="true" customHeight="false" outlineLevel="0" collapsed="false">
      <c r="A6279" s="51" t="s">
        <v>656</v>
      </c>
      <c r="B6279" s="55" t="n">
        <v>45015</v>
      </c>
      <c r="C6279" s="51" t="s">
        <v>73</v>
      </c>
      <c r="D6279" s="51" t="n">
        <v>0</v>
      </c>
    </row>
    <row r="6280" customFormat="false" ht="15" hidden="true" customHeight="false" outlineLevel="0" collapsed="false">
      <c r="A6280" s="51" t="s">
        <v>661</v>
      </c>
      <c r="B6280" s="55" t="n">
        <v>45015</v>
      </c>
      <c r="C6280" s="51" t="s">
        <v>73</v>
      </c>
      <c r="D6280" s="51" t="n">
        <v>0</v>
      </c>
    </row>
    <row r="6281" customFormat="false" ht="15" hidden="true" customHeight="false" outlineLevel="0" collapsed="false">
      <c r="A6281" s="51" t="s">
        <v>666</v>
      </c>
      <c r="B6281" s="55" t="n">
        <v>45015</v>
      </c>
      <c r="C6281" s="51" t="s">
        <v>73</v>
      </c>
      <c r="D6281" s="51" t="n">
        <v>0</v>
      </c>
    </row>
    <row r="6282" customFormat="false" ht="15" hidden="true" customHeight="false" outlineLevel="0" collapsed="false">
      <c r="A6282" s="51" t="s">
        <v>671</v>
      </c>
      <c r="B6282" s="55" t="n">
        <v>45015</v>
      </c>
      <c r="C6282" s="51" t="s">
        <v>73</v>
      </c>
      <c r="D6282" s="51" t="n">
        <v>0</v>
      </c>
    </row>
    <row r="6283" customFormat="false" ht="15" hidden="true" customHeight="false" outlineLevel="0" collapsed="false">
      <c r="A6283" s="51" t="s">
        <v>676</v>
      </c>
      <c r="B6283" s="55" t="n">
        <v>45015</v>
      </c>
      <c r="C6283" s="51" t="s">
        <v>73</v>
      </c>
      <c r="D6283" s="51" t="n">
        <v>0</v>
      </c>
    </row>
    <row r="6284" customFormat="false" ht="15" hidden="true" customHeight="false" outlineLevel="0" collapsed="false">
      <c r="A6284" s="51" t="s">
        <v>681</v>
      </c>
      <c r="B6284" s="55" t="n">
        <v>45015</v>
      </c>
      <c r="C6284" s="51" t="s">
        <v>73</v>
      </c>
      <c r="D6284" s="51" t="n">
        <v>0</v>
      </c>
    </row>
    <row r="6285" customFormat="false" ht="15" hidden="true" customHeight="false" outlineLevel="0" collapsed="false">
      <c r="A6285" s="51" t="s">
        <v>686</v>
      </c>
      <c r="B6285" s="55" t="n">
        <v>45015</v>
      </c>
      <c r="C6285" s="51" t="s">
        <v>73</v>
      </c>
      <c r="D6285" s="51" t="n">
        <v>0</v>
      </c>
    </row>
    <row r="6286" customFormat="false" ht="15" hidden="true" customHeight="false" outlineLevel="0" collapsed="false">
      <c r="A6286" s="51" t="s">
        <v>691</v>
      </c>
      <c r="B6286" s="55" t="n">
        <v>45015</v>
      </c>
      <c r="C6286" s="51" t="s">
        <v>73</v>
      </c>
      <c r="D6286" s="51" t="n">
        <v>0</v>
      </c>
    </row>
    <row r="6287" customFormat="false" ht="15" hidden="true" customHeight="false" outlineLevel="0" collapsed="false">
      <c r="A6287" s="51" t="s">
        <v>696</v>
      </c>
      <c r="B6287" s="55" t="n">
        <v>45015</v>
      </c>
      <c r="C6287" s="51" t="s">
        <v>73</v>
      </c>
      <c r="D6287" s="51" t="n">
        <v>0</v>
      </c>
    </row>
    <row r="6288" customFormat="false" ht="15" hidden="true" customHeight="false" outlineLevel="0" collapsed="false">
      <c r="A6288" s="51" t="s">
        <v>701</v>
      </c>
      <c r="B6288" s="55" t="n">
        <v>45015</v>
      </c>
      <c r="C6288" s="51" t="s">
        <v>73</v>
      </c>
      <c r="D6288" s="51" t="n">
        <v>0</v>
      </c>
    </row>
    <row r="6289" customFormat="false" ht="15" hidden="true" customHeight="false" outlineLevel="0" collapsed="false">
      <c r="A6289" s="51" t="s">
        <v>707</v>
      </c>
      <c r="B6289" s="55" t="n">
        <v>45015</v>
      </c>
      <c r="C6289" s="51" t="s">
        <v>73</v>
      </c>
      <c r="D6289" s="51" t="n">
        <v>0</v>
      </c>
    </row>
    <row r="6290" customFormat="false" ht="15" hidden="true" customHeight="false" outlineLevel="0" collapsed="false">
      <c r="A6290" s="51" t="s">
        <v>712</v>
      </c>
      <c r="B6290" s="55" t="n">
        <v>45015</v>
      </c>
      <c r="C6290" s="51" t="s">
        <v>73</v>
      </c>
      <c r="D6290" s="51" t="n">
        <v>0</v>
      </c>
    </row>
    <row r="6291" customFormat="false" ht="15" hidden="true" customHeight="false" outlineLevel="0" collapsed="false">
      <c r="A6291" s="51" t="s">
        <v>717</v>
      </c>
      <c r="B6291" s="55" t="n">
        <v>45015</v>
      </c>
      <c r="C6291" s="51" t="s">
        <v>73</v>
      </c>
      <c r="D6291" s="51" t="n">
        <v>0</v>
      </c>
    </row>
    <row r="6292" customFormat="false" ht="15" hidden="true" customHeight="false" outlineLevel="0" collapsed="false">
      <c r="A6292" s="51" t="s">
        <v>767</v>
      </c>
      <c r="B6292" s="55" t="n">
        <v>45015</v>
      </c>
      <c r="C6292" s="51" t="s">
        <v>73</v>
      </c>
      <c r="D6292" s="51" t="n">
        <v>0</v>
      </c>
    </row>
    <row r="6293" customFormat="false" ht="15" hidden="true" customHeight="false" outlineLevel="0" collapsed="false">
      <c r="A6293" s="51" t="s">
        <v>722</v>
      </c>
      <c r="B6293" s="55" t="n">
        <v>45015</v>
      </c>
      <c r="C6293" s="51" t="s">
        <v>73</v>
      </c>
      <c r="D6293" s="51" t="n">
        <v>0</v>
      </c>
    </row>
    <row r="6294" customFormat="false" ht="15" hidden="true" customHeight="false" outlineLevel="0" collapsed="false">
      <c r="A6294" s="51" t="s">
        <v>727</v>
      </c>
      <c r="B6294" s="55" t="n">
        <v>45015</v>
      </c>
      <c r="C6294" s="51" t="s">
        <v>73</v>
      </c>
      <c r="D6294" s="51" t="n">
        <v>0</v>
      </c>
    </row>
    <row r="6295" customFormat="false" ht="15" hidden="true" customHeight="false" outlineLevel="0" collapsed="false">
      <c r="A6295" s="51" t="s">
        <v>732</v>
      </c>
      <c r="B6295" s="55" t="n">
        <v>45015</v>
      </c>
      <c r="C6295" s="51" t="s">
        <v>73</v>
      </c>
      <c r="D6295" s="51" t="n">
        <v>0</v>
      </c>
    </row>
    <row r="6296" customFormat="false" ht="15" hidden="true" customHeight="false" outlineLevel="0" collapsed="false">
      <c r="A6296" s="51" t="s">
        <v>736</v>
      </c>
      <c r="B6296" s="55" t="n">
        <v>45015</v>
      </c>
      <c r="C6296" s="51" t="s">
        <v>73</v>
      </c>
      <c r="D6296" s="51" t="n">
        <v>0</v>
      </c>
    </row>
    <row r="6297" customFormat="false" ht="15" hidden="true" customHeight="false" outlineLevel="0" collapsed="false">
      <c r="A6297" s="51" t="s">
        <v>741</v>
      </c>
      <c r="B6297" s="55" t="n">
        <v>45015</v>
      </c>
      <c r="C6297" s="51" t="s">
        <v>73</v>
      </c>
      <c r="D6297" s="51" t="n">
        <v>0</v>
      </c>
    </row>
    <row r="6298" customFormat="false" ht="15" hidden="true" customHeight="false" outlineLevel="0" collapsed="false">
      <c r="A6298" s="51" t="s">
        <v>746</v>
      </c>
      <c r="B6298" s="55" t="n">
        <v>45015</v>
      </c>
      <c r="C6298" s="51" t="s">
        <v>73</v>
      </c>
      <c r="D6298" s="51" t="n">
        <v>0</v>
      </c>
    </row>
    <row r="6299" customFormat="false" ht="15" hidden="true" customHeight="false" outlineLevel="0" collapsed="false">
      <c r="A6299" s="51" t="s">
        <v>751</v>
      </c>
      <c r="B6299" s="55" t="n">
        <v>45015</v>
      </c>
      <c r="C6299" s="51" t="s">
        <v>73</v>
      </c>
      <c r="D6299" s="51" t="n">
        <v>0</v>
      </c>
    </row>
    <row r="6300" customFormat="false" ht="15" hidden="false" customHeight="false" outlineLevel="0" collapsed="false">
      <c r="A6300" s="51" t="s">
        <v>781</v>
      </c>
      <c r="B6300" s="55" t="n">
        <v>45015</v>
      </c>
      <c r="C6300" s="51" t="s">
        <v>791</v>
      </c>
      <c r="D6300" s="51" t="n">
        <v>0</v>
      </c>
    </row>
    <row r="6301" customFormat="false" ht="15" hidden="true" customHeight="false" outlineLevel="0" collapsed="false">
      <c r="A6301" s="51" t="s">
        <v>783</v>
      </c>
      <c r="B6301" s="55" t="n">
        <v>45015</v>
      </c>
      <c r="C6301" s="51" t="s">
        <v>791</v>
      </c>
      <c r="D6301" s="51" t="n">
        <v>0</v>
      </c>
    </row>
    <row r="6302" customFormat="false" ht="15" hidden="true" customHeight="false" outlineLevel="0" collapsed="false">
      <c r="A6302" s="51" t="s">
        <v>96</v>
      </c>
      <c r="B6302" s="55" t="n">
        <v>45015</v>
      </c>
      <c r="C6302" s="51" t="s">
        <v>791</v>
      </c>
      <c r="D6302" s="51" t="n">
        <v>0</v>
      </c>
    </row>
    <row r="6303" customFormat="false" ht="15" hidden="true" customHeight="false" outlineLevel="0" collapsed="false">
      <c r="A6303" s="51" t="s">
        <v>101</v>
      </c>
      <c r="B6303" s="55" t="n">
        <v>45015</v>
      </c>
      <c r="C6303" s="51" t="s">
        <v>791</v>
      </c>
      <c r="D6303" s="51" t="n">
        <v>0</v>
      </c>
    </row>
    <row r="6304" customFormat="false" ht="15" hidden="true" customHeight="false" outlineLevel="0" collapsed="false">
      <c r="A6304" s="51" t="s">
        <v>106</v>
      </c>
      <c r="B6304" s="55" t="n">
        <v>45015</v>
      </c>
      <c r="C6304" s="51" t="s">
        <v>791</v>
      </c>
      <c r="D6304" s="51" t="n">
        <v>0</v>
      </c>
    </row>
    <row r="6305" customFormat="false" ht="15" hidden="true" customHeight="false" outlineLevel="0" collapsed="false">
      <c r="A6305" s="51" t="s">
        <v>110</v>
      </c>
      <c r="B6305" s="55" t="n">
        <v>45015</v>
      </c>
      <c r="C6305" s="51" t="s">
        <v>791</v>
      </c>
      <c r="D6305" s="51" t="n">
        <v>0</v>
      </c>
    </row>
    <row r="6306" customFormat="false" ht="15" hidden="true" customHeight="false" outlineLevel="0" collapsed="false">
      <c r="A6306" s="51" t="s">
        <v>115</v>
      </c>
      <c r="B6306" s="55" t="n">
        <v>45015</v>
      </c>
      <c r="C6306" s="51" t="s">
        <v>791</v>
      </c>
      <c r="D6306" s="51" t="n">
        <v>0</v>
      </c>
    </row>
    <row r="6307" customFormat="false" ht="15" hidden="true" customHeight="false" outlineLevel="0" collapsed="false">
      <c r="A6307" s="51" t="s">
        <v>120</v>
      </c>
      <c r="B6307" s="55" t="n">
        <v>45015</v>
      </c>
      <c r="C6307" s="51" t="s">
        <v>791</v>
      </c>
      <c r="D6307" s="51" t="n">
        <v>0</v>
      </c>
    </row>
    <row r="6308" customFormat="false" ht="15" hidden="true" customHeight="false" outlineLevel="0" collapsed="false">
      <c r="A6308" s="51" t="s">
        <v>124</v>
      </c>
      <c r="B6308" s="55" t="n">
        <v>45015</v>
      </c>
      <c r="C6308" s="51" t="s">
        <v>791</v>
      </c>
      <c r="D6308" s="51" t="n">
        <v>-1157222.22</v>
      </c>
    </row>
    <row r="6309" customFormat="false" ht="15" hidden="true" customHeight="false" outlineLevel="0" collapsed="false">
      <c r="A6309" s="51" t="s">
        <v>129</v>
      </c>
      <c r="B6309" s="55" t="n">
        <v>45015</v>
      </c>
      <c r="C6309" s="51" t="s">
        <v>791</v>
      </c>
      <c r="D6309" s="51" t="n">
        <v>0</v>
      </c>
    </row>
    <row r="6310" customFormat="false" ht="15" hidden="true" customHeight="false" outlineLevel="0" collapsed="false">
      <c r="A6310" s="51" t="s">
        <v>134</v>
      </c>
      <c r="B6310" s="55" t="n">
        <v>45015</v>
      </c>
      <c r="C6310" s="51" t="s">
        <v>791</v>
      </c>
      <c r="D6310" s="51" t="n">
        <v>0</v>
      </c>
    </row>
    <row r="6311" customFormat="false" ht="15" hidden="true" customHeight="false" outlineLevel="0" collapsed="false">
      <c r="A6311" s="51" t="s">
        <v>141</v>
      </c>
      <c r="B6311" s="55" t="n">
        <v>45015</v>
      </c>
      <c r="C6311" s="51" t="s">
        <v>791</v>
      </c>
      <c r="D6311" s="51" t="n">
        <v>0</v>
      </c>
    </row>
    <row r="6312" customFormat="false" ht="15" hidden="true" customHeight="false" outlineLevel="0" collapsed="false">
      <c r="A6312" s="51" t="s">
        <v>146</v>
      </c>
      <c r="B6312" s="55" t="n">
        <v>45015</v>
      </c>
      <c r="C6312" s="51" t="s">
        <v>791</v>
      </c>
      <c r="D6312" s="51" t="n">
        <v>0</v>
      </c>
    </row>
    <row r="6313" customFormat="false" ht="15" hidden="true" customHeight="false" outlineLevel="0" collapsed="false">
      <c r="A6313" s="51" t="s">
        <v>151</v>
      </c>
      <c r="B6313" s="55" t="n">
        <v>45015</v>
      </c>
      <c r="C6313" s="51" t="s">
        <v>791</v>
      </c>
      <c r="D6313" s="51" t="n">
        <v>0</v>
      </c>
    </row>
    <row r="6314" customFormat="false" ht="15" hidden="true" customHeight="false" outlineLevel="0" collapsed="false">
      <c r="A6314" s="51" t="s">
        <v>156</v>
      </c>
      <c r="B6314" s="55" t="n">
        <v>45015</v>
      </c>
      <c r="C6314" s="51" t="s">
        <v>791</v>
      </c>
      <c r="D6314" s="51" t="n">
        <v>0</v>
      </c>
    </row>
    <row r="6315" customFormat="false" ht="15" hidden="true" customHeight="false" outlineLevel="0" collapsed="false">
      <c r="A6315" s="51" t="s">
        <v>161</v>
      </c>
      <c r="B6315" s="55" t="n">
        <v>45015</v>
      </c>
      <c r="C6315" s="51" t="s">
        <v>791</v>
      </c>
      <c r="D6315" s="51" t="n">
        <v>0</v>
      </c>
    </row>
    <row r="6316" customFormat="false" ht="15" hidden="true" customHeight="false" outlineLevel="0" collapsed="false">
      <c r="A6316" s="51" t="s">
        <v>166</v>
      </c>
      <c r="B6316" s="55" t="n">
        <v>45015</v>
      </c>
      <c r="C6316" s="51" t="s">
        <v>791</v>
      </c>
      <c r="D6316" s="51" t="n">
        <v>-712375</v>
      </c>
    </row>
    <row r="6317" customFormat="false" ht="15" hidden="true" customHeight="false" outlineLevel="0" collapsed="false">
      <c r="A6317" s="51" t="s">
        <v>171</v>
      </c>
      <c r="B6317" s="55" t="n">
        <v>45015</v>
      </c>
      <c r="C6317" s="51" t="s">
        <v>791</v>
      </c>
      <c r="D6317" s="51" t="n">
        <v>0</v>
      </c>
    </row>
    <row r="6318" customFormat="false" ht="15" hidden="true" customHeight="false" outlineLevel="0" collapsed="false">
      <c r="A6318" s="51" t="s">
        <v>176</v>
      </c>
      <c r="B6318" s="55" t="n">
        <v>45015</v>
      </c>
      <c r="C6318" s="51" t="s">
        <v>791</v>
      </c>
      <c r="D6318" s="51" t="n">
        <v>0</v>
      </c>
    </row>
    <row r="6319" customFormat="false" ht="15" hidden="true" customHeight="false" outlineLevel="0" collapsed="false">
      <c r="A6319" s="51" t="s">
        <v>181</v>
      </c>
      <c r="B6319" s="55" t="n">
        <v>45015</v>
      </c>
      <c r="C6319" s="51" t="s">
        <v>791</v>
      </c>
      <c r="D6319" s="51" t="n">
        <v>-1525600</v>
      </c>
    </row>
    <row r="6320" customFormat="false" ht="15" hidden="true" customHeight="false" outlineLevel="0" collapsed="false">
      <c r="A6320" s="51" t="s">
        <v>186</v>
      </c>
      <c r="B6320" s="55" t="n">
        <v>45015</v>
      </c>
      <c r="C6320" s="51" t="s">
        <v>791</v>
      </c>
      <c r="D6320" s="51" t="n">
        <v>0</v>
      </c>
    </row>
    <row r="6321" customFormat="false" ht="15" hidden="true" customHeight="false" outlineLevel="0" collapsed="false">
      <c r="A6321" s="51" t="s">
        <v>191</v>
      </c>
      <c r="B6321" s="55" t="n">
        <v>45015</v>
      </c>
      <c r="C6321" s="51" t="s">
        <v>791</v>
      </c>
      <c r="D6321" s="51" t="n">
        <v>0</v>
      </c>
    </row>
    <row r="6322" customFormat="false" ht="15" hidden="true" customHeight="false" outlineLevel="0" collapsed="false">
      <c r="A6322" s="51" t="s">
        <v>196</v>
      </c>
      <c r="B6322" s="55" t="n">
        <v>45015</v>
      </c>
      <c r="C6322" s="51" t="s">
        <v>791</v>
      </c>
      <c r="D6322" s="51" t="n">
        <v>0</v>
      </c>
    </row>
    <row r="6323" customFormat="false" ht="15" hidden="true" customHeight="false" outlineLevel="0" collapsed="false">
      <c r="A6323" s="51" t="s">
        <v>201</v>
      </c>
      <c r="B6323" s="55" t="n">
        <v>45015</v>
      </c>
      <c r="C6323" s="51" t="s">
        <v>791</v>
      </c>
      <c r="D6323" s="51" t="n">
        <v>0</v>
      </c>
    </row>
    <row r="6324" customFormat="false" ht="15" hidden="true" customHeight="false" outlineLevel="0" collapsed="false">
      <c r="A6324" s="51" t="s">
        <v>206</v>
      </c>
      <c r="B6324" s="55" t="n">
        <v>45015</v>
      </c>
      <c r="C6324" s="51" t="s">
        <v>791</v>
      </c>
      <c r="D6324" s="51" t="n">
        <v>0</v>
      </c>
    </row>
    <row r="6325" customFormat="false" ht="15" hidden="true" customHeight="false" outlineLevel="0" collapsed="false">
      <c r="A6325" s="51" t="s">
        <v>210</v>
      </c>
      <c r="B6325" s="55" t="n">
        <v>45015</v>
      </c>
      <c r="C6325" s="51" t="s">
        <v>791</v>
      </c>
      <c r="D6325" s="51" t="n">
        <v>0</v>
      </c>
    </row>
    <row r="6326" customFormat="false" ht="15" hidden="true" customHeight="false" outlineLevel="0" collapsed="false">
      <c r="A6326" s="51" t="s">
        <v>215</v>
      </c>
      <c r="B6326" s="55" t="n">
        <v>45015</v>
      </c>
      <c r="C6326" s="51" t="s">
        <v>791</v>
      </c>
      <c r="D6326" s="51" t="n">
        <v>0</v>
      </c>
    </row>
    <row r="6327" customFormat="false" ht="15" hidden="true" customHeight="false" outlineLevel="0" collapsed="false">
      <c r="A6327" s="51" t="s">
        <v>790</v>
      </c>
      <c r="B6327" s="55" t="n">
        <v>45015</v>
      </c>
      <c r="C6327" s="51" t="s">
        <v>791</v>
      </c>
      <c r="D6327" s="51" t="n">
        <v>0</v>
      </c>
    </row>
    <row r="6328" customFormat="false" ht="15" hidden="true" customHeight="false" outlineLevel="0" collapsed="false">
      <c r="A6328" s="51" t="s">
        <v>225</v>
      </c>
      <c r="B6328" s="55" t="n">
        <v>45015</v>
      </c>
      <c r="C6328" s="51" t="s">
        <v>791</v>
      </c>
      <c r="D6328" s="51" t="n">
        <v>0</v>
      </c>
    </row>
    <row r="6329" customFormat="false" ht="15" hidden="true" customHeight="false" outlineLevel="0" collapsed="false">
      <c r="A6329" s="51" t="s">
        <v>230</v>
      </c>
      <c r="B6329" s="55" t="n">
        <v>45015</v>
      </c>
      <c r="C6329" s="51" t="s">
        <v>791</v>
      </c>
      <c r="D6329" s="51" t="n">
        <v>-200000</v>
      </c>
    </row>
    <row r="6330" customFormat="false" ht="15" hidden="true" customHeight="false" outlineLevel="0" collapsed="false">
      <c r="A6330" s="51" t="s">
        <v>235</v>
      </c>
      <c r="B6330" s="55" t="n">
        <v>45015</v>
      </c>
      <c r="C6330" s="51" t="s">
        <v>791</v>
      </c>
      <c r="D6330" s="51" t="n">
        <v>0</v>
      </c>
    </row>
    <row r="6331" customFormat="false" ht="15" hidden="true" customHeight="false" outlineLevel="0" collapsed="false">
      <c r="A6331" s="51" t="s">
        <v>240</v>
      </c>
      <c r="B6331" s="55" t="n">
        <v>45015</v>
      </c>
      <c r="C6331" s="51" t="s">
        <v>791</v>
      </c>
      <c r="D6331" s="51" t="n">
        <v>0</v>
      </c>
    </row>
    <row r="6332" customFormat="false" ht="15" hidden="true" customHeight="false" outlineLevel="0" collapsed="false">
      <c r="A6332" s="51" t="s">
        <v>246</v>
      </c>
      <c r="B6332" s="55" t="n">
        <v>45015</v>
      </c>
      <c r="C6332" s="51" t="s">
        <v>791</v>
      </c>
      <c r="D6332" s="51" t="n">
        <v>-2000000</v>
      </c>
    </row>
    <row r="6333" customFormat="false" ht="15" hidden="true" customHeight="false" outlineLevel="0" collapsed="false">
      <c r="A6333" s="51" t="s">
        <v>252</v>
      </c>
      <c r="B6333" s="55" t="n">
        <v>45015</v>
      </c>
      <c r="C6333" s="51" t="s">
        <v>791</v>
      </c>
      <c r="D6333" s="51" t="n">
        <v>-1428000</v>
      </c>
    </row>
    <row r="6334" customFormat="false" ht="15" hidden="true" customHeight="false" outlineLevel="0" collapsed="false">
      <c r="A6334" s="51" t="s">
        <v>257</v>
      </c>
      <c r="B6334" s="55" t="n">
        <v>45015</v>
      </c>
      <c r="C6334" s="51" t="s">
        <v>791</v>
      </c>
      <c r="D6334" s="51" t="n">
        <v>-588549.5</v>
      </c>
    </row>
    <row r="6335" customFormat="false" ht="15" hidden="true" customHeight="false" outlineLevel="0" collapsed="false">
      <c r="A6335" s="51" t="s">
        <v>262</v>
      </c>
      <c r="B6335" s="55" t="n">
        <v>45015</v>
      </c>
      <c r="C6335" s="51" t="s">
        <v>791</v>
      </c>
      <c r="D6335" s="51" t="n">
        <v>0</v>
      </c>
    </row>
    <row r="6336" customFormat="false" ht="15" hidden="true" customHeight="false" outlineLevel="0" collapsed="false">
      <c r="A6336" s="51" t="s">
        <v>267</v>
      </c>
      <c r="B6336" s="55" t="n">
        <v>45015</v>
      </c>
      <c r="C6336" s="51" t="s">
        <v>791</v>
      </c>
      <c r="D6336" s="51" t="n">
        <v>0</v>
      </c>
    </row>
    <row r="6337" customFormat="false" ht="15" hidden="true" customHeight="false" outlineLevel="0" collapsed="false">
      <c r="A6337" s="51" t="s">
        <v>272</v>
      </c>
      <c r="B6337" s="55" t="n">
        <v>45015</v>
      </c>
      <c r="C6337" s="51" t="s">
        <v>791</v>
      </c>
      <c r="D6337" s="51" t="n">
        <v>-318500</v>
      </c>
    </row>
    <row r="6338" customFormat="false" ht="15" hidden="true" customHeight="false" outlineLevel="0" collapsed="false">
      <c r="A6338" s="51" t="s">
        <v>277</v>
      </c>
      <c r="B6338" s="55" t="n">
        <v>45015</v>
      </c>
      <c r="C6338" s="51" t="s">
        <v>791</v>
      </c>
      <c r="D6338" s="51" t="n">
        <v>0</v>
      </c>
    </row>
    <row r="6339" customFormat="false" ht="15" hidden="true" customHeight="false" outlineLevel="0" collapsed="false">
      <c r="A6339" s="51" t="s">
        <v>282</v>
      </c>
      <c r="B6339" s="55" t="n">
        <v>45015</v>
      </c>
      <c r="C6339" s="51" t="s">
        <v>791</v>
      </c>
      <c r="D6339" s="51" t="n">
        <v>-200000</v>
      </c>
    </row>
    <row r="6340" customFormat="false" ht="15" hidden="true" customHeight="false" outlineLevel="0" collapsed="false">
      <c r="A6340" s="51" t="s">
        <v>287</v>
      </c>
      <c r="B6340" s="55" t="n">
        <v>45015</v>
      </c>
      <c r="C6340" s="51" t="s">
        <v>791</v>
      </c>
      <c r="D6340" s="51" t="n">
        <v>-35000</v>
      </c>
    </row>
    <row r="6341" customFormat="false" ht="15" hidden="true" customHeight="false" outlineLevel="0" collapsed="false">
      <c r="A6341" s="51" t="s">
        <v>292</v>
      </c>
      <c r="B6341" s="55" t="n">
        <v>45015</v>
      </c>
      <c r="C6341" s="51" t="s">
        <v>791</v>
      </c>
      <c r="D6341" s="51" t="n">
        <v>0</v>
      </c>
    </row>
    <row r="6342" customFormat="false" ht="15" hidden="true" customHeight="false" outlineLevel="0" collapsed="false">
      <c r="A6342" s="51" t="s">
        <v>297</v>
      </c>
      <c r="B6342" s="55" t="n">
        <v>45015</v>
      </c>
      <c r="C6342" s="51" t="s">
        <v>791</v>
      </c>
      <c r="D6342" s="51" t="n">
        <v>-110000</v>
      </c>
    </row>
    <row r="6343" customFormat="false" ht="15" hidden="true" customHeight="false" outlineLevel="0" collapsed="false">
      <c r="A6343" s="51" t="s">
        <v>302</v>
      </c>
      <c r="B6343" s="55" t="n">
        <v>45015</v>
      </c>
      <c r="C6343" s="51" t="s">
        <v>791</v>
      </c>
      <c r="D6343" s="51" t="n">
        <v>-200000</v>
      </c>
    </row>
    <row r="6344" customFormat="false" ht="15" hidden="true" customHeight="false" outlineLevel="0" collapsed="false">
      <c r="A6344" s="51" t="s">
        <v>307</v>
      </c>
      <c r="B6344" s="55" t="n">
        <v>45015</v>
      </c>
      <c r="C6344" s="51" t="s">
        <v>791</v>
      </c>
      <c r="D6344" s="51" t="n">
        <v>0</v>
      </c>
    </row>
    <row r="6345" customFormat="false" ht="15" hidden="true" customHeight="false" outlineLevel="0" collapsed="false">
      <c r="A6345" s="51" t="s">
        <v>311</v>
      </c>
      <c r="B6345" s="55" t="n">
        <v>45015</v>
      </c>
      <c r="C6345" s="51" t="s">
        <v>791</v>
      </c>
      <c r="D6345" s="51" t="n">
        <v>-370249.43</v>
      </c>
    </row>
    <row r="6346" customFormat="false" ht="15" hidden="true" customHeight="false" outlineLevel="0" collapsed="false">
      <c r="A6346" s="51" t="s">
        <v>317</v>
      </c>
      <c r="B6346" s="55" t="n">
        <v>45015</v>
      </c>
      <c r="C6346" s="51" t="s">
        <v>791</v>
      </c>
      <c r="D6346" s="51" t="n">
        <v>-1000000</v>
      </c>
    </row>
    <row r="6347" customFormat="false" ht="15" hidden="true" customHeight="false" outlineLevel="0" collapsed="false">
      <c r="A6347" s="51" t="s">
        <v>322</v>
      </c>
      <c r="B6347" s="55" t="n">
        <v>45015</v>
      </c>
      <c r="C6347" s="51" t="s">
        <v>791</v>
      </c>
      <c r="D6347" s="51" t="n">
        <v>-90000</v>
      </c>
    </row>
    <row r="6348" customFormat="false" ht="15" hidden="true" customHeight="false" outlineLevel="0" collapsed="false">
      <c r="A6348" s="51" t="s">
        <v>327</v>
      </c>
      <c r="B6348" s="55" t="n">
        <v>45015</v>
      </c>
      <c r="C6348" s="51" t="s">
        <v>791</v>
      </c>
      <c r="D6348" s="51" t="n">
        <v>-650000</v>
      </c>
    </row>
    <row r="6349" customFormat="false" ht="15" hidden="true" customHeight="false" outlineLevel="0" collapsed="false">
      <c r="A6349" s="51" t="s">
        <v>332</v>
      </c>
      <c r="B6349" s="55" t="n">
        <v>45015</v>
      </c>
      <c r="C6349" s="51" t="s">
        <v>791</v>
      </c>
      <c r="D6349" s="51" t="n">
        <v>-514000</v>
      </c>
    </row>
    <row r="6350" customFormat="false" ht="15" hidden="true" customHeight="false" outlineLevel="0" collapsed="false">
      <c r="A6350" s="51" t="s">
        <v>339</v>
      </c>
      <c r="B6350" s="55" t="n">
        <v>45015</v>
      </c>
      <c r="C6350" s="51" t="s">
        <v>791</v>
      </c>
      <c r="D6350" s="51" t="n">
        <v>0</v>
      </c>
    </row>
    <row r="6351" customFormat="false" ht="15" hidden="true" customHeight="false" outlineLevel="0" collapsed="false">
      <c r="A6351" s="51" t="s">
        <v>344</v>
      </c>
      <c r="B6351" s="55" t="n">
        <v>45015</v>
      </c>
      <c r="C6351" s="51" t="s">
        <v>791</v>
      </c>
      <c r="D6351" s="51" t="n">
        <v>-700000</v>
      </c>
    </row>
    <row r="6352" customFormat="false" ht="15" hidden="true" customHeight="false" outlineLevel="0" collapsed="false">
      <c r="A6352" s="51" t="s">
        <v>349</v>
      </c>
      <c r="B6352" s="55" t="n">
        <v>45015</v>
      </c>
      <c r="C6352" s="51" t="s">
        <v>791</v>
      </c>
      <c r="D6352" s="51" t="n">
        <v>0</v>
      </c>
    </row>
    <row r="6353" customFormat="false" ht="15" hidden="true" customHeight="false" outlineLevel="0" collapsed="false">
      <c r="A6353" s="51" t="s">
        <v>354</v>
      </c>
      <c r="B6353" s="55" t="n">
        <v>45015</v>
      </c>
      <c r="C6353" s="51" t="s">
        <v>791</v>
      </c>
      <c r="D6353" s="51" t="n">
        <v>-1084000</v>
      </c>
    </row>
    <row r="6354" customFormat="false" ht="15" hidden="true" customHeight="false" outlineLevel="0" collapsed="false">
      <c r="A6354" s="51" t="s">
        <v>359</v>
      </c>
      <c r="B6354" s="55" t="n">
        <v>45015</v>
      </c>
      <c r="C6354" s="51" t="s">
        <v>791</v>
      </c>
      <c r="D6354" s="51" t="n">
        <v>-1108000</v>
      </c>
    </row>
    <row r="6355" customFormat="false" ht="15" hidden="true" customHeight="false" outlineLevel="0" collapsed="false">
      <c r="A6355" s="51" t="s">
        <v>364</v>
      </c>
      <c r="B6355" s="55" t="n">
        <v>45015</v>
      </c>
      <c r="C6355" s="51" t="s">
        <v>791</v>
      </c>
      <c r="D6355" s="51" t="n">
        <v>-361000</v>
      </c>
    </row>
    <row r="6356" customFormat="false" ht="15" hidden="true" customHeight="false" outlineLevel="0" collapsed="false">
      <c r="A6356" s="51" t="s">
        <v>369</v>
      </c>
      <c r="B6356" s="55" t="n">
        <v>45015</v>
      </c>
      <c r="C6356" s="51" t="s">
        <v>791</v>
      </c>
      <c r="D6356" s="51" t="n">
        <v>0</v>
      </c>
    </row>
    <row r="6357" customFormat="false" ht="15" hidden="true" customHeight="false" outlineLevel="0" collapsed="false">
      <c r="A6357" s="51" t="s">
        <v>374</v>
      </c>
      <c r="B6357" s="55" t="n">
        <v>45015</v>
      </c>
      <c r="C6357" s="51" t="s">
        <v>791</v>
      </c>
      <c r="D6357" s="51" t="n">
        <v>1221221.98</v>
      </c>
    </row>
    <row r="6358" customFormat="false" ht="15" hidden="true" customHeight="false" outlineLevel="0" collapsed="false">
      <c r="A6358" s="51" t="s">
        <v>379</v>
      </c>
      <c r="B6358" s="55" t="n">
        <v>45015</v>
      </c>
      <c r="C6358" s="51" t="s">
        <v>791</v>
      </c>
      <c r="D6358" s="51" t="n">
        <v>0</v>
      </c>
    </row>
    <row r="6359" customFormat="false" ht="15" hidden="true" customHeight="false" outlineLevel="0" collapsed="false">
      <c r="A6359" s="51" t="s">
        <v>384</v>
      </c>
      <c r="B6359" s="55" t="n">
        <v>45015</v>
      </c>
      <c r="C6359" s="51" t="s">
        <v>791</v>
      </c>
      <c r="D6359" s="51" t="n">
        <v>1000000</v>
      </c>
    </row>
    <row r="6360" customFormat="false" ht="15" hidden="true" customHeight="false" outlineLevel="0" collapsed="false">
      <c r="A6360" s="51" t="s">
        <v>389</v>
      </c>
      <c r="B6360" s="55" t="n">
        <v>45015</v>
      </c>
      <c r="C6360" s="51" t="s">
        <v>791</v>
      </c>
      <c r="D6360" s="51" t="n">
        <v>0</v>
      </c>
    </row>
    <row r="6361" customFormat="false" ht="15" hidden="true" customHeight="false" outlineLevel="0" collapsed="false">
      <c r="A6361" s="51" t="s">
        <v>394</v>
      </c>
      <c r="B6361" s="55" t="n">
        <v>45015</v>
      </c>
      <c r="C6361" s="51" t="s">
        <v>791</v>
      </c>
      <c r="D6361" s="51" t="n">
        <v>0</v>
      </c>
    </row>
    <row r="6362" customFormat="false" ht="15" hidden="true" customHeight="false" outlineLevel="0" collapsed="false">
      <c r="A6362" s="51" t="s">
        <v>399</v>
      </c>
      <c r="B6362" s="55" t="n">
        <v>45015</v>
      </c>
      <c r="C6362" s="51" t="s">
        <v>791</v>
      </c>
      <c r="D6362" s="51" t="n">
        <v>0</v>
      </c>
    </row>
    <row r="6363" customFormat="false" ht="15" hidden="true" customHeight="false" outlineLevel="0" collapsed="false">
      <c r="A6363" s="51" t="s">
        <v>404</v>
      </c>
      <c r="B6363" s="55" t="n">
        <v>45015</v>
      </c>
      <c r="C6363" s="51" t="s">
        <v>791</v>
      </c>
      <c r="D6363" s="51" t="n">
        <v>0</v>
      </c>
    </row>
    <row r="6364" customFormat="false" ht="15" hidden="true" customHeight="false" outlineLevel="0" collapsed="false">
      <c r="A6364" s="51" t="s">
        <v>409</v>
      </c>
      <c r="B6364" s="55" t="n">
        <v>45015</v>
      </c>
      <c r="C6364" s="51" t="s">
        <v>791</v>
      </c>
      <c r="D6364" s="51" t="n">
        <v>0</v>
      </c>
    </row>
    <row r="6365" customFormat="false" ht="15" hidden="true" customHeight="false" outlineLevel="0" collapsed="false">
      <c r="A6365" s="51" t="s">
        <v>414</v>
      </c>
      <c r="B6365" s="55" t="n">
        <v>45015</v>
      </c>
      <c r="C6365" s="51" t="s">
        <v>791</v>
      </c>
      <c r="D6365" s="51" t="n">
        <v>0</v>
      </c>
    </row>
    <row r="6366" customFormat="false" ht="15" hidden="true" customHeight="false" outlineLevel="0" collapsed="false">
      <c r="A6366" s="51" t="s">
        <v>419</v>
      </c>
      <c r="B6366" s="55" t="n">
        <v>45015</v>
      </c>
      <c r="C6366" s="51" t="s">
        <v>791</v>
      </c>
      <c r="D6366" s="51" t="n">
        <v>0</v>
      </c>
    </row>
    <row r="6367" customFormat="false" ht="15" hidden="true" customHeight="false" outlineLevel="0" collapsed="false">
      <c r="A6367" s="51" t="s">
        <v>424</v>
      </c>
      <c r="B6367" s="55" t="n">
        <v>45015</v>
      </c>
      <c r="C6367" s="51" t="s">
        <v>791</v>
      </c>
      <c r="D6367" s="51" t="n">
        <v>0</v>
      </c>
    </row>
    <row r="6368" customFormat="false" ht="15" hidden="true" customHeight="false" outlineLevel="0" collapsed="false">
      <c r="A6368" s="51" t="s">
        <v>429</v>
      </c>
      <c r="B6368" s="55" t="n">
        <v>45015</v>
      </c>
      <c r="C6368" s="51" t="s">
        <v>791</v>
      </c>
      <c r="D6368" s="51" t="n">
        <v>0</v>
      </c>
    </row>
    <row r="6369" customFormat="false" ht="15" hidden="true" customHeight="false" outlineLevel="0" collapsed="false">
      <c r="A6369" s="51" t="s">
        <v>434</v>
      </c>
      <c r="B6369" s="55" t="n">
        <v>45015</v>
      </c>
      <c r="C6369" s="51" t="s">
        <v>791</v>
      </c>
      <c r="D6369" s="51" t="n">
        <v>0</v>
      </c>
    </row>
    <row r="6370" customFormat="false" ht="15" hidden="true" customHeight="false" outlineLevel="0" collapsed="false">
      <c r="A6370" s="51" t="s">
        <v>438</v>
      </c>
      <c r="B6370" s="55" t="n">
        <v>45015</v>
      </c>
      <c r="C6370" s="51" t="s">
        <v>791</v>
      </c>
      <c r="D6370" s="51" t="n">
        <v>0</v>
      </c>
    </row>
    <row r="6371" customFormat="false" ht="15" hidden="true" customHeight="false" outlineLevel="0" collapsed="false">
      <c r="A6371" s="51" t="s">
        <v>443</v>
      </c>
      <c r="B6371" s="55" t="n">
        <v>45015</v>
      </c>
      <c r="C6371" s="51" t="s">
        <v>791</v>
      </c>
      <c r="D6371" s="51" t="n">
        <v>0</v>
      </c>
    </row>
    <row r="6372" customFormat="false" ht="15" hidden="true" customHeight="false" outlineLevel="0" collapsed="false">
      <c r="A6372" s="51" t="s">
        <v>448</v>
      </c>
      <c r="B6372" s="55" t="n">
        <v>45015</v>
      </c>
      <c r="C6372" s="51" t="s">
        <v>791</v>
      </c>
      <c r="D6372" s="51" t="n">
        <v>0</v>
      </c>
    </row>
    <row r="6373" customFormat="false" ht="15" hidden="true" customHeight="false" outlineLevel="0" collapsed="false">
      <c r="A6373" s="51" t="s">
        <v>453</v>
      </c>
      <c r="B6373" s="55" t="n">
        <v>45015</v>
      </c>
      <c r="C6373" s="51" t="s">
        <v>791</v>
      </c>
      <c r="D6373" s="51" t="n">
        <v>0</v>
      </c>
    </row>
    <row r="6374" customFormat="false" ht="15" hidden="true" customHeight="false" outlineLevel="0" collapsed="false">
      <c r="A6374" s="51" t="s">
        <v>458</v>
      </c>
      <c r="B6374" s="55" t="n">
        <v>45015</v>
      </c>
      <c r="C6374" s="51" t="s">
        <v>791</v>
      </c>
      <c r="D6374" s="51" t="n">
        <v>0</v>
      </c>
    </row>
    <row r="6375" customFormat="false" ht="15" hidden="true" customHeight="false" outlineLevel="0" collapsed="false">
      <c r="A6375" s="51" t="s">
        <v>473</v>
      </c>
      <c r="B6375" s="55" t="n">
        <v>45015</v>
      </c>
      <c r="C6375" s="51" t="s">
        <v>791</v>
      </c>
      <c r="D6375" s="51" t="n">
        <v>0</v>
      </c>
    </row>
    <row r="6376" customFormat="false" ht="15" hidden="true" customHeight="false" outlineLevel="0" collapsed="false">
      <c r="A6376" s="51" t="s">
        <v>479</v>
      </c>
      <c r="B6376" s="55" t="n">
        <v>45015</v>
      </c>
      <c r="C6376" s="51" t="s">
        <v>791</v>
      </c>
      <c r="D6376" s="51" t="n">
        <v>0</v>
      </c>
    </row>
    <row r="6377" customFormat="false" ht="15" hidden="true" customHeight="false" outlineLevel="0" collapsed="false">
      <c r="A6377" s="51" t="s">
        <v>484</v>
      </c>
      <c r="B6377" s="55" t="n">
        <v>45015</v>
      </c>
      <c r="C6377" s="51" t="s">
        <v>791</v>
      </c>
      <c r="D6377" s="51" t="n">
        <v>0</v>
      </c>
    </row>
    <row r="6378" customFormat="false" ht="15" hidden="true" customHeight="false" outlineLevel="0" collapsed="false">
      <c r="A6378" s="51" t="s">
        <v>489</v>
      </c>
      <c r="B6378" s="55" t="n">
        <v>45015</v>
      </c>
      <c r="C6378" s="51" t="s">
        <v>791</v>
      </c>
      <c r="D6378" s="51" t="n">
        <v>0</v>
      </c>
    </row>
    <row r="6379" customFormat="false" ht="15" hidden="true" customHeight="false" outlineLevel="0" collapsed="false">
      <c r="A6379" s="51" t="s">
        <v>494</v>
      </c>
      <c r="B6379" s="55" t="n">
        <v>45015</v>
      </c>
      <c r="C6379" s="51" t="s">
        <v>791</v>
      </c>
      <c r="D6379" s="51" t="n">
        <v>0</v>
      </c>
    </row>
    <row r="6380" customFormat="false" ht="15" hidden="true" customHeight="false" outlineLevel="0" collapsed="false">
      <c r="A6380" s="51" t="s">
        <v>499</v>
      </c>
      <c r="B6380" s="55" t="n">
        <v>45015</v>
      </c>
      <c r="C6380" s="51" t="s">
        <v>791</v>
      </c>
      <c r="D6380" s="51" t="n">
        <v>0</v>
      </c>
    </row>
    <row r="6381" customFormat="false" ht="15" hidden="true" customHeight="false" outlineLevel="0" collapsed="false">
      <c r="A6381" s="51" t="s">
        <v>504</v>
      </c>
      <c r="B6381" s="55" t="n">
        <v>45015</v>
      </c>
      <c r="C6381" s="51" t="s">
        <v>791</v>
      </c>
      <c r="D6381" s="51" t="n">
        <v>0</v>
      </c>
    </row>
    <row r="6382" customFormat="false" ht="15" hidden="true" customHeight="false" outlineLevel="0" collapsed="false">
      <c r="A6382" s="51" t="s">
        <v>509</v>
      </c>
      <c r="B6382" s="55" t="n">
        <v>45015</v>
      </c>
      <c r="C6382" s="51" t="s">
        <v>791</v>
      </c>
      <c r="D6382" s="51" t="n">
        <v>0</v>
      </c>
    </row>
    <row r="6383" customFormat="false" ht="15" hidden="true" customHeight="false" outlineLevel="0" collapsed="false">
      <c r="A6383" s="51" t="s">
        <v>515</v>
      </c>
      <c r="B6383" s="55" t="n">
        <v>45015</v>
      </c>
      <c r="C6383" s="51" t="s">
        <v>791</v>
      </c>
      <c r="D6383" s="51" t="n">
        <v>0</v>
      </c>
    </row>
    <row r="6384" customFormat="false" ht="15" hidden="true" customHeight="false" outlineLevel="0" collapsed="false">
      <c r="A6384" s="51" t="s">
        <v>520</v>
      </c>
      <c r="B6384" s="55" t="n">
        <v>45015</v>
      </c>
      <c r="C6384" s="51" t="s">
        <v>791</v>
      </c>
      <c r="D6384" s="51" t="n">
        <v>0</v>
      </c>
    </row>
    <row r="6385" customFormat="false" ht="15" hidden="true" customHeight="false" outlineLevel="0" collapsed="false">
      <c r="A6385" s="51" t="s">
        <v>525</v>
      </c>
      <c r="B6385" s="55" t="n">
        <v>45015</v>
      </c>
      <c r="C6385" s="51" t="s">
        <v>791</v>
      </c>
      <c r="D6385" s="51" t="n">
        <v>0</v>
      </c>
    </row>
    <row r="6386" customFormat="false" ht="15" hidden="true" customHeight="false" outlineLevel="0" collapsed="false">
      <c r="A6386" s="51" t="s">
        <v>531</v>
      </c>
      <c r="B6386" s="55" t="n">
        <v>45015</v>
      </c>
      <c r="C6386" s="51" t="s">
        <v>791</v>
      </c>
      <c r="D6386" s="51" t="n">
        <v>0</v>
      </c>
    </row>
    <row r="6387" customFormat="false" ht="15" hidden="true" customHeight="false" outlineLevel="0" collapsed="false">
      <c r="A6387" s="51" t="s">
        <v>536</v>
      </c>
      <c r="B6387" s="55" t="n">
        <v>45015</v>
      </c>
      <c r="C6387" s="51" t="s">
        <v>791</v>
      </c>
      <c r="D6387" s="51" t="n">
        <v>0</v>
      </c>
    </row>
    <row r="6388" customFormat="false" ht="15" hidden="true" customHeight="false" outlineLevel="0" collapsed="false">
      <c r="A6388" s="51" t="s">
        <v>541</v>
      </c>
      <c r="B6388" s="55" t="n">
        <v>45015</v>
      </c>
      <c r="C6388" s="51" t="s">
        <v>791</v>
      </c>
      <c r="D6388" s="51" t="n">
        <v>0</v>
      </c>
    </row>
    <row r="6389" customFormat="false" ht="15" hidden="true" customHeight="false" outlineLevel="0" collapsed="false">
      <c r="A6389" s="51" t="s">
        <v>549</v>
      </c>
      <c r="B6389" s="55" t="n">
        <v>45015</v>
      </c>
      <c r="C6389" s="51" t="s">
        <v>791</v>
      </c>
      <c r="D6389" s="51" t="n">
        <v>0</v>
      </c>
    </row>
    <row r="6390" customFormat="false" ht="15" hidden="true" customHeight="false" outlineLevel="0" collapsed="false">
      <c r="A6390" s="51" t="s">
        <v>554</v>
      </c>
      <c r="B6390" s="55" t="n">
        <v>45015</v>
      </c>
      <c r="C6390" s="51" t="s">
        <v>791</v>
      </c>
      <c r="D6390" s="51" t="n">
        <v>0</v>
      </c>
    </row>
    <row r="6391" customFormat="false" ht="15" hidden="true" customHeight="false" outlineLevel="0" collapsed="false">
      <c r="A6391" s="51" t="s">
        <v>559</v>
      </c>
      <c r="B6391" s="55" t="n">
        <v>45015</v>
      </c>
      <c r="C6391" s="51" t="s">
        <v>791</v>
      </c>
      <c r="D6391" s="51" t="n">
        <v>0</v>
      </c>
    </row>
    <row r="6392" customFormat="false" ht="15" hidden="true" customHeight="false" outlineLevel="0" collapsed="false">
      <c r="A6392" s="51" t="s">
        <v>564</v>
      </c>
      <c r="B6392" s="55" t="n">
        <v>45015</v>
      </c>
      <c r="C6392" s="51" t="s">
        <v>791</v>
      </c>
      <c r="D6392" s="51" t="n">
        <v>0</v>
      </c>
    </row>
    <row r="6393" customFormat="false" ht="15" hidden="true" customHeight="false" outlineLevel="0" collapsed="false">
      <c r="A6393" s="51" t="s">
        <v>569</v>
      </c>
      <c r="B6393" s="55" t="n">
        <v>45015</v>
      </c>
      <c r="C6393" s="51" t="s">
        <v>791</v>
      </c>
      <c r="D6393" s="51" t="n">
        <v>0</v>
      </c>
    </row>
    <row r="6394" customFormat="false" ht="15" hidden="true" customHeight="false" outlineLevel="0" collapsed="false">
      <c r="A6394" s="51" t="s">
        <v>574</v>
      </c>
      <c r="B6394" s="55" t="n">
        <v>45015</v>
      </c>
      <c r="C6394" s="51" t="s">
        <v>791</v>
      </c>
      <c r="D6394" s="51" t="n">
        <v>0</v>
      </c>
    </row>
    <row r="6395" customFormat="false" ht="15" hidden="true" customHeight="false" outlineLevel="0" collapsed="false">
      <c r="A6395" s="51" t="s">
        <v>579</v>
      </c>
      <c r="B6395" s="55" t="n">
        <v>45015</v>
      </c>
      <c r="C6395" s="51" t="s">
        <v>791</v>
      </c>
      <c r="D6395" s="51" t="n">
        <v>0</v>
      </c>
    </row>
    <row r="6396" customFormat="false" ht="15" hidden="true" customHeight="false" outlineLevel="0" collapsed="false">
      <c r="A6396" s="51" t="s">
        <v>584</v>
      </c>
      <c r="B6396" s="55" t="n">
        <v>45015</v>
      </c>
      <c r="C6396" s="51" t="s">
        <v>791</v>
      </c>
      <c r="D6396" s="51" t="n">
        <v>0</v>
      </c>
    </row>
    <row r="6397" customFormat="false" ht="15" hidden="true" customHeight="false" outlineLevel="0" collapsed="false">
      <c r="A6397" s="51" t="s">
        <v>589</v>
      </c>
      <c r="B6397" s="55" t="n">
        <v>45015</v>
      </c>
      <c r="C6397" s="51" t="s">
        <v>791</v>
      </c>
      <c r="D6397" s="51" t="n">
        <v>0</v>
      </c>
    </row>
    <row r="6398" customFormat="false" ht="15" hidden="true" customHeight="false" outlineLevel="0" collapsed="false">
      <c r="A6398" s="51" t="s">
        <v>756</v>
      </c>
      <c r="B6398" s="55" t="n">
        <v>45015</v>
      </c>
      <c r="C6398" s="51" t="s">
        <v>791</v>
      </c>
      <c r="D6398" s="51" t="n">
        <v>0</v>
      </c>
    </row>
    <row r="6399" customFormat="false" ht="15" hidden="true" customHeight="false" outlineLevel="0" collapsed="false">
      <c r="A6399" s="51" t="s">
        <v>594</v>
      </c>
      <c r="B6399" s="55" t="n">
        <v>45015</v>
      </c>
      <c r="C6399" s="51" t="s">
        <v>791</v>
      </c>
      <c r="D6399" s="51" t="n">
        <v>0</v>
      </c>
    </row>
    <row r="6400" customFormat="false" ht="15" hidden="true" customHeight="false" outlineLevel="0" collapsed="false">
      <c r="A6400" s="51" t="s">
        <v>761</v>
      </c>
      <c r="B6400" s="55" t="n">
        <v>45015</v>
      </c>
      <c r="C6400" s="51" t="s">
        <v>791</v>
      </c>
      <c r="D6400" s="51" t="n">
        <v>0</v>
      </c>
    </row>
    <row r="6401" customFormat="false" ht="15" hidden="true" customHeight="false" outlineLevel="0" collapsed="false">
      <c r="A6401" s="51" t="s">
        <v>599</v>
      </c>
      <c r="B6401" s="55" t="n">
        <v>45015</v>
      </c>
      <c r="C6401" s="51" t="s">
        <v>791</v>
      </c>
      <c r="D6401" s="51" t="n">
        <v>0</v>
      </c>
    </row>
    <row r="6402" customFormat="false" ht="15" hidden="true" customHeight="false" outlineLevel="0" collapsed="false">
      <c r="A6402" s="51" t="s">
        <v>604</v>
      </c>
      <c r="B6402" s="55" t="n">
        <v>45015</v>
      </c>
      <c r="C6402" s="51" t="s">
        <v>791</v>
      </c>
      <c r="D6402" s="51" t="n">
        <v>0</v>
      </c>
    </row>
    <row r="6403" customFormat="false" ht="15" hidden="true" customHeight="false" outlineLevel="0" collapsed="false">
      <c r="A6403" s="51" t="s">
        <v>609</v>
      </c>
      <c r="B6403" s="55" t="n">
        <v>45015</v>
      </c>
      <c r="C6403" s="51" t="s">
        <v>791</v>
      </c>
      <c r="D6403" s="51" t="n">
        <v>0</v>
      </c>
    </row>
    <row r="6404" customFormat="false" ht="15" hidden="true" customHeight="false" outlineLevel="0" collapsed="false">
      <c r="A6404" s="51" t="s">
        <v>614</v>
      </c>
      <c r="B6404" s="55" t="n">
        <v>45015</v>
      </c>
      <c r="C6404" s="51" t="s">
        <v>791</v>
      </c>
      <c r="D6404" s="51" t="n">
        <v>0</v>
      </c>
    </row>
    <row r="6405" customFormat="false" ht="15" hidden="true" customHeight="false" outlineLevel="0" collapsed="false">
      <c r="A6405" s="51" t="s">
        <v>619</v>
      </c>
      <c r="B6405" s="55" t="n">
        <v>45015</v>
      </c>
      <c r="C6405" s="51" t="s">
        <v>791</v>
      </c>
      <c r="D6405" s="51" t="n">
        <v>0</v>
      </c>
    </row>
    <row r="6406" customFormat="false" ht="15" hidden="true" customHeight="false" outlineLevel="0" collapsed="false">
      <c r="A6406" s="51" t="s">
        <v>624</v>
      </c>
      <c r="B6406" s="55" t="n">
        <v>45015</v>
      </c>
      <c r="C6406" s="51" t="s">
        <v>791</v>
      </c>
      <c r="D6406" s="51" t="n">
        <v>0</v>
      </c>
    </row>
    <row r="6407" customFormat="false" ht="15" hidden="true" customHeight="false" outlineLevel="0" collapsed="false">
      <c r="A6407" s="51" t="s">
        <v>629</v>
      </c>
      <c r="B6407" s="55" t="n">
        <v>45015</v>
      </c>
      <c r="C6407" s="51" t="s">
        <v>791</v>
      </c>
      <c r="D6407" s="51" t="n">
        <v>0</v>
      </c>
    </row>
    <row r="6408" customFormat="false" ht="15" hidden="true" customHeight="false" outlineLevel="0" collapsed="false">
      <c r="A6408" s="51" t="s">
        <v>633</v>
      </c>
      <c r="B6408" s="55" t="n">
        <v>45015</v>
      </c>
      <c r="C6408" s="51" t="s">
        <v>791</v>
      </c>
      <c r="D6408" s="51" t="n">
        <v>0</v>
      </c>
    </row>
    <row r="6409" customFormat="false" ht="15" hidden="true" customHeight="false" outlineLevel="0" collapsed="false">
      <c r="A6409" s="51" t="s">
        <v>638</v>
      </c>
      <c r="B6409" s="55" t="n">
        <v>45015</v>
      </c>
      <c r="C6409" s="51" t="s">
        <v>791</v>
      </c>
      <c r="D6409" s="51" t="n">
        <v>0</v>
      </c>
    </row>
    <row r="6410" customFormat="false" ht="15" hidden="true" customHeight="false" outlineLevel="0" collapsed="false">
      <c r="A6410" s="51" t="s">
        <v>642</v>
      </c>
      <c r="B6410" s="55" t="n">
        <v>45015</v>
      </c>
      <c r="C6410" s="51" t="s">
        <v>791</v>
      </c>
      <c r="D6410" s="51" t="n">
        <v>0</v>
      </c>
    </row>
    <row r="6411" customFormat="false" ht="15" hidden="true" customHeight="false" outlineLevel="0" collapsed="false">
      <c r="A6411" s="51" t="s">
        <v>646</v>
      </c>
      <c r="B6411" s="55" t="n">
        <v>45015</v>
      </c>
      <c r="C6411" s="51" t="s">
        <v>791</v>
      </c>
      <c r="D6411" s="51" t="n">
        <v>0</v>
      </c>
    </row>
    <row r="6412" customFormat="false" ht="15" hidden="true" customHeight="false" outlineLevel="0" collapsed="false">
      <c r="A6412" s="51" t="s">
        <v>651</v>
      </c>
      <c r="B6412" s="55" t="n">
        <v>45015</v>
      </c>
      <c r="C6412" s="51" t="s">
        <v>791</v>
      </c>
      <c r="D6412" s="51" t="n">
        <v>0</v>
      </c>
    </row>
    <row r="6413" customFormat="false" ht="15" hidden="true" customHeight="false" outlineLevel="0" collapsed="false">
      <c r="A6413" s="51" t="s">
        <v>656</v>
      </c>
      <c r="B6413" s="55" t="n">
        <v>45015</v>
      </c>
      <c r="C6413" s="51" t="s">
        <v>791</v>
      </c>
      <c r="D6413" s="51" t="n">
        <v>0</v>
      </c>
    </row>
    <row r="6414" customFormat="false" ht="15" hidden="true" customHeight="false" outlineLevel="0" collapsed="false">
      <c r="A6414" s="51" t="s">
        <v>661</v>
      </c>
      <c r="B6414" s="55" t="n">
        <v>45015</v>
      </c>
      <c r="C6414" s="51" t="s">
        <v>791</v>
      </c>
      <c r="D6414" s="51" t="n">
        <v>0</v>
      </c>
    </row>
    <row r="6415" customFormat="false" ht="15" hidden="true" customHeight="false" outlineLevel="0" collapsed="false">
      <c r="A6415" s="51" t="s">
        <v>666</v>
      </c>
      <c r="B6415" s="55" t="n">
        <v>45015</v>
      </c>
      <c r="C6415" s="51" t="s">
        <v>791</v>
      </c>
      <c r="D6415" s="51" t="n">
        <v>0</v>
      </c>
    </row>
    <row r="6416" customFormat="false" ht="15" hidden="true" customHeight="false" outlineLevel="0" collapsed="false">
      <c r="A6416" s="51" t="s">
        <v>671</v>
      </c>
      <c r="B6416" s="55" t="n">
        <v>45015</v>
      </c>
      <c r="C6416" s="51" t="s">
        <v>791</v>
      </c>
      <c r="D6416" s="51" t="n">
        <v>0</v>
      </c>
    </row>
    <row r="6417" customFormat="false" ht="15" hidden="true" customHeight="false" outlineLevel="0" collapsed="false">
      <c r="A6417" s="51" t="s">
        <v>676</v>
      </c>
      <c r="B6417" s="55" t="n">
        <v>45015</v>
      </c>
      <c r="C6417" s="51" t="s">
        <v>791</v>
      </c>
      <c r="D6417" s="51" t="n">
        <v>0</v>
      </c>
    </row>
    <row r="6418" customFormat="false" ht="15" hidden="true" customHeight="false" outlineLevel="0" collapsed="false">
      <c r="A6418" s="51" t="s">
        <v>681</v>
      </c>
      <c r="B6418" s="55" t="n">
        <v>45015</v>
      </c>
      <c r="C6418" s="51" t="s">
        <v>791</v>
      </c>
      <c r="D6418" s="51" t="n">
        <v>0</v>
      </c>
    </row>
    <row r="6419" customFormat="false" ht="15" hidden="true" customHeight="false" outlineLevel="0" collapsed="false">
      <c r="A6419" s="51" t="s">
        <v>686</v>
      </c>
      <c r="B6419" s="55" t="n">
        <v>45015</v>
      </c>
      <c r="C6419" s="51" t="s">
        <v>791</v>
      </c>
      <c r="D6419" s="51" t="n">
        <v>0</v>
      </c>
    </row>
    <row r="6420" customFormat="false" ht="15" hidden="true" customHeight="false" outlineLevel="0" collapsed="false">
      <c r="A6420" s="51" t="s">
        <v>691</v>
      </c>
      <c r="B6420" s="55" t="n">
        <v>45015</v>
      </c>
      <c r="C6420" s="51" t="s">
        <v>791</v>
      </c>
      <c r="D6420" s="51" t="n">
        <v>0</v>
      </c>
    </row>
    <row r="6421" customFormat="false" ht="15" hidden="true" customHeight="false" outlineLevel="0" collapsed="false">
      <c r="A6421" s="51" t="s">
        <v>696</v>
      </c>
      <c r="B6421" s="55" t="n">
        <v>45015</v>
      </c>
      <c r="C6421" s="51" t="s">
        <v>791</v>
      </c>
      <c r="D6421" s="51" t="n">
        <v>0</v>
      </c>
    </row>
    <row r="6422" customFormat="false" ht="15" hidden="true" customHeight="false" outlineLevel="0" collapsed="false">
      <c r="A6422" s="51" t="s">
        <v>701</v>
      </c>
      <c r="B6422" s="55" t="n">
        <v>45015</v>
      </c>
      <c r="C6422" s="51" t="s">
        <v>791</v>
      </c>
      <c r="D6422" s="51" t="n">
        <v>0</v>
      </c>
    </row>
    <row r="6423" customFormat="false" ht="15" hidden="true" customHeight="false" outlineLevel="0" collapsed="false">
      <c r="A6423" s="51" t="s">
        <v>707</v>
      </c>
      <c r="B6423" s="55" t="n">
        <v>45015</v>
      </c>
      <c r="C6423" s="51" t="s">
        <v>791</v>
      </c>
      <c r="D6423" s="51" t="n">
        <v>0</v>
      </c>
    </row>
    <row r="6424" customFormat="false" ht="15" hidden="true" customHeight="false" outlineLevel="0" collapsed="false">
      <c r="A6424" s="51" t="s">
        <v>712</v>
      </c>
      <c r="B6424" s="55" t="n">
        <v>45015</v>
      </c>
      <c r="C6424" s="51" t="s">
        <v>791</v>
      </c>
      <c r="D6424" s="51" t="n">
        <v>0</v>
      </c>
    </row>
    <row r="6425" customFormat="false" ht="15" hidden="true" customHeight="false" outlineLevel="0" collapsed="false">
      <c r="A6425" s="51" t="s">
        <v>717</v>
      </c>
      <c r="B6425" s="55" t="n">
        <v>45015</v>
      </c>
      <c r="C6425" s="51" t="s">
        <v>791</v>
      </c>
      <c r="D6425" s="51" t="n">
        <v>0</v>
      </c>
    </row>
    <row r="6426" customFormat="false" ht="15" hidden="true" customHeight="false" outlineLevel="0" collapsed="false">
      <c r="A6426" s="51" t="s">
        <v>767</v>
      </c>
      <c r="B6426" s="55" t="n">
        <v>45015</v>
      </c>
      <c r="C6426" s="51" t="s">
        <v>791</v>
      </c>
      <c r="D6426" s="51" t="n">
        <v>0</v>
      </c>
    </row>
    <row r="6427" customFormat="false" ht="15" hidden="true" customHeight="false" outlineLevel="0" collapsed="false">
      <c r="A6427" s="51" t="s">
        <v>722</v>
      </c>
      <c r="B6427" s="55" t="n">
        <v>45015</v>
      </c>
      <c r="C6427" s="51" t="s">
        <v>791</v>
      </c>
      <c r="D6427" s="51" t="n">
        <v>0</v>
      </c>
    </row>
    <row r="6428" customFormat="false" ht="15" hidden="true" customHeight="false" outlineLevel="0" collapsed="false">
      <c r="A6428" s="51" t="s">
        <v>727</v>
      </c>
      <c r="B6428" s="55" t="n">
        <v>45015</v>
      </c>
      <c r="C6428" s="51" t="s">
        <v>791</v>
      </c>
      <c r="D6428" s="51" t="n">
        <v>0</v>
      </c>
    </row>
    <row r="6429" customFormat="false" ht="15" hidden="true" customHeight="false" outlineLevel="0" collapsed="false">
      <c r="A6429" s="51" t="s">
        <v>732</v>
      </c>
      <c r="B6429" s="55" t="n">
        <v>45015</v>
      </c>
      <c r="C6429" s="51" t="s">
        <v>791</v>
      </c>
      <c r="D6429" s="51" t="n">
        <v>0</v>
      </c>
    </row>
    <row r="6430" customFormat="false" ht="15" hidden="true" customHeight="false" outlineLevel="0" collapsed="false">
      <c r="A6430" s="51" t="s">
        <v>736</v>
      </c>
      <c r="B6430" s="55" t="n">
        <v>45015</v>
      </c>
      <c r="C6430" s="51" t="s">
        <v>791</v>
      </c>
      <c r="D6430" s="51" t="n">
        <v>0</v>
      </c>
    </row>
    <row r="6431" customFormat="false" ht="15" hidden="true" customHeight="false" outlineLevel="0" collapsed="false">
      <c r="A6431" s="51" t="s">
        <v>741</v>
      </c>
      <c r="B6431" s="55" t="n">
        <v>45015</v>
      </c>
      <c r="C6431" s="51" t="s">
        <v>791</v>
      </c>
      <c r="D6431" s="51" t="n">
        <v>0</v>
      </c>
    </row>
    <row r="6432" customFormat="false" ht="15" hidden="true" customHeight="false" outlineLevel="0" collapsed="false">
      <c r="A6432" s="51" t="s">
        <v>746</v>
      </c>
      <c r="B6432" s="55" t="n">
        <v>45015</v>
      </c>
      <c r="C6432" s="51" t="s">
        <v>791</v>
      </c>
      <c r="D6432" s="51" t="n">
        <v>0</v>
      </c>
    </row>
    <row r="6433" customFormat="false" ht="15" hidden="true" customHeight="false" outlineLevel="0" collapsed="false">
      <c r="A6433" s="51" t="s">
        <v>751</v>
      </c>
      <c r="B6433" s="55" t="n">
        <v>45015</v>
      </c>
      <c r="C6433" s="51" t="s">
        <v>791</v>
      </c>
      <c r="D6433" s="51" t="n">
        <v>0</v>
      </c>
    </row>
    <row r="6434" customFormat="false" ht="15" hidden="false" customHeight="false" outlineLevel="0" collapsed="false">
      <c r="A6434" s="51" t="s">
        <v>781</v>
      </c>
      <c r="B6434" s="55" t="n">
        <v>45107</v>
      </c>
      <c r="C6434" s="51" t="s">
        <v>782</v>
      </c>
      <c r="D6434" s="51" t="n">
        <v>0</v>
      </c>
    </row>
    <row r="6435" customFormat="false" ht="15" hidden="true" customHeight="false" outlineLevel="0" collapsed="false">
      <c r="A6435" s="51" t="s">
        <v>783</v>
      </c>
      <c r="B6435" s="55" t="n">
        <v>45107</v>
      </c>
      <c r="C6435" s="51" t="s">
        <v>782</v>
      </c>
      <c r="D6435" s="51" t="n">
        <v>0</v>
      </c>
    </row>
    <row r="6436" customFormat="false" ht="15" hidden="true" customHeight="false" outlineLevel="0" collapsed="false">
      <c r="A6436" s="51" t="s">
        <v>96</v>
      </c>
      <c r="B6436" s="55" t="n">
        <v>45107</v>
      </c>
      <c r="C6436" s="51" t="s">
        <v>782</v>
      </c>
      <c r="D6436" s="51" t="n">
        <v>0</v>
      </c>
    </row>
    <row r="6437" customFormat="false" ht="15" hidden="true" customHeight="false" outlineLevel="0" collapsed="false">
      <c r="A6437" s="51" t="s">
        <v>101</v>
      </c>
      <c r="B6437" s="55" t="n">
        <v>45107</v>
      </c>
      <c r="C6437" s="51" t="s">
        <v>782</v>
      </c>
      <c r="D6437" s="51" t="n">
        <v>0</v>
      </c>
    </row>
    <row r="6438" customFormat="false" ht="15" hidden="true" customHeight="false" outlineLevel="0" collapsed="false">
      <c r="A6438" s="51" t="s">
        <v>106</v>
      </c>
      <c r="B6438" s="55" t="n">
        <v>45107</v>
      </c>
      <c r="C6438" s="51" t="s">
        <v>782</v>
      </c>
      <c r="D6438" s="51" t="n">
        <v>0</v>
      </c>
    </row>
    <row r="6439" customFormat="false" ht="15" hidden="true" customHeight="false" outlineLevel="0" collapsed="false">
      <c r="A6439" s="51" t="s">
        <v>110</v>
      </c>
      <c r="B6439" s="55" t="n">
        <v>45107</v>
      </c>
      <c r="C6439" s="51" t="s">
        <v>782</v>
      </c>
      <c r="D6439" s="51" t="n">
        <v>0</v>
      </c>
    </row>
    <row r="6440" customFormat="false" ht="15" hidden="true" customHeight="false" outlineLevel="0" collapsed="false">
      <c r="A6440" s="51" t="s">
        <v>115</v>
      </c>
      <c r="B6440" s="55" t="n">
        <v>45107</v>
      </c>
      <c r="C6440" s="51" t="s">
        <v>782</v>
      </c>
      <c r="D6440" s="51" t="n">
        <v>0</v>
      </c>
    </row>
    <row r="6441" customFormat="false" ht="15" hidden="true" customHeight="false" outlineLevel="0" collapsed="false">
      <c r="A6441" s="51" t="s">
        <v>120</v>
      </c>
      <c r="B6441" s="55" t="n">
        <v>45107</v>
      </c>
      <c r="C6441" s="51" t="s">
        <v>782</v>
      </c>
      <c r="D6441" s="51" t="n">
        <v>0</v>
      </c>
    </row>
    <row r="6442" customFormat="false" ht="15" hidden="true" customHeight="false" outlineLevel="0" collapsed="false">
      <c r="A6442" s="51" t="s">
        <v>124</v>
      </c>
      <c r="B6442" s="55" t="n">
        <v>45107</v>
      </c>
      <c r="C6442" s="51" t="s">
        <v>782</v>
      </c>
      <c r="D6442" s="51" t="n">
        <v>0</v>
      </c>
    </row>
    <row r="6443" customFormat="false" ht="15" hidden="true" customHeight="false" outlineLevel="0" collapsed="false">
      <c r="A6443" s="51" t="s">
        <v>129</v>
      </c>
      <c r="B6443" s="55" t="n">
        <v>45107</v>
      </c>
      <c r="C6443" s="51" t="s">
        <v>782</v>
      </c>
      <c r="D6443" s="51" t="n">
        <v>0</v>
      </c>
    </row>
    <row r="6444" customFormat="false" ht="15" hidden="true" customHeight="false" outlineLevel="0" collapsed="false">
      <c r="A6444" s="51" t="s">
        <v>134</v>
      </c>
      <c r="B6444" s="55" t="n">
        <v>45107</v>
      </c>
      <c r="C6444" s="51" t="s">
        <v>782</v>
      </c>
      <c r="D6444" s="51" t="n">
        <v>0</v>
      </c>
    </row>
    <row r="6445" customFormat="false" ht="15" hidden="true" customHeight="false" outlineLevel="0" collapsed="false">
      <c r="A6445" s="51" t="s">
        <v>141</v>
      </c>
      <c r="B6445" s="55" t="n">
        <v>45107</v>
      </c>
      <c r="C6445" s="51" t="s">
        <v>782</v>
      </c>
      <c r="D6445" s="51" t="n">
        <v>0</v>
      </c>
    </row>
    <row r="6446" customFormat="false" ht="15" hidden="true" customHeight="false" outlineLevel="0" collapsed="false">
      <c r="A6446" s="51" t="s">
        <v>146</v>
      </c>
      <c r="B6446" s="55" t="n">
        <v>45107</v>
      </c>
      <c r="C6446" s="51" t="s">
        <v>782</v>
      </c>
      <c r="D6446" s="51" t="n">
        <v>0</v>
      </c>
    </row>
    <row r="6447" customFormat="false" ht="15" hidden="true" customHeight="false" outlineLevel="0" collapsed="false">
      <c r="A6447" s="51" t="s">
        <v>151</v>
      </c>
      <c r="B6447" s="55" t="n">
        <v>45107</v>
      </c>
      <c r="C6447" s="51" t="s">
        <v>782</v>
      </c>
      <c r="D6447" s="51" t="n">
        <v>0</v>
      </c>
    </row>
    <row r="6448" customFormat="false" ht="15" hidden="true" customHeight="false" outlineLevel="0" collapsed="false">
      <c r="A6448" s="51" t="s">
        <v>156</v>
      </c>
      <c r="B6448" s="55" t="n">
        <v>45107</v>
      </c>
      <c r="C6448" s="51" t="s">
        <v>782</v>
      </c>
      <c r="D6448" s="51" t="n">
        <v>0</v>
      </c>
    </row>
    <row r="6449" customFormat="false" ht="15" hidden="true" customHeight="false" outlineLevel="0" collapsed="false">
      <c r="A6449" s="51" t="s">
        <v>161</v>
      </c>
      <c r="B6449" s="55" t="n">
        <v>45107</v>
      </c>
      <c r="C6449" s="51" t="s">
        <v>782</v>
      </c>
      <c r="D6449" s="51" t="n">
        <v>0</v>
      </c>
    </row>
    <row r="6450" customFormat="false" ht="15" hidden="true" customHeight="false" outlineLevel="0" collapsed="false">
      <c r="A6450" s="51" t="s">
        <v>166</v>
      </c>
      <c r="B6450" s="55" t="n">
        <v>45107</v>
      </c>
      <c r="C6450" s="51" t="s">
        <v>782</v>
      </c>
      <c r="D6450" s="51" t="n">
        <v>0</v>
      </c>
    </row>
    <row r="6451" customFormat="false" ht="15" hidden="true" customHeight="false" outlineLevel="0" collapsed="false">
      <c r="A6451" s="51" t="s">
        <v>171</v>
      </c>
      <c r="B6451" s="55" t="n">
        <v>45107</v>
      </c>
      <c r="C6451" s="51" t="s">
        <v>782</v>
      </c>
      <c r="D6451" s="51" t="n">
        <v>0</v>
      </c>
    </row>
    <row r="6452" customFormat="false" ht="15" hidden="true" customHeight="false" outlineLevel="0" collapsed="false">
      <c r="A6452" s="51" t="s">
        <v>176</v>
      </c>
      <c r="B6452" s="55" t="n">
        <v>45107</v>
      </c>
      <c r="C6452" s="51" t="s">
        <v>782</v>
      </c>
      <c r="D6452" s="51" t="n">
        <v>0</v>
      </c>
    </row>
    <row r="6453" customFormat="false" ht="15" hidden="true" customHeight="false" outlineLevel="0" collapsed="false">
      <c r="A6453" s="51" t="s">
        <v>181</v>
      </c>
      <c r="B6453" s="55" t="n">
        <v>45107</v>
      </c>
      <c r="C6453" s="51" t="s">
        <v>782</v>
      </c>
      <c r="D6453" s="51" t="n">
        <v>0</v>
      </c>
    </row>
    <row r="6454" customFormat="false" ht="15" hidden="true" customHeight="false" outlineLevel="0" collapsed="false">
      <c r="A6454" s="51" t="s">
        <v>186</v>
      </c>
      <c r="B6454" s="55" t="n">
        <v>45107</v>
      </c>
      <c r="C6454" s="51" t="s">
        <v>782</v>
      </c>
      <c r="D6454" s="51" t="n">
        <v>0</v>
      </c>
    </row>
    <row r="6455" customFormat="false" ht="15" hidden="true" customHeight="false" outlineLevel="0" collapsed="false">
      <c r="A6455" s="51" t="s">
        <v>191</v>
      </c>
      <c r="B6455" s="55" t="n">
        <v>45107</v>
      </c>
      <c r="C6455" s="51" t="s">
        <v>782</v>
      </c>
      <c r="D6455" s="51" t="n">
        <v>0</v>
      </c>
    </row>
    <row r="6456" customFormat="false" ht="15" hidden="true" customHeight="false" outlineLevel="0" collapsed="false">
      <c r="A6456" s="51" t="s">
        <v>196</v>
      </c>
      <c r="B6456" s="55" t="n">
        <v>45107</v>
      </c>
      <c r="C6456" s="51" t="s">
        <v>782</v>
      </c>
      <c r="D6456" s="51" t="n">
        <v>0</v>
      </c>
    </row>
    <row r="6457" customFormat="false" ht="15" hidden="true" customHeight="false" outlineLevel="0" collapsed="false">
      <c r="A6457" s="51" t="s">
        <v>201</v>
      </c>
      <c r="B6457" s="55" t="n">
        <v>45107</v>
      </c>
      <c r="C6457" s="51" t="s">
        <v>782</v>
      </c>
      <c r="D6457" s="51" t="n">
        <v>0</v>
      </c>
    </row>
    <row r="6458" customFormat="false" ht="15" hidden="true" customHeight="false" outlineLevel="0" collapsed="false">
      <c r="A6458" s="51" t="s">
        <v>206</v>
      </c>
      <c r="B6458" s="55" t="n">
        <v>45107</v>
      </c>
      <c r="C6458" s="51" t="s">
        <v>782</v>
      </c>
      <c r="D6458" s="51" t="n">
        <v>0</v>
      </c>
    </row>
    <row r="6459" customFormat="false" ht="15" hidden="true" customHeight="false" outlineLevel="0" collapsed="false">
      <c r="A6459" s="51" t="s">
        <v>210</v>
      </c>
      <c r="B6459" s="55" t="n">
        <v>45107</v>
      </c>
      <c r="C6459" s="51" t="s">
        <v>782</v>
      </c>
      <c r="D6459" s="51" t="n">
        <v>0</v>
      </c>
    </row>
    <row r="6460" customFormat="false" ht="15" hidden="true" customHeight="false" outlineLevel="0" collapsed="false">
      <c r="A6460" s="51" t="s">
        <v>215</v>
      </c>
      <c r="B6460" s="55" t="n">
        <v>45107</v>
      </c>
      <c r="C6460" s="51" t="s">
        <v>782</v>
      </c>
      <c r="D6460" s="51" t="n">
        <v>0</v>
      </c>
    </row>
    <row r="6461" customFormat="false" ht="15" hidden="true" customHeight="false" outlineLevel="0" collapsed="false">
      <c r="A6461" s="51" t="s">
        <v>790</v>
      </c>
      <c r="B6461" s="55" t="n">
        <v>45107</v>
      </c>
      <c r="C6461" s="51" t="s">
        <v>782</v>
      </c>
      <c r="D6461" s="51" t="n">
        <v>0</v>
      </c>
    </row>
    <row r="6462" customFormat="false" ht="15" hidden="true" customHeight="false" outlineLevel="0" collapsed="false">
      <c r="A6462" s="51" t="s">
        <v>225</v>
      </c>
      <c r="B6462" s="55" t="n">
        <v>45107</v>
      </c>
      <c r="C6462" s="51" t="s">
        <v>782</v>
      </c>
      <c r="D6462" s="51" t="n">
        <v>0</v>
      </c>
    </row>
    <row r="6463" customFormat="false" ht="15" hidden="true" customHeight="false" outlineLevel="0" collapsed="false">
      <c r="A6463" s="51" t="s">
        <v>230</v>
      </c>
      <c r="B6463" s="55" t="n">
        <v>45107</v>
      </c>
      <c r="C6463" s="51" t="s">
        <v>782</v>
      </c>
      <c r="D6463" s="51" t="n">
        <v>0</v>
      </c>
    </row>
    <row r="6464" customFormat="false" ht="15" hidden="true" customHeight="false" outlineLevel="0" collapsed="false">
      <c r="A6464" s="51" t="s">
        <v>235</v>
      </c>
      <c r="B6464" s="55" t="n">
        <v>45107</v>
      </c>
      <c r="C6464" s="51" t="s">
        <v>782</v>
      </c>
      <c r="D6464" s="51" t="n">
        <v>0</v>
      </c>
    </row>
    <row r="6465" customFormat="false" ht="15" hidden="true" customHeight="false" outlineLevel="0" collapsed="false">
      <c r="A6465" s="51" t="s">
        <v>240</v>
      </c>
      <c r="B6465" s="55" t="n">
        <v>45107</v>
      </c>
      <c r="C6465" s="51" t="s">
        <v>782</v>
      </c>
      <c r="D6465" s="51" t="n">
        <v>0</v>
      </c>
    </row>
    <row r="6466" customFormat="false" ht="15" hidden="true" customHeight="false" outlineLevel="0" collapsed="false">
      <c r="A6466" s="51" t="s">
        <v>246</v>
      </c>
      <c r="B6466" s="55" t="n">
        <v>45107</v>
      </c>
      <c r="C6466" s="51" t="s">
        <v>782</v>
      </c>
      <c r="D6466" s="51" t="n">
        <v>0</v>
      </c>
    </row>
    <row r="6467" customFormat="false" ht="15" hidden="true" customHeight="false" outlineLevel="0" collapsed="false">
      <c r="A6467" s="51" t="s">
        <v>252</v>
      </c>
      <c r="B6467" s="55" t="n">
        <v>45107</v>
      </c>
      <c r="C6467" s="51" t="s">
        <v>782</v>
      </c>
      <c r="D6467" s="51" t="n">
        <v>0</v>
      </c>
    </row>
    <row r="6468" customFormat="false" ht="15" hidden="true" customHeight="false" outlineLevel="0" collapsed="false">
      <c r="A6468" s="51" t="s">
        <v>257</v>
      </c>
      <c r="B6468" s="55" t="n">
        <v>45107</v>
      </c>
      <c r="C6468" s="51" t="s">
        <v>782</v>
      </c>
      <c r="D6468" s="51" t="n">
        <v>0</v>
      </c>
    </row>
    <row r="6469" customFormat="false" ht="15" hidden="true" customHeight="false" outlineLevel="0" collapsed="false">
      <c r="A6469" s="51" t="s">
        <v>262</v>
      </c>
      <c r="B6469" s="55" t="n">
        <v>45107</v>
      </c>
      <c r="C6469" s="51" t="s">
        <v>782</v>
      </c>
      <c r="D6469" s="51" t="n">
        <v>0</v>
      </c>
    </row>
    <row r="6470" customFormat="false" ht="15" hidden="true" customHeight="false" outlineLevel="0" collapsed="false">
      <c r="A6470" s="51" t="s">
        <v>267</v>
      </c>
      <c r="B6470" s="55" t="n">
        <v>45107</v>
      </c>
      <c r="C6470" s="51" t="s">
        <v>782</v>
      </c>
      <c r="D6470" s="51" t="n">
        <v>0</v>
      </c>
    </row>
    <row r="6471" customFormat="false" ht="15" hidden="true" customHeight="false" outlineLevel="0" collapsed="false">
      <c r="A6471" s="51" t="s">
        <v>272</v>
      </c>
      <c r="B6471" s="55" t="n">
        <v>45107</v>
      </c>
      <c r="C6471" s="51" t="s">
        <v>782</v>
      </c>
      <c r="D6471" s="51" t="n">
        <v>0</v>
      </c>
    </row>
    <row r="6472" customFormat="false" ht="15" hidden="true" customHeight="false" outlineLevel="0" collapsed="false">
      <c r="A6472" s="51" t="s">
        <v>277</v>
      </c>
      <c r="B6472" s="55" t="n">
        <v>45107</v>
      </c>
      <c r="C6472" s="51" t="s">
        <v>782</v>
      </c>
      <c r="D6472" s="51" t="n">
        <v>0</v>
      </c>
    </row>
    <row r="6473" customFormat="false" ht="15" hidden="true" customHeight="false" outlineLevel="0" collapsed="false">
      <c r="A6473" s="51" t="s">
        <v>282</v>
      </c>
      <c r="B6473" s="55" t="n">
        <v>45107</v>
      </c>
      <c r="C6473" s="51" t="s">
        <v>782</v>
      </c>
      <c r="D6473" s="51" t="n">
        <v>0</v>
      </c>
    </row>
    <row r="6474" customFormat="false" ht="15" hidden="true" customHeight="false" outlineLevel="0" collapsed="false">
      <c r="A6474" s="51" t="s">
        <v>287</v>
      </c>
      <c r="B6474" s="55" t="n">
        <v>45107</v>
      </c>
      <c r="C6474" s="51" t="s">
        <v>782</v>
      </c>
      <c r="D6474" s="51" t="n">
        <v>0</v>
      </c>
    </row>
    <row r="6475" customFormat="false" ht="15" hidden="true" customHeight="false" outlineLevel="0" collapsed="false">
      <c r="A6475" s="51" t="s">
        <v>292</v>
      </c>
      <c r="B6475" s="55" t="n">
        <v>45107</v>
      </c>
      <c r="C6475" s="51" t="s">
        <v>782</v>
      </c>
      <c r="D6475" s="51" t="n">
        <v>0</v>
      </c>
    </row>
    <row r="6476" customFormat="false" ht="15" hidden="true" customHeight="false" outlineLevel="0" collapsed="false">
      <c r="A6476" s="51" t="s">
        <v>297</v>
      </c>
      <c r="B6476" s="55" t="n">
        <v>45107</v>
      </c>
      <c r="C6476" s="51" t="s">
        <v>782</v>
      </c>
      <c r="D6476" s="51" t="n">
        <v>0</v>
      </c>
    </row>
    <row r="6477" customFormat="false" ht="15" hidden="true" customHeight="false" outlineLevel="0" collapsed="false">
      <c r="A6477" s="51" t="s">
        <v>302</v>
      </c>
      <c r="B6477" s="55" t="n">
        <v>45107</v>
      </c>
      <c r="C6477" s="51" t="s">
        <v>782</v>
      </c>
      <c r="D6477" s="51" t="n">
        <v>0</v>
      </c>
    </row>
    <row r="6478" customFormat="false" ht="15" hidden="true" customHeight="false" outlineLevel="0" collapsed="false">
      <c r="A6478" s="51" t="s">
        <v>307</v>
      </c>
      <c r="B6478" s="55" t="n">
        <v>45107</v>
      </c>
      <c r="C6478" s="51" t="s">
        <v>782</v>
      </c>
      <c r="D6478" s="51" t="n">
        <v>0</v>
      </c>
    </row>
    <row r="6479" customFormat="false" ht="15" hidden="true" customHeight="false" outlineLevel="0" collapsed="false">
      <c r="A6479" s="51" t="s">
        <v>311</v>
      </c>
      <c r="B6479" s="55" t="n">
        <v>45107</v>
      </c>
      <c r="C6479" s="51" t="s">
        <v>782</v>
      </c>
      <c r="D6479" s="51" t="n">
        <v>0</v>
      </c>
    </row>
    <row r="6480" customFormat="false" ht="15" hidden="true" customHeight="false" outlineLevel="0" collapsed="false">
      <c r="A6480" s="51" t="s">
        <v>317</v>
      </c>
      <c r="B6480" s="55" t="n">
        <v>45107</v>
      </c>
      <c r="C6480" s="51" t="s">
        <v>782</v>
      </c>
      <c r="D6480" s="51" t="n">
        <v>0</v>
      </c>
    </row>
    <row r="6481" customFormat="false" ht="15" hidden="true" customHeight="false" outlineLevel="0" collapsed="false">
      <c r="A6481" s="51" t="s">
        <v>322</v>
      </c>
      <c r="B6481" s="55" t="n">
        <v>45107</v>
      </c>
      <c r="C6481" s="51" t="s">
        <v>782</v>
      </c>
      <c r="D6481" s="51" t="n">
        <v>0</v>
      </c>
    </row>
    <row r="6482" customFormat="false" ht="15" hidden="true" customHeight="false" outlineLevel="0" collapsed="false">
      <c r="A6482" s="51" t="s">
        <v>327</v>
      </c>
      <c r="B6482" s="55" t="n">
        <v>45107</v>
      </c>
      <c r="C6482" s="51" t="s">
        <v>782</v>
      </c>
      <c r="D6482" s="51" t="n">
        <v>0</v>
      </c>
    </row>
    <row r="6483" customFormat="false" ht="15" hidden="true" customHeight="false" outlineLevel="0" collapsed="false">
      <c r="A6483" s="51" t="s">
        <v>332</v>
      </c>
      <c r="B6483" s="55" t="n">
        <v>45107</v>
      </c>
      <c r="C6483" s="51" t="s">
        <v>782</v>
      </c>
      <c r="D6483" s="51" t="n">
        <v>1000000</v>
      </c>
    </row>
    <row r="6484" customFormat="false" ht="15" hidden="true" customHeight="false" outlineLevel="0" collapsed="false">
      <c r="A6484" s="51" t="s">
        <v>339</v>
      </c>
      <c r="B6484" s="55" t="n">
        <v>45107</v>
      </c>
      <c r="C6484" s="51" t="s">
        <v>782</v>
      </c>
      <c r="D6484" s="51" t="n">
        <v>0</v>
      </c>
    </row>
    <row r="6485" customFormat="false" ht="15" hidden="true" customHeight="false" outlineLevel="0" collapsed="false">
      <c r="A6485" s="51" t="s">
        <v>344</v>
      </c>
      <c r="B6485" s="55" t="n">
        <v>45107</v>
      </c>
      <c r="C6485" s="51" t="s">
        <v>782</v>
      </c>
      <c r="D6485" s="51" t="n">
        <v>0</v>
      </c>
    </row>
    <row r="6486" customFormat="false" ht="15" hidden="true" customHeight="false" outlineLevel="0" collapsed="false">
      <c r="A6486" s="51" t="s">
        <v>349</v>
      </c>
      <c r="B6486" s="55" t="n">
        <v>45107</v>
      </c>
      <c r="C6486" s="51" t="s">
        <v>782</v>
      </c>
      <c r="D6486" s="51" t="n">
        <v>0</v>
      </c>
    </row>
    <row r="6487" customFormat="false" ht="15" hidden="true" customHeight="false" outlineLevel="0" collapsed="false">
      <c r="A6487" s="51" t="s">
        <v>354</v>
      </c>
      <c r="B6487" s="55" t="n">
        <v>45107</v>
      </c>
      <c r="C6487" s="51" t="s">
        <v>782</v>
      </c>
      <c r="D6487" s="51" t="n">
        <v>0</v>
      </c>
    </row>
    <row r="6488" customFormat="false" ht="15" hidden="true" customHeight="false" outlineLevel="0" collapsed="false">
      <c r="A6488" s="51" t="s">
        <v>359</v>
      </c>
      <c r="B6488" s="55" t="n">
        <v>45107</v>
      </c>
      <c r="C6488" s="51" t="s">
        <v>782</v>
      </c>
      <c r="D6488" s="51" t="n">
        <v>0</v>
      </c>
    </row>
    <row r="6489" customFormat="false" ht="15" hidden="true" customHeight="false" outlineLevel="0" collapsed="false">
      <c r="A6489" s="51" t="s">
        <v>364</v>
      </c>
      <c r="B6489" s="55" t="n">
        <v>45107</v>
      </c>
      <c r="C6489" s="51" t="s">
        <v>782</v>
      </c>
      <c r="D6489" s="51" t="n">
        <v>0</v>
      </c>
    </row>
    <row r="6490" customFormat="false" ht="15" hidden="true" customHeight="false" outlineLevel="0" collapsed="false">
      <c r="A6490" s="51" t="s">
        <v>369</v>
      </c>
      <c r="B6490" s="55" t="n">
        <v>45107</v>
      </c>
      <c r="C6490" s="51" t="s">
        <v>782</v>
      </c>
      <c r="D6490" s="51" t="n">
        <v>1644300</v>
      </c>
    </row>
    <row r="6491" customFormat="false" ht="15" hidden="true" customHeight="false" outlineLevel="0" collapsed="false">
      <c r="A6491" s="51" t="s">
        <v>374</v>
      </c>
      <c r="B6491" s="55" t="n">
        <v>45107</v>
      </c>
      <c r="C6491" s="51" t="s">
        <v>782</v>
      </c>
      <c r="D6491" s="51" t="n">
        <v>0</v>
      </c>
    </row>
    <row r="6492" customFormat="false" ht="15" hidden="true" customHeight="false" outlineLevel="0" collapsed="false">
      <c r="A6492" s="51" t="s">
        <v>379</v>
      </c>
      <c r="B6492" s="55" t="n">
        <v>45107</v>
      </c>
      <c r="C6492" s="51" t="s">
        <v>782</v>
      </c>
      <c r="D6492" s="51" t="n">
        <v>2860551.77</v>
      </c>
    </row>
    <row r="6493" customFormat="false" ht="15" hidden="true" customHeight="false" outlineLevel="0" collapsed="false">
      <c r="A6493" s="51" t="s">
        <v>384</v>
      </c>
      <c r="B6493" s="55" t="n">
        <v>45107</v>
      </c>
      <c r="C6493" s="51" t="s">
        <v>782</v>
      </c>
      <c r="D6493" s="51" t="n">
        <v>0</v>
      </c>
    </row>
    <row r="6494" customFormat="false" ht="15" hidden="true" customHeight="false" outlineLevel="0" collapsed="false">
      <c r="A6494" s="51" t="s">
        <v>389</v>
      </c>
      <c r="B6494" s="55" t="n">
        <v>45107</v>
      </c>
      <c r="C6494" s="51" t="s">
        <v>782</v>
      </c>
      <c r="D6494" s="51" t="n">
        <v>9600000</v>
      </c>
    </row>
    <row r="6495" customFormat="false" ht="15" hidden="true" customHeight="false" outlineLevel="0" collapsed="false">
      <c r="A6495" s="51" t="s">
        <v>394</v>
      </c>
      <c r="B6495" s="55" t="n">
        <v>45107</v>
      </c>
      <c r="C6495" s="51" t="s">
        <v>782</v>
      </c>
      <c r="D6495" s="51" t="n">
        <v>7532011.22</v>
      </c>
    </row>
    <row r="6496" customFormat="false" ht="15" hidden="true" customHeight="false" outlineLevel="0" collapsed="false">
      <c r="A6496" s="51" t="s">
        <v>399</v>
      </c>
      <c r="B6496" s="55" t="n">
        <v>45107</v>
      </c>
      <c r="C6496" s="51" t="s">
        <v>782</v>
      </c>
      <c r="D6496" s="51" t="n">
        <v>500000</v>
      </c>
    </row>
    <row r="6497" customFormat="false" ht="15" hidden="true" customHeight="false" outlineLevel="0" collapsed="false">
      <c r="A6497" s="51" t="s">
        <v>404</v>
      </c>
      <c r="B6497" s="55" t="n">
        <v>45107</v>
      </c>
      <c r="C6497" s="51" t="s">
        <v>782</v>
      </c>
      <c r="D6497" s="51" t="n">
        <v>0</v>
      </c>
    </row>
    <row r="6498" customFormat="false" ht="15" hidden="true" customHeight="false" outlineLevel="0" collapsed="false">
      <c r="A6498" s="51" t="s">
        <v>409</v>
      </c>
      <c r="B6498" s="55" t="n">
        <v>45107</v>
      </c>
      <c r="C6498" s="51" t="s">
        <v>782</v>
      </c>
      <c r="D6498" s="51" t="n">
        <v>3000000</v>
      </c>
    </row>
    <row r="6499" customFormat="false" ht="15" hidden="true" customHeight="false" outlineLevel="0" collapsed="false">
      <c r="A6499" s="51" t="s">
        <v>414</v>
      </c>
      <c r="B6499" s="55" t="n">
        <v>45107</v>
      </c>
      <c r="C6499" s="51" t="s">
        <v>782</v>
      </c>
      <c r="D6499" s="51" t="n">
        <v>0</v>
      </c>
    </row>
    <row r="6500" customFormat="false" ht="15" hidden="true" customHeight="false" outlineLevel="0" collapsed="false">
      <c r="A6500" s="51" t="s">
        <v>419</v>
      </c>
      <c r="B6500" s="55" t="n">
        <v>45107</v>
      </c>
      <c r="C6500" s="51" t="s">
        <v>782</v>
      </c>
      <c r="D6500" s="51" t="n">
        <v>4000000</v>
      </c>
    </row>
    <row r="6501" customFormat="false" ht="15" hidden="true" customHeight="false" outlineLevel="0" collapsed="false">
      <c r="A6501" s="51" t="s">
        <v>424</v>
      </c>
      <c r="B6501" s="55" t="n">
        <v>45107</v>
      </c>
      <c r="C6501" s="51" t="s">
        <v>782</v>
      </c>
      <c r="D6501" s="51" t="n">
        <v>0</v>
      </c>
    </row>
    <row r="6502" customFormat="false" ht="15" hidden="true" customHeight="false" outlineLevel="0" collapsed="false">
      <c r="A6502" s="51" t="s">
        <v>429</v>
      </c>
      <c r="B6502" s="55" t="n">
        <v>45107</v>
      </c>
      <c r="C6502" s="51" t="s">
        <v>782</v>
      </c>
      <c r="D6502" s="51" t="n">
        <v>0</v>
      </c>
    </row>
    <row r="6503" customFormat="false" ht="15" hidden="true" customHeight="false" outlineLevel="0" collapsed="false">
      <c r="A6503" s="51" t="s">
        <v>434</v>
      </c>
      <c r="B6503" s="55" t="n">
        <v>45107</v>
      </c>
      <c r="C6503" s="51" t="s">
        <v>782</v>
      </c>
      <c r="D6503" s="51" t="n">
        <v>0</v>
      </c>
    </row>
    <row r="6504" customFormat="false" ht="15" hidden="true" customHeight="false" outlineLevel="0" collapsed="false">
      <c r="A6504" s="51" t="s">
        <v>438</v>
      </c>
      <c r="B6504" s="55" t="n">
        <v>45107</v>
      </c>
      <c r="C6504" s="51" t="s">
        <v>782</v>
      </c>
      <c r="D6504" s="51" t="n">
        <v>0</v>
      </c>
    </row>
    <row r="6505" customFormat="false" ht="15" hidden="true" customHeight="false" outlineLevel="0" collapsed="false">
      <c r="A6505" s="51" t="s">
        <v>443</v>
      </c>
      <c r="B6505" s="55" t="n">
        <v>45107</v>
      </c>
      <c r="C6505" s="51" t="s">
        <v>782</v>
      </c>
      <c r="D6505" s="51" t="n">
        <v>0</v>
      </c>
    </row>
    <row r="6506" customFormat="false" ht="15" hidden="true" customHeight="false" outlineLevel="0" collapsed="false">
      <c r="A6506" s="51" t="s">
        <v>448</v>
      </c>
      <c r="B6506" s="55" t="n">
        <v>45107</v>
      </c>
      <c r="C6506" s="51" t="s">
        <v>782</v>
      </c>
      <c r="D6506" s="51" t="n">
        <v>0</v>
      </c>
    </row>
    <row r="6507" customFormat="false" ht="15" hidden="true" customHeight="false" outlineLevel="0" collapsed="false">
      <c r="A6507" s="51" t="s">
        <v>453</v>
      </c>
      <c r="B6507" s="55" t="n">
        <v>45107</v>
      </c>
      <c r="C6507" s="51" t="s">
        <v>782</v>
      </c>
      <c r="D6507" s="51" t="n">
        <v>0</v>
      </c>
    </row>
    <row r="6508" customFormat="false" ht="15" hidden="true" customHeight="false" outlineLevel="0" collapsed="false">
      <c r="A6508" s="51" t="s">
        <v>458</v>
      </c>
      <c r="B6508" s="55" t="n">
        <v>45107</v>
      </c>
      <c r="C6508" s="51" t="s">
        <v>782</v>
      </c>
      <c r="D6508" s="51" t="n">
        <v>0</v>
      </c>
    </row>
    <row r="6509" customFormat="false" ht="15" hidden="true" customHeight="false" outlineLevel="0" collapsed="false">
      <c r="A6509" s="51" t="s">
        <v>473</v>
      </c>
      <c r="B6509" s="55" t="n">
        <v>45107</v>
      </c>
      <c r="C6509" s="51" t="s">
        <v>782</v>
      </c>
      <c r="D6509" s="51" t="n">
        <v>0</v>
      </c>
    </row>
    <row r="6510" customFormat="false" ht="15" hidden="true" customHeight="false" outlineLevel="0" collapsed="false">
      <c r="A6510" s="51" t="s">
        <v>479</v>
      </c>
      <c r="B6510" s="55" t="n">
        <v>45107</v>
      </c>
      <c r="C6510" s="51" t="s">
        <v>782</v>
      </c>
      <c r="D6510" s="51" t="n">
        <v>0</v>
      </c>
    </row>
    <row r="6511" customFormat="false" ht="15" hidden="true" customHeight="false" outlineLevel="0" collapsed="false">
      <c r="A6511" s="51" t="s">
        <v>484</v>
      </c>
      <c r="B6511" s="55" t="n">
        <v>45107</v>
      </c>
      <c r="C6511" s="51" t="s">
        <v>782</v>
      </c>
      <c r="D6511" s="51" t="n">
        <v>0</v>
      </c>
    </row>
    <row r="6512" customFormat="false" ht="15" hidden="true" customHeight="false" outlineLevel="0" collapsed="false">
      <c r="A6512" s="51" t="s">
        <v>489</v>
      </c>
      <c r="B6512" s="55" t="n">
        <v>45107</v>
      </c>
      <c r="C6512" s="51" t="s">
        <v>782</v>
      </c>
      <c r="D6512" s="51" t="n">
        <v>0</v>
      </c>
    </row>
    <row r="6513" customFormat="false" ht="15" hidden="true" customHeight="false" outlineLevel="0" collapsed="false">
      <c r="A6513" s="51" t="s">
        <v>494</v>
      </c>
      <c r="B6513" s="55" t="n">
        <v>45107</v>
      </c>
      <c r="C6513" s="51" t="s">
        <v>782</v>
      </c>
      <c r="D6513" s="51" t="n">
        <v>0</v>
      </c>
    </row>
    <row r="6514" customFormat="false" ht="15" hidden="true" customHeight="false" outlineLevel="0" collapsed="false">
      <c r="A6514" s="51" t="s">
        <v>499</v>
      </c>
      <c r="B6514" s="55" t="n">
        <v>45107</v>
      </c>
      <c r="C6514" s="51" t="s">
        <v>782</v>
      </c>
      <c r="D6514" s="51" t="n">
        <v>0</v>
      </c>
    </row>
    <row r="6515" customFormat="false" ht="15" hidden="true" customHeight="false" outlineLevel="0" collapsed="false">
      <c r="A6515" s="51" t="s">
        <v>504</v>
      </c>
      <c r="B6515" s="55" t="n">
        <v>45107</v>
      </c>
      <c r="C6515" s="51" t="s">
        <v>782</v>
      </c>
      <c r="D6515" s="51" t="n">
        <v>0</v>
      </c>
    </row>
    <row r="6516" customFormat="false" ht="15" hidden="true" customHeight="false" outlineLevel="0" collapsed="false">
      <c r="A6516" s="51" t="s">
        <v>509</v>
      </c>
      <c r="B6516" s="55" t="n">
        <v>45107</v>
      </c>
      <c r="C6516" s="51" t="s">
        <v>782</v>
      </c>
      <c r="D6516" s="51" t="n">
        <v>0</v>
      </c>
    </row>
    <row r="6517" customFormat="false" ht="15" hidden="true" customHeight="false" outlineLevel="0" collapsed="false">
      <c r="A6517" s="51" t="s">
        <v>515</v>
      </c>
      <c r="B6517" s="55" t="n">
        <v>45107</v>
      </c>
      <c r="C6517" s="51" t="s">
        <v>782</v>
      </c>
      <c r="D6517" s="51" t="n">
        <v>0</v>
      </c>
    </row>
    <row r="6518" customFormat="false" ht="15" hidden="true" customHeight="false" outlineLevel="0" collapsed="false">
      <c r="A6518" s="51" t="s">
        <v>520</v>
      </c>
      <c r="B6518" s="55" t="n">
        <v>45107</v>
      </c>
      <c r="C6518" s="51" t="s">
        <v>782</v>
      </c>
      <c r="D6518" s="51" t="n">
        <v>0</v>
      </c>
    </row>
    <row r="6519" customFormat="false" ht="15" hidden="true" customHeight="false" outlineLevel="0" collapsed="false">
      <c r="A6519" s="51" t="s">
        <v>525</v>
      </c>
      <c r="B6519" s="55" t="n">
        <v>45107</v>
      </c>
      <c r="C6519" s="51" t="s">
        <v>782</v>
      </c>
      <c r="D6519" s="51" t="n">
        <v>0</v>
      </c>
    </row>
    <row r="6520" customFormat="false" ht="15" hidden="true" customHeight="false" outlineLevel="0" collapsed="false">
      <c r="A6520" s="51" t="s">
        <v>531</v>
      </c>
      <c r="B6520" s="55" t="n">
        <v>45107</v>
      </c>
      <c r="C6520" s="51" t="s">
        <v>782</v>
      </c>
      <c r="D6520" s="51" t="n">
        <v>0</v>
      </c>
    </row>
    <row r="6521" customFormat="false" ht="15" hidden="true" customHeight="false" outlineLevel="0" collapsed="false">
      <c r="A6521" s="51" t="s">
        <v>536</v>
      </c>
      <c r="B6521" s="55" t="n">
        <v>45107</v>
      </c>
      <c r="C6521" s="51" t="s">
        <v>782</v>
      </c>
      <c r="D6521" s="51" t="n">
        <v>0</v>
      </c>
    </row>
    <row r="6522" customFormat="false" ht="15" hidden="true" customHeight="false" outlineLevel="0" collapsed="false">
      <c r="A6522" s="51" t="s">
        <v>541</v>
      </c>
      <c r="B6522" s="55" t="n">
        <v>45107</v>
      </c>
      <c r="C6522" s="51" t="s">
        <v>782</v>
      </c>
      <c r="D6522" s="51" t="n">
        <v>0</v>
      </c>
    </row>
    <row r="6523" customFormat="false" ht="15" hidden="true" customHeight="false" outlineLevel="0" collapsed="false">
      <c r="A6523" s="51" t="s">
        <v>549</v>
      </c>
      <c r="B6523" s="55" t="n">
        <v>45107</v>
      </c>
      <c r="C6523" s="51" t="s">
        <v>782</v>
      </c>
      <c r="D6523" s="51" t="n">
        <v>0</v>
      </c>
    </row>
    <row r="6524" customFormat="false" ht="15" hidden="true" customHeight="false" outlineLevel="0" collapsed="false">
      <c r="A6524" s="51" t="s">
        <v>554</v>
      </c>
      <c r="B6524" s="55" t="n">
        <v>45107</v>
      </c>
      <c r="C6524" s="51" t="s">
        <v>782</v>
      </c>
      <c r="D6524" s="51" t="n">
        <v>0</v>
      </c>
    </row>
    <row r="6525" customFormat="false" ht="15" hidden="true" customHeight="false" outlineLevel="0" collapsed="false">
      <c r="A6525" s="51" t="s">
        <v>559</v>
      </c>
      <c r="B6525" s="55" t="n">
        <v>45107</v>
      </c>
      <c r="C6525" s="51" t="s">
        <v>782</v>
      </c>
      <c r="D6525" s="51" t="n">
        <v>0</v>
      </c>
    </row>
    <row r="6526" customFormat="false" ht="15" hidden="true" customHeight="false" outlineLevel="0" collapsed="false">
      <c r="A6526" s="51" t="s">
        <v>564</v>
      </c>
      <c r="B6526" s="55" t="n">
        <v>45107</v>
      </c>
      <c r="C6526" s="51" t="s">
        <v>782</v>
      </c>
      <c r="D6526" s="51" t="n">
        <v>0</v>
      </c>
    </row>
    <row r="6527" customFormat="false" ht="15" hidden="true" customHeight="false" outlineLevel="0" collapsed="false">
      <c r="A6527" s="51" t="s">
        <v>569</v>
      </c>
      <c r="B6527" s="55" t="n">
        <v>45107</v>
      </c>
      <c r="C6527" s="51" t="s">
        <v>782</v>
      </c>
      <c r="D6527" s="51" t="n">
        <v>0</v>
      </c>
    </row>
    <row r="6528" customFormat="false" ht="15" hidden="true" customHeight="false" outlineLevel="0" collapsed="false">
      <c r="A6528" s="51" t="s">
        <v>574</v>
      </c>
      <c r="B6528" s="55" t="n">
        <v>45107</v>
      </c>
      <c r="C6528" s="51" t="s">
        <v>782</v>
      </c>
      <c r="D6528" s="51" t="n">
        <v>0</v>
      </c>
    </row>
    <row r="6529" customFormat="false" ht="15" hidden="true" customHeight="false" outlineLevel="0" collapsed="false">
      <c r="A6529" s="51" t="s">
        <v>579</v>
      </c>
      <c r="B6529" s="55" t="n">
        <v>45107</v>
      </c>
      <c r="C6529" s="51" t="s">
        <v>782</v>
      </c>
      <c r="D6529" s="51" t="n">
        <v>0</v>
      </c>
    </row>
    <row r="6530" customFormat="false" ht="15" hidden="true" customHeight="false" outlineLevel="0" collapsed="false">
      <c r="A6530" s="51" t="s">
        <v>584</v>
      </c>
      <c r="B6530" s="55" t="n">
        <v>45107</v>
      </c>
      <c r="C6530" s="51" t="s">
        <v>782</v>
      </c>
      <c r="D6530" s="51" t="n">
        <v>0</v>
      </c>
    </row>
    <row r="6531" customFormat="false" ht="15" hidden="true" customHeight="false" outlineLevel="0" collapsed="false">
      <c r="A6531" s="51" t="s">
        <v>589</v>
      </c>
      <c r="B6531" s="55" t="n">
        <v>45107</v>
      </c>
      <c r="C6531" s="51" t="s">
        <v>782</v>
      </c>
      <c r="D6531" s="51" t="n">
        <v>0</v>
      </c>
    </row>
    <row r="6532" customFormat="false" ht="15" hidden="true" customHeight="false" outlineLevel="0" collapsed="false">
      <c r="A6532" s="51" t="s">
        <v>756</v>
      </c>
      <c r="B6532" s="55" t="n">
        <v>45107</v>
      </c>
      <c r="C6532" s="51" t="s">
        <v>782</v>
      </c>
      <c r="D6532" s="51" t="n">
        <v>0</v>
      </c>
    </row>
    <row r="6533" customFormat="false" ht="15" hidden="true" customHeight="false" outlineLevel="0" collapsed="false">
      <c r="A6533" s="51" t="s">
        <v>594</v>
      </c>
      <c r="B6533" s="55" t="n">
        <v>45107</v>
      </c>
      <c r="C6533" s="51" t="s">
        <v>782</v>
      </c>
      <c r="D6533" s="51" t="n">
        <v>0</v>
      </c>
    </row>
    <row r="6534" customFormat="false" ht="15" hidden="true" customHeight="false" outlineLevel="0" collapsed="false">
      <c r="A6534" s="51" t="s">
        <v>761</v>
      </c>
      <c r="B6534" s="55" t="n">
        <v>45107</v>
      </c>
      <c r="C6534" s="51" t="s">
        <v>782</v>
      </c>
      <c r="D6534" s="51" t="n">
        <v>0</v>
      </c>
    </row>
    <row r="6535" customFormat="false" ht="15" hidden="true" customHeight="false" outlineLevel="0" collapsed="false">
      <c r="A6535" s="51" t="s">
        <v>599</v>
      </c>
      <c r="B6535" s="55" t="n">
        <v>45107</v>
      </c>
      <c r="C6535" s="51" t="s">
        <v>782</v>
      </c>
      <c r="D6535" s="51" t="n">
        <v>0</v>
      </c>
    </row>
    <row r="6536" customFormat="false" ht="15" hidden="true" customHeight="false" outlineLevel="0" collapsed="false">
      <c r="A6536" s="51" t="s">
        <v>604</v>
      </c>
      <c r="B6536" s="55" t="n">
        <v>45107</v>
      </c>
      <c r="C6536" s="51" t="s">
        <v>782</v>
      </c>
      <c r="D6536" s="51" t="n">
        <v>0</v>
      </c>
    </row>
    <row r="6537" customFormat="false" ht="15" hidden="true" customHeight="false" outlineLevel="0" collapsed="false">
      <c r="A6537" s="51" t="s">
        <v>609</v>
      </c>
      <c r="B6537" s="55" t="n">
        <v>45107</v>
      </c>
      <c r="C6537" s="51" t="s">
        <v>782</v>
      </c>
      <c r="D6537" s="51" t="n">
        <v>0</v>
      </c>
    </row>
    <row r="6538" customFormat="false" ht="15" hidden="true" customHeight="false" outlineLevel="0" collapsed="false">
      <c r="A6538" s="51" t="s">
        <v>614</v>
      </c>
      <c r="B6538" s="55" t="n">
        <v>45107</v>
      </c>
      <c r="C6538" s="51" t="s">
        <v>782</v>
      </c>
      <c r="D6538" s="51" t="n">
        <v>0</v>
      </c>
    </row>
    <row r="6539" customFormat="false" ht="15" hidden="true" customHeight="false" outlineLevel="0" collapsed="false">
      <c r="A6539" s="51" t="s">
        <v>619</v>
      </c>
      <c r="B6539" s="55" t="n">
        <v>45107</v>
      </c>
      <c r="C6539" s="51" t="s">
        <v>782</v>
      </c>
      <c r="D6539" s="51" t="n">
        <v>0</v>
      </c>
    </row>
    <row r="6540" customFormat="false" ht="15" hidden="true" customHeight="false" outlineLevel="0" collapsed="false">
      <c r="A6540" s="51" t="s">
        <v>624</v>
      </c>
      <c r="B6540" s="55" t="n">
        <v>45107</v>
      </c>
      <c r="C6540" s="51" t="s">
        <v>782</v>
      </c>
      <c r="D6540" s="51" t="n">
        <v>0</v>
      </c>
    </row>
    <row r="6541" customFormat="false" ht="15" hidden="true" customHeight="false" outlineLevel="0" collapsed="false">
      <c r="A6541" s="51" t="s">
        <v>629</v>
      </c>
      <c r="B6541" s="55" t="n">
        <v>45107</v>
      </c>
      <c r="C6541" s="51" t="s">
        <v>782</v>
      </c>
      <c r="D6541" s="51" t="n">
        <v>0</v>
      </c>
    </row>
    <row r="6542" customFormat="false" ht="15" hidden="true" customHeight="false" outlineLevel="0" collapsed="false">
      <c r="A6542" s="51" t="s">
        <v>633</v>
      </c>
      <c r="B6542" s="55" t="n">
        <v>45107</v>
      </c>
      <c r="C6542" s="51" t="s">
        <v>782</v>
      </c>
      <c r="D6542" s="51" t="n">
        <v>0</v>
      </c>
    </row>
    <row r="6543" customFormat="false" ht="15" hidden="true" customHeight="false" outlineLevel="0" collapsed="false">
      <c r="A6543" s="51" t="s">
        <v>638</v>
      </c>
      <c r="B6543" s="55" t="n">
        <v>45107</v>
      </c>
      <c r="C6543" s="51" t="s">
        <v>782</v>
      </c>
      <c r="D6543" s="51" t="n">
        <v>0</v>
      </c>
    </row>
    <row r="6544" customFormat="false" ht="15" hidden="true" customHeight="false" outlineLevel="0" collapsed="false">
      <c r="A6544" s="51" t="s">
        <v>642</v>
      </c>
      <c r="B6544" s="55" t="n">
        <v>45107</v>
      </c>
      <c r="C6544" s="51" t="s">
        <v>782</v>
      </c>
      <c r="D6544" s="51" t="n">
        <v>0</v>
      </c>
    </row>
    <row r="6545" customFormat="false" ht="15" hidden="true" customHeight="false" outlineLevel="0" collapsed="false">
      <c r="A6545" s="51" t="s">
        <v>646</v>
      </c>
      <c r="B6545" s="55" t="n">
        <v>45107</v>
      </c>
      <c r="C6545" s="51" t="s">
        <v>782</v>
      </c>
      <c r="D6545" s="51" t="n">
        <v>0</v>
      </c>
    </row>
    <row r="6546" customFormat="false" ht="15" hidden="true" customHeight="false" outlineLevel="0" collapsed="false">
      <c r="A6546" s="51" t="s">
        <v>651</v>
      </c>
      <c r="B6546" s="55" t="n">
        <v>45107</v>
      </c>
      <c r="C6546" s="51" t="s">
        <v>782</v>
      </c>
      <c r="D6546" s="51" t="n">
        <v>0</v>
      </c>
    </row>
    <row r="6547" customFormat="false" ht="15" hidden="true" customHeight="false" outlineLevel="0" collapsed="false">
      <c r="A6547" s="51" t="s">
        <v>656</v>
      </c>
      <c r="B6547" s="55" t="n">
        <v>45107</v>
      </c>
      <c r="C6547" s="51" t="s">
        <v>782</v>
      </c>
      <c r="D6547" s="51" t="n">
        <v>0</v>
      </c>
    </row>
    <row r="6548" customFormat="false" ht="15" hidden="true" customHeight="false" outlineLevel="0" collapsed="false">
      <c r="A6548" s="51" t="s">
        <v>661</v>
      </c>
      <c r="B6548" s="55" t="n">
        <v>45107</v>
      </c>
      <c r="C6548" s="51" t="s">
        <v>782</v>
      </c>
      <c r="D6548" s="51" t="n">
        <v>0</v>
      </c>
    </row>
    <row r="6549" customFormat="false" ht="15" hidden="true" customHeight="false" outlineLevel="0" collapsed="false">
      <c r="A6549" s="51" t="s">
        <v>666</v>
      </c>
      <c r="B6549" s="55" t="n">
        <v>45107</v>
      </c>
      <c r="C6549" s="51" t="s">
        <v>782</v>
      </c>
      <c r="D6549" s="51" t="n">
        <v>0</v>
      </c>
    </row>
    <row r="6550" customFormat="false" ht="15" hidden="true" customHeight="false" outlineLevel="0" collapsed="false">
      <c r="A6550" s="51" t="s">
        <v>671</v>
      </c>
      <c r="B6550" s="55" t="n">
        <v>45107</v>
      </c>
      <c r="C6550" s="51" t="s">
        <v>782</v>
      </c>
      <c r="D6550" s="51" t="n">
        <v>0</v>
      </c>
    </row>
    <row r="6551" customFormat="false" ht="15" hidden="true" customHeight="false" outlineLevel="0" collapsed="false">
      <c r="A6551" s="51" t="s">
        <v>676</v>
      </c>
      <c r="B6551" s="55" t="n">
        <v>45107</v>
      </c>
      <c r="C6551" s="51" t="s">
        <v>782</v>
      </c>
      <c r="D6551" s="51" t="n">
        <v>0</v>
      </c>
    </row>
    <row r="6552" customFormat="false" ht="15" hidden="true" customHeight="false" outlineLevel="0" collapsed="false">
      <c r="A6552" s="51" t="s">
        <v>681</v>
      </c>
      <c r="B6552" s="55" t="n">
        <v>45107</v>
      </c>
      <c r="C6552" s="51" t="s">
        <v>782</v>
      </c>
      <c r="D6552" s="51" t="n">
        <v>0</v>
      </c>
    </row>
    <row r="6553" customFormat="false" ht="15" hidden="true" customHeight="false" outlineLevel="0" collapsed="false">
      <c r="A6553" s="51" t="s">
        <v>686</v>
      </c>
      <c r="B6553" s="55" t="n">
        <v>45107</v>
      </c>
      <c r="C6553" s="51" t="s">
        <v>782</v>
      </c>
      <c r="D6553" s="51" t="n">
        <v>0</v>
      </c>
    </row>
    <row r="6554" customFormat="false" ht="15" hidden="true" customHeight="false" outlineLevel="0" collapsed="false">
      <c r="A6554" s="51" t="s">
        <v>691</v>
      </c>
      <c r="B6554" s="55" t="n">
        <v>45107</v>
      </c>
      <c r="C6554" s="51" t="s">
        <v>782</v>
      </c>
      <c r="D6554" s="51" t="n">
        <v>0</v>
      </c>
    </row>
    <row r="6555" customFormat="false" ht="15" hidden="true" customHeight="false" outlineLevel="0" collapsed="false">
      <c r="A6555" s="51" t="s">
        <v>696</v>
      </c>
      <c r="B6555" s="55" t="n">
        <v>45107</v>
      </c>
      <c r="C6555" s="51" t="s">
        <v>782</v>
      </c>
      <c r="D6555" s="51" t="n">
        <v>0</v>
      </c>
    </row>
    <row r="6556" customFormat="false" ht="15" hidden="true" customHeight="false" outlineLevel="0" collapsed="false">
      <c r="A6556" s="51" t="s">
        <v>701</v>
      </c>
      <c r="B6556" s="55" t="n">
        <v>45107</v>
      </c>
      <c r="C6556" s="51" t="s">
        <v>782</v>
      </c>
      <c r="D6556" s="51" t="n">
        <v>0</v>
      </c>
    </row>
    <row r="6557" customFormat="false" ht="15" hidden="true" customHeight="false" outlineLevel="0" collapsed="false">
      <c r="A6557" s="51" t="s">
        <v>707</v>
      </c>
      <c r="B6557" s="55" t="n">
        <v>45107</v>
      </c>
      <c r="C6557" s="51" t="s">
        <v>782</v>
      </c>
      <c r="D6557" s="51" t="n">
        <v>0</v>
      </c>
    </row>
    <row r="6558" customFormat="false" ht="15" hidden="true" customHeight="false" outlineLevel="0" collapsed="false">
      <c r="A6558" s="51" t="s">
        <v>712</v>
      </c>
      <c r="B6558" s="55" t="n">
        <v>45107</v>
      </c>
      <c r="C6558" s="51" t="s">
        <v>782</v>
      </c>
      <c r="D6558" s="51" t="n">
        <v>0</v>
      </c>
    </row>
    <row r="6559" customFormat="false" ht="15" hidden="true" customHeight="false" outlineLevel="0" collapsed="false">
      <c r="A6559" s="51" t="s">
        <v>717</v>
      </c>
      <c r="B6559" s="55" t="n">
        <v>45107</v>
      </c>
      <c r="C6559" s="51" t="s">
        <v>782</v>
      </c>
      <c r="D6559" s="51" t="n">
        <v>0</v>
      </c>
    </row>
    <row r="6560" customFormat="false" ht="15" hidden="true" customHeight="false" outlineLevel="0" collapsed="false">
      <c r="A6560" s="51" t="s">
        <v>767</v>
      </c>
      <c r="B6560" s="55" t="n">
        <v>45107</v>
      </c>
      <c r="C6560" s="51" t="s">
        <v>782</v>
      </c>
      <c r="D6560" s="51" t="n">
        <v>0</v>
      </c>
    </row>
    <row r="6561" customFormat="false" ht="15" hidden="true" customHeight="false" outlineLevel="0" collapsed="false">
      <c r="A6561" s="51" t="s">
        <v>722</v>
      </c>
      <c r="B6561" s="55" t="n">
        <v>45107</v>
      </c>
      <c r="C6561" s="51" t="s">
        <v>782</v>
      </c>
      <c r="D6561" s="51" t="n">
        <v>0</v>
      </c>
    </row>
    <row r="6562" customFormat="false" ht="15" hidden="true" customHeight="false" outlineLevel="0" collapsed="false">
      <c r="A6562" s="51" t="s">
        <v>727</v>
      </c>
      <c r="B6562" s="55" t="n">
        <v>45107</v>
      </c>
      <c r="C6562" s="51" t="s">
        <v>782</v>
      </c>
      <c r="D6562" s="51" t="n">
        <v>0</v>
      </c>
    </row>
    <row r="6563" customFormat="false" ht="15" hidden="true" customHeight="false" outlineLevel="0" collapsed="false">
      <c r="A6563" s="51" t="s">
        <v>732</v>
      </c>
      <c r="B6563" s="55" t="n">
        <v>45107</v>
      </c>
      <c r="C6563" s="51" t="s">
        <v>782</v>
      </c>
      <c r="D6563" s="51" t="n">
        <v>0</v>
      </c>
    </row>
    <row r="6564" customFormat="false" ht="15" hidden="true" customHeight="false" outlineLevel="0" collapsed="false">
      <c r="A6564" s="51" t="s">
        <v>736</v>
      </c>
      <c r="B6564" s="55" t="n">
        <v>45107</v>
      </c>
      <c r="C6564" s="51" t="s">
        <v>782</v>
      </c>
      <c r="D6564" s="51" t="n">
        <v>0</v>
      </c>
    </row>
    <row r="6565" customFormat="false" ht="15" hidden="true" customHeight="false" outlineLevel="0" collapsed="false">
      <c r="A6565" s="51" t="s">
        <v>741</v>
      </c>
      <c r="B6565" s="55" t="n">
        <v>45107</v>
      </c>
      <c r="C6565" s="51" t="s">
        <v>782</v>
      </c>
      <c r="D6565" s="51" t="n">
        <v>0</v>
      </c>
    </row>
    <row r="6566" customFormat="false" ht="15" hidden="true" customHeight="false" outlineLevel="0" collapsed="false">
      <c r="A6566" s="51" t="s">
        <v>746</v>
      </c>
      <c r="B6566" s="55" t="n">
        <v>45107</v>
      </c>
      <c r="C6566" s="51" t="s">
        <v>782</v>
      </c>
      <c r="D6566" s="51" t="n">
        <v>0</v>
      </c>
    </row>
    <row r="6567" customFormat="false" ht="15" hidden="true" customHeight="false" outlineLevel="0" collapsed="false">
      <c r="A6567" s="51" t="s">
        <v>751</v>
      </c>
      <c r="B6567" s="55" t="n">
        <v>45107</v>
      </c>
      <c r="C6567" s="51" t="s">
        <v>782</v>
      </c>
      <c r="D6567" s="51" t="n">
        <v>0</v>
      </c>
    </row>
    <row r="6568" customFormat="false" ht="15" hidden="false" customHeight="false" outlineLevel="0" collapsed="false">
      <c r="A6568" s="51" t="s">
        <v>781</v>
      </c>
      <c r="B6568" s="55" t="n">
        <v>45107</v>
      </c>
      <c r="C6568" s="51" t="s">
        <v>82</v>
      </c>
      <c r="D6568" s="51" t="n">
        <v>0</v>
      </c>
    </row>
    <row r="6569" customFormat="false" ht="15" hidden="true" customHeight="false" outlineLevel="0" collapsed="false">
      <c r="A6569" s="51" t="s">
        <v>783</v>
      </c>
      <c r="B6569" s="55" t="n">
        <v>45107</v>
      </c>
      <c r="C6569" s="51" t="s">
        <v>82</v>
      </c>
      <c r="D6569" s="51" t="n">
        <v>0</v>
      </c>
    </row>
    <row r="6570" customFormat="false" ht="15" hidden="true" customHeight="false" outlineLevel="0" collapsed="false">
      <c r="A6570" s="51" t="s">
        <v>96</v>
      </c>
      <c r="B6570" s="55" t="n">
        <v>45107</v>
      </c>
      <c r="C6570" s="51" t="s">
        <v>82</v>
      </c>
      <c r="D6570" s="51" t="n">
        <v>0</v>
      </c>
    </row>
    <row r="6571" customFormat="false" ht="15" hidden="true" customHeight="false" outlineLevel="0" collapsed="false">
      <c r="A6571" s="51" t="s">
        <v>101</v>
      </c>
      <c r="B6571" s="55" t="n">
        <v>45107</v>
      </c>
      <c r="C6571" s="51" t="s">
        <v>82</v>
      </c>
      <c r="D6571" s="51" t="n">
        <v>0</v>
      </c>
    </row>
    <row r="6572" customFormat="false" ht="15" hidden="true" customHeight="false" outlineLevel="0" collapsed="false">
      <c r="A6572" s="51" t="s">
        <v>106</v>
      </c>
      <c r="B6572" s="55" t="n">
        <v>45107</v>
      </c>
      <c r="C6572" s="51" t="s">
        <v>82</v>
      </c>
      <c r="D6572" s="51" t="n">
        <v>0</v>
      </c>
    </row>
    <row r="6573" customFormat="false" ht="15" hidden="true" customHeight="false" outlineLevel="0" collapsed="false">
      <c r="A6573" s="51" t="s">
        <v>110</v>
      </c>
      <c r="B6573" s="55" t="n">
        <v>45107</v>
      </c>
      <c r="C6573" s="51" t="s">
        <v>82</v>
      </c>
      <c r="D6573" s="51" t="n">
        <v>0</v>
      </c>
    </row>
    <row r="6574" customFormat="false" ht="15" hidden="true" customHeight="false" outlineLevel="0" collapsed="false">
      <c r="A6574" s="51" t="s">
        <v>115</v>
      </c>
      <c r="B6574" s="55" t="n">
        <v>45107</v>
      </c>
      <c r="C6574" s="51" t="s">
        <v>82</v>
      </c>
      <c r="D6574" s="51" t="n">
        <v>0</v>
      </c>
    </row>
    <row r="6575" customFormat="false" ht="15" hidden="true" customHeight="false" outlineLevel="0" collapsed="false">
      <c r="A6575" s="51" t="s">
        <v>120</v>
      </c>
      <c r="B6575" s="55" t="n">
        <v>45107</v>
      </c>
      <c r="C6575" s="51" t="s">
        <v>82</v>
      </c>
      <c r="D6575" s="51" t="n">
        <v>0</v>
      </c>
    </row>
    <row r="6576" customFormat="false" ht="15" hidden="true" customHeight="false" outlineLevel="0" collapsed="false">
      <c r="A6576" s="51" t="s">
        <v>124</v>
      </c>
      <c r="B6576" s="55" t="n">
        <v>45107</v>
      </c>
      <c r="C6576" s="51" t="s">
        <v>82</v>
      </c>
      <c r="D6576" s="51" t="n">
        <v>0</v>
      </c>
    </row>
    <row r="6577" customFormat="false" ht="15" hidden="true" customHeight="false" outlineLevel="0" collapsed="false">
      <c r="A6577" s="51" t="s">
        <v>129</v>
      </c>
      <c r="B6577" s="55" t="n">
        <v>45107</v>
      </c>
      <c r="C6577" s="51" t="s">
        <v>82</v>
      </c>
      <c r="D6577" s="51" t="n">
        <v>0</v>
      </c>
    </row>
    <row r="6578" customFormat="false" ht="15" hidden="true" customHeight="false" outlineLevel="0" collapsed="false">
      <c r="A6578" s="51" t="s">
        <v>134</v>
      </c>
      <c r="B6578" s="55" t="n">
        <v>45107</v>
      </c>
      <c r="C6578" s="51" t="s">
        <v>82</v>
      </c>
      <c r="D6578" s="51" t="n">
        <v>0</v>
      </c>
    </row>
    <row r="6579" customFormat="false" ht="15" hidden="true" customHeight="false" outlineLevel="0" collapsed="false">
      <c r="A6579" s="51" t="s">
        <v>141</v>
      </c>
      <c r="B6579" s="55" t="n">
        <v>45107</v>
      </c>
      <c r="C6579" s="51" t="s">
        <v>82</v>
      </c>
      <c r="D6579" s="51" t="n">
        <v>0</v>
      </c>
    </row>
    <row r="6580" customFormat="false" ht="15" hidden="true" customHeight="false" outlineLevel="0" collapsed="false">
      <c r="A6580" s="51" t="s">
        <v>146</v>
      </c>
      <c r="B6580" s="55" t="n">
        <v>45107</v>
      </c>
      <c r="C6580" s="51" t="s">
        <v>82</v>
      </c>
      <c r="D6580" s="51" t="n">
        <v>0</v>
      </c>
    </row>
    <row r="6581" customFormat="false" ht="15" hidden="true" customHeight="false" outlineLevel="0" collapsed="false">
      <c r="A6581" s="51" t="s">
        <v>151</v>
      </c>
      <c r="B6581" s="55" t="n">
        <v>45107</v>
      </c>
      <c r="C6581" s="51" t="s">
        <v>82</v>
      </c>
      <c r="D6581" s="51" t="n">
        <v>0</v>
      </c>
    </row>
    <row r="6582" customFormat="false" ht="15" hidden="true" customHeight="false" outlineLevel="0" collapsed="false">
      <c r="A6582" s="51" t="s">
        <v>156</v>
      </c>
      <c r="B6582" s="55" t="n">
        <v>45107</v>
      </c>
      <c r="C6582" s="51" t="s">
        <v>82</v>
      </c>
      <c r="D6582" s="51" t="n">
        <v>0</v>
      </c>
    </row>
    <row r="6583" customFormat="false" ht="15" hidden="true" customHeight="false" outlineLevel="0" collapsed="false">
      <c r="A6583" s="51" t="s">
        <v>161</v>
      </c>
      <c r="B6583" s="55" t="n">
        <v>45107</v>
      </c>
      <c r="C6583" s="51" t="s">
        <v>82</v>
      </c>
      <c r="D6583" s="51" t="n">
        <v>0</v>
      </c>
    </row>
    <row r="6584" customFormat="false" ht="15" hidden="true" customHeight="false" outlineLevel="0" collapsed="false">
      <c r="A6584" s="51" t="s">
        <v>166</v>
      </c>
      <c r="B6584" s="55" t="n">
        <v>45107</v>
      </c>
      <c r="C6584" s="51" t="s">
        <v>82</v>
      </c>
      <c r="D6584" s="51" t="n">
        <v>0</v>
      </c>
    </row>
    <row r="6585" customFormat="false" ht="15" hidden="true" customHeight="false" outlineLevel="0" collapsed="false">
      <c r="A6585" s="51" t="s">
        <v>171</v>
      </c>
      <c r="B6585" s="55" t="n">
        <v>45107</v>
      </c>
      <c r="C6585" s="51" t="s">
        <v>82</v>
      </c>
      <c r="D6585" s="51" t="n">
        <v>0</v>
      </c>
    </row>
    <row r="6586" customFormat="false" ht="15" hidden="true" customHeight="false" outlineLevel="0" collapsed="false">
      <c r="A6586" s="51" t="s">
        <v>176</v>
      </c>
      <c r="B6586" s="55" t="n">
        <v>45107</v>
      </c>
      <c r="C6586" s="51" t="s">
        <v>82</v>
      </c>
      <c r="D6586" s="51" t="n">
        <v>0</v>
      </c>
    </row>
    <row r="6587" customFormat="false" ht="15" hidden="true" customHeight="false" outlineLevel="0" collapsed="false">
      <c r="A6587" s="51" t="s">
        <v>181</v>
      </c>
      <c r="B6587" s="55" t="n">
        <v>45107</v>
      </c>
      <c r="C6587" s="51" t="s">
        <v>82</v>
      </c>
      <c r="D6587" s="51" t="n">
        <v>0</v>
      </c>
    </row>
    <row r="6588" customFormat="false" ht="15" hidden="true" customHeight="false" outlineLevel="0" collapsed="false">
      <c r="A6588" s="51" t="s">
        <v>186</v>
      </c>
      <c r="B6588" s="55" t="n">
        <v>45107</v>
      </c>
      <c r="C6588" s="51" t="s">
        <v>82</v>
      </c>
      <c r="D6588" s="51" t="n">
        <v>0</v>
      </c>
    </row>
    <row r="6589" customFormat="false" ht="15" hidden="true" customHeight="false" outlineLevel="0" collapsed="false">
      <c r="A6589" s="51" t="s">
        <v>191</v>
      </c>
      <c r="B6589" s="55" t="n">
        <v>45107</v>
      </c>
      <c r="C6589" s="51" t="s">
        <v>82</v>
      </c>
      <c r="D6589" s="51" t="n">
        <v>0</v>
      </c>
    </row>
    <row r="6590" customFormat="false" ht="15" hidden="true" customHeight="false" outlineLevel="0" collapsed="false">
      <c r="A6590" s="51" t="s">
        <v>196</v>
      </c>
      <c r="B6590" s="55" t="n">
        <v>45107</v>
      </c>
      <c r="C6590" s="51" t="s">
        <v>82</v>
      </c>
      <c r="D6590" s="51" t="n">
        <v>0</v>
      </c>
    </row>
    <row r="6591" customFormat="false" ht="15" hidden="true" customHeight="false" outlineLevel="0" collapsed="false">
      <c r="A6591" s="51" t="s">
        <v>201</v>
      </c>
      <c r="B6591" s="55" t="n">
        <v>45107</v>
      </c>
      <c r="C6591" s="51" t="s">
        <v>82</v>
      </c>
      <c r="D6591" s="51" t="n">
        <v>0</v>
      </c>
    </row>
    <row r="6592" customFormat="false" ht="15" hidden="true" customHeight="false" outlineLevel="0" collapsed="false">
      <c r="A6592" s="51" t="s">
        <v>206</v>
      </c>
      <c r="B6592" s="55" t="n">
        <v>45107</v>
      </c>
      <c r="C6592" s="51" t="s">
        <v>82</v>
      </c>
      <c r="D6592" s="51" t="n">
        <v>0</v>
      </c>
    </row>
    <row r="6593" customFormat="false" ht="15" hidden="true" customHeight="false" outlineLevel="0" collapsed="false">
      <c r="A6593" s="51" t="s">
        <v>210</v>
      </c>
      <c r="B6593" s="55" t="n">
        <v>45107</v>
      </c>
      <c r="C6593" s="51" t="s">
        <v>82</v>
      </c>
      <c r="D6593" s="51" t="n">
        <v>0</v>
      </c>
    </row>
    <row r="6594" customFormat="false" ht="15" hidden="true" customHeight="false" outlineLevel="0" collapsed="false">
      <c r="A6594" s="51" t="s">
        <v>215</v>
      </c>
      <c r="B6594" s="55" t="n">
        <v>45107</v>
      </c>
      <c r="C6594" s="51" t="s">
        <v>82</v>
      </c>
      <c r="D6594" s="51" t="n">
        <v>0</v>
      </c>
    </row>
    <row r="6595" customFormat="false" ht="15" hidden="true" customHeight="false" outlineLevel="0" collapsed="false">
      <c r="A6595" s="51" t="s">
        <v>790</v>
      </c>
      <c r="B6595" s="55" t="n">
        <v>45107</v>
      </c>
      <c r="C6595" s="51" t="s">
        <v>82</v>
      </c>
      <c r="D6595" s="51" t="n">
        <v>0</v>
      </c>
    </row>
    <row r="6596" customFormat="false" ht="15" hidden="true" customHeight="false" outlineLevel="0" collapsed="false">
      <c r="A6596" s="51" t="s">
        <v>225</v>
      </c>
      <c r="B6596" s="55" t="n">
        <v>45107</v>
      </c>
      <c r="C6596" s="51" t="s">
        <v>82</v>
      </c>
      <c r="D6596" s="51" t="n">
        <v>0</v>
      </c>
    </row>
    <row r="6597" customFormat="false" ht="15" hidden="true" customHeight="false" outlineLevel="0" collapsed="false">
      <c r="A6597" s="51" t="s">
        <v>230</v>
      </c>
      <c r="B6597" s="55" t="n">
        <v>45107</v>
      </c>
      <c r="C6597" s="51" t="s">
        <v>82</v>
      </c>
      <c r="D6597" s="51" t="n">
        <v>0</v>
      </c>
    </row>
    <row r="6598" customFormat="false" ht="15" hidden="true" customHeight="false" outlineLevel="0" collapsed="false">
      <c r="A6598" s="51" t="s">
        <v>235</v>
      </c>
      <c r="B6598" s="55" t="n">
        <v>45107</v>
      </c>
      <c r="C6598" s="51" t="s">
        <v>82</v>
      </c>
      <c r="D6598" s="51" t="n">
        <v>0</v>
      </c>
    </row>
    <row r="6599" customFormat="false" ht="15" hidden="true" customHeight="false" outlineLevel="0" collapsed="false">
      <c r="A6599" s="51" t="s">
        <v>240</v>
      </c>
      <c r="B6599" s="55" t="n">
        <v>45107</v>
      </c>
      <c r="C6599" s="51" t="s">
        <v>82</v>
      </c>
      <c r="D6599" s="51" t="n">
        <v>0</v>
      </c>
    </row>
    <row r="6600" customFormat="false" ht="15" hidden="true" customHeight="false" outlineLevel="0" collapsed="false">
      <c r="A6600" s="51" t="s">
        <v>246</v>
      </c>
      <c r="B6600" s="55" t="n">
        <v>45107</v>
      </c>
      <c r="C6600" s="51" t="s">
        <v>82</v>
      </c>
      <c r="D6600" s="51" t="n">
        <v>0</v>
      </c>
    </row>
    <row r="6601" customFormat="false" ht="15" hidden="true" customHeight="false" outlineLevel="0" collapsed="false">
      <c r="A6601" s="51" t="s">
        <v>252</v>
      </c>
      <c r="B6601" s="55" t="n">
        <v>45107</v>
      </c>
      <c r="C6601" s="51" t="s">
        <v>82</v>
      </c>
      <c r="D6601" s="51" t="n">
        <v>0</v>
      </c>
    </row>
    <row r="6602" customFormat="false" ht="15" hidden="true" customHeight="false" outlineLevel="0" collapsed="false">
      <c r="A6602" s="51" t="s">
        <v>257</v>
      </c>
      <c r="B6602" s="55" t="n">
        <v>45107</v>
      </c>
      <c r="C6602" s="51" t="s">
        <v>82</v>
      </c>
      <c r="D6602" s="51" t="n">
        <v>0</v>
      </c>
    </row>
    <row r="6603" customFormat="false" ht="15" hidden="true" customHeight="false" outlineLevel="0" collapsed="false">
      <c r="A6603" s="51" t="s">
        <v>262</v>
      </c>
      <c r="B6603" s="55" t="n">
        <v>45107</v>
      </c>
      <c r="C6603" s="51" t="s">
        <v>82</v>
      </c>
      <c r="D6603" s="51" t="n">
        <v>0</v>
      </c>
    </row>
    <row r="6604" customFormat="false" ht="15" hidden="true" customHeight="false" outlineLevel="0" collapsed="false">
      <c r="A6604" s="51" t="s">
        <v>267</v>
      </c>
      <c r="B6604" s="55" t="n">
        <v>45107</v>
      </c>
      <c r="C6604" s="51" t="s">
        <v>82</v>
      </c>
      <c r="D6604" s="51" t="n">
        <v>0</v>
      </c>
    </row>
    <row r="6605" customFormat="false" ht="15" hidden="true" customHeight="false" outlineLevel="0" collapsed="false">
      <c r="A6605" s="51" t="s">
        <v>272</v>
      </c>
      <c r="B6605" s="55" t="n">
        <v>45107</v>
      </c>
      <c r="C6605" s="51" t="s">
        <v>82</v>
      </c>
      <c r="D6605" s="51" t="n">
        <v>0</v>
      </c>
    </row>
    <row r="6606" customFormat="false" ht="15" hidden="true" customHeight="false" outlineLevel="0" collapsed="false">
      <c r="A6606" s="51" t="s">
        <v>277</v>
      </c>
      <c r="B6606" s="55" t="n">
        <v>45107</v>
      </c>
      <c r="C6606" s="51" t="s">
        <v>82</v>
      </c>
      <c r="D6606" s="51" t="n">
        <v>0</v>
      </c>
    </row>
    <row r="6607" customFormat="false" ht="15" hidden="true" customHeight="false" outlineLevel="0" collapsed="false">
      <c r="A6607" s="51" t="s">
        <v>282</v>
      </c>
      <c r="B6607" s="55" t="n">
        <v>45107</v>
      </c>
      <c r="C6607" s="51" t="s">
        <v>82</v>
      </c>
      <c r="D6607" s="51" t="n">
        <v>0</v>
      </c>
    </row>
    <row r="6608" customFormat="false" ht="15" hidden="true" customHeight="false" outlineLevel="0" collapsed="false">
      <c r="A6608" s="51" t="s">
        <v>287</v>
      </c>
      <c r="B6608" s="55" t="n">
        <v>45107</v>
      </c>
      <c r="C6608" s="51" t="s">
        <v>82</v>
      </c>
      <c r="D6608" s="51" t="n">
        <v>0</v>
      </c>
    </row>
    <row r="6609" customFormat="false" ht="15" hidden="true" customHeight="false" outlineLevel="0" collapsed="false">
      <c r="A6609" s="51" t="s">
        <v>292</v>
      </c>
      <c r="B6609" s="55" t="n">
        <v>45107</v>
      </c>
      <c r="C6609" s="51" t="s">
        <v>82</v>
      </c>
      <c r="D6609" s="51" t="n">
        <v>0</v>
      </c>
    </row>
    <row r="6610" customFormat="false" ht="15" hidden="true" customHeight="false" outlineLevel="0" collapsed="false">
      <c r="A6610" s="51" t="s">
        <v>297</v>
      </c>
      <c r="B6610" s="55" t="n">
        <v>45107</v>
      </c>
      <c r="C6610" s="51" t="s">
        <v>82</v>
      </c>
      <c r="D6610" s="51" t="n">
        <v>0</v>
      </c>
    </row>
    <row r="6611" customFormat="false" ht="15" hidden="true" customHeight="false" outlineLevel="0" collapsed="false">
      <c r="A6611" s="51" t="s">
        <v>302</v>
      </c>
      <c r="B6611" s="55" t="n">
        <v>45107</v>
      </c>
      <c r="C6611" s="51" t="s">
        <v>82</v>
      </c>
      <c r="D6611" s="51" t="n">
        <v>0</v>
      </c>
    </row>
    <row r="6612" customFormat="false" ht="15" hidden="true" customHeight="false" outlineLevel="0" collapsed="false">
      <c r="A6612" s="51" t="s">
        <v>307</v>
      </c>
      <c r="B6612" s="55" t="n">
        <v>45107</v>
      </c>
      <c r="C6612" s="51" t="s">
        <v>82</v>
      </c>
      <c r="D6612" s="51" t="n">
        <v>0</v>
      </c>
    </row>
    <row r="6613" customFormat="false" ht="15" hidden="true" customHeight="false" outlineLevel="0" collapsed="false">
      <c r="A6613" s="51" t="s">
        <v>311</v>
      </c>
      <c r="B6613" s="55" t="n">
        <v>45107</v>
      </c>
      <c r="C6613" s="51" t="s">
        <v>82</v>
      </c>
      <c r="D6613" s="51" t="n">
        <v>0</v>
      </c>
    </row>
    <row r="6614" customFormat="false" ht="15" hidden="true" customHeight="false" outlineLevel="0" collapsed="false">
      <c r="A6614" s="51" t="s">
        <v>317</v>
      </c>
      <c r="B6614" s="55" t="n">
        <v>45107</v>
      </c>
      <c r="C6614" s="51" t="s">
        <v>82</v>
      </c>
      <c r="D6614" s="51" t="n">
        <v>0</v>
      </c>
    </row>
    <row r="6615" customFormat="false" ht="15" hidden="true" customHeight="false" outlineLevel="0" collapsed="false">
      <c r="A6615" s="51" t="s">
        <v>322</v>
      </c>
      <c r="B6615" s="55" t="n">
        <v>45107</v>
      </c>
      <c r="C6615" s="51" t="s">
        <v>82</v>
      </c>
      <c r="D6615" s="51" t="n">
        <v>0</v>
      </c>
    </row>
    <row r="6616" customFormat="false" ht="15" hidden="true" customHeight="false" outlineLevel="0" collapsed="false">
      <c r="A6616" s="51" t="s">
        <v>327</v>
      </c>
      <c r="B6616" s="55" t="n">
        <v>45107</v>
      </c>
      <c r="C6616" s="51" t="s">
        <v>82</v>
      </c>
      <c r="D6616" s="51" t="n">
        <v>0</v>
      </c>
    </row>
    <row r="6617" customFormat="false" ht="15" hidden="true" customHeight="false" outlineLevel="0" collapsed="false">
      <c r="A6617" s="51" t="s">
        <v>332</v>
      </c>
      <c r="B6617" s="55" t="n">
        <v>45107</v>
      </c>
      <c r="C6617" s="51" t="s">
        <v>82</v>
      </c>
      <c r="D6617" s="51" t="n">
        <v>1000000</v>
      </c>
    </row>
    <row r="6618" customFormat="false" ht="15" hidden="true" customHeight="false" outlineLevel="0" collapsed="false">
      <c r="A6618" s="51" t="s">
        <v>339</v>
      </c>
      <c r="B6618" s="55" t="n">
        <v>45107</v>
      </c>
      <c r="C6618" s="51" t="s">
        <v>82</v>
      </c>
      <c r="D6618" s="51" t="n">
        <v>0</v>
      </c>
    </row>
    <row r="6619" customFormat="false" ht="15" hidden="true" customHeight="false" outlineLevel="0" collapsed="false">
      <c r="A6619" s="51" t="s">
        <v>344</v>
      </c>
      <c r="B6619" s="55" t="n">
        <v>45107</v>
      </c>
      <c r="C6619" s="51" t="s">
        <v>82</v>
      </c>
      <c r="D6619" s="51" t="n">
        <v>0</v>
      </c>
    </row>
    <row r="6620" customFormat="false" ht="15" hidden="true" customHeight="false" outlineLevel="0" collapsed="false">
      <c r="A6620" s="51" t="s">
        <v>349</v>
      </c>
      <c r="B6620" s="55" t="n">
        <v>45107</v>
      </c>
      <c r="C6620" s="51" t="s">
        <v>82</v>
      </c>
      <c r="D6620" s="51" t="n">
        <v>0</v>
      </c>
    </row>
    <row r="6621" customFormat="false" ht="15" hidden="true" customHeight="false" outlineLevel="0" collapsed="false">
      <c r="A6621" s="51" t="s">
        <v>354</v>
      </c>
      <c r="B6621" s="55" t="n">
        <v>45107</v>
      </c>
      <c r="C6621" s="51" t="s">
        <v>82</v>
      </c>
      <c r="D6621" s="51" t="n">
        <v>0</v>
      </c>
    </row>
    <row r="6622" customFormat="false" ht="15" hidden="true" customHeight="false" outlineLevel="0" collapsed="false">
      <c r="A6622" s="51" t="s">
        <v>359</v>
      </c>
      <c r="B6622" s="55" t="n">
        <v>45107</v>
      </c>
      <c r="C6622" s="51" t="s">
        <v>82</v>
      </c>
      <c r="D6622" s="51" t="n">
        <v>0</v>
      </c>
    </row>
    <row r="6623" customFormat="false" ht="15" hidden="true" customHeight="false" outlineLevel="0" collapsed="false">
      <c r="A6623" s="51" t="s">
        <v>364</v>
      </c>
      <c r="B6623" s="55" t="n">
        <v>45107</v>
      </c>
      <c r="C6623" s="51" t="s">
        <v>82</v>
      </c>
      <c r="D6623" s="51" t="n">
        <v>0</v>
      </c>
    </row>
    <row r="6624" customFormat="false" ht="15" hidden="true" customHeight="false" outlineLevel="0" collapsed="false">
      <c r="A6624" s="51" t="s">
        <v>369</v>
      </c>
      <c r="B6624" s="55" t="n">
        <v>45107</v>
      </c>
      <c r="C6624" s="51" t="s">
        <v>82</v>
      </c>
      <c r="D6624" s="51" t="n">
        <v>1644300</v>
      </c>
    </row>
    <row r="6625" customFormat="false" ht="15" hidden="true" customHeight="false" outlineLevel="0" collapsed="false">
      <c r="A6625" s="51" t="s">
        <v>374</v>
      </c>
      <c r="B6625" s="55" t="n">
        <v>45107</v>
      </c>
      <c r="C6625" s="51" t="s">
        <v>82</v>
      </c>
      <c r="D6625" s="51" t="n">
        <v>0</v>
      </c>
    </row>
    <row r="6626" customFormat="false" ht="15" hidden="true" customHeight="false" outlineLevel="0" collapsed="false">
      <c r="A6626" s="51" t="s">
        <v>379</v>
      </c>
      <c r="B6626" s="55" t="n">
        <v>45107</v>
      </c>
      <c r="C6626" s="51" t="s">
        <v>82</v>
      </c>
      <c r="D6626" s="51" t="n">
        <v>2860551.77</v>
      </c>
    </row>
    <row r="6627" customFormat="false" ht="15" hidden="true" customHeight="false" outlineLevel="0" collapsed="false">
      <c r="A6627" s="51" t="s">
        <v>384</v>
      </c>
      <c r="B6627" s="55" t="n">
        <v>45107</v>
      </c>
      <c r="C6627" s="51" t="s">
        <v>82</v>
      </c>
      <c r="D6627" s="51" t="n">
        <v>0</v>
      </c>
    </row>
    <row r="6628" customFormat="false" ht="15" hidden="true" customHeight="false" outlineLevel="0" collapsed="false">
      <c r="A6628" s="51" t="s">
        <v>389</v>
      </c>
      <c r="B6628" s="55" t="n">
        <v>45107</v>
      </c>
      <c r="C6628" s="51" t="s">
        <v>82</v>
      </c>
      <c r="D6628" s="51" t="n">
        <v>9600000</v>
      </c>
    </row>
    <row r="6629" customFormat="false" ht="15" hidden="true" customHeight="false" outlineLevel="0" collapsed="false">
      <c r="A6629" s="51" t="s">
        <v>394</v>
      </c>
      <c r="B6629" s="55" t="n">
        <v>45107</v>
      </c>
      <c r="C6629" s="51" t="s">
        <v>82</v>
      </c>
      <c r="D6629" s="51" t="n">
        <v>7532011.22</v>
      </c>
    </row>
    <row r="6630" customFormat="false" ht="15" hidden="true" customHeight="false" outlineLevel="0" collapsed="false">
      <c r="A6630" s="51" t="s">
        <v>399</v>
      </c>
      <c r="B6630" s="55" t="n">
        <v>45107</v>
      </c>
      <c r="C6630" s="51" t="s">
        <v>82</v>
      </c>
      <c r="D6630" s="51" t="n">
        <v>500000</v>
      </c>
    </row>
    <row r="6631" customFormat="false" ht="15" hidden="true" customHeight="false" outlineLevel="0" collapsed="false">
      <c r="A6631" s="51" t="s">
        <v>404</v>
      </c>
      <c r="B6631" s="55" t="n">
        <v>45107</v>
      </c>
      <c r="C6631" s="51" t="s">
        <v>82</v>
      </c>
      <c r="D6631" s="51" t="n">
        <v>0</v>
      </c>
    </row>
    <row r="6632" customFormat="false" ht="15" hidden="true" customHeight="false" outlineLevel="0" collapsed="false">
      <c r="A6632" s="51" t="s">
        <v>409</v>
      </c>
      <c r="B6632" s="55" t="n">
        <v>45107</v>
      </c>
      <c r="C6632" s="51" t="s">
        <v>82</v>
      </c>
      <c r="D6632" s="51" t="n">
        <v>3000000</v>
      </c>
    </row>
    <row r="6633" customFormat="false" ht="15" hidden="true" customHeight="false" outlineLevel="0" collapsed="false">
      <c r="A6633" s="51" t="s">
        <v>414</v>
      </c>
      <c r="B6633" s="55" t="n">
        <v>45107</v>
      </c>
      <c r="C6633" s="51" t="s">
        <v>82</v>
      </c>
      <c r="D6633" s="51" t="n">
        <v>0</v>
      </c>
    </row>
    <row r="6634" customFormat="false" ht="15" hidden="true" customHeight="false" outlineLevel="0" collapsed="false">
      <c r="A6634" s="51" t="s">
        <v>419</v>
      </c>
      <c r="B6634" s="55" t="n">
        <v>45107</v>
      </c>
      <c r="C6634" s="51" t="s">
        <v>82</v>
      </c>
      <c r="D6634" s="51" t="n">
        <v>4000000</v>
      </c>
    </row>
    <row r="6635" customFormat="false" ht="15" hidden="true" customHeight="false" outlineLevel="0" collapsed="false">
      <c r="A6635" s="51" t="s">
        <v>424</v>
      </c>
      <c r="B6635" s="55" t="n">
        <v>45107</v>
      </c>
      <c r="C6635" s="51" t="s">
        <v>82</v>
      </c>
      <c r="D6635" s="51" t="n">
        <v>0</v>
      </c>
    </row>
    <row r="6636" customFormat="false" ht="15" hidden="true" customHeight="false" outlineLevel="0" collapsed="false">
      <c r="A6636" s="51" t="s">
        <v>429</v>
      </c>
      <c r="B6636" s="55" t="n">
        <v>45107</v>
      </c>
      <c r="C6636" s="51" t="s">
        <v>82</v>
      </c>
      <c r="D6636" s="51" t="n">
        <v>0</v>
      </c>
    </row>
    <row r="6637" customFormat="false" ht="15" hidden="true" customHeight="false" outlineLevel="0" collapsed="false">
      <c r="A6637" s="51" t="s">
        <v>434</v>
      </c>
      <c r="B6637" s="55" t="n">
        <v>45107</v>
      </c>
      <c r="C6637" s="51" t="s">
        <v>82</v>
      </c>
      <c r="D6637" s="51" t="n">
        <v>0</v>
      </c>
    </row>
    <row r="6638" customFormat="false" ht="15" hidden="true" customHeight="false" outlineLevel="0" collapsed="false">
      <c r="A6638" s="51" t="s">
        <v>438</v>
      </c>
      <c r="B6638" s="55" t="n">
        <v>45107</v>
      </c>
      <c r="C6638" s="51" t="s">
        <v>82</v>
      </c>
      <c r="D6638" s="51" t="n">
        <v>0</v>
      </c>
    </row>
    <row r="6639" customFormat="false" ht="15" hidden="true" customHeight="false" outlineLevel="0" collapsed="false">
      <c r="A6639" s="51" t="s">
        <v>443</v>
      </c>
      <c r="B6639" s="55" t="n">
        <v>45107</v>
      </c>
      <c r="C6639" s="51" t="s">
        <v>82</v>
      </c>
      <c r="D6639" s="51" t="n">
        <v>0</v>
      </c>
    </row>
    <row r="6640" customFormat="false" ht="15" hidden="true" customHeight="false" outlineLevel="0" collapsed="false">
      <c r="A6640" s="51" t="s">
        <v>448</v>
      </c>
      <c r="B6640" s="55" t="n">
        <v>45107</v>
      </c>
      <c r="C6640" s="51" t="s">
        <v>82</v>
      </c>
      <c r="D6640" s="51" t="n">
        <v>0</v>
      </c>
    </row>
    <row r="6641" customFormat="false" ht="15" hidden="true" customHeight="false" outlineLevel="0" collapsed="false">
      <c r="A6641" s="51" t="s">
        <v>453</v>
      </c>
      <c r="B6641" s="55" t="n">
        <v>45107</v>
      </c>
      <c r="C6641" s="51" t="s">
        <v>82</v>
      </c>
      <c r="D6641" s="51" t="n">
        <v>0</v>
      </c>
    </row>
    <row r="6642" customFormat="false" ht="15" hidden="true" customHeight="false" outlineLevel="0" collapsed="false">
      <c r="A6642" s="51" t="s">
        <v>458</v>
      </c>
      <c r="B6642" s="55" t="n">
        <v>45107</v>
      </c>
      <c r="C6642" s="51" t="s">
        <v>82</v>
      </c>
      <c r="D6642" s="51" t="n">
        <v>0</v>
      </c>
    </row>
    <row r="6643" customFormat="false" ht="15" hidden="true" customHeight="false" outlineLevel="0" collapsed="false">
      <c r="A6643" s="51" t="s">
        <v>473</v>
      </c>
      <c r="B6643" s="55" t="n">
        <v>45107</v>
      </c>
      <c r="C6643" s="51" t="s">
        <v>82</v>
      </c>
      <c r="D6643" s="51" t="n">
        <v>0</v>
      </c>
    </row>
    <row r="6644" customFormat="false" ht="15" hidden="true" customHeight="false" outlineLevel="0" collapsed="false">
      <c r="A6644" s="51" t="s">
        <v>479</v>
      </c>
      <c r="B6644" s="55" t="n">
        <v>45107</v>
      </c>
      <c r="C6644" s="51" t="s">
        <v>82</v>
      </c>
      <c r="D6644" s="51" t="n">
        <v>0</v>
      </c>
    </row>
    <row r="6645" customFormat="false" ht="15" hidden="true" customHeight="false" outlineLevel="0" collapsed="false">
      <c r="A6645" s="51" t="s">
        <v>484</v>
      </c>
      <c r="B6645" s="55" t="n">
        <v>45107</v>
      </c>
      <c r="C6645" s="51" t="s">
        <v>82</v>
      </c>
      <c r="D6645" s="51" t="n">
        <v>0</v>
      </c>
    </row>
    <row r="6646" customFormat="false" ht="15" hidden="true" customHeight="false" outlineLevel="0" collapsed="false">
      <c r="A6646" s="51" t="s">
        <v>489</v>
      </c>
      <c r="B6646" s="55" t="n">
        <v>45107</v>
      </c>
      <c r="C6646" s="51" t="s">
        <v>82</v>
      </c>
      <c r="D6646" s="51" t="n">
        <v>0</v>
      </c>
    </row>
    <row r="6647" customFormat="false" ht="15" hidden="true" customHeight="false" outlineLevel="0" collapsed="false">
      <c r="A6647" s="51" t="s">
        <v>494</v>
      </c>
      <c r="B6647" s="55" t="n">
        <v>45107</v>
      </c>
      <c r="C6647" s="51" t="s">
        <v>82</v>
      </c>
      <c r="D6647" s="51" t="n">
        <v>0</v>
      </c>
    </row>
    <row r="6648" customFormat="false" ht="15" hidden="true" customHeight="false" outlineLevel="0" collapsed="false">
      <c r="A6648" s="51" t="s">
        <v>499</v>
      </c>
      <c r="B6648" s="55" t="n">
        <v>45107</v>
      </c>
      <c r="C6648" s="51" t="s">
        <v>82</v>
      </c>
      <c r="D6648" s="51" t="n">
        <v>0</v>
      </c>
    </row>
    <row r="6649" customFormat="false" ht="15" hidden="true" customHeight="false" outlineLevel="0" collapsed="false">
      <c r="A6649" s="51" t="s">
        <v>504</v>
      </c>
      <c r="B6649" s="55" t="n">
        <v>45107</v>
      </c>
      <c r="C6649" s="51" t="s">
        <v>82</v>
      </c>
      <c r="D6649" s="51" t="n">
        <v>0</v>
      </c>
    </row>
    <row r="6650" customFormat="false" ht="15" hidden="true" customHeight="false" outlineLevel="0" collapsed="false">
      <c r="A6650" s="51" t="s">
        <v>509</v>
      </c>
      <c r="B6650" s="55" t="n">
        <v>45107</v>
      </c>
      <c r="C6650" s="51" t="s">
        <v>82</v>
      </c>
      <c r="D6650" s="51" t="n">
        <v>0</v>
      </c>
    </row>
    <row r="6651" customFormat="false" ht="15" hidden="true" customHeight="false" outlineLevel="0" collapsed="false">
      <c r="A6651" s="51" t="s">
        <v>515</v>
      </c>
      <c r="B6651" s="55" t="n">
        <v>45107</v>
      </c>
      <c r="C6651" s="51" t="s">
        <v>82</v>
      </c>
      <c r="D6651" s="51" t="n">
        <v>0</v>
      </c>
    </row>
    <row r="6652" customFormat="false" ht="15" hidden="true" customHeight="false" outlineLevel="0" collapsed="false">
      <c r="A6652" s="51" t="s">
        <v>520</v>
      </c>
      <c r="B6652" s="55" t="n">
        <v>45107</v>
      </c>
      <c r="C6652" s="51" t="s">
        <v>82</v>
      </c>
      <c r="D6652" s="51" t="n">
        <v>0</v>
      </c>
    </row>
    <row r="6653" customFormat="false" ht="15" hidden="true" customHeight="false" outlineLevel="0" collapsed="false">
      <c r="A6653" s="51" t="s">
        <v>525</v>
      </c>
      <c r="B6653" s="55" t="n">
        <v>45107</v>
      </c>
      <c r="C6653" s="51" t="s">
        <v>82</v>
      </c>
      <c r="D6653" s="51" t="n">
        <v>0</v>
      </c>
    </row>
    <row r="6654" customFormat="false" ht="15" hidden="true" customHeight="false" outlineLevel="0" collapsed="false">
      <c r="A6654" s="51" t="s">
        <v>531</v>
      </c>
      <c r="B6654" s="55" t="n">
        <v>45107</v>
      </c>
      <c r="C6654" s="51" t="s">
        <v>82</v>
      </c>
      <c r="D6654" s="51" t="n">
        <v>0</v>
      </c>
    </row>
    <row r="6655" customFormat="false" ht="15" hidden="true" customHeight="false" outlineLevel="0" collapsed="false">
      <c r="A6655" s="51" t="s">
        <v>536</v>
      </c>
      <c r="B6655" s="55" t="n">
        <v>45107</v>
      </c>
      <c r="C6655" s="51" t="s">
        <v>82</v>
      </c>
      <c r="D6655" s="51" t="n">
        <v>0</v>
      </c>
    </row>
    <row r="6656" customFormat="false" ht="15" hidden="true" customHeight="false" outlineLevel="0" collapsed="false">
      <c r="A6656" s="51" t="s">
        <v>541</v>
      </c>
      <c r="B6656" s="55" t="n">
        <v>45107</v>
      </c>
      <c r="C6656" s="51" t="s">
        <v>82</v>
      </c>
      <c r="D6656" s="51" t="n">
        <v>0</v>
      </c>
    </row>
    <row r="6657" customFormat="false" ht="15" hidden="true" customHeight="false" outlineLevel="0" collapsed="false">
      <c r="A6657" s="51" t="s">
        <v>549</v>
      </c>
      <c r="B6657" s="55" t="n">
        <v>45107</v>
      </c>
      <c r="C6657" s="51" t="s">
        <v>82</v>
      </c>
      <c r="D6657" s="51" t="n">
        <v>0</v>
      </c>
    </row>
    <row r="6658" customFormat="false" ht="15" hidden="true" customHeight="false" outlineLevel="0" collapsed="false">
      <c r="A6658" s="51" t="s">
        <v>554</v>
      </c>
      <c r="B6658" s="55" t="n">
        <v>45107</v>
      </c>
      <c r="C6658" s="51" t="s">
        <v>82</v>
      </c>
      <c r="D6658" s="51" t="n">
        <v>0</v>
      </c>
    </row>
    <row r="6659" customFormat="false" ht="15" hidden="true" customHeight="false" outlineLevel="0" collapsed="false">
      <c r="A6659" s="51" t="s">
        <v>559</v>
      </c>
      <c r="B6659" s="55" t="n">
        <v>45107</v>
      </c>
      <c r="C6659" s="51" t="s">
        <v>82</v>
      </c>
      <c r="D6659" s="51" t="n">
        <v>0</v>
      </c>
    </row>
    <row r="6660" customFormat="false" ht="15" hidden="true" customHeight="false" outlineLevel="0" collapsed="false">
      <c r="A6660" s="51" t="s">
        <v>564</v>
      </c>
      <c r="B6660" s="55" t="n">
        <v>45107</v>
      </c>
      <c r="C6660" s="51" t="s">
        <v>82</v>
      </c>
      <c r="D6660" s="51" t="n">
        <v>0</v>
      </c>
    </row>
    <row r="6661" customFormat="false" ht="15" hidden="true" customHeight="false" outlineLevel="0" collapsed="false">
      <c r="A6661" s="51" t="s">
        <v>569</v>
      </c>
      <c r="B6661" s="55" t="n">
        <v>45107</v>
      </c>
      <c r="C6661" s="51" t="s">
        <v>82</v>
      </c>
      <c r="D6661" s="51" t="n">
        <v>0</v>
      </c>
    </row>
    <row r="6662" customFormat="false" ht="15" hidden="true" customHeight="false" outlineLevel="0" collapsed="false">
      <c r="A6662" s="51" t="s">
        <v>574</v>
      </c>
      <c r="B6662" s="55" t="n">
        <v>45107</v>
      </c>
      <c r="C6662" s="51" t="s">
        <v>82</v>
      </c>
      <c r="D6662" s="51" t="n">
        <v>0</v>
      </c>
    </row>
    <row r="6663" customFormat="false" ht="15" hidden="true" customHeight="false" outlineLevel="0" collapsed="false">
      <c r="A6663" s="51" t="s">
        <v>579</v>
      </c>
      <c r="B6663" s="55" t="n">
        <v>45107</v>
      </c>
      <c r="C6663" s="51" t="s">
        <v>82</v>
      </c>
      <c r="D6663" s="51" t="n">
        <v>0</v>
      </c>
    </row>
    <row r="6664" customFormat="false" ht="15" hidden="true" customHeight="false" outlineLevel="0" collapsed="false">
      <c r="A6664" s="51" t="s">
        <v>584</v>
      </c>
      <c r="B6664" s="55" t="n">
        <v>45107</v>
      </c>
      <c r="C6664" s="51" t="s">
        <v>82</v>
      </c>
      <c r="D6664" s="51" t="n">
        <v>0</v>
      </c>
    </row>
    <row r="6665" customFormat="false" ht="15" hidden="true" customHeight="false" outlineLevel="0" collapsed="false">
      <c r="A6665" s="51" t="s">
        <v>589</v>
      </c>
      <c r="B6665" s="55" t="n">
        <v>45107</v>
      </c>
      <c r="C6665" s="51" t="s">
        <v>82</v>
      </c>
      <c r="D6665" s="51" t="n">
        <v>0</v>
      </c>
    </row>
    <row r="6666" customFormat="false" ht="15" hidden="true" customHeight="false" outlineLevel="0" collapsed="false">
      <c r="A6666" s="51" t="s">
        <v>756</v>
      </c>
      <c r="B6666" s="55" t="n">
        <v>45107</v>
      </c>
      <c r="C6666" s="51" t="s">
        <v>82</v>
      </c>
      <c r="D6666" s="51" t="n">
        <v>0</v>
      </c>
    </row>
    <row r="6667" customFormat="false" ht="15" hidden="true" customHeight="false" outlineLevel="0" collapsed="false">
      <c r="A6667" s="51" t="s">
        <v>594</v>
      </c>
      <c r="B6667" s="55" t="n">
        <v>45107</v>
      </c>
      <c r="C6667" s="51" t="s">
        <v>82</v>
      </c>
      <c r="D6667" s="51" t="n">
        <v>0</v>
      </c>
    </row>
    <row r="6668" customFormat="false" ht="15" hidden="true" customHeight="false" outlineLevel="0" collapsed="false">
      <c r="A6668" s="51" t="s">
        <v>761</v>
      </c>
      <c r="B6668" s="55" t="n">
        <v>45107</v>
      </c>
      <c r="C6668" s="51" t="s">
        <v>82</v>
      </c>
      <c r="D6668" s="51" t="n">
        <v>0</v>
      </c>
    </row>
    <row r="6669" customFormat="false" ht="15" hidden="true" customHeight="false" outlineLevel="0" collapsed="false">
      <c r="A6669" s="51" t="s">
        <v>599</v>
      </c>
      <c r="B6669" s="55" t="n">
        <v>45107</v>
      </c>
      <c r="C6669" s="51" t="s">
        <v>82</v>
      </c>
      <c r="D6669" s="51" t="n">
        <v>0</v>
      </c>
    </row>
    <row r="6670" customFormat="false" ht="15" hidden="true" customHeight="false" outlineLevel="0" collapsed="false">
      <c r="A6670" s="51" t="s">
        <v>604</v>
      </c>
      <c r="B6670" s="55" t="n">
        <v>45107</v>
      </c>
      <c r="C6670" s="51" t="s">
        <v>82</v>
      </c>
      <c r="D6670" s="51" t="n">
        <v>0</v>
      </c>
    </row>
    <row r="6671" customFormat="false" ht="15" hidden="true" customHeight="false" outlineLevel="0" collapsed="false">
      <c r="A6671" s="51" t="s">
        <v>609</v>
      </c>
      <c r="B6671" s="55" t="n">
        <v>45107</v>
      </c>
      <c r="C6671" s="51" t="s">
        <v>82</v>
      </c>
      <c r="D6671" s="51" t="n">
        <v>0</v>
      </c>
    </row>
    <row r="6672" customFormat="false" ht="15" hidden="true" customHeight="false" outlineLevel="0" collapsed="false">
      <c r="A6672" s="51" t="s">
        <v>614</v>
      </c>
      <c r="B6672" s="55" t="n">
        <v>45107</v>
      </c>
      <c r="C6672" s="51" t="s">
        <v>82</v>
      </c>
      <c r="D6672" s="51" t="n">
        <v>0</v>
      </c>
    </row>
    <row r="6673" customFormat="false" ht="15" hidden="true" customHeight="false" outlineLevel="0" collapsed="false">
      <c r="A6673" s="51" t="s">
        <v>619</v>
      </c>
      <c r="B6673" s="55" t="n">
        <v>45107</v>
      </c>
      <c r="C6673" s="51" t="s">
        <v>82</v>
      </c>
      <c r="D6673" s="51" t="n">
        <v>0</v>
      </c>
    </row>
    <row r="6674" customFormat="false" ht="15" hidden="true" customHeight="false" outlineLevel="0" collapsed="false">
      <c r="A6674" s="51" t="s">
        <v>624</v>
      </c>
      <c r="B6674" s="55" t="n">
        <v>45107</v>
      </c>
      <c r="C6674" s="51" t="s">
        <v>82</v>
      </c>
      <c r="D6674" s="51" t="n">
        <v>0</v>
      </c>
    </row>
    <row r="6675" customFormat="false" ht="15" hidden="true" customHeight="false" outlineLevel="0" collapsed="false">
      <c r="A6675" s="51" t="s">
        <v>629</v>
      </c>
      <c r="B6675" s="55" t="n">
        <v>45107</v>
      </c>
      <c r="C6675" s="51" t="s">
        <v>82</v>
      </c>
      <c r="D6675" s="51" t="n">
        <v>0</v>
      </c>
    </row>
    <row r="6676" customFormat="false" ht="15" hidden="true" customHeight="false" outlineLevel="0" collapsed="false">
      <c r="A6676" s="51" t="s">
        <v>633</v>
      </c>
      <c r="B6676" s="55" t="n">
        <v>45107</v>
      </c>
      <c r="C6676" s="51" t="s">
        <v>82</v>
      </c>
      <c r="D6676" s="51" t="n">
        <v>0</v>
      </c>
    </row>
    <row r="6677" customFormat="false" ht="15" hidden="true" customHeight="false" outlineLevel="0" collapsed="false">
      <c r="A6677" s="51" t="s">
        <v>638</v>
      </c>
      <c r="B6677" s="55" t="n">
        <v>45107</v>
      </c>
      <c r="C6677" s="51" t="s">
        <v>82</v>
      </c>
      <c r="D6677" s="51" t="n">
        <v>0</v>
      </c>
    </row>
    <row r="6678" customFormat="false" ht="15" hidden="true" customHeight="false" outlineLevel="0" collapsed="false">
      <c r="A6678" s="51" t="s">
        <v>642</v>
      </c>
      <c r="B6678" s="55" t="n">
        <v>45107</v>
      </c>
      <c r="C6678" s="51" t="s">
        <v>82</v>
      </c>
      <c r="D6678" s="51" t="n">
        <v>0</v>
      </c>
    </row>
    <row r="6679" customFormat="false" ht="15" hidden="true" customHeight="false" outlineLevel="0" collapsed="false">
      <c r="A6679" s="51" t="s">
        <v>646</v>
      </c>
      <c r="B6679" s="55" t="n">
        <v>45107</v>
      </c>
      <c r="C6679" s="51" t="s">
        <v>82</v>
      </c>
      <c r="D6679" s="51" t="n">
        <v>0</v>
      </c>
    </row>
    <row r="6680" customFormat="false" ht="15" hidden="true" customHeight="false" outlineLevel="0" collapsed="false">
      <c r="A6680" s="51" t="s">
        <v>651</v>
      </c>
      <c r="B6680" s="55" t="n">
        <v>45107</v>
      </c>
      <c r="C6680" s="51" t="s">
        <v>82</v>
      </c>
      <c r="D6680" s="51" t="n">
        <v>0</v>
      </c>
    </row>
    <row r="6681" customFormat="false" ht="15" hidden="true" customHeight="false" outlineLevel="0" collapsed="false">
      <c r="A6681" s="51" t="s">
        <v>656</v>
      </c>
      <c r="B6681" s="55" t="n">
        <v>45107</v>
      </c>
      <c r="C6681" s="51" t="s">
        <v>82</v>
      </c>
      <c r="D6681" s="51" t="n">
        <v>0</v>
      </c>
    </row>
    <row r="6682" customFormat="false" ht="15" hidden="true" customHeight="false" outlineLevel="0" collapsed="false">
      <c r="A6682" s="51" t="s">
        <v>661</v>
      </c>
      <c r="B6682" s="55" t="n">
        <v>45107</v>
      </c>
      <c r="C6682" s="51" t="s">
        <v>82</v>
      </c>
      <c r="D6682" s="51" t="n">
        <v>0</v>
      </c>
    </row>
    <row r="6683" customFormat="false" ht="15" hidden="true" customHeight="false" outlineLevel="0" collapsed="false">
      <c r="A6683" s="51" t="s">
        <v>666</v>
      </c>
      <c r="B6683" s="55" t="n">
        <v>45107</v>
      </c>
      <c r="C6683" s="51" t="s">
        <v>82</v>
      </c>
      <c r="D6683" s="51" t="n">
        <v>0</v>
      </c>
    </row>
    <row r="6684" customFormat="false" ht="15" hidden="true" customHeight="false" outlineLevel="0" collapsed="false">
      <c r="A6684" s="51" t="s">
        <v>671</v>
      </c>
      <c r="B6684" s="55" t="n">
        <v>45107</v>
      </c>
      <c r="C6684" s="51" t="s">
        <v>82</v>
      </c>
      <c r="D6684" s="51" t="n">
        <v>0</v>
      </c>
    </row>
    <row r="6685" customFormat="false" ht="15" hidden="true" customHeight="false" outlineLevel="0" collapsed="false">
      <c r="A6685" s="51" t="s">
        <v>676</v>
      </c>
      <c r="B6685" s="55" t="n">
        <v>45107</v>
      </c>
      <c r="C6685" s="51" t="s">
        <v>82</v>
      </c>
      <c r="D6685" s="51" t="n">
        <v>0</v>
      </c>
    </row>
    <row r="6686" customFormat="false" ht="15" hidden="true" customHeight="false" outlineLevel="0" collapsed="false">
      <c r="A6686" s="51" t="s">
        <v>681</v>
      </c>
      <c r="B6686" s="55" t="n">
        <v>45107</v>
      </c>
      <c r="C6686" s="51" t="s">
        <v>82</v>
      </c>
      <c r="D6686" s="51" t="n">
        <v>0</v>
      </c>
    </row>
    <row r="6687" customFormat="false" ht="15" hidden="true" customHeight="false" outlineLevel="0" collapsed="false">
      <c r="A6687" s="51" t="s">
        <v>686</v>
      </c>
      <c r="B6687" s="55" t="n">
        <v>45107</v>
      </c>
      <c r="C6687" s="51" t="s">
        <v>82</v>
      </c>
      <c r="D6687" s="51" t="n">
        <v>0</v>
      </c>
    </row>
    <row r="6688" customFormat="false" ht="15" hidden="true" customHeight="false" outlineLevel="0" collapsed="false">
      <c r="A6688" s="51" t="s">
        <v>691</v>
      </c>
      <c r="B6688" s="55" t="n">
        <v>45107</v>
      </c>
      <c r="C6688" s="51" t="s">
        <v>82</v>
      </c>
      <c r="D6688" s="51" t="n">
        <v>0</v>
      </c>
    </row>
    <row r="6689" customFormat="false" ht="15" hidden="true" customHeight="false" outlineLevel="0" collapsed="false">
      <c r="A6689" s="51" t="s">
        <v>696</v>
      </c>
      <c r="B6689" s="55" t="n">
        <v>45107</v>
      </c>
      <c r="C6689" s="51" t="s">
        <v>82</v>
      </c>
      <c r="D6689" s="51" t="n">
        <v>0</v>
      </c>
    </row>
    <row r="6690" customFormat="false" ht="15" hidden="true" customHeight="false" outlineLevel="0" collapsed="false">
      <c r="A6690" s="51" t="s">
        <v>701</v>
      </c>
      <c r="B6690" s="55" t="n">
        <v>45107</v>
      </c>
      <c r="C6690" s="51" t="s">
        <v>82</v>
      </c>
      <c r="D6690" s="51" t="n">
        <v>0</v>
      </c>
    </row>
    <row r="6691" customFormat="false" ht="15" hidden="true" customHeight="false" outlineLevel="0" collapsed="false">
      <c r="A6691" s="51" t="s">
        <v>707</v>
      </c>
      <c r="B6691" s="55" t="n">
        <v>45107</v>
      </c>
      <c r="C6691" s="51" t="s">
        <v>82</v>
      </c>
      <c r="D6691" s="51" t="n">
        <v>0</v>
      </c>
    </row>
    <row r="6692" customFormat="false" ht="15" hidden="true" customHeight="false" outlineLevel="0" collapsed="false">
      <c r="A6692" s="51" t="s">
        <v>712</v>
      </c>
      <c r="B6692" s="55" t="n">
        <v>45107</v>
      </c>
      <c r="C6692" s="51" t="s">
        <v>82</v>
      </c>
      <c r="D6692" s="51" t="n">
        <v>0</v>
      </c>
    </row>
    <row r="6693" customFormat="false" ht="15" hidden="true" customHeight="false" outlineLevel="0" collapsed="false">
      <c r="A6693" s="51" t="s">
        <v>717</v>
      </c>
      <c r="B6693" s="55" t="n">
        <v>45107</v>
      </c>
      <c r="C6693" s="51" t="s">
        <v>82</v>
      </c>
      <c r="D6693" s="51" t="n">
        <v>0</v>
      </c>
    </row>
    <row r="6694" customFormat="false" ht="15" hidden="true" customHeight="false" outlineLevel="0" collapsed="false">
      <c r="A6694" s="51" t="s">
        <v>767</v>
      </c>
      <c r="B6694" s="55" t="n">
        <v>45107</v>
      </c>
      <c r="C6694" s="51" t="s">
        <v>82</v>
      </c>
      <c r="D6694" s="51" t="n">
        <v>0</v>
      </c>
    </row>
    <row r="6695" customFormat="false" ht="15" hidden="true" customHeight="false" outlineLevel="0" collapsed="false">
      <c r="A6695" s="51" t="s">
        <v>722</v>
      </c>
      <c r="B6695" s="55" t="n">
        <v>45107</v>
      </c>
      <c r="C6695" s="51" t="s">
        <v>82</v>
      </c>
      <c r="D6695" s="51" t="n">
        <v>0</v>
      </c>
    </row>
    <row r="6696" customFormat="false" ht="15" hidden="true" customHeight="false" outlineLevel="0" collapsed="false">
      <c r="A6696" s="51" t="s">
        <v>727</v>
      </c>
      <c r="B6696" s="55" t="n">
        <v>45107</v>
      </c>
      <c r="C6696" s="51" t="s">
        <v>82</v>
      </c>
      <c r="D6696" s="51" t="n">
        <v>0</v>
      </c>
    </row>
    <row r="6697" customFormat="false" ht="15" hidden="true" customHeight="false" outlineLevel="0" collapsed="false">
      <c r="A6697" s="51" t="s">
        <v>732</v>
      </c>
      <c r="B6697" s="55" t="n">
        <v>45107</v>
      </c>
      <c r="C6697" s="51" t="s">
        <v>82</v>
      </c>
      <c r="D6697" s="51" t="n">
        <v>0</v>
      </c>
    </row>
    <row r="6698" customFormat="false" ht="15" hidden="true" customHeight="false" outlineLevel="0" collapsed="false">
      <c r="A6698" s="51" t="s">
        <v>736</v>
      </c>
      <c r="B6698" s="55" t="n">
        <v>45107</v>
      </c>
      <c r="C6698" s="51" t="s">
        <v>82</v>
      </c>
      <c r="D6698" s="51" t="n">
        <v>0</v>
      </c>
    </row>
    <row r="6699" customFormat="false" ht="15" hidden="true" customHeight="false" outlineLevel="0" collapsed="false">
      <c r="A6699" s="51" t="s">
        <v>741</v>
      </c>
      <c r="B6699" s="55" t="n">
        <v>45107</v>
      </c>
      <c r="C6699" s="51" t="s">
        <v>82</v>
      </c>
      <c r="D6699" s="51" t="n">
        <v>0</v>
      </c>
    </row>
    <row r="6700" customFormat="false" ht="15" hidden="true" customHeight="false" outlineLevel="0" collapsed="false">
      <c r="A6700" s="51" t="s">
        <v>746</v>
      </c>
      <c r="B6700" s="55" t="n">
        <v>45107</v>
      </c>
      <c r="C6700" s="51" t="s">
        <v>82</v>
      </c>
      <c r="D6700" s="51" t="n">
        <v>0</v>
      </c>
    </row>
    <row r="6701" customFormat="false" ht="15" hidden="true" customHeight="false" outlineLevel="0" collapsed="false">
      <c r="A6701" s="51" t="s">
        <v>751</v>
      </c>
      <c r="B6701" s="55" t="n">
        <v>45107</v>
      </c>
      <c r="C6701" s="51" t="s">
        <v>82</v>
      </c>
      <c r="D6701" s="51" t="n">
        <v>0</v>
      </c>
    </row>
    <row r="6702" customFormat="false" ht="15" hidden="false" customHeight="false" outlineLevel="0" collapsed="false">
      <c r="A6702" s="51" t="s">
        <v>781</v>
      </c>
      <c r="B6702" s="55" t="n">
        <v>45107</v>
      </c>
      <c r="C6702" s="51" t="s">
        <v>73</v>
      </c>
      <c r="D6702" s="51" t="n">
        <v>0</v>
      </c>
    </row>
    <row r="6703" customFormat="false" ht="15" hidden="true" customHeight="false" outlineLevel="0" collapsed="false">
      <c r="A6703" s="51" t="s">
        <v>783</v>
      </c>
      <c r="B6703" s="55" t="n">
        <v>45107</v>
      </c>
      <c r="C6703" s="51" t="s">
        <v>73</v>
      </c>
      <c r="D6703" s="51" t="n">
        <v>0</v>
      </c>
    </row>
    <row r="6704" customFormat="false" ht="15" hidden="true" customHeight="false" outlineLevel="0" collapsed="false">
      <c r="A6704" s="51" t="s">
        <v>96</v>
      </c>
      <c r="B6704" s="55" t="n">
        <v>45107</v>
      </c>
      <c r="C6704" s="51" t="s">
        <v>73</v>
      </c>
      <c r="D6704" s="51" t="n">
        <v>0</v>
      </c>
    </row>
    <row r="6705" customFormat="false" ht="15" hidden="true" customHeight="false" outlineLevel="0" collapsed="false">
      <c r="A6705" s="51" t="s">
        <v>101</v>
      </c>
      <c r="B6705" s="55" t="n">
        <v>45107</v>
      </c>
      <c r="C6705" s="51" t="s">
        <v>73</v>
      </c>
      <c r="D6705" s="51" t="n">
        <v>0</v>
      </c>
    </row>
    <row r="6706" customFormat="false" ht="15" hidden="true" customHeight="false" outlineLevel="0" collapsed="false">
      <c r="A6706" s="51" t="s">
        <v>106</v>
      </c>
      <c r="B6706" s="55" t="n">
        <v>45107</v>
      </c>
      <c r="C6706" s="51" t="s">
        <v>73</v>
      </c>
      <c r="D6706" s="51" t="n">
        <v>0</v>
      </c>
    </row>
    <row r="6707" customFormat="false" ht="15" hidden="true" customHeight="false" outlineLevel="0" collapsed="false">
      <c r="A6707" s="51" t="s">
        <v>110</v>
      </c>
      <c r="B6707" s="55" t="n">
        <v>45107</v>
      </c>
      <c r="C6707" s="51" t="s">
        <v>73</v>
      </c>
      <c r="D6707" s="51" t="n">
        <v>0</v>
      </c>
    </row>
    <row r="6708" customFormat="false" ht="15" hidden="true" customHeight="false" outlineLevel="0" collapsed="false">
      <c r="A6708" s="51" t="s">
        <v>115</v>
      </c>
      <c r="B6708" s="55" t="n">
        <v>45107</v>
      </c>
      <c r="C6708" s="51" t="s">
        <v>73</v>
      </c>
      <c r="D6708" s="51" t="n">
        <v>0</v>
      </c>
    </row>
    <row r="6709" customFormat="false" ht="15" hidden="true" customHeight="false" outlineLevel="0" collapsed="false">
      <c r="A6709" s="51" t="s">
        <v>120</v>
      </c>
      <c r="B6709" s="55" t="n">
        <v>45107</v>
      </c>
      <c r="C6709" s="51" t="s">
        <v>73</v>
      </c>
      <c r="D6709" s="51" t="n">
        <v>0</v>
      </c>
    </row>
    <row r="6710" customFormat="false" ht="15" hidden="true" customHeight="false" outlineLevel="0" collapsed="false">
      <c r="A6710" s="51" t="s">
        <v>124</v>
      </c>
      <c r="B6710" s="55" t="n">
        <v>45107</v>
      </c>
      <c r="C6710" s="51" t="s">
        <v>73</v>
      </c>
      <c r="D6710" s="51" t="n">
        <v>0</v>
      </c>
    </row>
    <row r="6711" customFormat="false" ht="15" hidden="true" customHeight="false" outlineLevel="0" collapsed="false">
      <c r="A6711" s="51" t="s">
        <v>129</v>
      </c>
      <c r="B6711" s="55" t="n">
        <v>45107</v>
      </c>
      <c r="C6711" s="51" t="s">
        <v>73</v>
      </c>
      <c r="D6711" s="51" t="n">
        <v>0</v>
      </c>
    </row>
    <row r="6712" customFormat="false" ht="15" hidden="true" customHeight="false" outlineLevel="0" collapsed="false">
      <c r="A6712" s="51" t="s">
        <v>134</v>
      </c>
      <c r="B6712" s="55" t="n">
        <v>45107</v>
      </c>
      <c r="C6712" s="51" t="s">
        <v>73</v>
      </c>
      <c r="D6712" s="51" t="n">
        <v>0</v>
      </c>
    </row>
    <row r="6713" customFormat="false" ht="15" hidden="true" customHeight="false" outlineLevel="0" collapsed="false">
      <c r="A6713" s="51" t="s">
        <v>141</v>
      </c>
      <c r="B6713" s="55" t="n">
        <v>45107</v>
      </c>
      <c r="C6713" s="51" t="s">
        <v>73</v>
      </c>
      <c r="D6713" s="51" t="n">
        <v>0</v>
      </c>
    </row>
    <row r="6714" customFormat="false" ht="15" hidden="true" customHeight="false" outlineLevel="0" collapsed="false">
      <c r="A6714" s="51" t="s">
        <v>146</v>
      </c>
      <c r="B6714" s="55" t="n">
        <v>45107</v>
      </c>
      <c r="C6714" s="51" t="s">
        <v>73</v>
      </c>
      <c r="D6714" s="51" t="n">
        <v>0</v>
      </c>
    </row>
    <row r="6715" customFormat="false" ht="15" hidden="true" customHeight="false" outlineLevel="0" collapsed="false">
      <c r="A6715" s="51" t="s">
        <v>151</v>
      </c>
      <c r="B6715" s="55" t="n">
        <v>45107</v>
      </c>
      <c r="C6715" s="51" t="s">
        <v>73</v>
      </c>
      <c r="D6715" s="51" t="n">
        <v>0</v>
      </c>
    </row>
    <row r="6716" customFormat="false" ht="15" hidden="true" customHeight="false" outlineLevel="0" collapsed="false">
      <c r="A6716" s="51" t="s">
        <v>156</v>
      </c>
      <c r="B6716" s="55" t="n">
        <v>45107</v>
      </c>
      <c r="C6716" s="51" t="s">
        <v>73</v>
      </c>
      <c r="D6716" s="51" t="n">
        <v>0</v>
      </c>
    </row>
    <row r="6717" customFormat="false" ht="15" hidden="true" customHeight="false" outlineLevel="0" collapsed="false">
      <c r="A6717" s="51" t="s">
        <v>161</v>
      </c>
      <c r="B6717" s="55" t="n">
        <v>45107</v>
      </c>
      <c r="C6717" s="51" t="s">
        <v>73</v>
      </c>
      <c r="D6717" s="51" t="n">
        <v>0</v>
      </c>
    </row>
    <row r="6718" customFormat="false" ht="15" hidden="true" customHeight="false" outlineLevel="0" collapsed="false">
      <c r="A6718" s="51" t="s">
        <v>166</v>
      </c>
      <c r="B6718" s="55" t="n">
        <v>45107</v>
      </c>
      <c r="C6718" s="51" t="s">
        <v>73</v>
      </c>
      <c r="D6718" s="51" t="n">
        <v>0</v>
      </c>
    </row>
    <row r="6719" customFormat="false" ht="15" hidden="true" customHeight="false" outlineLevel="0" collapsed="false">
      <c r="A6719" s="51" t="s">
        <v>171</v>
      </c>
      <c r="B6719" s="55" t="n">
        <v>45107</v>
      </c>
      <c r="C6719" s="51" t="s">
        <v>73</v>
      </c>
      <c r="D6719" s="51" t="n">
        <v>0</v>
      </c>
    </row>
    <row r="6720" customFormat="false" ht="15" hidden="true" customHeight="false" outlineLevel="0" collapsed="false">
      <c r="A6720" s="51" t="s">
        <v>176</v>
      </c>
      <c r="B6720" s="55" t="n">
        <v>45107</v>
      </c>
      <c r="C6720" s="51" t="s">
        <v>73</v>
      </c>
      <c r="D6720" s="51" t="n">
        <v>0</v>
      </c>
    </row>
    <row r="6721" customFormat="false" ht="15" hidden="true" customHeight="false" outlineLevel="0" collapsed="false">
      <c r="A6721" s="51" t="s">
        <v>181</v>
      </c>
      <c r="B6721" s="55" t="n">
        <v>45107</v>
      </c>
      <c r="C6721" s="51" t="s">
        <v>73</v>
      </c>
      <c r="D6721" s="51" t="n">
        <v>400000</v>
      </c>
    </row>
    <row r="6722" customFormat="false" ht="15" hidden="true" customHeight="false" outlineLevel="0" collapsed="false">
      <c r="A6722" s="51" t="s">
        <v>186</v>
      </c>
      <c r="B6722" s="55" t="n">
        <v>45107</v>
      </c>
      <c r="C6722" s="51" t="s">
        <v>73</v>
      </c>
      <c r="D6722" s="51" t="n">
        <v>0</v>
      </c>
    </row>
    <row r="6723" customFormat="false" ht="15" hidden="true" customHeight="false" outlineLevel="0" collapsed="false">
      <c r="A6723" s="51" t="s">
        <v>191</v>
      </c>
      <c r="B6723" s="55" t="n">
        <v>45107</v>
      </c>
      <c r="C6723" s="51" t="s">
        <v>73</v>
      </c>
      <c r="D6723" s="51" t="n">
        <v>0</v>
      </c>
    </row>
    <row r="6724" customFormat="false" ht="15" hidden="true" customHeight="false" outlineLevel="0" collapsed="false">
      <c r="A6724" s="51" t="s">
        <v>196</v>
      </c>
      <c r="B6724" s="55" t="n">
        <v>45107</v>
      </c>
      <c r="C6724" s="51" t="s">
        <v>73</v>
      </c>
      <c r="D6724" s="51" t="n">
        <v>0</v>
      </c>
    </row>
    <row r="6725" customFormat="false" ht="15" hidden="true" customHeight="false" outlineLevel="0" collapsed="false">
      <c r="A6725" s="51" t="s">
        <v>201</v>
      </c>
      <c r="B6725" s="55" t="n">
        <v>45107</v>
      </c>
      <c r="C6725" s="51" t="s">
        <v>73</v>
      </c>
      <c r="D6725" s="51" t="n">
        <v>0</v>
      </c>
    </row>
    <row r="6726" customFormat="false" ht="15" hidden="true" customHeight="false" outlineLevel="0" collapsed="false">
      <c r="A6726" s="51" t="s">
        <v>206</v>
      </c>
      <c r="B6726" s="55" t="n">
        <v>45107</v>
      </c>
      <c r="C6726" s="51" t="s">
        <v>73</v>
      </c>
      <c r="D6726" s="51" t="n">
        <v>0</v>
      </c>
    </row>
    <row r="6727" customFormat="false" ht="15" hidden="true" customHeight="false" outlineLevel="0" collapsed="false">
      <c r="A6727" s="51" t="s">
        <v>210</v>
      </c>
      <c r="B6727" s="55" t="n">
        <v>45107</v>
      </c>
      <c r="C6727" s="51" t="s">
        <v>73</v>
      </c>
      <c r="D6727" s="51" t="n">
        <v>0</v>
      </c>
    </row>
    <row r="6728" customFormat="false" ht="15" hidden="true" customHeight="false" outlineLevel="0" collapsed="false">
      <c r="A6728" s="51" t="s">
        <v>215</v>
      </c>
      <c r="B6728" s="55" t="n">
        <v>45107</v>
      </c>
      <c r="C6728" s="51" t="s">
        <v>73</v>
      </c>
      <c r="D6728" s="51" t="n">
        <v>0</v>
      </c>
    </row>
    <row r="6729" customFormat="false" ht="15" hidden="true" customHeight="false" outlineLevel="0" collapsed="false">
      <c r="A6729" s="51" t="s">
        <v>790</v>
      </c>
      <c r="B6729" s="55" t="n">
        <v>45107</v>
      </c>
      <c r="C6729" s="51" t="s">
        <v>73</v>
      </c>
      <c r="D6729" s="51" t="n">
        <v>0</v>
      </c>
    </row>
    <row r="6730" customFormat="false" ht="15" hidden="true" customHeight="false" outlineLevel="0" collapsed="false">
      <c r="A6730" s="51" t="s">
        <v>225</v>
      </c>
      <c r="B6730" s="55" t="n">
        <v>45107</v>
      </c>
      <c r="C6730" s="51" t="s">
        <v>73</v>
      </c>
      <c r="D6730" s="51" t="n">
        <v>0</v>
      </c>
    </row>
    <row r="6731" customFormat="false" ht="15" hidden="true" customHeight="false" outlineLevel="0" collapsed="false">
      <c r="A6731" s="51" t="s">
        <v>230</v>
      </c>
      <c r="B6731" s="55" t="n">
        <v>45107</v>
      </c>
      <c r="C6731" s="51" t="s">
        <v>73</v>
      </c>
      <c r="D6731" s="51" t="n">
        <v>261250</v>
      </c>
    </row>
    <row r="6732" customFormat="false" ht="15" hidden="true" customHeight="false" outlineLevel="0" collapsed="false">
      <c r="A6732" s="51" t="s">
        <v>235</v>
      </c>
      <c r="B6732" s="55" t="n">
        <v>45107</v>
      </c>
      <c r="C6732" s="51" t="s">
        <v>73</v>
      </c>
      <c r="D6732" s="51" t="n">
        <v>0</v>
      </c>
    </row>
    <row r="6733" customFormat="false" ht="15" hidden="true" customHeight="false" outlineLevel="0" collapsed="false">
      <c r="A6733" s="51" t="s">
        <v>240</v>
      </c>
      <c r="B6733" s="55" t="n">
        <v>45107</v>
      </c>
      <c r="C6733" s="51" t="s">
        <v>73</v>
      </c>
      <c r="D6733" s="51" t="n">
        <v>0</v>
      </c>
    </row>
    <row r="6734" customFormat="false" ht="15" hidden="true" customHeight="false" outlineLevel="0" collapsed="false">
      <c r="A6734" s="51" t="s">
        <v>246</v>
      </c>
      <c r="B6734" s="55" t="n">
        <v>45107</v>
      </c>
      <c r="C6734" s="51" t="s">
        <v>73</v>
      </c>
      <c r="D6734" s="51" t="n">
        <v>750000</v>
      </c>
    </row>
    <row r="6735" customFormat="false" ht="15" hidden="true" customHeight="false" outlineLevel="0" collapsed="false">
      <c r="A6735" s="51" t="s">
        <v>252</v>
      </c>
      <c r="B6735" s="55" t="n">
        <v>45107</v>
      </c>
      <c r="C6735" s="51" t="s">
        <v>73</v>
      </c>
      <c r="D6735" s="51" t="n">
        <v>0</v>
      </c>
    </row>
    <row r="6736" customFormat="false" ht="15" hidden="true" customHeight="false" outlineLevel="0" collapsed="false">
      <c r="A6736" s="51" t="s">
        <v>257</v>
      </c>
      <c r="B6736" s="55" t="n">
        <v>45107</v>
      </c>
      <c r="C6736" s="51" t="s">
        <v>73</v>
      </c>
      <c r="D6736" s="51" t="n">
        <v>0</v>
      </c>
    </row>
    <row r="6737" customFormat="false" ht="15" hidden="true" customHeight="false" outlineLevel="0" collapsed="false">
      <c r="A6737" s="51" t="s">
        <v>262</v>
      </c>
      <c r="B6737" s="55" t="n">
        <v>45107</v>
      </c>
      <c r="C6737" s="51" t="s">
        <v>73</v>
      </c>
      <c r="D6737" s="51" t="n">
        <v>0</v>
      </c>
    </row>
    <row r="6738" customFormat="false" ht="15" hidden="true" customHeight="false" outlineLevel="0" collapsed="false">
      <c r="A6738" s="51" t="s">
        <v>267</v>
      </c>
      <c r="B6738" s="55" t="n">
        <v>45107</v>
      </c>
      <c r="C6738" s="51" t="s">
        <v>73</v>
      </c>
      <c r="D6738" s="51" t="n">
        <v>0</v>
      </c>
    </row>
    <row r="6739" customFormat="false" ht="15" hidden="true" customHeight="false" outlineLevel="0" collapsed="false">
      <c r="A6739" s="51" t="s">
        <v>272</v>
      </c>
      <c r="B6739" s="55" t="n">
        <v>45107</v>
      </c>
      <c r="C6739" s="51" t="s">
        <v>73</v>
      </c>
      <c r="D6739" s="51" t="n">
        <v>0</v>
      </c>
    </row>
    <row r="6740" customFormat="false" ht="15" hidden="true" customHeight="false" outlineLevel="0" collapsed="false">
      <c r="A6740" s="51" t="s">
        <v>277</v>
      </c>
      <c r="B6740" s="55" t="n">
        <v>45107</v>
      </c>
      <c r="C6740" s="51" t="s">
        <v>73</v>
      </c>
      <c r="D6740" s="51" t="n">
        <v>0</v>
      </c>
    </row>
    <row r="6741" customFormat="false" ht="15" hidden="true" customHeight="false" outlineLevel="0" collapsed="false">
      <c r="A6741" s="51" t="s">
        <v>282</v>
      </c>
      <c r="B6741" s="55" t="n">
        <v>45107</v>
      </c>
      <c r="C6741" s="51" t="s">
        <v>73</v>
      </c>
      <c r="D6741" s="51" t="n">
        <v>0</v>
      </c>
    </row>
    <row r="6742" customFormat="false" ht="15" hidden="true" customHeight="false" outlineLevel="0" collapsed="false">
      <c r="A6742" s="51" t="s">
        <v>287</v>
      </c>
      <c r="B6742" s="55" t="n">
        <v>45107</v>
      </c>
      <c r="C6742" s="51" t="s">
        <v>73</v>
      </c>
      <c r="D6742" s="51" t="n">
        <v>42250</v>
      </c>
    </row>
    <row r="6743" customFormat="false" ht="15" hidden="true" customHeight="false" outlineLevel="0" collapsed="false">
      <c r="A6743" s="51" t="s">
        <v>292</v>
      </c>
      <c r="B6743" s="55" t="n">
        <v>45107</v>
      </c>
      <c r="C6743" s="51" t="s">
        <v>73</v>
      </c>
      <c r="D6743" s="51" t="n">
        <v>0</v>
      </c>
    </row>
    <row r="6744" customFormat="false" ht="15" hidden="true" customHeight="false" outlineLevel="0" collapsed="false">
      <c r="A6744" s="51" t="s">
        <v>297</v>
      </c>
      <c r="B6744" s="55" t="n">
        <v>45107</v>
      </c>
      <c r="C6744" s="51" t="s">
        <v>73</v>
      </c>
      <c r="D6744" s="51" t="n">
        <v>0</v>
      </c>
    </row>
    <row r="6745" customFormat="false" ht="15" hidden="true" customHeight="false" outlineLevel="0" collapsed="false">
      <c r="A6745" s="51" t="s">
        <v>302</v>
      </c>
      <c r="B6745" s="55" t="n">
        <v>45107</v>
      </c>
      <c r="C6745" s="51" t="s">
        <v>73</v>
      </c>
      <c r="D6745" s="51" t="n">
        <v>0</v>
      </c>
    </row>
    <row r="6746" customFormat="false" ht="15" hidden="true" customHeight="false" outlineLevel="0" collapsed="false">
      <c r="A6746" s="51" t="s">
        <v>307</v>
      </c>
      <c r="B6746" s="55" t="n">
        <v>45107</v>
      </c>
      <c r="C6746" s="51" t="s">
        <v>73</v>
      </c>
      <c r="D6746" s="51" t="n">
        <v>0</v>
      </c>
    </row>
    <row r="6747" customFormat="false" ht="15" hidden="true" customHeight="false" outlineLevel="0" collapsed="false">
      <c r="A6747" s="51" t="s">
        <v>311</v>
      </c>
      <c r="B6747" s="55" t="n">
        <v>45107</v>
      </c>
      <c r="C6747" s="51" t="s">
        <v>73</v>
      </c>
      <c r="D6747" s="51" t="n">
        <v>0</v>
      </c>
    </row>
    <row r="6748" customFormat="false" ht="15" hidden="true" customHeight="false" outlineLevel="0" collapsed="false">
      <c r="A6748" s="51" t="s">
        <v>317</v>
      </c>
      <c r="B6748" s="55" t="n">
        <v>45107</v>
      </c>
      <c r="C6748" s="51" t="s">
        <v>73</v>
      </c>
      <c r="D6748" s="51" t="n">
        <v>850000</v>
      </c>
    </row>
    <row r="6749" customFormat="false" ht="15" hidden="true" customHeight="false" outlineLevel="0" collapsed="false">
      <c r="A6749" s="51" t="s">
        <v>322</v>
      </c>
      <c r="B6749" s="55" t="n">
        <v>45107</v>
      </c>
      <c r="C6749" s="51" t="s">
        <v>73</v>
      </c>
      <c r="D6749" s="51" t="n">
        <v>0</v>
      </c>
    </row>
    <row r="6750" customFormat="false" ht="15" hidden="true" customHeight="false" outlineLevel="0" collapsed="false">
      <c r="A6750" s="51" t="s">
        <v>327</v>
      </c>
      <c r="B6750" s="55" t="n">
        <v>45107</v>
      </c>
      <c r="C6750" s="51" t="s">
        <v>73</v>
      </c>
      <c r="D6750" s="51" t="n">
        <v>800000</v>
      </c>
    </row>
    <row r="6751" customFormat="false" ht="15" hidden="true" customHeight="false" outlineLevel="0" collapsed="false">
      <c r="A6751" s="51" t="s">
        <v>332</v>
      </c>
      <c r="B6751" s="55" t="n">
        <v>45107</v>
      </c>
      <c r="C6751" s="51" t="s">
        <v>73</v>
      </c>
      <c r="D6751" s="51" t="n">
        <v>300000</v>
      </c>
    </row>
    <row r="6752" customFormat="false" ht="15" hidden="true" customHeight="false" outlineLevel="0" collapsed="false">
      <c r="A6752" s="51" t="s">
        <v>339</v>
      </c>
      <c r="B6752" s="55" t="n">
        <v>45107</v>
      </c>
      <c r="C6752" s="51" t="s">
        <v>73</v>
      </c>
      <c r="D6752" s="51" t="n">
        <v>130000</v>
      </c>
    </row>
    <row r="6753" customFormat="false" ht="15" hidden="true" customHeight="false" outlineLevel="0" collapsed="false">
      <c r="A6753" s="51" t="s">
        <v>344</v>
      </c>
      <c r="B6753" s="55" t="n">
        <v>45107</v>
      </c>
      <c r="C6753" s="51" t="s">
        <v>73</v>
      </c>
      <c r="D6753" s="51" t="n">
        <v>0</v>
      </c>
    </row>
    <row r="6754" customFormat="false" ht="15" hidden="true" customHeight="false" outlineLevel="0" collapsed="false">
      <c r="A6754" s="51" t="s">
        <v>349</v>
      </c>
      <c r="B6754" s="55" t="n">
        <v>45107</v>
      </c>
      <c r="C6754" s="51" t="s">
        <v>73</v>
      </c>
      <c r="D6754" s="51" t="n">
        <v>0</v>
      </c>
    </row>
    <row r="6755" customFormat="false" ht="15" hidden="true" customHeight="false" outlineLevel="0" collapsed="false">
      <c r="A6755" s="51" t="s">
        <v>354</v>
      </c>
      <c r="B6755" s="55" t="n">
        <v>45107</v>
      </c>
      <c r="C6755" s="51" t="s">
        <v>73</v>
      </c>
      <c r="D6755" s="51" t="n">
        <v>1500000</v>
      </c>
    </row>
    <row r="6756" customFormat="false" ht="15" hidden="true" customHeight="false" outlineLevel="0" collapsed="false">
      <c r="A6756" s="51" t="s">
        <v>359</v>
      </c>
      <c r="B6756" s="55" t="n">
        <v>45107</v>
      </c>
      <c r="C6756" s="51" t="s">
        <v>73</v>
      </c>
      <c r="D6756" s="51" t="n">
        <v>908206.46</v>
      </c>
    </row>
    <row r="6757" customFormat="false" ht="15" hidden="true" customHeight="false" outlineLevel="0" collapsed="false">
      <c r="A6757" s="51" t="s">
        <v>364</v>
      </c>
      <c r="B6757" s="55" t="n">
        <v>45107</v>
      </c>
      <c r="C6757" s="51" t="s">
        <v>73</v>
      </c>
      <c r="D6757" s="51" t="n">
        <v>0</v>
      </c>
    </row>
    <row r="6758" customFormat="false" ht="15" hidden="true" customHeight="false" outlineLevel="0" collapsed="false">
      <c r="A6758" s="51" t="s">
        <v>369</v>
      </c>
      <c r="B6758" s="55" t="n">
        <v>45107</v>
      </c>
      <c r="C6758" s="51" t="s">
        <v>73</v>
      </c>
      <c r="D6758" s="51" t="n">
        <v>0</v>
      </c>
    </row>
    <row r="6759" customFormat="false" ht="15" hidden="true" customHeight="false" outlineLevel="0" collapsed="false">
      <c r="A6759" s="51" t="s">
        <v>374</v>
      </c>
      <c r="B6759" s="55" t="n">
        <v>45107</v>
      </c>
      <c r="C6759" s="51" t="s">
        <v>73</v>
      </c>
      <c r="D6759" s="51" t="n">
        <v>250776.75</v>
      </c>
    </row>
    <row r="6760" customFormat="false" ht="15" hidden="true" customHeight="false" outlineLevel="0" collapsed="false">
      <c r="A6760" s="51" t="s">
        <v>379</v>
      </c>
      <c r="B6760" s="55" t="n">
        <v>45107</v>
      </c>
      <c r="C6760" s="51" t="s">
        <v>73</v>
      </c>
      <c r="D6760" s="51" t="n">
        <v>0</v>
      </c>
    </row>
    <row r="6761" customFormat="false" ht="15" hidden="true" customHeight="false" outlineLevel="0" collapsed="false">
      <c r="A6761" s="51" t="s">
        <v>384</v>
      </c>
      <c r="B6761" s="55" t="n">
        <v>45107</v>
      </c>
      <c r="C6761" s="51" t="s">
        <v>73</v>
      </c>
      <c r="D6761" s="51" t="n">
        <v>250000</v>
      </c>
    </row>
    <row r="6762" customFormat="false" ht="15" hidden="true" customHeight="false" outlineLevel="0" collapsed="false">
      <c r="A6762" s="51" t="s">
        <v>389</v>
      </c>
      <c r="B6762" s="55" t="n">
        <v>45107</v>
      </c>
      <c r="C6762" s="51" t="s">
        <v>73</v>
      </c>
      <c r="D6762" s="51" t="n">
        <v>0</v>
      </c>
    </row>
    <row r="6763" customFormat="false" ht="15" hidden="true" customHeight="false" outlineLevel="0" collapsed="false">
      <c r="A6763" s="51" t="s">
        <v>394</v>
      </c>
      <c r="B6763" s="55" t="n">
        <v>45107</v>
      </c>
      <c r="C6763" s="51" t="s">
        <v>73</v>
      </c>
      <c r="D6763" s="51" t="n">
        <v>0</v>
      </c>
    </row>
    <row r="6764" customFormat="false" ht="15" hidden="true" customHeight="false" outlineLevel="0" collapsed="false">
      <c r="A6764" s="51" t="s">
        <v>399</v>
      </c>
      <c r="B6764" s="55" t="n">
        <v>45107</v>
      </c>
      <c r="C6764" s="51" t="s">
        <v>73</v>
      </c>
      <c r="D6764" s="51" t="n">
        <v>0</v>
      </c>
    </row>
    <row r="6765" customFormat="false" ht="15" hidden="true" customHeight="false" outlineLevel="0" collapsed="false">
      <c r="A6765" s="51" t="s">
        <v>404</v>
      </c>
      <c r="B6765" s="55" t="n">
        <v>45107</v>
      </c>
      <c r="C6765" s="51" t="s">
        <v>73</v>
      </c>
      <c r="D6765" s="51" t="n">
        <v>0</v>
      </c>
    </row>
    <row r="6766" customFormat="false" ht="15" hidden="true" customHeight="false" outlineLevel="0" collapsed="false">
      <c r="A6766" s="51" t="s">
        <v>409</v>
      </c>
      <c r="B6766" s="55" t="n">
        <v>45107</v>
      </c>
      <c r="C6766" s="51" t="s">
        <v>73</v>
      </c>
      <c r="D6766" s="51" t="n">
        <v>0</v>
      </c>
    </row>
    <row r="6767" customFormat="false" ht="15" hidden="true" customHeight="false" outlineLevel="0" collapsed="false">
      <c r="A6767" s="51" t="s">
        <v>414</v>
      </c>
      <c r="B6767" s="55" t="n">
        <v>45107</v>
      </c>
      <c r="C6767" s="51" t="s">
        <v>73</v>
      </c>
      <c r="D6767" s="51" t="n">
        <v>0</v>
      </c>
    </row>
    <row r="6768" customFormat="false" ht="15" hidden="true" customHeight="false" outlineLevel="0" collapsed="false">
      <c r="A6768" s="51" t="s">
        <v>419</v>
      </c>
      <c r="B6768" s="55" t="n">
        <v>45107</v>
      </c>
      <c r="C6768" s="51" t="s">
        <v>73</v>
      </c>
      <c r="D6768" s="51" t="n">
        <v>0</v>
      </c>
    </row>
    <row r="6769" customFormat="false" ht="15" hidden="true" customHeight="false" outlineLevel="0" collapsed="false">
      <c r="A6769" s="51" t="s">
        <v>424</v>
      </c>
      <c r="B6769" s="55" t="n">
        <v>45107</v>
      </c>
      <c r="C6769" s="51" t="s">
        <v>73</v>
      </c>
      <c r="D6769" s="51" t="n">
        <v>0</v>
      </c>
    </row>
    <row r="6770" customFormat="false" ht="15" hidden="true" customHeight="false" outlineLevel="0" collapsed="false">
      <c r="A6770" s="51" t="s">
        <v>429</v>
      </c>
      <c r="B6770" s="55" t="n">
        <v>45107</v>
      </c>
      <c r="C6770" s="51" t="s">
        <v>73</v>
      </c>
      <c r="D6770" s="51" t="n">
        <v>0</v>
      </c>
    </row>
    <row r="6771" customFormat="false" ht="15" hidden="true" customHeight="false" outlineLevel="0" collapsed="false">
      <c r="A6771" s="51" t="s">
        <v>434</v>
      </c>
      <c r="B6771" s="55" t="n">
        <v>45107</v>
      </c>
      <c r="C6771" s="51" t="s">
        <v>73</v>
      </c>
      <c r="D6771" s="51" t="n">
        <v>0</v>
      </c>
    </row>
    <row r="6772" customFormat="false" ht="15" hidden="true" customHeight="false" outlineLevel="0" collapsed="false">
      <c r="A6772" s="51" t="s">
        <v>438</v>
      </c>
      <c r="B6772" s="55" t="n">
        <v>45107</v>
      </c>
      <c r="C6772" s="51" t="s">
        <v>73</v>
      </c>
      <c r="D6772" s="51" t="n">
        <v>0</v>
      </c>
    </row>
    <row r="6773" customFormat="false" ht="15" hidden="true" customHeight="false" outlineLevel="0" collapsed="false">
      <c r="A6773" s="51" t="s">
        <v>443</v>
      </c>
      <c r="B6773" s="55" t="n">
        <v>45107</v>
      </c>
      <c r="C6773" s="51" t="s">
        <v>73</v>
      </c>
      <c r="D6773" s="51" t="n">
        <v>0</v>
      </c>
    </row>
    <row r="6774" customFormat="false" ht="15" hidden="true" customHeight="false" outlineLevel="0" collapsed="false">
      <c r="A6774" s="51" t="s">
        <v>448</v>
      </c>
      <c r="B6774" s="55" t="n">
        <v>45107</v>
      </c>
      <c r="C6774" s="51" t="s">
        <v>73</v>
      </c>
      <c r="D6774" s="51" t="n">
        <v>0</v>
      </c>
    </row>
    <row r="6775" customFormat="false" ht="15" hidden="true" customHeight="false" outlineLevel="0" collapsed="false">
      <c r="A6775" s="51" t="s">
        <v>453</v>
      </c>
      <c r="B6775" s="55" t="n">
        <v>45107</v>
      </c>
      <c r="C6775" s="51" t="s">
        <v>73</v>
      </c>
      <c r="D6775" s="51" t="n">
        <v>0</v>
      </c>
    </row>
    <row r="6776" customFormat="false" ht="15" hidden="true" customHeight="false" outlineLevel="0" collapsed="false">
      <c r="A6776" s="51" t="s">
        <v>458</v>
      </c>
      <c r="B6776" s="55" t="n">
        <v>45107</v>
      </c>
      <c r="C6776" s="51" t="s">
        <v>73</v>
      </c>
      <c r="D6776" s="51" t="n">
        <v>0</v>
      </c>
    </row>
    <row r="6777" customFormat="false" ht="15" hidden="true" customHeight="false" outlineLevel="0" collapsed="false">
      <c r="A6777" s="51" t="s">
        <v>473</v>
      </c>
      <c r="B6777" s="55" t="n">
        <v>45107</v>
      </c>
      <c r="C6777" s="51" t="s">
        <v>73</v>
      </c>
      <c r="D6777" s="51" t="n">
        <v>0</v>
      </c>
    </row>
    <row r="6778" customFormat="false" ht="15" hidden="true" customHeight="false" outlineLevel="0" collapsed="false">
      <c r="A6778" s="51" t="s">
        <v>479</v>
      </c>
      <c r="B6778" s="55" t="n">
        <v>45107</v>
      </c>
      <c r="C6778" s="51" t="s">
        <v>73</v>
      </c>
      <c r="D6778" s="51" t="n">
        <v>0</v>
      </c>
    </row>
    <row r="6779" customFormat="false" ht="15" hidden="true" customHeight="false" outlineLevel="0" collapsed="false">
      <c r="A6779" s="51" t="s">
        <v>484</v>
      </c>
      <c r="B6779" s="55" t="n">
        <v>45107</v>
      </c>
      <c r="C6779" s="51" t="s">
        <v>73</v>
      </c>
      <c r="D6779" s="51" t="n">
        <v>0</v>
      </c>
    </row>
    <row r="6780" customFormat="false" ht="15" hidden="true" customHeight="false" outlineLevel="0" collapsed="false">
      <c r="A6780" s="51" t="s">
        <v>489</v>
      </c>
      <c r="B6780" s="55" t="n">
        <v>45107</v>
      </c>
      <c r="C6780" s="51" t="s">
        <v>73</v>
      </c>
      <c r="D6780" s="51" t="n">
        <v>0</v>
      </c>
    </row>
    <row r="6781" customFormat="false" ht="15" hidden="true" customHeight="false" outlineLevel="0" collapsed="false">
      <c r="A6781" s="51" t="s">
        <v>494</v>
      </c>
      <c r="B6781" s="55" t="n">
        <v>45107</v>
      </c>
      <c r="C6781" s="51" t="s">
        <v>73</v>
      </c>
      <c r="D6781" s="51" t="n">
        <v>0</v>
      </c>
    </row>
    <row r="6782" customFormat="false" ht="15" hidden="true" customHeight="false" outlineLevel="0" collapsed="false">
      <c r="A6782" s="51" t="s">
        <v>499</v>
      </c>
      <c r="B6782" s="55" t="n">
        <v>45107</v>
      </c>
      <c r="C6782" s="51" t="s">
        <v>73</v>
      </c>
      <c r="D6782" s="51" t="n">
        <v>0</v>
      </c>
    </row>
    <row r="6783" customFormat="false" ht="15" hidden="true" customHeight="false" outlineLevel="0" collapsed="false">
      <c r="A6783" s="51" t="s">
        <v>504</v>
      </c>
      <c r="B6783" s="55" t="n">
        <v>45107</v>
      </c>
      <c r="C6783" s="51" t="s">
        <v>73</v>
      </c>
      <c r="D6783" s="51" t="n">
        <v>0</v>
      </c>
    </row>
    <row r="6784" customFormat="false" ht="15" hidden="true" customHeight="false" outlineLevel="0" collapsed="false">
      <c r="A6784" s="51" t="s">
        <v>509</v>
      </c>
      <c r="B6784" s="55" t="n">
        <v>45107</v>
      </c>
      <c r="C6784" s="51" t="s">
        <v>73</v>
      </c>
      <c r="D6784" s="51" t="n">
        <v>0</v>
      </c>
    </row>
    <row r="6785" customFormat="false" ht="15" hidden="true" customHeight="false" outlineLevel="0" collapsed="false">
      <c r="A6785" s="51" t="s">
        <v>515</v>
      </c>
      <c r="B6785" s="55" t="n">
        <v>45107</v>
      </c>
      <c r="C6785" s="51" t="s">
        <v>73</v>
      </c>
      <c r="D6785" s="51" t="n">
        <v>0</v>
      </c>
    </row>
    <row r="6786" customFormat="false" ht="15" hidden="true" customHeight="false" outlineLevel="0" collapsed="false">
      <c r="A6786" s="51" t="s">
        <v>520</v>
      </c>
      <c r="B6786" s="55" t="n">
        <v>45107</v>
      </c>
      <c r="C6786" s="51" t="s">
        <v>73</v>
      </c>
      <c r="D6786" s="51" t="n">
        <v>0</v>
      </c>
    </row>
    <row r="6787" customFormat="false" ht="15" hidden="true" customHeight="false" outlineLevel="0" collapsed="false">
      <c r="A6787" s="51" t="s">
        <v>525</v>
      </c>
      <c r="B6787" s="55" t="n">
        <v>45107</v>
      </c>
      <c r="C6787" s="51" t="s">
        <v>73</v>
      </c>
      <c r="D6787" s="51" t="n">
        <v>0</v>
      </c>
    </row>
    <row r="6788" customFormat="false" ht="15" hidden="true" customHeight="false" outlineLevel="0" collapsed="false">
      <c r="A6788" s="51" t="s">
        <v>531</v>
      </c>
      <c r="B6788" s="55" t="n">
        <v>45107</v>
      </c>
      <c r="C6788" s="51" t="s">
        <v>73</v>
      </c>
      <c r="D6788" s="51" t="n">
        <v>0</v>
      </c>
    </row>
    <row r="6789" customFormat="false" ht="15" hidden="true" customHeight="false" outlineLevel="0" collapsed="false">
      <c r="A6789" s="51" t="s">
        <v>536</v>
      </c>
      <c r="B6789" s="55" t="n">
        <v>45107</v>
      </c>
      <c r="C6789" s="51" t="s">
        <v>73</v>
      </c>
      <c r="D6789" s="51" t="n">
        <v>0</v>
      </c>
    </row>
    <row r="6790" customFormat="false" ht="15" hidden="true" customHeight="false" outlineLevel="0" collapsed="false">
      <c r="A6790" s="51" t="s">
        <v>541</v>
      </c>
      <c r="B6790" s="55" t="n">
        <v>45107</v>
      </c>
      <c r="C6790" s="51" t="s">
        <v>73</v>
      </c>
      <c r="D6790" s="51" t="n">
        <v>0</v>
      </c>
    </row>
    <row r="6791" customFormat="false" ht="15" hidden="true" customHeight="false" outlineLevel="0" collapsed="false">
      <c r="A6791" s="51" t="s">
        <v>549</v>
      </c>
      <c r="B6791" s="55" t="n">
        <v>45107</v>
      </c>
      <c r="C6791" s="51" t="s">
        <v>73</v>
      </c>
      <c r="D6791" s="51" t="n">
        <v>0</v>
      </c>
    </row>
    <row r="6792" customFormat="false" ht="15" hidden="true" customHeight="false" outlineLevel="0" collapsed="false">
      <c r="A6792" s="51" t="s">
        <v>554</v>
      </c>
      <c r="B6792" s="55" t="n">
        <v>45107</v>
      </c>
      <c r="C6792" s="51" t="s">
        <v>73</v>
      </c>
      <c r="D6792" s="51" t="n">
        <v>0</v>
      </c>
    </row>
    <row r="6793" customFormat="false" ht="15" hidden="true" customHeight="false" outlineLevel="0" collapsed="false">
      <c r="A6793" s="51" t="s">
        <v>559</v>
      </c>
      <c r="B6793" s="55" t="n">
        <v>45107</v>
      </c>
      <c r="C6793" s="51" t="s">
        <v>73</v>
      </c>
      <c r="D6793" s="51" t="n">
        <v>0</v>
      </c>
    </row>
    <row r="6794" customFormat="false" ht="15" hidden="true" customHeight="false" outlineLevel="0" collapsed="false">
      <c r="A6794" s="51" t="s">
        <v>564</v>
      </c>
      <c r="B6794" s="55" t="n">
        <v>45107</v>
      </c>
      <c r="C6794" s="51" t="s">
        <v>73</v>
      </c>
      <c r="D6794" s="51" t="n">
        <v>0</v>
      </c>
    </row>
    <row r="6795" customFormat="false" ht="15" hidden="true" customHeight="false" outlineLevel="0" collapsed="false">
      <c r="A6795" s="51" t="s">
        <v>569</v>
      </c>
      <c r="B6795" s="55" t="n">
        <v>45107</v>
      </c>
      <c r="C6795" s="51" t="s">
        <v>73</v>
      </c>
      <c r="D6795" s="51" t="n">
        <v>0</v>
      </c>
    </row>
    <row r="6796" customFormat="false" ht="15" hidden="true" customHeight="false" outlineLevel="0" collapsed="false">
      <c r="A6796" s="51" t="s">
        <v>574</v>
      </c>
      <c r="B6796" s="55" t="n">
        <v>45107</v>
      </c>
      <c r="C6796" s="51" t="s">
        <v>73</v>
      </c>
      <c r="D6796" s="51" t="n">
        <v>0</v>
      </c>
    </row>
    <row r="6797" customFormat="false" ht="15" hidden="true" customHeight="false" outlineLevel="0" collapsed="false">
      <c r="A6797" s="51" t="s">
        <v>579</v>
      </c>
      <c r="B6797" s="55" t="n">
        <v>45107</v>
      </c>
      <c r="C6797" s="51" t="s">
        <v>73</v>
      </c>
      <c r="D6797" s="51" t="n">
        <v>0</v>
      </c>
    </row>
    <row r="6798" customFormat="false" ht="15" hidden="true" customHeight="false" outlineLevel="0" collapsed="false">
      <c r="A6798" s="51" t="s">
        <v>584</v>
      </c>
      <c r="B6798" s="55" t="n">
        <v>45107</v>
      </c>
      <c r="C6798" s="51" t="s">
        <v>73</v>
      </c>
      <c r="D6798" s="51" t="n">
        <v>0</v>
      </c>
    </row>
    <row r="6799" customFormat="false" ht="15" hidden="true" customHeight="false" outlineLevel="0" collapsed="false">
      <c r="A6799" s="51" t="s">
        <v>589</v>
      </c>
      <c r="B6799" s="55" t="n">
        <v>45107</v>
      </c>
      <c r="C6799" s="51" t="s">
        <v>73</v>
      </c>
      <c r="D6799" s="51" t="n">
        <v>0</v>
      </c>
    </row>
    <row r="6800" customFormat="false" ht="15" hidden="true" customHeight="false" outlineLevel="0" collapsed="false">
      <c r="A6800" s="51" t="s">
        <v>756</v>
      </c>
      <c r="B6800" s="55" t="n">
        <v>45107</v>
      </c>
      <c r="C6800" s="51" t="s">
        <v>73</v>
      </c>
      <c r="D6800" s="51" t="n">
        <v>0</v>
      </c>
    </row>
    <row r="6801" customFormat="false" ht="15" hidden="true" customHeight="false" outlineLevel="0" collapsed="false">
      <c r="A6801" s="51" t="s">
        <v>594</v>
      </c>
      <c r="B6801" s="55" t="n">
        <v>45107</v>
      </c>
      <c r="C6801" s="51" t="s">
        <v>73</v>
      </c>
      <c r="D6801" s="51" t="n">
        <v>0</v>
      </c>
    </row>
    <row r="6802" customFormat="false" ht="15" hidden="true" customHeight="false" outlineLevel="0" collapsed="false">
      <c r="A6802" s="51" t="s">
        <v>761</v>
      </c>
      <c r="B6802" s="55" t="n">
        <v>45107</v>
      </c>
      <c r="C6802" s="51" t="s">
        <v>73</v>
      </c>
      <c r="D6802" s="51" t="n">
        <v>0</v>
      </c>
    </row>
    <row r="6803" customFormat="false" ht="15" hidden="true" customHeight="false" outlineLevel="0" collapsed="false">
      <c r="A6803" s="51" t="s">
        <v>599</v>
      </c>
      <c r="B6803" s="55" t="n">
        <v>45107</v>
      </c>
      <c r="C6803" s="51" t="s">
        <v>73</v>
      </c>
      <c r="D6803" s="51" t="n">
        <v>0</v>
      </c>
    </row>
    <row r="6804" customFormat="false" ht="15" hidden="true" customHeight="false" outlineLevel="0" collapsed="false">
      <c r="A6804" s="51" t="s">
        <v>604</v>
      </c>
      <c r="B6804" s="55" t="n">
        <v>45107</v>
      </c>
      <c r="C6804" s="51" t="s">
        <v>73</v>
      </c>
      <c r="D6804" s="51" t="n">
        <v>0</v>
      </c>
    </row>
    <row r="6805" customFormat="false" ht="15" hidden="true" customHeight="false" outlineLevel="0" collapsed="false">
      <c r="A6805" s="51" t="s">
        <v>609</v>
      </c>
      <c r="B6805" s="55" t="n">
        <v>45107</v>
      </c>
      <c r="C6805" s="51" t="s">
        <v>73</v>
      </c>
      <c r="D6805" s="51" t="n">
        <v>0</v>
      </c>
    </row>
    <row r="6806" customFormat="false" ht="15" hidden="true" customHeight="false" outlineLevel="0" collapsed="false">
      <c r="A6806" s="51" t="s">
        <v>614</v>
      </c>
      <c r="B6806" s="55" t="n">
        <v>45107</v>
      </c>
      <c r="C6806" s="51" t="s">
        <v>73</v>
      </c>
      <c r="D6806" s="51" t="n">
        <v>0</v>
      </c>
    </row>
    <row r="6807" customFormat="false" ht="15" hidden="true" customHeight="false" outlineLevel="0" collapsed="false">
      <c r="A6807" s="51" t="s">
        <v>619</v>
      </c>
      <c r="B6807" s="55" t="n">
        <v>45107</v>
      </c>
      <c r="C6807" s="51" t="s">
        <v>73</v>
      </c>
      <c r="D6807" s="51" t="n">
        <v>0</v>
      </c>
    </row>
    <row r="6808" customFormat="false" ht="15" hidden="true" customHeight="false" outlineLevel="0" collapsed="false">
      <c r="A6808" s="51" t="s">
        <v>624</v>
      </c>
      <c r="B6808" s="55" t="n">
        <v>45107</v>
      </c>
      <c r="C6808" s="51" t="s">
        <v>73</v>
      </c>
      <c r="D6808" s="51" t="n">
        <v>0</v>
      </c>
    </row>
    <row r="6809" customFormat="false" ht="15" hidden="true" customHeight="false" outlineLevel="0" collapsed="false">
      <c r="A6809" s="51" t="s">
        <v>629</v>
      </c>
      <c r="B6809" s="55" t="n">
        <v>45107</v>
      </c>
      <c r="C6809" s="51" t="s">
        <v>73</v>
      </c>
      <c r="D6809" s="51" t="n">
        <v>0</v>
      </c>
    </row>
    <row r="6810" customFormat="false" ht="15" hidden="true" customHeight="false" outlineLevel="0" collapsed="false">
      <c r="A6810" s="51" t="s">
        <v>633</v>
      </c>
      <c r="B6810" s="55" t="n">
        <v>45107</v>
      </c>
      <c r="C6810" s="51" t="s">
        <v>73</v>
      </c>
      <c r="D6810" s="51" t="n">
        <v>0</v>
      </c>
    </row>
    <row r="6811" customFormat="false" ht="15" hidden="true" customHeight="false" outlineLevel="0" collapsed="false">
      <c r="A6811" s="51" t="s">
        <v>638</v>
      </c>
      <c r="B6811" s="55" t="n">
        <v>45107</v>
      </c>
      <c r="C6811" s="51" t="s">
        <v>73</v>
      </c>
      <c r="D6811" s="51" t="n">
        <v>0</v>
      </c>
    </row>
    <row r="6812" customFormat="false" ht="15" hidden="true" customHeight="false" outlineLevel="0" collapsed="false">
      <c r="A6812" s="51" t="s">
        <v>642</v>
      </c>
      <c r="B6812" s="55" t="n">
        <v>45107</v>
      </c>
      <c r="C6812" s="51" t="s">
        <v>73</v>
      </c>
      <c r="D6812" s="51" t="n">
        <v>0</v>
      </c>
    </row>
    <row r="6813" customFormat="false" ht="15" hidden="true" customHeight="false" outlineLevel="0" collapsed="false">
      <c r="A6813" s="51" t="s">
        <v>646</v>
      </c>
      <c r="B6813" s="55" t="n">
        <v>45107</v>
      </c>
      <c r="C6813" s="51" t="s">
        <v>73</v>
      </c>
      <c r="D6813" s="51" t="n">
        <v>0</v>
      </c>
    </row>
    <row r="6814" customFormat="false" ht="15" hidden="true" customHeight="false" outlineLevel="0" collapsed="false">
      <c r="A6814" s="51" t="s">
        <v>651</v>
      </c>
      <c r="B6814" s="55" t="n">
        <v>45107</v>
      </c>
      <c r="C6814" s="51" t="s">
        <v>73</v>
      </c>
      <c r="D6814" s="51" t="n">
        <v>0</v>
      </c>
    </row>
    <row r="6815" customFormat="false" ht="15" hidden="true" customHeight="false" outlineLevel="0" collapsed="false">
      <c r="A6815" s="51" t="s">
        <v>656</v>
      </c>
      <c r="B6815" s="55" t="n">
        <v>45107</v>
      </c>
      <c r="C6815" s="51" t="s">
        <v>73</v>
      </c>
      <c r="D6815" s="51" t="n">
        <v>0</v>
      </c>
    </row>
    <row r="6816" customFormat="false" ht="15" hidden="true" customHeight="false" outlineLevel="0" collapsed="false">
      <c r="A6816" s="51" t="s">
        <v>661</v>
      </c>
      <c r="B6816" s="55" t="n">
        <v>45107</v>
      </c>
      <c r="C6816" s="51" t="s">
        <v>73</v>
      </c>
      <c r="D6816" s="51" t="n">
        <v>0</v>
      </c>
    </row>
    <row r="6817" customFormat="false" ht="15" hidden="true" customHeight="false" outlineLevel="0" collapsed="false">
      <c r="A6817" s="51" t="s">
        <v>666</v>
      </c>
      <c r="B6817" s="55" t="n">
        <v>45107</v>
      </c>
      <c r="C6817" s="51" t="s">
        <v>73</v>
      </c>
      <c r="D6817" s="51" t="n">
        <v>0</v>
      </c>
    </row>
    <row r="6818" customFormat="false" ht="15" hidden="true" customHeight="false" outlineLevel="0" collapsed="false">
      <c r="A6818" s="51" t="s">
        <v>671</v>
      </c>
      <c r="B6818" s="55" t="n">
        <v>45107</v>
      </c>
      <c r="C6818" s="51" t="s">
        <v>73</v>
      </c>
      <c r="D6818" s="51" t="n">
        <v>0</v>
      </c>
    </row>
    <row r="6819" customFormat="false" ht="15" hidden="true" customHeight="false" outlineLevel="0" collapsed="false">
      <c r="A6819" s="51" t="s">
        <v>676</v>
      </c>
      <c r="B6819" s="55" t="n">
        <v>45107</v>
      </c>
      <c r="C6819" s="51" t="s">
        <v>73</v>
      </c>
      <c r="D6819" s="51" t="n">
        <v>0</v>
      </c>
    </row>
    <row r="6820" customFormat="false" ht="15" hidden="true" customHeight="false" outlineLevel="0" collapsed="false">
      <c r="A6820" s="51" t="s">
        <v>681</v>
      </c>
      <c r="B6820" s="55" t="n">
        <v>45107</v>
      </c>
      <c r="C6820" s="51" t="s">
        <v>73</v>
      </c>
      <c r="D6820" s="51" t="n">
        <v>0</v>
      </c>
    </row>
    <row r="6821" customFormat="false" ht="15" hidden="true" customHeight="false" outlineLevel="0" collapsed="false">
      <c r="A6821" s="51" t="s">
        <v>686</v>
      </c>
      <c r="B6821" s="55" t="n">
        <v>45107</v>
      </c>
      <c r="C6821" s="51" t="s">
        <v>73</v>
      </c>
      <c r="D6821" s="51" t="n">
        <v>0</v>
      </c>
    </row>
    <row r="6822" customFormat="false" ht="15" hidden="true" customHeight="false" outlineLevel="0" collapsed="false">
      <c r="A6822" s="51" t="s">
        <v>691</v>
      </c>
      <c r="B6822" s="55" t="n">
        <v>45107</v>
      </c>
      <c r="C6822" s="51" t="s">
        <v>73</v>
      </c>
      <c r="D6822" s="51" t="n">
        <v>0</v>
      </c>
    </row>
    <row r="6823" customFormat="false" ht="15" hidden="true" customHeight="false" outlineLevel="0" collapsed="false">
      <c r="A6823" s="51" t="s">
        <v>696</v>
      </c>
      <c r="B6823" s="55" t="n">
        <v>45107</v>
      </c>
      <c r="C6823" s="51" t="s">
        <v>73</v>
      </c>
      <c r="D6823" s="51" t="n">
        <v>0</v>
      </c>
    </row>
    <row r="6824" customFormat="false" ht="15" hidden="true" customHeight="false" outlineLevel="0" collapsed="false">
      <c r="A6824" s="51" t="s">
        <v>701</v>
      </c>
      <c r="B6824" s="55" t="n">
        <v>45107</v>
      </c>
      <c r="C6824" s="51" t="s">
        <v>73</v>
      </c>
      <c r="D6824" s="51" t="n">
        <v>0</v>
      </c>
    </row>
    <row r="6825" customFormat="false" ht="15" hidden="true" customHeight="false" outlineLevel="0" collapsed="false">
      <c r="A6825" s="51" t="s">
        <v>707</v>
      </c>
      <c r="B6825" s="55" t="n">
        <v>45107</v>
      </c>
      <c r="C6825" s="51" t="s">
        <v>73</v>
      </c>
      <c r="D6825" s="51" t="n">
        <v>0</v>
      </c>
    </row>
    <row r="6826" customFormat="false" ht="15" hidden="true" customHeight="false" outlineLevel="0" collapsed="false">
      <c r="A6826" s="51" t="s">
        <v>712</v>
      </c>
      <c r="B6826" s="55" t="n">
        <v>45107</v>
      </c>
      <c r="C6826" s="51" t="s">
        <v>73</v>
      </c>
      <c r="D6826" s="51" t="n">
        <v>0</v>
      </c>
    </row>
    <row r="6827" customFormat="false" ht="15" hidden="true" customHeight="false" outlineLevel="0" collapsed="false">
      <c r="A6827" s="51" t="s">
        <v>717</v>
      </c>
      <c r="B6827" s="55" t="n">
        <v>45107</v>
      </c>
      <c r="C6827" s="51" t="s">
        <v>73</v>
      </c>
      <c r="D6827" s="51" t="n">
        <v>0</v>
      </c>
    </row>
    <row r="6828" customFormat="false" ht="15" hidden="true" customHeight="false" outlineLevel="0" collapsed="false">
      <c r="A6828" s="51" t="s">
        <v>767</v>
      </c>
      <c r="B6828" s="55" t="n">
        <v>45107</v>
      </c>
      <c r="C6828" s="51" t="s">
        <v>73</v>
      </c>
      <c r="D6828" s="51" t="n">
        <v>0</v>
      </c>
    </row>
    <row r="6829" customFormat="false" ht="15" hidden="true" customHeight="false" outlineLevel="0" collapsed="false">
      <c r="A6829" s="51" t="s">
        <v>722</v>
      </c>
      <c r="B6829" s="55" t="n">
        <v>45107</v>
      </c>
      <c r="C6829" s="51" t="s">
        <v>73</v>
      </c>
      <c r="D6829" s="51" t="n">
        <v>0</v>
      </c>
    </row>
    <row r="6830" customFormat="false" ht="15" hidden="true" customHeight="false" outlineLevel="0" collapsed="false">
      <c r="A6830" s="51" t="s">
        <v>727</v>
      </c>
      <c r="B6830" s="55" t="n">
        <v>45107</v>
      </c>
      <c r="C6830" s="51" t="s">
        <v>73</v>
      </c>
      <c r="D6830" s="51" t="n">
        <v>0</v>
      </c>
    </row>
    <row r="6831" customFormat="false" ht="15" hidden="true" customHeight="false" outlineLevel="0" collapsed="false">
      <c r="A6831" s="51" t="s">
        <v>732</v>
      </c>
      <c r="B6831" s="55" t="n">
        <v>45107</v>
      </c>
      <c r="C6831" s="51" t="s">
        <v>73</v>
      </c>
      <c r="D6831" s="51" t="n">
        <v>0</v>
      </c>
    </row>
    <row r="6832" customFormat="false" ht="15" hidden="true" customHeight="false" outlineLevel="0" collapsed="false">
      <c r="A6832" s="51" t="s">
        <v>736</v>
      </c>
      <c r="B6832" s="55" t="n">
        <v>45107</v>
      </c>
      <c r="C6832" s="51" t="s">
        <v>73</v>
      </c>
      <c r="D6832" s="51" t="n">
        <v>0</v>
      </c>
    </row>
    <row r="6833" customFormat="false" ht="15" hidden="true" customHeight="false" outlineLevel="0" collapsed="false">
      <c r="A6833" s="51" t="s">
        <v>741</v>
      </c>
      <c r="B6833" s="55" t="n">
        <v>45107</v>
      </c>
      <c r="C6833" s="51" t="s">
        <v>73</v>
      </c>
      <c r="D6833" s="51" t="n">
        <v>0</v>
      </c>
    </row>
    <row r="6834" customFormat="false" ht="15" hidden="true" customHeight="false" outlineLevel="0" collapsed="false">
      <c r="A6834" s="51" t="s">
        <v>746</v>
      </c>
      <c r="B6834" s="55" t="n">
        <v>45107</v>
      </c>
      <c r="C6834" s="51" t="s">
        <v>73</v>
      </c>
      <c r="D6834" s="51" t="n">
        <v>0</v>
      </c>
    </row>
    <row r="6835" customFormat="false" ht="15" hidden="true" customHeight="false" outlineLevel="0" collapsed="false">
      <c r="A6835" s="51" t="s">
        <v>751</v>
      </c>
      <c r="B6835" s="55" t="n">
        <v>45107</v>
      </c>
      <c r="C6835" s="51" t="s">
        <v>73</v>
      </c>
      <c r="D6835" s="51" t="n">
        <v>0</v>
      </c>
    </row>
    <row r="6836" customFormat="false" ht="15" hidden="false" customHeight="false" outlineLevel="0" collapsed="false">
      <c r="A6836" s="51" t="s">
        <v>781</v>
      </c>
      <c r="B6836" s="55" t="n">
        <v>45107</v>
      </c>
      <c r="C6836" s="51" t="s">
        <v>791</v>
      </c>
      <c r="D6836" s="51" t="n">
        <v>0</v>
      </c>
    </row>
    <row r="6837" customFormat="false" ht="15" hidden="true" customHeight="false" outlineLevel="0" collapsed="false">
      <c r="A6837" s="51" t="s">
        <v>783</v>
      </c>
      <c r="B6837" s="55" t="n">
        <v>45107</v>
      </c>
      <c r="C6837" s="51" t="s">
        <v>791</v>
      </c>
      <c r="D6837" s="51" t="n">
        <v>0</v>
      </c>
    </row>
    <row r="6838" customFormat="false" ht="15" hidden="true" customHeight="false" outlineLevel="0" collapsed="false">
      <c r="A6838" s="51" t="s">
        <v>96</v>
      </c>
      <c r="B6838" s="55" t="n">
        <v>45107</v>
      </c>
      <c r="C6838" s="51" t="s">
        <v>791</v>
      </c>
      <c r="D6838" s="51" t="n">
        <v>0</v>
      </c>
    </row>
    <row r="6839" customFormat="false" ht="15" hidden="true" customHeight="false" outlineLevel="0" collapsed="false">
      <c r="A6839" s="51" t="s">
        <v>101</v>
      </c>
      <c r="B6839" s="55" t="n">
        <v>45107</v>
      </c>
      <c r="C6839" s="51" t="s">
        <v>791</v>
      </c>
      <c r="D6839" s="51" t="n">
        <v>0</v>
      </c>
    </row>
    <row r="6840" customFormat="false" ht="15" hidden="true" customHeight="false" outlineLevel="0" collapsed="false">
      <c r="A6840" s="51" t="s">
        <v>106</v>
      </c>
      <c r="B6840" s="55" t="n">
        <v>45107</v>
      </c>
      <c r="C6840" s="51" t="s">
        <v>791</v>
      </c>
      <c r="D6840" s="51" t="n">
        <v>0</v>
      </c>
    </row>
    <row r="6841" customFormat="false" ht="15" hidden="true" customHeight="false" outlineLevel="0" collapsed="false">
      <c r="A6841" s="51" t="s">
        <v>110</v>
      </c>
      <c r="B6841" s="55" t="n">
        <v>45107</v>
      </c>
      <c r="C6841" s="51" t="s">
        <v>791</v>
      </c>
      <c r="D6841" s="51" t="n">
        <v>0</v>
      </c>
    </row>
    <row r="6842" customFormat="false" ht="15" hidden="true" customHeight="false" outlineLevel="0" collapsed="false">
      <c r="A6842" s="51" t="s">
        <v>115</v>
      </c>
      <c r="B6842" s="55" t="n">
        <v>45107</v>
      </c>
      <c r="C6842" s="51" t="s">
        <v>791</v>
      </c>
      <c r="D6842" s="51" t="n">
        <v>0</v>
      </c>
    </row>
    <row r="6843" customFormat="false" ht="15" hidden="true" customHeight="false" outlineLevel="0" collapsed="false">
      <c r="A6843" s="51" t="s">
        <v>120</v>
      </c>
      <c r="B6843" s="55" t="n">
        <v>45107</v>
      </c>
      <c r="C6843" s="51" t="s">
        <v>791</v>
      </c>
      <c r="D6843" s="51" t="n">
        <v>0</v>
      </c>
    </row>
    <row r="6844" customFormat="false" ht="15" hidden="true" customHeight="false" outlineLevel="0" collapsed="false">
      <c r="A6844" s="51" t="s">
        <v>124</v>
      </c>
      <c r="B6844" s="55" t="n">
        <v>45107</v>
      </c>
      <c r="C6844" s="51" t="s">
        <v>791</v>
      </c>
      <c r="D6844" s="51" t="n">
        <v>0</v>
      </c>
    </row>
    <row r="6845" customFormat="false" ht="15" hidden="true" customHeight="false" outlineLevel="0" collapsed="false">
      <c r="A6845" s="51" t="s">
        <v>129</v>
      </c>
      <c r="B6845" s="55" t="n">
        <v>45107</v>
      </c>
      <c r="C6845" s="51" t="s">
        <v>791</v>
      </c>
      <c r="D6845" s="51" t="n">
        <v>0</v>
      </c>
    </row>
    <row r="6846" customFormat="false" ht="15" hidden="true" customHeight="false" outlineLevel="0" collapsed="false">
      <c r="A6846" s="51" t="s">
        <v>134</v>
      </c>
      <c r="B6846" s="55" t="n">
        <v>45107</v>
      </c>
      <c r="C6846" s="51" t="s">
        <v>791</v>
      </c>
      <c r="D6846" s="51" t="n">
        <v>0</v>
      </c>
    </row>
    <row r="6847" customFormat="false" ht="15" hidden="true" customHeight="false" outlineLevel="0" collapsed="false">
      <c r="A6847" s="51" t="s">
        <v>141</v>
      </c>
      <c r="B6847" s="55" t="n">
        <v>45107</v>
      </c>
      <c r="C6847" s="51" t="s">
        <v>791</v>
      </c>
      <c r="D6847" s="51" t="n">
        <v>0</v>
      </c>
    </row>
    <row r="6848" customFormat="false" ht="15" hidden="true" customHeight="false" outlineLevel="0" collapsed="false">
      <c r="A6848" s="51" t="s">
        <v>146</v>
      </c>
      <c r="B6848" s="55" t="n">
        <v>45107</v>
      </c>
      <c r="C6848" s="51" t="s">
        <v>791</v>
      </c>
      <c r="D6848" s="51" t="n">
        <v>0</v>
      </c>
    </row>
    <row r="6849" customFormat="false" ht="15" hidden="true" customHeight="false" outlineLevel="0" collapsed="false">
      <c r="A6849" s="51" t="s">
        <v>151</v>
      </c>
      <c r="B6849" s="55" t="n">
        <v>45107</v>
      </c>
      <c r="C6849" s="51" t="s">
        <v>791</v>
      </c>
      <c r="D6849" s="51" t="n">
        <v>0</v>
      </c>
    </row>
    <row r="6850" customFormat="false" ht="15" hidden="true" customHeight="false" outlineLevel="0" collapsed="false">
      <c r="A6850" s="51" t="s">
        <v>156</v>
      </c>
      <c r="B6850" s="55" t="n">
        <v>45107</v>
      </c>
      <c r="C6850" s="51" t="s">
        <v>791</v>
      </c>
      <c r="D6850" s="51" t="n">
        <v>0</v>
      </c>
    </row>
    <row r="6851" customFormat="false" ht="15" hidden="true" customHeight="false" outlineLevel="0" collapsed="false">
      <c r="A6851" s="51" t="s">
        <v>161</v>
      </c>
      <c r="B6851" s="55" t="n">
        <v>45107</v>
      </c>
      <c r="C6851" s="51" t="s">
        <v>791</v>
      </c>
      <c r="D6851" s="51" t="n">
        <v>0</v>
      </c>
    </row>
    <row r="6852" customFormat="false" ht="15" hidden="true" customHeight="false" outlineLevel="0" collapsed="false">
      <c r="A6852" s="51" t="s">
        <v>166</v>
      </c>
      <c r="B6852" s="55" t="n">
        <v>45107</v>
      </c>
      <c r="C6852" s="51" t="s">
        <v>791</v>
      </c>
      <c r="D6852" s="51" t="n">
        <v>0</v>
      </c>
    </row>
    <row r="6853" customFormat="false" ht="15" hidden="true" customHeight="false" outlineLevel="0" collapsed="false">
      <c r="A6853" s="51" t="s">
        <v>171</v>
      </c>
      <c r="B6853" s="55" t="n">
        <v>45107</v>
      </c>
      <c r="C6853" s="51" t="s">
        <v>791</v>
      </c>
      <c r="D6853" s="51" t="n">
        <v>0</v>
      </c>
    </row>
    <row r="6854" customFormat="false" ht="15" hidden="true" customHeight="false" outlineLevel="0" collapsed="false">
      <c r="A6854" s="51" t="s">
        <v>176</v>
      </c>
      <c r="B6854" s="55" t="n">
        <v>45107</v>
      </c>
      <c r="C6854" s="51" t="s">
        <v>791</v>
      </c>
      <c r="D6854" s="51" t="n">
        <v>0</v>
      </c>
    </row>
    <row r="6855" customFormat="false" ht="15" hidden="true" customHeight="false" outlineLevel="0" collapsed="false">
      <c r="A6855" s="51" t="s">
        <v>181</v>
      </c>
      <c r="B6855" s="55" t="n">
        <v>45107</v>
      </c>
      <c r="C6855" s="51" t="s">
        <v>791</v>
      </c>
      <c r="D6855" s="51" t="n">
        <v>-400000</v>
      </c>
    </row>
    <row r="6856" customFormat="false" ht="15" hidden="true" customHeight="false" outlineLevel="0" collapsed="false">
      <c r="A6856" s="51" t="s">
        <v>186</v>
      </c>
      <c r="B6856" s="55" t="n">
        <v>45107</v>
      </c>
      <c r="C6856" s="51" t="s">
        <v>791</v>
      </c>
      <c r="D6856" s="51" t="n">
        <v>0</v>
      </c>
    </row>
    <row r="6857" customFormat="false" ht="15" hidden="true" customHeight="false" outlineLevel="0" collapsed="false">
      <c r="A6857" s="51" t="s">
        <v>191</v>
      </c>
      <c r="B6857" s="55" t="n">
        <v>45107</v>
      </c>
      <c r="C6857" s="51" t="s">
        <v>791</v>
      </c>
      <c r="D6857" s="51" t="n">
        <v>0</v>
      </c>
    </row>
    <row r="6858" customFormat="false" ht="15" hidden="true" customHeight="false" outlineLevel="0" collapsed="false">
      <c r="A6858" s="51" t="s">
        <v>196</v>
      </c>
      <c r="B6858" s="55" t="n">
        <v>45107</v>
      </c>
      <c r="C6858" s="51" t="s">
        <v>791</v>
      </c>
      <c r="D6858" s="51" t="n">
        <v>0</v>
      </c>
    </row>
    <row r="6859" customFormat="false" ht="15" hidden="true" customHeight="false" outlineLevel="0" collapsed="false">
      <c r="A6859" s="51" t="s">
        <v>201</v>
      </c>
      <c r="B6859" s="55" t="n">
        <v>45107</v>
      </c>
      <c r="C6859" s="51" t="s">
        <v>791</v>
      </c>
      <c r="D6859" s="51" t="n">
        <v>0</v>
      </c>
    </row>
    <row r="6860" customFormat="false" ht="15" hidden="true" customHeight="false" outlineLevel="0" collapsed="false">
      <c r="A6860" s="51" t="s">
        <v>206</v>
      </c>
      <c r="B6860" s="55" t="n">
        <v>45107</v>
      </c>
      <c r="C6860" s="51" t="s">
        <v>791</v>
      </c>
      <c r="D6860" s="51" t="n">
        <v>0</v>
      </c>
    </row>
    <row r="6861" customFormat="false" ht="15" hidden="true" customHeight="false" outlineLevel="0" collapsed="false">
      <c r="A6861" s="51" t="s">
        <v>210</v>
      </c>
      <c r="B6861" s="55" t="n">
        <v>45107</v>
      </c>
      <c r="C6861" s="51" t="s">
        <v>791</v>
      </c>
      <c r="D6861" s="51" t="n">
        <v>0</v>
      </c>
    </row>
    <row r="6862" customFormat="false" ht="15" hidden="true" customHeight="false" outlineLevel="0" collapsed="false">
      <c r="A6862" s="51" t="s">
        <v>215</v>
      </c>
      <c r="B6862" s="55" t="n">
        <v>45107</v>
      </c>
      <c r="C6862" s="51" t="s">
        <v>791</v>
      </c>
      <c r="D6862" s="51" t="n">
        <v>0</v>
      </c>
    </row>
    <row r="6863" customFormat="false" ht="15" hidden="true" customHeight="false" outlineLevel="0" collapsed="false">
      <c r="A6863" s="51" t="s">
        <v>790</v>
      </c>
      <c r="B6863" s="55" t="n">
        <v>45107</v>
      </c>
      <c r="C6863" s="51" t="s">
        <v>791</v>
      </c>
      <c r="D6863" s="51" t="n">
        <v>0</v>
      </c>
    </row>
    <row r="6864" customFormat="false" ht="15" hidden="true" customHeight="false" outlineLevel="0" collapsed="false">
      <c r="A6864" s="51" t="s">
        <v>225</v>
      </c>
      <c r="B6864" s="55" t="n">
        <v>45107</v>
      </c>
      <c r="C6864" s="51" t="s">
        <v>791</v>
      </c>
      <c r="D6864" s="51" t="n">
        <v>0</v>
      </c>
    </row>
    <row r="6865" customFormat="false" ht="15" hidden="true" customHeight="false" outlineLevel="0" collapsed="false">
      <c r="A6865" s="51" t="s">
        <v>230</v>
      </c>
      <c r="B6865" s="55" t="n">
        <v>45107</v>
      </c>
      <c r="C6865" s="51" t="s">
        <v>791</v>
      </c>
      <c r="D6865" s="51" t="n">
        <v>-261250</v>
      </c>
    </row>
    <row r="6866" customFormat="false" ht="15" hidden="true" customHeight="false" outlineLevel="0" collapsed="false">
      <c r="A6866" s="51" t="s">
        <v>235</v>
      </c>
      <c r="B6866" s="55" t="n">
        <v>45107</v>
      </c>
      <c r="C6866" s="51" t="s">
        <v>791</v>
      </c>
      <c r="D6866" s="51" t="n">
        <v>0</v>
      </c>
    </row>
    <row r="6867" customFormat="false" ht="15" hidden="true" customHeight="false" outlineLevel="0" collapsed="false">
      <c r="A6867" s="51" t="s">
        <v>240</v>
      </c>
      <c r="B6867" s="55" t="n">
        <v>45107</v>
      </c>
      <c r="C6867" s="51" t="s">
        <v>791</v>
      </c>
      <c r="D6867" s="51" t="n">
        <v>0</v>
      </c>
    </row>
    <row r="6868" customFormat="false" ht="15" hidden="true" customHeight="false" outlineLevel="0" collapsed="false">
      <c r="A6868" s="51" t="s">
        <v>246</v>
      </c>
      <c r="B6868" s="55" t="n">
        <v>45107</v>
      </c>
      <c r="C6868" s="51" t="s">
        <v>791</v>
      </c>
      <c r="D6868" s="51" t="n">
        <v>-750000</v>
      </c>
    </row>
    <row r="6869" customFormat="false" ht="15" hidden="true" customHeight="false" outlineLevel="0" collapsed="false">
      <c r="A6869" s="51" t="s">
        <v>252</v>
      </c>
      <c r="B6869" s="55" t="n">
        <v>45107</v>
      </c>
      <c r="C6869" s="51" t="s">
        <v>791</v>
      </c>
      <c r="D6869" s="51" t="n">
        <v>0</v>
      </c>
    </row>
    <row r="6870" customFormat="false" ht="15" hidden="true" customHeight="false" outlineLevel="0" collapsed="false">
      <c r="A6870" s="51" t="s">
        <v>257</v>
      </c>
      <c r="B6870" s="55" t="n">
        <v>45107</v>
      </c>
      <c r="C6870" s="51" t="s">
        <v>791</v>
      </c>
      <c r="D6870" s="51" t="n">
        <v>0</v>
      </c>
    </row>
    <row r="6871" customFormat="false" ht="15" hidden="true" customHeight="false" outlineLevel="0" collapsed="false">
      <c r="A6871" s="51" t="s">
        <v>262</v>
      </c>
      <c r="B6871" s="55" t="n">
        <v>45107</v>
      </c>
      <c r="C6871" s="51" t="s">
        <v>791</v>
      </c>
      <c r="D6871" s="51" t="n">
        <v>0</v>
      </c>
    </row>
    <row r="6872" customFormat="false" ht="15" hidden="true" customHeight="false" outlineLevel="0" collapsed="false">
      <c r="A6872" s="51" t="s">
        <v>267</v>
      </c>
      <c r="B6872" s="55" t="n">
        <v>45107</v>
      </c>
      <c r="C6872" s="51" t="s">
        <v>791</v>
      </c>
      <c r="D6872" s="51" t="n">
        <v>0</v>
      </c>
    </row>
    <row r="6873" customFormat="false" ht="15" hidden="true" customHeight="false" outlineLevel="0" collapsed="false">
      <c r="A6873" s="51" t="s">
        <v>272</v>
      </c>
      <c r="B6873" s="55" t="n">
        <v>45107</v>
      </c>
      <c r="C6873" s="51" t="s">
        <v>791</v>
      </c>
      <c r="D6873" s="51" t="n">
        <v>0</v>
      </c>
    </row>
    <row r="6874" customFormat="false" ht="15" hidden="true" customHeight="false" outlineLevel="0" collapsed="false">
      <c r="A6874" s="51" t="s">
        <v>277</v>
      </c>
      <c r="B6874" s="55" t="n">
        <v>45107</v>
      </c>
      <c r="C6874" s="51" t="s">
        <v>791</v>
      </c>
      <c r="D6874" s="51" t="n">
        <v>0</v>
      </c>
    </row>
    <row r="6875" customFormat="false" ht="15" hidden="true" customHeight="false" outlineLevel="0" collapsed="false">
      <c r="A6875" s="51" t="s">
        <v>282</v>
      </c>
      <c r="B6875" s="55" t="n">
        <v>45107</v>
      </c>
      <c r="C6875" s="51" t="s">
        <v>791</v>
      </c>
      <c r="D6875" s="51" t="n">
        <v>0</v>
      </c>
    </row>
    <row r="6876" customFormat="false" ht="15" hidden="true" customHeight="false" outlineLevel="0" collapsed="false">
      <c r="A6876" s="51" t="s">
        <v>287</v>
      </c>
      <c r="B6876" s="55" t="n">
        <v>45107</v>
      </c>
      <c r="C6876" s="51" t="s">
        <v>791</v>
      </c>
      <c r="D6876" s="51" t="n">
        <v>-42250</v>
      </c>
    </row>
    <row r="6877" customFormat="false" ht="15" hidden="true" customHeight="false" outlineLevel="0" collapsed="false">
      <c r="A6877" s="51" t="s">
        <v>292</v>
      </c>
      <c r="B6877" s="55" t="n">
        <v>45107</v>
      </c>
      <c r="C6877" s="51" t="s">
        <v>791</v>
      </c>
      <c r="D6877" s="51" t="n">
        <v>0</v>
      </c>
    </row>
    <row r="6878" customFormat="false" ht="15" hidden="true" customHeight="false" outlineLevel="0" collapsed="false">
      <c r="A6878" s="51" t="s">
        <v>297</v>
      </c>
      <c r="B6878" s="55" t="n">
        <v>45107</v>
      </c>
      <c r="C6878" s="51" t="s">
        <v>791</v>
      </c>
      <c r="D6878" s="51" t="n">
        <v>0</v>
      </c>
    </row>
    <row r="6879" customFormat="false" ht="15" hidden="true" customHeight="false" outlineLevel="0" collapsed="false">
      <c r="A6879" s="51" t="s">
        <v>302</v>
      </c>
      <c r="B6879" s="55" t="n">
        <v>45107</v>
      </c>
      <c r="C6879" s="51" t="s">
        <v>791</v>
      </c>
      <c r="D6879" s="51" t="n">
        <v>0</v>
      </c>
    </row>
    <row r="6880" customFormat="false" ht="15" hidden="true" customHeight="false" outlineLevel="0" collapsed="false">
      <c r="A6880" s="51" t="s">
        <v>307</v>
      </c>
      <c r="B6880" s="55" t="n">
        <v>45107</v>
      </c>
      <c r="C6880" s="51" t="s">
        <v>791</v>
      </c>
      <c r="D6880" s="51" t="n">
        <v>0</v>
      </c>
    </row>
    <row r="6881" customFormat="false" ht="15" hidden="true" customHeight="false" outlineLevel="0" collapsed="false">
      <c r="A6881" s="51" t="s">
        <v>311</v>
      </c>
      <c r="B6881" s="55" t="n">
        <v>45107</v>
      </c>
      <c r="C6881" s="51" t="s">
        <v>791</v>
      </c>
      <c r="D6881" s="51" t="n">
        <v>0</v>
      </c>
    </row>
    <row r="6882" customFormat="false" ht="15" hidden="true" customHeight="false" outlineLevel="0" collapsed="false">
      <c r="A6882" s="51" t="s">
        <v>317</v>
      </c>
      <c r="B6882" s="55" t="n">
        <v>45107</v>
      </c>
      <c r="C6882" s="51" t="s">
        <v>791</v>
      </c>
      <c r="D6882" s="51" t="n">
        <v>-850000</v>
      </c>
    </row>
    <row r="6883" customFormat="false" ht="15" hidden="true" customHeight="false" outlineLevel="0" collapsed="false">
      <c r="A6883" s="51" t="s">
        <v>322</v>
      </c>
      <c r="B6883" s="55" t="n">
        <v>45107</v>
      </c>
      <c r="C6883" s="51" t="s">
        <v>791</v>
      </c>
      <c r="D6883" s="51" t="n">
        <v>0</v>
      </c>
    </row>
    <row r="6884" customFormat="false" ht="15" hidden="true" customHeight="false" outlineLevel="0" collapsed="false">
      <c r="A6884" s="51" t="s">
        <v>327</v>
      </c>
      <c r="B6884" s="55" t="n">
        <v>45107</v>
      </c>
      <c r="C6884" s="51" t="s">
        <v>791</v>
      </c>
      <c r="D6884" s="51" t="n">
        <v>-800000</v>
      </c>
    </row>
    <row r="6885" customFormat="false" ht="15" hidden="true" customHeight="false" outlineLevel="0" collapsed="false">
      <c r="A6885" s="51" t="s">
        <v>332</v>
      </c>
      <c r="B6885" s="55" t="n">
        <v>45107</v>
      </c>
      <c r="C6885" s="51" t="s">
        <v>791</v>
      </c>
      <c r="D6885" s="51" t="n">
        <v>700000</v>
      </c>
    </row>
    <row r="6886" customFormat="false" ht="15" hidden="true" customHeight="false" outlineLevel="0" collapsed="false">
      <c r="A6886" s="51" t="s">
        <v>339</v>
      </c>
      <c r="B6886" s="55" t="n">
        <v>45107</v>
      </c>
      <c r="C6886" s="51" t="s">
        <v>791</v>
      </c>
      <c r="D6886" s="51" t="n">
        <v>-130000</v>
      </c>
    </row>
    <row r="6887" customFormat="false" ht="15" hidden="true" customHeight="false" outlineLevel="0" collapsed="false">
      <c r="A6887" s="51" t="s">
        <v>344</v>
      </c>
      <c r="B6887" s="55" t="n">
        <v>45107</v>
      </c>
      <c r="C6887" s="51" t="s">
        <v>791</v>
      </c>
      <c r="D6887" s="51" t="n">
        <v>0</v>
      </c>
    </row>
    <row r="6888" customFormat="false" ht="15" hidden="true" customHeight="false" outlineLevel="0" collapsed="false">
      <c r="A6888" s="51" t="s">
        <v>349</v>
      </c>
      <c r="B6888" s="55" t="n">
        <v>45107</v>
      </c>
      <c r="C6888" s="51" t="s">
        <v>791</v>
      </c>
      <c r="D6888" s="51" t="n">
        <v>0</v>
      </c>
    </row>
    <row r="6889" customFormat="false" ht="15" hidden="true" customHeight="false" outlineLevel="0" collapsed="false">
      <c r="A6889" s="51" t="s">
        <v>354</v>
      </c>
      <c r="B6889" s="55" t="n">
        <v>45107</v>
      </c>
      <c r="C6889" s="51" t="s">
        <v>791</v>
      </c>
      <c r="D6889" s="51" t="n">
        <v>-1500000</v>
      </c>
    </row>
    <row r="6890" customFormat="false" ht="15" hidden="true" customHeight="false" outlineLevel="0" collapsed="false">
      <c r="A6890" s="51" t="s">
        <v>359</v>
      </c>
      <c r="B6890" s="55" t="n">
        <v>45107</v>
      </c>
      <c r="C6890" s="51" t="s">
        <v>791</v>
      </c>
      <c r="D6890" s="51" t="n">
        <v>-908206.46</v>
      </c>
    </row>
    <row r="6891" customFormat="false" ht="15" hidden="true" customHeight="false" outlineLevel="0" collapsed="false">
      <c r="A6891" s="51" t="s">
        <v>364</v>
      </c>
      <c r="B6891" s="55" t="n">
        <v>45107</v>
      </c>
      <c r="C6891" s="51" t="s">
        <v>791</v>
      </c>
      <c r="D6891" s="51" t="n">
        <v>0</v>
      </c>
    </row>
    <row r="6892" customFormat="false" ht="15" hidden="true" customHeight="false" outlineLevel="0" collapsed="false">
      <c r="A6892" s="51" t="s">
        <v>369</v>
      </c>
      <c r="B6892" s="55" t="n">
        <v>45107</v>
      </c>
      <c r="C6892" s="51" t="s">
        <v>791</v>
      </c>
      <c r="D6892" s="51" t="n">
        <v>1644300</v>
      </c>
    </row>
    <row r="6893" customFormat="false" ht="15" hidden="true" customHeight="false" outlineLevel="0" collapsed="false">
      <c r="A6893" s="51" t="s">
        <v>374</v>
      </c>
      <c r="B6893" s="55" t="n">
        <v>45107</v>
      </c>
      <c r="C6893" s="51" t="s">
        <v>791</v>
      </c>
      <c r="D6893" s="51" t="n">
        <v>-250776.75</v>
      </c>
    </row>
    <row r="6894" customFormat="false" ht="15" hidden="true" customHeight="false" outlineLevel="0" collapsed="false">
      <c r="A6894" s="51" t="s">
        <v>379</v>
      </c>
      <c r="B6894" s="55" t="n">
        <v>45107</v>
      </c>
      <c r="C6894" s="51" t="s">
        <v>791</v>
      </c>
      <c r="D6894" s="51" t="n">
        <v>2860551.77</v>
      </c>
    </row>
    <row r="6895" customFormat="false" ht="15" hidden="true" customHeight="false" outlineLevel="0" collapsed="false">
      <c r="A6895" s="51" t="s">
        <v>384</v>
      </c>
      <c r="B6895" s="55" t="n">
        <v>45107</v>
      </c>
      <c r="C6895" s="51" t="s">
        <v>791</v>
      </c>
      <c r="D6895" s="51" t="n">
        <v>-250000</v>
      </c>
    </row>
    <row r="6896" customFormat="false" ht="15" hidden="true" customHeight="false" outlineLevel="0" collapsed="false">
      <c r="A6896" s="51" t="s">
        <v>389</v>
      </c>
      <c r="B6896" s="55" t="n">
        <v>45107</v>
      </c>
      <c r="C6896" s="51" t="s">
        <v>791</v>
      </c>
      <c r="D6896" s="51" t="n">
        <v>9600000</v>
      </c>
    </row>
    <row r="6897" customFormat="false" ht="15" hidden="true" customHeight="false" outlineLevel="0" collapsed="false">
      <c r="A6897" s="51" t="s">
        <v>394</v>
      </c>
      <c r="B6897" s="55" t="n">
        <v>45107</v>
      </c>
      <c r="C6897" s="51" t="s">
        <v>791</v>
      </c>
      <c r="D6897" s="51" t="n">
        <v>7532011.22</v>
      </c>
    </row>
    <row r="6898" customFormat="false" ht="15" hidden="true" customHeight="false" outlineLevel="0" collapsed="false">
      <c r="A6898" s="51" t="s">
        <v>399</v>
      </c>
      <c r="B6898" s="55" t="n">
        <v>45107</v>
      </c>
      <c r="C6898" s="51" t="s">
        <v>791</v>
      </c>
      <c r="D6898" s="51" t="n">
        <v>500000</v>
      </c>
    </row>
    <row r="6899" customFormat="false" ht="15" hidden="true" customHeight="false" outlineLevel="0" collapsed="false">
      <c r="A6899" s="51" t="s">
        <v>404</v>
      </c>
      <c r="B6899" s="55" t="n">
        <v>45107</v>
      </c>
      <c r="C6899" s="51" t="s">
        <v>791</v>
      </c>
      <c r="D6899" s="51" t="n">
        <v>0</v>
      </c>
    </row>
    <row r="6900" customFormat="false" ht="15" hidden="true" customHeight="false" outlineLevel="0" collapsed="false">
      <c r="A6900" s="51" t="s">
        <v>409</v>
      </c>
      <c r="B6900" s="55" t="n">
        <v>45107</v>
      </c>
      <c r="C6900" s="51" t="s">
        <v>791</v>
      </c>
      <c r="D6900" s="51" t="n">
        <v>3000000</v>
      </c>
    </row>
    <row r="6901" customFormat="false" ht="15" hidden="true" customHeight="false" outlineLevel="0" collapsed="false">
      <c r="A6901" s="51" t="s">
        <v>414</v>
      </c>
      <c r="B6901" s="55" t="n">
        <v>45107</v>
      </c>
      <c r="C6901" s="51" t="s">
        <v>791</v>
      </c>
      <c r="D6901" s="51" t="n">
        <v>0</v>
      </c>
    </row>
    <row r="6902" customFormat="false" ht="15" hidden="true" customHeight="false" outlineLevel="0" collapsed="false">
      <c r="A6902" s="51" t="s">
        <v>419</v>
      </c>
      <c r="B6902" s="55" t="n">
        <v>45107</v>
      </c>
      <c r="C6902" s="51" t="s">
        <v>791</v>
      </c>
      <c r="D6902" s="51" t="n">
        <v>4000000</v>
      </c>
    </row>
    <row r="6903" customFormat="false" ht="15" hidden="true" customHeight="false" outlineLevel="0" collapsed="false">
      <c r="A6903" s="51" t="s">
        <v>424</v>
      </c>
      <c r="B6903" s="55" t="n">
        <v>45107</v>
      </c>
      <c r="C6903" s="51" t="s">
        <v>791</v>
      </c>
      <c r="D6903" s="51" t="n">
        <v>0</v>
      </c>
    </row>
    <row r="6904" customFormat="false" ht="15" hidden="true" customHeight="false" outlineLevel="0" collapsed="false">
      <c r="A6904" s="51" t="s">
        <v>429</v>
      </c>
      <c r="B6904" s="55" t="n">
        <v>45107</v>
      </c>
      <c r="C6904" s="51" t="s">
        <v>791</v>
      </c>
      <c r="D6904" s="51" t="n">
        <v>0</v>
      </c>
    </row>
    <row r="6905" customFormat="false" ht="15" hidden="true" customHeight="false" outlineLevel="0" collapsed="false">
      <c r="A6905" s="51" t="s">
        <v>434</v>
      </c>
      <c r="B6905" s="55" t="n">
        <v>45107</v>
      </c>
      <c r="C6905" s="51" t="s">
        <v>791</v>
      </c>
      <c r="D6905" s="51" t="n">
        <v>0</v>
      </c>
    </row>
    <row r="6906" customFormat="false" ht="15" hidden="true" customHeight="false" outlineLevel="0" collapsed="false">
      <c r="A6906" s="51" t="s">
        <v>438</v>
      </c>
      <c r="B6906" s="55" t="n">
        <v>45107</v>
      </c>
      <c r="C6906" s="51" t="s">
        <v>791</v>
      </c>
      <c r="D6906" s="51" t="n">
        <v>0</v>
      </c>
    </row>
    <row r="6907" customFormat="false" ht="15" hidden="true" customHeight="false" outlineLevel="0" collapsed="false">
      <c r="A6907" s="51" t="s">
        <v>443</v>
      </c>
      <c r="B6907" s="55" t="n">
        <v>45107</v>
      </c>
      <c r="C6907" s="51" t="s">
        <v>791</v>
      </c>
      <c r="D6907" s="51" t="n">
        <v>0</v>
      </c>
    </row>
    <row r="6908" customFormat="false" ht="15" hidden="true" customHeight="false" outlineLevel="0" collapsed="false">
      <c r="A6908" s="51" t="s">
        <v>448</v>
      </c>
      <c r="B6908" s="55" t="n">
        <v>45107</v>
      </c>
      <c r="C6908" s="51" t="s">
        <v>791</v>
      </c>
      <c r="D6908" s="51" t="n">
        <v>0</v>
      </c>
    </row>
    <row r="6909" customFormat="false" ht="15" hidden="true" customHeight="false" outlineLevel="0" collapsed="false">
      <c r="A6909" s="51" t="s">
        <v>453</v>
      </c>
      <c r="B6909" s="55" t="n">
        <v>45107</v>
      </c>
      <c r="C6909" s="51" t="s">
        <v>791</v>
      </c>
      <c r="D6909" s="51" t="n">
        <v>0</v>
      </c>
    </row>
    <row r="6910" customFormat="false" ht="15" hidden="true" customHeight="false" outlineLevel="0" collapsed="false">
      <c r="A6910" s="51" t="s">
        <v>458</v>
      </c>
      <c r="B6910" s="55" t="n">
        <v>45107</v>
      </c>
      <c r="C6910" s="51" t="s">
        <v>791</v>
      </c>
      <c r="D6910" s="51" t="n">
        <v>0</v>
      </c>
    </row>
    <row r="6911" customFormat="false" ht="15" hidden="true" customHeight="false" outlineLevel="0" collapsed="false">
      <c r="A6911" s="51" t="s">
        <v>473</v>
      </c>
      <c r="B6911" s="55" t="n">
        <v>45107</v>
      </c>
      <c r="C6911" s="51" t="s">
        <v>791</v>
      </c>
      <c r="D6911" s="51" t="n">
        <v>0</v>
      </c>
    </row>
    <row r="6912" customFormat="false" ht="15" hidden="true" customHeight="false" outlineLevel="0" collapsed="false">
      <c r="A6912" s="51" t="s">
        <v>479</v>
      </c>
      <c r="B6912" s="55" t="n">
        <v>45107</v>
      </c>
      <c r="C6912" s="51" t="s">
        <v>791</v>
      </c>
      <c r="D6912" s="51" t="n">
        <v>0</v>
      </c>
    </row>
    <row r="6913" customFormat="false" ht="15" hidden="true" customHeight="false" outlineLevel="0" collapsed="false">
      <c r="A6913" s="51" t="s">
        <v>484</v>
      </c>
      <c r="B6913" s="55" t="n">
        <v>45107</v>
      </c>
      <c r="C6913" s="51" t="s">
        <v>791</v>
      </c>
      <c r="D6913" s="51" t="n">
        <v>0</v>
      </c>
    </row>
    <row r="6914" customFormat="false" ht="15" hidden="true" customHeight="false" outlineLevel="0" collapsed="false">
      <c r="A6914" s="51" t="s">
        <v>489</v>
      </c>
      <c r="B6914" s="55" t="n">
        <v>45107</v>
      </c>
      <c r="C6914" s="51" t="s">
        <v>791</v>
      </c>
      <c r="D6914" s="51" t="n">
        <v>0</v>
      </c>
    </row>
    <row r="6915" customFormat="false" ht="15" hidden="true" customHeight="false" outlineLevel="0" collapsed="false">
      <c r="A6915" s="51" t="s">
        <v>494</v>
      </c>
      <c r="B6915" s="55" t="n">
        <v>45107</v>
      </c>
      <c r="C6915" s="51" t="s">
        <v>791</v>
      </c>
      <c r="D6915" s="51" t="n">
        <v>0</v>
      </c>
    </row>
    <row r="6916" customFormat="false" ht="15" hidden="true" customHeight="false" outlineLevel="0" collapsed="false">
      <c r="A6916" s="51" t="s">
        <v>499</v>
      </c>
      <c r="B6916" s="55" t="n">
        <v>45107</v>
      </c>
      <c r="C6916" s="51" t="s">
        <v>791</v>
      </c>
      <c r="D6916" s="51" t="n">
        <v>0</v>
      </c>
    </row>
    <row r="6917" customFormat="false" ht="15" hidden="true" customHeight="false" outlineLevel="0" collapsed="false">
      <c r="A6917" s="51" t="s">
        <v>504</v>
      </c>
      <c r="B6917" s="55" t="n">
        <v>45107</v>
      </c>
      <c r="C6917" s="51" t="s">
        <v>791</v>
      </c>
      <c r="D6917" s="51" t="n">
        <v>0</v>
      </c>
    </row>
    <row r="6918" customFormat="false" ht="15" hidden="true" customHeight="false" outlineLevel="0" collapsed="false">
      <c r="A6918" s="51" t="s">
        <v>509</v>
      </c>
      <c r="B6918" s="55" t="n">
        <v>45107</v>
      </c>
      <c r="C6918" s="51" t="s">
        <v>791</v>
      </c>
      <c r="D6918" s="51" t="n">
        <v>0</v>
      </c>
    </row>
    <row r="6919" customFormat="false" ht="15" hidden="true" customHeight="false" outlineLevel="0" collapsed="false">
      <c r="A6919" s="51" t="s">
        <v>515</v>
      </c>
      <c r="B6919" s="55" t="n">
        <v>45107</v>
      </c>
      <c r="C6919" s="51" t="s">
        <v>791</v>
      </c>
      <c r="D6919" s="51" t="n">
        <v>0</v>
      </c>
    </row>
    <row r="6920" customFormat="false" ht="15" hidden="true" customHeight="false" outlineLevel="0" collapsed="false">
      <c r="A6920" s="51" t="s">
        <v>520</v>
      </c>
      <c r="B6920" s="55" t="n">
        <v>45107</v>
      </c>
      <c r="C6920" s="51" t="s">
        <v>791</v>
      </c>
      <c r="D6920" s="51" t="n">
        <v>0</v>
      </c>
    </row>
    <row r="6921" customFormat="false" ht="15" hidden="true" customHeight="false" outlineLevel="0" collapsed="false">
      <c r="A6921" s="51" t="s">
        <v>525</v>
      </c>
      <c r="B6921" s="55" t="n">
        <v>45107</v>
      </c>
      <c r="C6921" s="51" t="s">
        <v>791</v>
      </c>
      <c r="D6921" s="51" t="n">
        <v>0</v>
      </c>
    </row>
    <row r="6922" customFormat="false" ht="15" hidden="true" customHeight="false" outlineLevel="0" collapsed="false">
      <c r="A6922" s="51" t="s">
        <v>531</v>
      </c>
      <c r="B6922" s="55" t="n">
        <v>45107</v>
      </c>
      <c r="C6922" s="51" t="s">
        <v>791</v>
      </c>
      <c r="D6922" s="51" t="n">
        <v>0</v>
      </c>
    </row>
    <row r="6923" customFormat="false" ht="15" hidden="true" customHeight="false" outlineLevel="0" collapsed="false">
      <c r="A6923" s="51" t="s">
        <v>536</v>
      </c>
      <c r="B6923" s="55" t="n">
        <v>45107</v>
      </c>
      <c r="C6923" s="51" t="s">
        <v>791</v>
      </c>
      <c r="D6923" s="51" t="n">
        <v>0</v>
      </c>
    </row>
    <row r="6924" customFormat="false" ht="15" hidden="true" customHeight="false" outlineLevel="0" collapsed="false">
      <c r="A6924" s="51" t="s">
        <v>541</v>
      </c>
      <c r="B6924" s="55" t="n">
        <v>45107</v>
      </c>
      <c r="C6924" s="51" t="s">
        <v>791</v>
      </c>
      <c r="D6924" s="51" t="n">
        <v>0</v>
      </c>
    </row>
    <row r="6925" customFormat="false" ht="15" hidden="true" customHeight="false" outlineLevel="0" collapsed="false">
      <c r="A6925" s="51" t="s">
        <v>549</v>
      </c>
      <c r="B6925" s="55" t="n">
        <v>45107</v>
      </c>
      <c r="C6925" s="51" t="s">
        <v>791</v>
      </c>
      <c r="D6925" s="51" t="n">
        <v>0</v>
      </c>
    </row>
    <row r="6926" customFormat="false" ht="15" hidden="true" customHeight="false" outlineLevel="0" collapsed="false">
      <c r="A6926" s="51" t="s">
        <v>554</v>
      </c>
      <c r="B6926" s="55" t="n">
        <v>45107</v>
      </c>
      <c r="C6926" s="51" t="s">
        <v>791</v>
      </c>
      <c r="D6926" s="51" t="n">
        <v>0</v>
      </c>
    </row>
    <row r="6927" customFormat="false" ht="15" hidden="true" customHeight="false" outlineLevel="0" collapsed="false">
      <c r="A6927" s="51" t="s">
        <v>559</v>
      </c>
      <c r="B6927" s="55" t="n">
        <v>45107</v>
      </c>
      <c r="C6927" s="51" t="s">
        <v>791</v>
      </c>
      <c r="D6927" s="51" t="n">
        <v>0</v>
      </c>
    </row>
    <row r="6928" customFormat="false" ht="15" hidden="true" customHeight="false" outlineLevel="0" collapsed="false">
      <c r="A6928" s="51" t="s">
        <v>564</v>
      </c>
      <c r="B6928" s="55" t="n">
        <v>45107</v>
      </c>
      <c r="C6928" s="51" t="s">
        <v>791</v>
      </c>
      <c r="D6928" s="51" t="n">
        <v>0</v>
      </c>
    </row>
    <row r="6929" customFormat="false" ht="15" hidden="true" customHeight="false" outlineLevel="0" collapsed="false">
      <c r="A6929" s="51" t="s">
        <v>569</v>
      </c>
      <c r="B6929" s="55" t="n">
        <v>45107</v>
      </c>
      <c r="C6929" s="51" t="s">
        <v>791</v>
      </c>
      <c r="D6929" s="51" t="n">
        <v>0</v>
      </c>
    </row>
    <row r="6930" customFormat="false" ht="15" hidden="true" customHeight="false" outlineLevel="0" collapsed="false">
      <c r="A6930" s="51" t="s">
        <v>574</v>
      </c>
      <c r="B6930" s="55" t="n">
        <v>45107</v>
      </c>
      <c r="C6930" s="51" t="s">
        <v>791</v>
      </c>
      <c r="D6930" s="51" t="n">
        <v>0</v>
      </c>
    </row>
    <row r="6931" customFormat="false" ht="15" hidden="true" customHeight="false" outlineLevel="0" collapsed="false">
      <c r="A6931" s="51" t="s">
        <v>579</v>
      </c>
      <c r="B6931" s="55" t="n">
        <v>45107</v>
      </c>
      <c r="C6931" s="51" t="s">
        <v>791</v>
      </c>
      <c r="D6931" s="51" t="n">
        <v>0</v>
      </c>
    </row>
    <row r="6932" customFormat="false" ht="15" hidden="true" customHeight="false" outlineLevel="0" collapsed="false">
      <c r="A6932" s="51" t="s">
        <v>584</v>
      </c>
      <c r="B6932" s="55" t="n">
        <v>45107</v>
      </c>
      <c r="C6932" s="51" t="s">
        <v>791</v>
      </c>
      <c r="D6932" s="51" t="n">
        <v>0</v>
      </c>
    </row>
    <row r="6933" customFormat="false" ht="15" hidden="true" customHeight="false" outlineLevel="0" collapsed="false">
      <c r="A6933" s="51" t="s">
        <v>589</v>
      </c>
      <c r="B6933" s="55" t="n">
        <v>45107</v>
      </c>
      <c r="C6933" s="51" t="s">
        <v>791</v>
      </c>
      <c r="D6933" s="51" t="n">
        <v>0</v>
      </c>
    </row>
    <row r="6934" customFormat="false" ht="15" hidden="true" customHeight="false" outlineLevel="0" collapsed="false">
      <c r="A6934" s="51" t="s">
        <v>756</v>
      </c>
      <c r="B6934" s="55" t="n">
        <v>45107</v>
      </c>
      <c r="C6934" s="51" t="s">
        <v>791</v>
      </c>
      <c r="D6934" s="51" t="n">
        <v>0</v>
      </c>
    </row>
    <row r="6935" customFormat="false" ht="15" hidden="true" customHeight="false" outlineLevel="0" collapsed="false">
      <c r="A6935" s="51" t="s">
        <v>594</v>
      </c>
      <c r="B6935" s="55" t="n">
        <v>45107</v>
      </c>
      <c r="C6935" s="51" t="s">
        <v>791</v>
      </c>
      <c r="D6935" s="51" t="n">
        <v>0</v>
      </c>
    </row>
    <row r="6936" customFormat="false" ht="15" hidden="true" customHeight="false" outlineLevel="0" collapsed="false">
      <c r="A6936" s="51" t="s">
        <v>761</v>
      </c>
      <c r="B6936" s="55" t="n">
        <v>45107</v>
      </c>
      <c r="C6936" s="51" t="s">
        <v>791</v>
      </c>
      <c r="D6936" s="51" t="n">
        <v>0</v>
      </c>
    </row>
    <row r="6937" customFormat="false" ht="15" hidden="true" customHeight="false" outlineLevel="0" collapsed="false">
      <c r="A6937" s="51" t="s">
        <v>599</v>
      </c>
      <c r="B6937" s="55" t="n">
        <v>45107</v>
      </c>
      <c r="C6937" s="51" t="s">
        <v>791</v>
      </c>
      <c r="D6937" s="51" t="n">
        <v>0</v>
      </c>
    </row>
    <row r="6938" customFormat="false" ht="15" hidden="true" customHeight="false" outlineLevel="0" collapsed="false">
      <c r="A6938" s="51" t="s">
        <v>604</v>
      </c>
      <c r="B6938" s="55" t="n">
        <v>45107</v>
      </c>
      <c r="C6938" s="51" t="s">
        <v>791</v>
      </c>
      <c r="D6938" s="51" t="n">
        <v>0</v>
      </c>
    </row>
    <row r="6939" customFormat="false" ht="15" hidden="true" customHeight="false" outlineLevel="0" collapsed="false">
      <c r="A6939" s="51" t="s">
        <v>609</v>
      </c>
      <c r="B6939" s="55" t="n">
        <v>45107</v>
      </c>
      <c r="C6939" s="51" t="s">
        <v>791</v>
      </c>
      <c r="D6939" s="51" t="n">
        <v>0</v>
      </c>
    </row>
    <row r="6940" customFormat="false" ht="15" hidden="true" customHeight="false" outlineLevel="0" collapsed="false">
      <c r="A6940" s="51" t="s">
        <v>614</v>
      </c>
      <c r="B6940" s="55" t="n">
        <v>45107</v>
      </c>
      <c r="C6940" s="51" t="s">
        <v>791</v>
      </c>
      <c r="D6940" s="51" t="n">
        <v>0</v>
      </c>
    </row>
    <row r="6941" customFormat="false" ht="15" hidden="true" customHeight="false" outlineLevel="0" collapsed="false">
      <c r="A6941" s="51" t="s">
        <v>619</v>
      </c>
      <c r="B6941" s="55" t="n">
        <v>45107</v>
      </c>
      <c r="C6941" s="51" t="s">
        <v>791</v>
      </c>
      <c r="D6941" s="51" t="n">
        <v>0</v>
      </c>
    </row>
    <row r="6942" customFormat="false" ht="15" hidden="true" customHeight="false" outlineLevel="0" collapsed="false">
      <c r="A6942" s="51" t="s">
        <v>624</v>
      </c>
      <c r="B6942" s="55" t="n">
        <v>45107</v>
      </c>
      <c r="C6942" s="51" t="s">
        <v>791</v>
      </c>
      <c r="D6942" s="51" t="n">
        <v>0</v>
      </c>
    </row>
    <row r="6943" customFormat="false" ht="15" hidden="true" customHeight="false" outlineLevel="0" collapsed="false">
      <c r="A6943" s="51" t="s">
        <v>629</v>
      </c>
      <c r="B6943" s="55" t="n">
        <v>45107</v>
      </c>
      <c r="C6943" s="51" t="s">
        <v>791</v>
      </c>
      <c r="D6943" s="51" t="n">
        <v>0</v>
      </c>
    </row>
    <row r="6944" customFormat="false" ht="15" hidden="true" customHeight="false" outlineLevel="0" collapsed="false">
      <c r="A6944" s="51" t="s">
        <v>633</v>
      </c>
      <c r="B6944" s="55" t="n">
        <v>45107</v>
      </c>
      <c r="C6944" s="51" t="s">
        <v>791</v>
      </c>
      <c r="D6944" s="51" t="n">
        <v>0</v>
      </c>
    </row>
    <row r="6945" customFormat="false" ht="15" hidden="true" customHeight="false" outlineLevel="0" collapsed="false">
      <c r="A6945" s="51" t="s">
        <v>638</v>
      </c>
      <c r="B6945" s="55" t="n">
        <v>45107</v>
      </c>
      <c r="C6945" s="51" t="s">
        <v>791</v>
      </c>
      <c r="D6945" s="51" t="n">
        <v>0</v>
      </c>
    </row>
    <row r="6946" customFormat="false" ht="15" hidden="true" customHeight="false" outlineLevel="0" collapsed="false">
      <c r="A6946" s="51" t="s">
        <v>642</v>
      </c>
      <c r="B6946" s="55" t="n">
        <v>45107</v>
      </c>
      <c r="C6946" s="51" t="s">
        <v>791</v>
      </c>
      <c r="D6946" s="51" t="n">
        <v>0</v>
      </c>
    </row>
    <row r="6947" customFormat="false" ht="15" hidden="true" customHeight="false" outlineLevel="0" collapsed="false">
      <c r="A6947" s="51" t="s">
        <v>646</v>
      </c>
      <c r="B6947" s="55" t="n">
        <v>45107</v>
      </c>
      <c r="C6947" s="51" t="s">
        <v>791</v>
      </c>
      <c r="D6947" s="51" t="n">
        <v>0</v>
      </c>
    </row>
    <row r="6948" customFormat="false" ht="15" hidden="true" customHeight="false" outlineLevel="0" collapsed="false">
      <c r="A6948" s="51" t="s">
        <v>651</v>
      </c>
      <c r="B6948" s="55" t="n">
        <v>45107</v>
      </c>
      <c r="C6948" s="51" t="s">
        <v>791</v>
      </c>
      <c r="D6948" s="51" t="n">
        <v>0</v>
      </c>
    </row>
    <row r="6949" customFormat="false" ht="15" hidden="true" customHeight="false" outlineLevel="0" collapsed="false">
      <c r="A6949" s="51" t="s">
        <v>656</v>
      </c>
      <c r="B6949" s="55" t="n">
        <v>45107</v>
      </c>
      <c r="C6949" s="51" t="s">
        <v>791</v>
      </c>
      <c r="D6949" s="51" t="n">
        <v>0</v>
      </c>
    </row>
    <row r="6950" customFormat="false" ht="15" hidden="true" customHeight="false" outlineLevel="0" collapsed="false">
      <c r="A6950" s="51" t="s">
        <v>661</v>
      </c>
      <c r="B6950" s="55" t="n">
        <v>45107</v>
      </c>
      <c r="C6950" s="51" t="s">
        <v>791</v>
      </c>
      <c r="D6950" s="51" t="n">
        <v>0</v>
      </c>
    </row>
    <row r="6951" customFormat="false" ht="15" hidden="true" customHeight="false" outlineLevel="0" collapsed="false">
      <c r="A6951" s="51" t="s">
        <v>666</v>
      </c>
      <c r="B6951" s="55" t="n">
        <v>45107</v>
      </c>
      <c r="C6951" s="51" t="s">
        <v>791</v>
      </c>
      <c r="D6951" s="51" t="n">
        <v>0</v>
      </c>
    </row>
    <row r="6952" customFormat="false" ht="15" hidden="true" customHeight="false" outlineLevel="0" collapsed="false">
      <c r="A6952" s="51" t="s">
        <v>671</v>
      </c>
      <c r="B6952" s="55" t="n">
        <v>45107</v>
      </c>
      <c r="C6952" s="51" t="s">
        <v>791</v>
      </c>
      <c r="D6952" s="51" t="n">
        <v>0</v>
      </c>
    </row>
    <row r="6953" customFormat="false" ht="15" hidden="true" customHeight="false" outlineLevel="0" collapsed="false">
      <c r="A6953" s="51" t="s">
        <v>676</v>
      </c>
      <c r="B6953" s="55" t="n">
        <v>45107</v>
      </c>
      <c r="C6953" s="51" t="s">
        <v>791</v>
      </c>
      <c r="D6953" s="51" t="n">
        <v>0</v>
      </c>
    </row>
    <row r="6954" customFormat="false" ht="15" hidden="true" customHeight="false" outlineLevel="0" collapsed="false">
      <c r="A6954" s="51" t="s">
        <v>681</v>
      </c>
      <c r="B6954" s="55" t="n">
        <v>45107</v>
      </c>
      <c r="C6954" s="51" t="s">
        <v>791</v>
      </c>
      <c r="D6954" s="51" t="n">
        <v>0</v>
      </c>
    </row>
    <row r="6955" customFormat="false" ht="15" hidden="true" customHeight="false" outlineLevel="0" collapsed="false">
      <c r="A6955" s="51" t="s">
        <v>686</v>
      </c>
      <c r="B6955" s="55" t="n">
        <v>45107</v>
      </c>
      <c r="C6955" s="51" t="s">
        <v>791</v>
      </c>
      <c r="D6955" s="51" t="n">
        <v>0</v>
      </c>
    </row>
    <row r="6956" customFormat="false" ht="15" hidden="true" customHeight="false" outlineLevel="0" collapsed="false">
      <c r="A6956" s="51" t="s">
        <v>691</v>
      </c>
      <c r="B6956" s="55" t="n">
        <v>45107</v>
      </c>
      <c r="C6956" s="51" t="s">
        <v>791</v>
      </c>
      <c r="D6956" s="51" t="n">
        <v>0</v>
      </c>
    </row>
    <row r="6957" customFormat="false" ht="15" hidden="true" customHeight="false" outlineLevel="0" collapsed="false">
      <c r="A6957" s="51" t="s">
        <v>696</v>
      </c>
      <c r="B6957" s="55" t="n">
        <v>45107</v>
      </c>
      <c r="C6957" s="51" t="s">
        <v>791</v>
      </c>
      <c r="D6957" s="51" t="n">
        <v>0</v>
      </c>
    </row>
    <row r="6958" customFormat="false" ht="15" hidden="true" customHeight="false" outlineLevel="0" collapsed="false">
      <c r="A6958" s="51" t="s">
        <v>701</v>
      </c>
      <c r="B6958" s="55" t="n">
        <v>45107</v>
      </c>
      <c r="C6958" s="51" t="s">
        <v>791</v>
      </c>
      <c r="D6958" s="51" t="n">
        <v>0</v>
      </c>
    </row>
    <row r="6959" customFormat="false" ht="15" hidden="true" customHeight="false" outlineLevel="0" collapsed="false">
      <c r="A6959" s="51" t="s">
        <v>707</v>
      </c>
      <c r="B6959" s="55" t="n">
        <v>45107</v>
      </c>
      <c r="C6959" s="51" t="s">
        <v>791</v>
      </c>
      <c r="D6959" s="51" t="n">
        <v>0</v>
      </c>
    </row>
    <row r="6960" customFormat="false" ht="15" hidden="true" customHeight="false" outlineLevel="0" collapsed="false">
      <c r="A6960" s="51" t="s">
        <v>712</v>
      </c>
      <c r="B6960" s="55" t="n">
        <v>45107</v>
      </c>
      <c r="C6960" s="51" t="s">
        <v>791</v>
      </c>
      <c r="D6960" s="51" t="n">
        <v>0</v>
      </c>
    </row>
    <row r="6961" customFormat="false" ht="15" hidden="true" customHeight="false" outlineLevel="0" collapsed="false">
      <c r="A6961" s="51" t="s">
        <v>717</v>
      </c>
      <c r="B6961" s="55" t="n">
        <v>45107</v>
      </c>
      <c r="C6961" s="51" t="s">
        <v>791</v>
      </c>
      <c r="D6961" s="51" t="n">
        <v>0</v>
      </c>
    </row>
    <row r="6962" customFormat="false" ht="15" hidden="true" customHeight="false" outlineLevel="0" collapsed="false">
      <c r="A6962" s="51" t="s">
        <v>767</v>
      </c>
      <c r="B6962" s="55" t="n">
        <v>45107</v>
      </c>
      <c r="C6962" s="51" t="s">
        <v>791</v>
      </c>
      <c r="D6962" s="51" t="n">
        <v>0</v>
      </c>
    </row>
    <row r="6963" customFormat="false" ht="15" hidden="true" customHeight="false" outlineLevel="0" collapsed="false">
      <c r="A6963" s="51" t="s">
        <v>722</v>
      </c>
      <c r="B6963" s="55" t="n">
        <v>45107</v>
      </c>
      <c r="C6963" s="51" t="s">
        <v>791</v>
      </c>
      <c r="D6963" s="51" t="n">
        <v>0</v>
      </c>
    </row>
    <row r="6964" customFormat="false" ht="15" hidden="true" customHeight="false" outlineLevel="0" collapsed="false">
      <c r="A6964" s="51" t="s">
        <v>727</v>
      </c>
      <c r="B6964" s="55" t="n">
        <v>45107</v>
      </c>
      <c r="C6964" s="51" t="s">
        <v>791</v>
      </c>
      <c r="D6964" s="51" t="n">
        <v>0</v>
      </c>
    </row>
    <row r="6965" customFormat="false" ht="15" hidden="true" customHeight="false" outlineLevel="0" collapsed="false">
      <c r="A6965" s="51" t="s">
        <v>732</v>
      </c>
      <c r="B6965" s="55" t="n">
        <v>45107</v>
      </c>
      <c r="C6965" s="51" t="s">
        <v>791</v>
      </c>
      <c r="D6965" s="51" t="n">
        <v>0</v>
      </c>
    </row>
    <row r="6966" customFormat="false" ht="15" hidden="true" customHeight="false" outlineLevel="0" collapsed="false">
      <c r="A6966" s="51" t="s">
        <v>736</v>
      </c>
      <c r="B6966" s="55" t="n">
        <v>45107</v>
      </c>
      <c r="C6966" s="51" t="s">
        <v>791</v>
      </c>
      <c r="D6966" s="51" t="n">
        <v>0</v>
      </c>
    </row>
    <row r="6967" customFormat="false" ht="15" hidden="true" customHeight="false" outlineLevel="0" collapsed="false">
      <c r="A6967" s="51" t="s">
        <v>741</v>
      </c>
      <c r="B6967" s="55" t="n">
        <v>45107</v>
      </c>
      <c r="C6967" s="51" t="s">
        <v>791</v>
      </c>
      <c r="D6967" s="51" t="n">
        <v>0</v>
      </c>
    </row>
    <row r="6968" customFormat="false" ht="15" hidden="true" customHeight="false" outlineLevel="0" collapsed="false">
      <c r="A6968" s="51" t="s">
        <v>746</v>
      </c>
      <c r="B6968" s="55" t="n">
        <v>45107</v>
      </c>
      <c r="C6968" s="51" t="s">
        <v>791</v>
      </c>
      <c r="D6968" s="51" t="n">
        <v>0</v>
      </c>
    </row>
    <row r="6969" customFormat="false" ht="15" hidden="true" customHeight="false" outlineLevel="0" collapsed="false">
      <c r="A6969" s="51" t="s">
        <v>751</v>
      </c>
      <c r="B6969" s="55" t="n">
        <v>45107</v>
      </c>
      <c r="C6969" s="51" t="s">
        <v>791</v>
      </c>
      <c r="D6969" s="51" t="n">
        <v>0</v>
      </c>
    </row>
    <row r="6970" customFormat="false" ht="15" hidden="false" customHeight="false" outlineLevel="0" collapsed="false">
      <c r="A6970" s="51" t="s">
        <v>781</v>
      </c>
      <c r="B6970" s="55" t="n">
        <v>45199</v>
      </c>
      <c r="C6970" s="51" t="s">
        <v>782</v>
      </c>
      <c r="D6970" s="51" t="n">
        <v>0</v>
      </c>
    </row>
    <row r="6971" customFormat="false" ht="15" hidden="true" customHeight="false" outlineLevel="0" collapsed="false">
      <c r="A6971" s="51" t="s">
        <v>783</v>
      </c>
      <c r="B6971" s="55" t="n">
        <v>45199</v>
      </c>
      <c r="C6971" s="51" t="s">
        <v>782</v>
      </c>
      <c r="D6971" s="51" t="n">
        <v>0</v>
      </c>
    </row>
    <row r="6972" customFormat="false" ht="15" hidden="true" customHeight="false" outlineLevel="0" collapsed="false">
      <c r="A6972" s="51" t="s">
        <v>96</v>
      </c>
      <c r="B6972" s="55" t="n">
        <v>45199</v>
      </c>
      <c r="C6972" s="51" t="s">
        <v>782</v>
      </c>
      <c r="D6972" s="51" t="n">
        <v>0</v>
      </c>
    </row>
    <row r="6973" customFormat="false" ht="15" hidden="true" customHeight="false" outlineLevel="0" collapsed="false">
      <c r="A6973" s="51" t="s">
        <v>101</v>
      </c>
      <c r="B6973" s="55" t="n">
        <v>45199</v>
      </c>
      <c r="C6973" s="51" t="s">
        <v>782</v>
      </c>
      <c r="D6973" s="51" t="n">
        <v>0</v>
      </c>
    </row>
    <row r="6974" customFormat="false" ht="15" hidden="true" customHeight="false" outlineLevel="0" collapsed="false">
      <c r="A6974" s="51" t="s">
        <v>106</v>
      </c>
      <c r="B6974" s="55" t="n">
        <v>45199</v>
      </c>
      <c r="C6974" s="51" t="s">
        <v>782</v>
      </c>
      <c r="D6974" s="51" t="n">
        <v>0</v>
      </c>
    </row>
    <row r="6975" customFormat="false" ht="15" hidden="true" customHeight="false" outlineLevel="0" collapsed="false">
      <c r="A6975" s="51" t="s">
        <v>110</v>
      </c>
      <c r="B6975" s="55" t="n">
        <v>45199</v>
      </c>
      <c r="C6975" s="51" t="s">
        <v>782</v>
      </c>
      <c r="D6975" s="51" t="n">
        <v>0</v>
      </c>
    </row>
    <row r="6976" customFormat="false" ht="15" hidden="true" customHeight="false" outlineLevel="0" collapsed="false">
      <c r="A6976" s="51" t="s">
        <v>115</v>
      </c>
      <c r="B6976" s="55" t="n">
        <v>45199</v>
      </c>
      <c r="C6976" s="51" t="s">
        <v>782</v>
      </c>
      <c r="D6976" s="51" t="n">
        <v>0</v>
      </c>
    </row>
    <row r="6977" customFormat="false" ht="15" hidden="true" customHeight="false" outlineLevel="0" collapsed="false">
      <c r="A6977" s="51" t="s">
        <v>120</v>
      </c>
      <c r="B6977" s="55" t="n">
        <v>45199</v>
      </c>
      <c r="C6977" s="51" t="s">
        <v>782</v>
      </c>
      <c r="D6977" s="51" t="n">
        <v>0</v>
      </c>
    </row>
    <row r="6978" customFormat="false" ht="15" hidden="true" customHeight="false" outlineLevel="0" collapsed="false">
      <c r="A6978" s="51" t="s">
        <v>124</v>
      </c>
      <c r="B6978" s="55" t="n">
        <v>45199</v>
      </c>
      <c r="C6978" s="51" t="s">
        <v>782</v>
      </c>
      <c r="D6978" s="51" t="n">
        <v>0</v>
      </c>
    </row>
    <row r="6979" customFormat="false" ht="15" hidden="true" customHeight="false" outlineLevel="0" collapsed="false">
      <c r="A6979" s="51" t="s">
        <v>129</v>
      </c>
      <c r="B6979" s="55" t="n">
        <v>45199</v>
      </c>
      <c r="C6979" s="51" t="s">
        <v>782</v>
      </c>
      <c r="D6979" s="51" t="n">
        <v>0</v>
      </c>
    </row>
    <row r="6980" customFormat="false" ht="15" hidden="true" customHeight="false" outlineLevel="0" collapsed="false">
      <c r="A6980" s="51" t="s">
        <v>134</v>
      </c>
      <c r="B6980" s="55" t="n">
        <v>45199</v>
      </c>
      <c r="C6980" s="51" t="s">
        <v>782</v>
      </c>
      <c r="D6980" s="51" t="n">
        <v>0</v>
      </c>
    </row>
    <row r="6981" customFormat="false" ht="15" hidden="true" customHeight="false" outlineLevel="0" collapsed="false">
      <c r="A6981" s="51" t="s">
        <v>141</v>
      </c>
      <c r="B6981" s="55" t="n">
        <v>45199</v>
      </c>
      <c r="C6981" s="51" t="s">
        <v>782</v>
      </c>
      <c r="D6981" s="51" t="n">
        <v>0</v>
      </c>
    </row>
    <row r="6982" customFormat="false" ht="15" hidden="true" customHeight="false" outlineLevel="0" collapsed="false">
      <c r="A6982" s="51" t="s">
        <v>146</v>
      </c>
      <c r="B6982" s="55" t="n">
        <v>45199</v>
      </c>
      <c r="C6982" s="51" t="s">
        <v>782</v>
      </c>
      <c r="D6982" s="51" t="n">
        <v>0</v>
      </c>
    </row>
    <row r="6983" customFormat="false" ht="15" hidden="true" customHeight="false" outlineLevel="0" collapsed="false">
      <c r="A6983" s="51" t="s">
        <v>151</v>
      </c>
      <c r="B6983" s="55" t="n">
        <v>45199</v>
      </c>
      <c r="C6983" s="51" t="s">
        <v>782</v>
      </c>
      <c r="D6983" s="51" t="n">
        <v>0</v>
      </c>
    </row>
    <row r="6984" customFormat="false" ht="15" hidden="true" customHeight="false" outlineLevel="0" collapsed="false">
      <c r="A6984" s="51" t="s">
        <v>156</v>
      </c>
      <c r="B6984" s="55" t="n">
        <v>45199</v>
      </c>
      <c r="C6984" s="51" t="s">
        <v>782</v>
      </c>
      <c r="D6984" s="51" t="n">
        <v>0</v>
      </c>
    </row>
    <row r="6985" customFormat="false" ht="15" hidden="true" customHeight="false" outlineLevel="0" collapsed="false">
      <c r="A6985" s="51" t="s">
        <v>161</v>
      </c>
      <c r="B6985" s="55" t="n">
        <v>45199</v>
      </c>
      <c r="C6985" s="51" t="s">
        <v>782</v>
      </c>
      <c r="D6985" s="51" t="n">
        <v>0</v>
      </c>
    </row>
    <row r="6986" customFormat="false" ht="15" hidden="true" customHeight="false" outlineLevel="0" collapsed="false">
      <c r="A6986" s="51" t="s">
        <v>166</v>
      </c>
      <c r="B6986" s="55" t="n">
        <v>45199</v>
      </c>
      <c r="C6986" s="51" t="s">
        <v>782</v>
      </c>
      <c r="D6986" s="51" t="n">
        <v>0</v>
      </c>
    </row>
    <row r="6987" customFormat="false" ht="15" hidden="true" customHeight="false" outlineLevel="0" collapsed="false">
      <c r="A6987" s="51" t="s">
        <v>171</v>
      </c>
      <c r="B6987" s="55" t="n">
        <v>45199</v>
      </c>
      <c r="C6987" s="51" t="s">
        <v>782</v>
      </c>
      <c r="D6987" s="51" t="n">
        <v>0</v>
      </c>
    </row>
    <row r="6988" customFormat="false" ht="15" hidden="true" customHeight="false" outlineLevel="0" collapsed="false">
      <c r="A6988" s="51" t="s">
        <v>176</v>
      </c>
      <c r="B6988" s="55" t="n">
        <v>45199</v>
      </c>
      <c r="C6988" s="51" t="s">
        <v>782</v>
      </c>
      <c r="D6988" s="51" t="n">
        <v>0</v>
      </c>
    </row>
    <row r="6989" customFormat="false" ht="15" hidden="true" customHeight="false" outlineLevel="0" collapsed="false">
      <c r="A6989" s="51" t="s">
        <v>181</v>
      </c>
      <c r="B6989" s="55" t="n">
        <v>45199</v>
      </c>
      <c r="C6989" s="51" t="s">
        <v>782</v>
      </c>
      <c r="D6989" s="51" t="n">
        <v>0</v>
      </c>
    </row>
    <row r="6990" customFormat="false" ht="15" hidden="true" customHeight="false" outlineLevel="0" collapsed="false">
      <c r="A6990" s="51" t="s">
        <v>186</v>
      </c>
      <c r="B6990" s="55" t="n">
        <v>45199</v>
      </c>
      <c r="C6990" s="51" t="s">
        <v>782</v>
      </c>
      <c r="D6990" s="51" t="n">
        <v>0</v>
      </c>
    </row>
    <row r="6991" customFormat="false" ht="15" hidden="true" customHeight="false" outlineLevel="0" collapsed="false">
      <c r="A6991" s="51" t="s">
        <v>191</v>
      </c>
      <c r="B6991" s="55" t="n">
        <v>45199</v>
      </c>
      <c r="C6991" s="51" t="s">
        <v>782</v>
      </c>
      <c r="D6991" s="51" t="n">
        <v>0</v>
      </c>
    </row>
    <row r="6992" customFormat="false" ht="15" hidden="true" customHeight="false" outlineLevel="0" collapsed="false">
      <c r="A6992" s="51" t="s">
        <v>196</v>
      </c>
      <c r="B6992" s="55" t="n">
        <v>45199</v>
      </c>
      <c r="C6992" s="51" t="s">
        <v>782</v>
      </c>
      <c r="D6992" s="51" t="n">
        <v>0</v>
      </c>
    </row>
    <row r="6993" customFormat="false" ht="15" hidden="true" customHeight="false" outlineLevel="0" collapsed="false">
      <c r="A6993" s="51" t="s">
        <v>201</v>
      </c>
      <c r="B6993" s="55" t="n">
        <v>45199</v>
      </c>
      <c r="C6993" s="51" t="s">
        <v>782</v>
      </c>
      <c r="D6993" s="51" t="n">
        <v>0</v>
      </c>
    </row>
    <row r="6994" customFormat="false" ht="15" hidden="true" customHeight="false" outlineLevel="0" collapsed="false">
      <c r="A6994" s="51" t="s">
        <v>206</v>
      </c>
      <c r="B6994" s="55" t="n">
        <v>45199</v>
      </c>
      <c r="C6994" s="51" t="s">
        <v>782</v>
      </c>
      <c r="D6994" s="51" t="n">
        <v>0</v>
      </c>
    </row>
    <row r="6995" customFormat="false" ht="15" hidden="true" customHeight="false" outlineLevel="0" collapsed="false">
      <c r="A6995" s="51" t="s">
        <v>210</v>
      </c>
      <c r="B6995" s="55" t="n">
        <v>45199</v>
      </c>
      <c r="C6995" s="51" t="s">
        <v>782</v>
      </c>
      <c r="D6995" s="51" t="n">
        <v>0</v>
      </c>
    </row>
    <row r="6996" customFormat="false" ht="15" hidden="true" customHeight="false" outlineLevel="0" collapsed="false">
      <c r="A6996" s="51" t="s">
        <v>215</v>
      </c>
      <c r="B6996" s="55" t="n">
        <v>45199</v>
      </c>
      <c r="C6996" s="51" t="s">
        <v>782</v>
      </c>
      <c r="D6996" s="51" t="n">
        <v>0</v>
      </c>
    </row>
    <row r="6997" customFormat="false" ht="15" hidden="true" customHeight="false" outlineLevel="0" collapsed="false">
      <c r="A6997" s="51" t="s">
        <v>790</v>
      </c>
      <c r="B6997" s="55" t="n">
        <v>45199</v>
      </c>
      <c r="C6997" s="51" t="s">
        <v>782</v>
      </c>
      <c r="D6997" s="51" t="n">
        <v>0</v>
      </c>
    </row>
    <row r="6998" customFormat="false" ht="15" hidden="true" customHeight="false" outlineLevel="0" collapsed="false">
      <c r="A6998" s="51" t="s">
        <v>225</v>
      </c>
      <c r="B6998" s="55" t="n">
        <v>45199</v>
      </c>
      <c r="C6998" s="51" t="s">
        <v>782</v>
      </c>
      <c r="D6998" s="51" t="n">
        <v>0</v>
      </c>
    </row>
    <row r="6999" customFormat="false" ht="15" hidden="true" customHeight="false" outlineLevel="0" collapsed="false">
      <c r="A6999" s="51" t="s">
        <v>230</v>
      </c>
      <c r="B6999" s="55" t="n">
        <v>45199</v>
      </c>
      <c r="C6999" s="51" t="s">
        <v>782</v>
      </c>
      <c r="D6999" s="51" t="n">
        <v>0</v>
      </c>
    </row>
    <row r="7000" customFormat="false" ht="15" hidden="true" customHeight="false" outlineLevel="0" collapsed="false">
      <c r="A7000" s="51" t="s">
        <v>235</v>
      </c>
      <c r="B7000" s="55" t="n">
        <v>45199</v>
      </c>
      <c r="C7000" s="51" t="s">
        <v>782</v>
      </c>
      <c r="D7000" s="51" t="n">
        <v>0</v>
      </c>
    </row>
    <row r="7001" customFormat="false" ht="15" hidden="true" customHeight="false" outlineLevel="0" collapsed="false">
      <c r="A7001" s="51" t="s">
        <v>240</v>
      </c>
      <c r="B7001" s="55" t="n">
        <v>45199</v>
      </c>
      <c r="C7001" s="51" t="s">
        <v>782</v>
      </c>
      <c r="D7001" s="51" t="n">
        <v>0</v>
      </c>
    </row>
    <row r="7002" customFormat="false" ht="15" hidden="true" customHeight="false" outlineLevel="0" collapsed="false">
      <c r="A7002" s="51" t="s">
        <v>246</v>
      </c>
      <c r="B7002" s="55" t="n">
        <v>45199</v>
      </c>
      <c r="C7002" s="51" t="s">
        <v>782</v>
      </c>
      <c r="D7002" s="51" t="n">
        <v>0</v>
      </c>
    </row>
    <row r="7003" customFormat="false" ht="15" hidden="true" customHeight="false" outlineLevel="0" collapsed="false">
      <c r="A7003" s="51" t="s">
        <v>252</v>
      </c>
      <c r="B7003" s="55" t="n">
        <v>45199</v>
      </c>
      <c r="C7003" s="51" t="s">
        <v>782</v>
      </c>
      <c r="D7003" s="51" t="n">
        <v>0</v>
      </c>
    </row>
    <row r="7004" customFormat="false" ht="15" hidden="true" customHeight="false" outlineLevel="0" collapsed="false">
      <c r="A7004" s="51" t="s">
        <v>257</v>
      </c>
      <c r="B7004" s="55" t="n">
        <v>45199</v>
      </c>
      <c r="C7004" s="51" t="s">
        <v>782</v>
      </c>
      <c r="D7004" s="51" t="n">
        <v>0</v>
      </c>
    </row>
    <row r="7005" customFormat="false" ht="15" hidden="true" customHeight="false" outlineLevel="0" collapsed="false">
      <c r="A7005" s="51" t="s">
        <v>262</v>
      </c>
      <c r="B7005" s="55" t="n">
        <v>45199</v>
      </c>
      <c r="C7005" s="51" t="s">
        <v>782</v>
      </c>
      <c r="D7005" s="51" t="n">
        <v>0</v>
      </c>
    </row>
    <row r="7006" customFormat="false" ht="15" hidden="true" customHeight="false" outlineLevel="0" collapsed="false">
      <c r="A7006" s="51" t="s">
        <v>267</v>
      </c>
      <c r="B7006" s="55" t="n">
        <v>45199</v>
      </c>
      <c r="C7006" s="51" t="s">
        <v>782</v>
      </c>
      <c r="D7006" s="51" t="n">
        <v>0</v>
      </c>
    </row>
    <row r="7007" customFormat="false" ht="15" hidden="true" customHeight="false" outlineLevel="0" collapsed="false">
      <c r="A7007" s="51" t="s">
        <v>272</v>
      </c>
      <c r="B7007" s="55" t="n">
        <v>45199</v>
      </c>
      <c r="C7007" s="51" t="s">
        <v>782</v>
      </c>
      <c r="D7007" s="51" t="n">
        <v>0</v>
      </c>
    </row>
    <row r="7008" customFormat="false" ht="15" hidden="true" customHeight="false" outlineLevel="0" collapsed="false">
      <c r="A7008" s="51" t="s">
        <v>277</v>
      </c>
      <c r="B7008" s="55" t="n">
        <v>45199</v>
      </c>
      <c r="C7008" s="51" t="s">
        <v>782</v>
      </c>
      <c r="D7008" s="51" t="n">
        <v>0</v>
      </c>
    </row>
    <row r="7009" customFormat="false" ht="15" hidden="true" customHeight="false" outlineLevel="0" collapsed="false">
      <c r="A7009" s="51" t="s">
        <v>282</v>
      </c>
      <c r="B7009" s="55" t="n">
        <v>45199</v>
      </c>
      <c r="C7009" s="51" t="s">
        <v>782</v>
      </c>
      <c r="D7009" s="51" t="n">
        <v>0</v>
      </c>
    </row>
    <row r="7010" customFormat="false" ht="15" hidden="true" customHeight="false" outlineLevel="0" collapsed="false">
      <c r="A7010" s="51" t="s">
        <v>287</v>
      </c>
      <c r="B7010" s="55" t="n">
        <v>45199</v>
      </c>
      <c r="C7010" s="51" t="s">
        <v>782</v>
      </c>
      <c r="D7010" s="51" t="n">
        <v>0</v>
      </c>
    </row>
    <row r="7011" customFormat="false" ht="15" hidden="true" customHeight="false" outlineLevel="0" collapsed="false">
      <c r="A7011" s="51" t="s">
        <v>292</v>
      </c>
      <c r="B7011" s="55" t="n">
        <v>45199</v>
      </c>
      <c r="C7011" s="51" t="s">
        <v>782</v>
      </c>
      <c r="D7011" s="51" t="n">
        <v>0</v>
      </c>
    </row>
    <row r="7012" customFormat="false" ht="15" hidden="true" customHeight="false" outlineLevel="0" collapsed="false">
      <c r="A7012" s="51" t="s">
        <v>297</v>
      </c>
      <c r="B7012" s="55" t="n">
        <v>45199</v>
      </c>
      <c r="C7012" s="51" t="s">
        <v>782</v>
      </c>
      <c r="D7012" s="51" t="n">
        <v>0</v>
      </c>
    </row>
    <row r="7013" customFormat="false" ht="15" hidden="true" customHeight="false" outlineLevel="0" collapsed="false">
      <c r="A7013" s="51" t="s">
        <v>302</v>
      </c>
      <c r="B7013" s="55" t="n">
        <v>45199</v>
      </c>
      <c r="C7013" s="51" t="s">
        <v>782</v>
      </c>
      <c r="D7013" s="51" t="n">
        <v>0</v>
      </c>
    </row>
    <row r="7014" customFormat="false" ht="15" hidden="true" customHeight="false" outlineLevel="0" collapsed="false">
      <c r="A7014" s="51" t="s">
        <v>307</v>
      </c>
      <c r="B7014" s="55" t="n">
        <v>45199</v>
      </c>
      <c r="C7014" s="51" t="s">
        <v>782</v>
      </c>
      <c r="D7014" s="51" t="n">
        <v>0</v>
      </c>
    </row>
    <row r="7015" customFormat="false" ht="15" hidden="true" customHeight="false" outlineLevel="0" collapsed="false">
      <c r="A7015" s="51" t="s">
        <v>311</v>
      </c>
      <c r="B7015" s="55" t="n">
        <v>45199</v>
      </c>
      <c r="C7015" s="51" t="s">
        <v>782</v>
      </c>
      <c r="D7015" s="51" t="n">
        <v>0</v>
      </c>
    </row>
    <row r="7016" customFormat="false" ht="15" hidden="true" customHeight="false" outlineLevel="0" collapsed="false">
      <c r="A7016" s="51" t="s">
        <v>317</v>
      </c>
      <c r="B7016" s="55" t="n">
        <v>45199</v>
      </c>
      <c r="C7016" s="51" t="s">
        <v>782</v>
      </c>
      <c r="D7016" s="51" t="n">
        <v>0</v>
      </c>
    </row>
    <row r="7017" customFormat="false" ht="15" hidden="true" customHeight="false" outlineLevel="0" collapsed="false">
      <c r="A7017" s="51" t="s">
        <v>322</v>
      </c>
      <c r="B7017" s="55" t="n">
        <v>45199</v>
      </c>
      <c r="C7017" s="51" t="s">
        <v>782</v>
      </c>
      <c r="D7017" s="51" t="n">
        <v>0</v>
      </c>
    </row>
    <row r="7018" customFormat="false" ht="15" hidden="true" customHeight="false" outlineLevel="0" collapsed="false">
      <c r="A7018" s="51" t="s">
        <v>327</v>
      </c>
      <c r="B7018" s="55" t="n">
        <v>45199</v>
      </c>
      <c r="C7018" s="51" t="s">
        <v>782</v>
      </c>
      <c r="D7018" s="51" t="n">
        <v>0</v>
      </c>
    </row>
    <row r="7019" customFormat="false" ht="15" hidden="true" customHeight="false" outlineLevel="0" collapsed="false">
      <c r="A7019" s="51" t="s">
        <v>332</v>
      </c>
      <c r="B7019" s="55" t="n">
        <v>45199</v>
      </c>
      <c r="C7019" s="51" t="s">
        <v>782</v>
      </c>
      <c r="D7019" s="51" t="n">
        <v>0</v>
      </c>
    </row>
    <row r="7020" customFormat="false" ht="15" hidden="true" customHeight="false" outlineLevel="0" collapsed="false">
      <c r="A7020" s="51" t="s">
        <v>339</v>
      </c>
      <c r="B7020" s="55" t="n">
        <v>45199</v>
      </c>
      <c r="C7020" s="51" t="s">
        <v>782</v>
      </c>
      <c r="D7020" s="51" t="n">
        <v>0</v>
      </c>
    </row>
    <row r="7021" customFormat="false" ht="15" hidden="true" customHeight="false" outlineLevel="0" collapsed="false">
      <c r="A7021" s="51" t="s">
        <v>344</v>
      </c>
      <c r="B7021" s="55" t="n">
        <v>45199</v>
      </c>
      <c r="C7021" s="51" t="s">
        <v>782</v>
      </c>
      <c r="D7021" s="51" t="n">
        <v>0</v>
      </c>
    </row>
    <row r="7022" customFormat="false" ht="15" hidden="true" customHeight="false" outlineLevel="0" collapsed="false">
      <c r="A7022" s="51" t="s">
        <v>349</v>
      </c>
      <c r="B7022" s="55" t="n">
        <v>45199</v>
      </c>
      <c r="C7022" s="51" t="s">
        <v>782</v>
      </c>
      <c r="D7022" s="51" t="n">
        <v>0</v>
      </c>
    </row>
    <row r="7023" customFormat="false" ht="15" hidden="true" customHeight="false" outlineLevel="0" collapsed="false">
      <c r="A7023" s="51" t="s">
        <v>354</v>
      </c>
      <c r="B7023" s="55" t="n">
        <v>45199</v>
      </c>
      <c r="C7023" s="51" t="s">
        <v>782</v>
      </c>
      <c r="D7023" s="51" t="n">
        <v>0</v>
      </c>
    </row>
    <row r="7024" customFormat="false" ht="15" hidden="true" customHeight="false" outlineLevel="0" collapsed="false">
      <c r="A7024" s="51" t="s">
        <v>359</v>
      </c>
      <c r="B7024" s="55" t="n">
        <v>45199</v>
      </c>
      <c r="C7024" s="51" t="s">
        <v>782</v>
      </c>
      <c r="D7024" s="51" t="n">
        <v>0</v>
      </c>
    </row>
    <row r="7025" customFormat="false" ht="15" hidden="true" customHeight="false" outlineLevel="0" collapsed="false">
      <c r="A7025" s="51" t="s">
        <v>364</v>
      </c>
      <c r="B7025" s="55" t="n">
        <v>45199</v>
      </c>
      <c r="C7025" s="51" t="s">
        <v>782</v>
      </c>
      <c r="D7025" s="51" t="n">
        <v>0</v>
      </c>
    </row>
    <row r="7026" customFormat="false" ht="15" hidden="true" customHeight="false" outlineLevel="0" collapsed="false">
      <c r="A7026" s="51" t="s">
        <v>369</v>
      </c>
      <c r="B7026" s="55" t="n">
        <v>45199</v>
      </c>
      <c r="C7026" s="51" t="s">
        <v>782</v>
      </c>
      <c r="D7026" s="51" t="n">
        <v>0</v>
      </c>
    </row>
    <row r="7027" customFormat="false" ht="15" hidden="true" customHeight="false" outlineLevel="0" collapsed="false">
      <c r="A7027" s="51" t="s">
        <v>374</v>
      </c>
      <c r="B7027" s="55" t="n">
        <v>45199</v>
      </c>
      <c r="C7027" s="51" t="s">
        <v>782</v>
      </c>
      <c r="D7027" s="51" t="n">
        <v>0</v>
      </c>
    </row>
    <row r="7028" customFormat="false" ht="15" hidden="true" customHeight="false" outlineLevel="0" collapsed="false">
      <c r="A7028" s="51" t="s">
        <v>379</v>
      </c>
      <c r="B7028" s="55" t="n">
        <v>45199</v>
      </c>
      <c r="C7028" s="51" t="s">
        <v>782</v>
      </c>
      <c r="D7028" s="51" t="n">
        <v>0</v>
      </c>
    </row>
    <row r="7029" customFormat="false" ht="15" hidden="true" customHeight="false" outlineLevel="0" collapsed="false">
      <c r="A7029" s="51" t="s">
        <v>384</v>
      </c>
      <c r="B7029" s="55" t="n">
        <v>45199</v>
      </c>
      <c r="C7029" s="51" t="s">
        <v>782</v>
      </c>
      <c r="D7029" s="51" t="n">
        <v>0</v>
      </c>
    </row>
    <row r="7030" customFormat="false" ht="15" hidden="true" customHeight="false" outlineLevel="0" collapsed="false">
      <c r="A7030" s="51" t="s">
        <v>389</v>
      </c>
      <c r="B7030" s="55" t="n">
        <v>45199</v>
      </c>
      <c r="C7030" s="51" t="s">
        <v>782</v>
      </c>
      <c r="D7030" s="51" t="n">
        <v>0</v>
      </c>
    </row>
    <row r="7031" customFormat="false" ht="15" hidden="true" customHeight="false" outlineLevel="0" collapsed="false">
      <c r="A7031" s="51" t="s">
        <v>394</v>
      </c>
      <c r="B7031" s="55" t="n">
        <v>45199</v>
      </c>
      <c r="C7031" s="51" t="s">
        <v>782</v>
      </c>
      <c r="D7031" s="51" t="n">
        <v>0</v>
      </c>
    </row>
    <row r="7032" customFormat="false" ht="15" hidden="true" customHeight="false" outlineLevel="0" collapsed="false">
      <c r="A7032" s="51" t="s">
        <v>399</v>
      </c>
      <c r="B7032" s="55" t="n">
        <v>45199</v>
      </c>
      <c r="C7032" s="51" t="s">
        <v>782</v>
      </c>
      <c r="D7032" s="51" t="n">
        <v>0</v>
      </c>
    </row>
    <row r="7033" customFormat="false" ht="15" hidden="true" customHeight="false" outlineLevel="0" collapsed="false">
      <c r="A7033" s="51" t="s">
        <v>404</v>
      </c>
      <c r="B7033" s="55" t="n">
        <v>45199</v>
      </c>
      <c r="C7033" s="51" t="s">
        <v>782</v>
      </c>
      <c r="D7033" s="51" t="n">
        <v>5520000</v>
      </c>
    </row>
    <row r="7034" customFormat="false" ht="15" hidden="true" customHeight="false" outlineLevel="0" collapsed="false">
      <c r="A7034" s="51" t="s">
        <v>409</v>
      </c>
      <c r="B7034" s="55" t="n">
        <v>45199</v>
      </c>
      <c r="C7034" s="51" t="s">
        <v>782</v>
      </c>
      <c r="D7034" s="51" t="n">
        <v>0</v>
      </c>
    </row>
    <row r="7035" customFormat="false" ht="15" hidden="true" customHeight="false" outlineLevel="0" collapsed="false">
      <c r="A7035" s="51" t="s">
        <v>414</v>
      </c>
      <c r="B7035" s="55" t="n">
        <v>45199</v>
      </c>
      <c r="C7035" s="51" t="s">
        <v>782</v>
      </c>
      <c r="D7035" s="51" t="n">
        <v>790239</v>
      </c>
    </row>
    <row r="7036" customFormat="false" ht="15" hidden="true" customHeight="false" outlineLevel="0" collapsed="false">
      <c r="A7036" s="51" t="s">
        <v>419</v>
      </c>
      <c r="B7036" s="55" t="n">
        <v>45199</v>
      </c>
      <c r="C7036" s="51" t="s">
        <v>782</v>
      </c>
      <c r="D7036" s="51" t="n">
        <v>0</v>
      </c>
    </row>
    <row r="7037" customFormat="false" ht="15" hidden="true" customHeight="false" outlineLevel="0" collapsed="false">
      <c r="A7037" s="51" t="s">
        <v>424</v>
      </c>
      <c r="B7037" s="55" t="n">
        <v>45199</v>
      </c>
      <c r="C7037" s="51" t="s">
        <v>782</v>
      </c>
      <c r="D7037" s="51" t="n">
        <v>1710000</v>
      </c>
    </row>
    <row r="7038" customFormat="false" ht="15" hidden="true" customHeight="false" outlineLevel="0" collapsed="false">
      <c r="A7038" s="51" t="s">
        <v>429</v>
      </c>
      <c r="B7038" s="55" t="n">
        <v>45199</v>
      </c>
      <c r="C7038" s="51" t="s">
        <v>782</v>
      </c>
      <c r="D7038" s="51" t="n">
        <v>500000</v>
      </c>
    </row>
    <row r="7039" customFormat="false" ht="15" hidden="true" customHeight="false" outlineLevel="0" collapsed="false">
      <c r="A7039" s="51" t="s">
        <v>434</v>
      </c>
      <c r="B7039" s="55" t="n">
        <v>45199</v>
      </c>
      <c r="C7039" s="51" t="s">
        <v>782</v>
      </c>
      <c r="D7039" s="51" t="n">
        <v>4100000</v>
      </c>
    </row>
    <row r="7040" customFormat="false" ht="15" hidden="true" customHeight="false" outlineLevel="0" collapsed="false">
      <c r="A7040" s="51" t="s">
        <v>438</v>
      </c>
      <c r="B7040" s="55" t="n">
        <v>45199</v>
      </c>
      <c r="C7040" s="51" t="s">
        <v>782</v>
      </c>
      <c r="D7040" s="51" t="n">
        <v>3000000</v>
      </c>
    </row>
    <row r="7041" customFormat="false" ht="15" hidden="true" customHeight="false" outlineLevel="0" collapsed="false">
      <c r="A7041" s="51" t="s">
        <v>443</v>
      </c>
      <c r="B7041" s="55" t="n">
        <v>45199</v>
      </c>
      <c r="C7041" s="51" t="s">
        <v>782</v>
      </c>
      <c r="D7041" s="51" t="n">
        <v>3134250</v>
      </c>
    </row>
    <row r="7042" customFormat="false" ht="15" hidden="true" customHeight="false" outlineLevel="0" collapsed="false">
      <c r="A7042" s="51" t="s">
        <v>448</v>
      </c>
      <c r="B7042" s="55" t="n">
        <v>45199</v>
      </c>
      <c r="C7042" s="51" t="s">
        <v>782</v>
      </c>
      <c r="D7042" s="51" t="n">
        <v>385000</v>
      </c>
    </row>
    <row r="7043" customFormat="false" ht="15" hidden="true" customHeight="false" outlineLevel="0" collapsed="false">
      <c r="A7043" s="51" t="s">
        <v>453</v>
      </c>
      <c r="B7043" s="55" t="n">
        <v>45199</v>
      </c>
      <c r="C7043" s="51" t="s">
        <v>782</v>
      </c>
      <c r="D7043" s="51" t="n">
        <v>0</v>
      </c>
    </row>
    <row r="7044" customFormat="false" ht="15" hidden="true" customHeight="false" outlineLevel="0" collapsed="false">
      <c r="A7044" s="51" t="s">
        <v>458</v>
      </c>
      <c r="B7044" s="55" t="n">
        <v>45199</v>
      </c>
      <c r="C7044" s="51" t="s">
        <v>782</v>
      </c>
      <c r="D7044" s="51" t="n">
        <v>0</v>
      </c>
    </row>
    <row r="7045" customFormat="false" ht="15" hidden="true" customHeight="false" outlineLevel="0" collapsed="false">
      <c r="A7045" s="51" t="s">
        <v>473</v>
      </c>
      <c r="B7045" s="55" t="n">
        <v>45199</v>
      </c>
      <c r="C7045" s="51" t="s">
        <v>782</v>
      </c>
      <c r="D7045" s="51" t="n">
        <v>0</v>
      </c>
    </row>
    <row r="7046" customFormat="false" ht="15" hidden="true" customHeight="false" outlineLevel="0" collapsed="false">
      <c r="A7046" s="51" t="s">
        <v>479</v>
      </c>
      <c r="B7046" s="55" t="n">
        <v>45199</v>
      </c>
      <c r="C7046" s="51" t="s">
        <v>782</v>
      </c>
      <c r="D7046" s="51" t="n">
        <v>0</v>
      </c>
    </row>
    <row r="7047" customFormat="false" ht="15" hidden="true" customHeight="false" outlineLevel="0" collapsed="false">
      <c r="A7047" s="51" t="s">
        <v>484</v>
      </c>
      <c r="B7047" s="55" t="n">
        <v>45199</v>
      </c>
      <c r="C7047" s="51" t="s">
        <v>782</v>
      </c>
      <c r="D7047" s="51" t="n">
        <v>0</v>
      </c>
    </row>
    <row r="7048" customFormat="false" ht="15" hidden="true" customHeight="false" outlineLevel="0" collapsed="false">
      <c r="A7048" s="51" t="s">
        <v>489</v>
      </c>
      <c r="B7048" s="55" t="n">
        <v>45199</v>
      </c>
      <c r="C7048" s="51" t="s">
        <v>782</v>
      </c>
      <c r="D7048" s="51" t="n">
        <v>0</v>
      </c>
    </row>
    <row r="7049" customFormat="false" ht="15" hidden="true" customHeight="false" outlineLevel="0" collapsed="false">
      <c r="A7049" s="51" t="s">
        <v>494</v>
      </c>
      <c r="B7049" s="55" t="n">
        <v>45199</v>
      </c>
      <c r="C7049" s="51" t="s">
        <v>782</v>
      </c>
      <c r="D7049" s="51" t="n">
        <v>0</v>
      </c>
    </row>
    <row r="7050" customFormat="false" ht="15" hidden="true" customHeight="false" outlineLevel="0" collapsed="false">
      <c r="A7050" s="51" t="s">
        <v>499</v>
      </c>
      <c r="B7050" s="55" t="n">
        <v>45199</v>
      </c>
      <c r="C7050" s="51" t="s">
        <v>782</v>
      </c>
      <c r="D7050" s="51" t="n">
        <v>0</v>
      </c>
    </row>
    <row r="7051" customFormat="false" ht="15" hidden="true" customHeight="false" outlineLevel="0" collapsed="false">
      <c r="A7051" s="51" t="s">
        <v>504</v>
      </c>
      <c r="B7051" s="55" t="n">
        <v>45199</v>
      </c>
      <c r="C7051" s="51" t="s">
        <v>782</v>
      </c>
      <c r="D7051" s="51" t="n">
        <v>0</v>
      </c>
    </row>
    <row r="7052" customFormat="false" ht="15" hidden="true" customHeight="false" outlineLevel="0" collapsed="false">
      <c r="A7052" s="51" t="s">
        <v>509</v>
      </c>
      <c r="B7052" s="55" t="n">
        <v>45199</v>
      </c>
      <c r="C7052" s="51" t="s">
        <v>782</v>
      </c>
      <c r="D7052" s="51" t="n">
        <v>0</v>
      </c>
    </row>
    <row r="7053" customFormat="false" ht="15" hidden="true" customHeight="false" outlineLevel="0" collapsed="false">
      <c r="A7053" s="51" t="s">
        <v>515</v>
      </c>
      <c r="B7053" s="55" t="n">
        <v>45199</v>
      </c>
      <c r="C7053" s="51" t="s">
        <v>782</v>
      </c>
      <c r="D7053" s="51" t="n">
        <v>0</v>
      </c>
    </row>
    <row r="7054" customFormat="false" ht="15" hidden="true" customHeight="false" outlineLevel="0" collapsed="false">
      <c r="A7054" s="51" t="s">
        <v>520</v>
      </c>
      <c r="B7054" s="55" t="n">
        <v>45199</v>
      </c>
      <c r="C7054" s="51" t="s">
        <v>782</v>
      </c>
      <c r="D7054" s="51" t="n">
        <v>0</v>
      </c>
    </row>
    <row r="7055" customFormat="false" ht="15" hidden="true" customHeight="false" outlineLevel="0" collapsed="false">
      <c r="A7055" s="51" t="s">
        <v>525</v>
      </c>
      <c r="B7055" s="55" t="n">
        <v>45199</v>
      </c>
      <c r="C7055" s="51" t="s">
        <v>782</v>
      </c>
      <c r="D7055" s="51" t="n">
        <v>0</v>
      </c>
    </row>
    <row r="7056" customFormat="false" ht="15" hidden="true" customHeight="false" outlineLevel="0" collapsed="false">
      <c r="A7056" s="51" t="s">
        <v>531</v>
      </c>
      <c r="B7056" s="55" t="n">
        <v>45199</v>
      </c>
      <c r="C7056" s="51" t="s">
        <v>782</v>
      </c>
      <c r="D7056" s="51" t="n">
        <v>0</v>
      </c>
    </row>
    <row r="7057" customFormat="false" ht="15" hidden="true" customHeight="false" outlineLevel="0" collapsed="false">
      <c r="A7057" s="51" t="s">
        <v>536</v>
      </c>
      <c r="B7057" s="55" t="n">
        <v>45199</v>
      </c>
      <c r="C7057" s="51" t="s">
        <v>782</v>
      </c>
      <c r="D7057" s="51" t="n">
        <v>0</v>
      </c>
    </row>
    <row r="7058" customFormat="false" ht="15" hidden="true" customHeight="false" outlineLevel="0" collapsed="false">
      <c r="A7058" s="51" t="s">
        <v>541</v>
      </c>
      <c r="B7058" s="55" t="n">
        <v>45199</v>
      </c>
      <c r="C7058" s="51" t="s">
        <v>782</v>
      </c>
      <c r="D7058" s="51" t="n">
        <v>0</v>
      </c>
    </row>
    <row r="7059" customFormat="false" ht="15" hidden="true" customHeight="false" outlineLevel="0" collapsed="false">
      <c r="A7059" s="51" t="s">
        <v>549</v>
      </c>
      <c r="B7059" s="55" t="n">
        <v>45199</v>
      </c>
      <c r="C7059" s="51" t="s">
        <v>782</v>
      </c>
      <c r="D7059" s="51" t="n">
        <v>0</v>
      </c>
    </row>
    <row r="7060" customFormat="false" ht="15" hidden="true" customHeight="false" outlineLevel="0" collapsed="false">
      <c r="A7060" s="51" t="s">
        <v>554</v>
      </c>
      <c r="B7060" s="55" t="n">
        <v>45199</v>
      </c>
      <c r="C7060" s="51" t="s">
        <v>782</v>
      </c>
      <c r="D7060" s="51" t="n">
        <v>0</v>
      </c>
    </row>
    <row r="7061" customFormat="false" ht="15" hidden="true" customHeight="false" outlineLevel="0" collapsed="false">
      <c r="A7061" s="51" t="s">
        <v>559</v>
      </c>
      <c r="B7061" s="55" t="n">
        <v>45199</v>
      </c>
      <c r="C7061" s="51" t="s">
        <v>782</v>
      </c>
      <c r="D7061" s="51" t="n">
        <v>0</v>
      </c>
    </row>
    <row r="7062" customFormat="false" ht="15" hidden="true" customHeight="false" outlineLevel="0" collapsed="false">
      <c r="A7062" s="51" t="s">
        <v>564</v>
      </c>
      <c r="B7062" s="55" t="n">
        <v>45199</v>
      </c>
      <c r="C7062" s="51" t="s">
        <v>782</v>
      </c>
      <c r="D7062" s="51" t="n">
        <v>0</v>
      </c>
    </row>
    <row r="7063" customFormat="false" ht="15" hidden="true" customHeight="false" outlineLevel="0" collapsed="false">
      <c r="A7063" s="51" t="s">
        <v>569</v>
      </c>
      <c r="B7063" s="55" t="n">
        <v>45199</v>
      </c>
      <c r="C7063" s="51" t="s">
        <v>782</v>
      </c>
      <c r="D7063" s="51" t="n">
        <v>0</v>
      </c>
    </row>
    <row r="7064" customFormat="false" ht="15" hidden="true" customHeight="false" outlineLevel="0" collapsed="false">
      <c r="A7064" s="51" t="s">
        <v>574</v>
      </c>
      <c r="B7064" s="55" t="n">
        <v>45199</v>
      </c>
      <c r="C7064" s="51" t="s">
        <v>782</v>
      </c>
      <c r="D7064" s="51" t="n">
        <v>0</v>
      </c>
    </row>
    <row r="7065" customFormat="false" ht="15" hidden="true" customHeight="false" outlineLevel="0" collapsed="false">
      <c r="A7065" s="51" t="s">
        <v>579</v>
      </c>
      <c r="B7065" s="55" t="n">
        <v>45199</v>
      </c>
      <c r="C7065" s="51" t="s">
        <v>782</v>
      </c>
      <c r="D7065" s="51" t="n">
        <v>0</v>
      </c>
    </row>
    <row r="7066" customFormat="false" ht="15" hidden="true" customHeight="false" outlineLevel="0" collapsed="false">
      <c r="A7066" s="51" t="s">
        <v>584</v>
      </c>
      <c r="B7066" s="55" t="n">
        <v>45199</v>
      </c>
      <c r="C7066" s="51" t="s">
        <v>782</v>
      </c>
      <c r="D7066" s="51" t="n">
        <v>0</v>
      </c>
    </row>
    <row r="7067" customFormat="false" ht="15" hidden="true" customHeight="false" outlineLevel="0" collapsed="false">
      <c r="A7067" s="51" t="s">
        <v>589</v>
      </c>
      <c r="B7067" s="55" t="n">
        <v>45199</v>
      </c>
      <c r="C7067" s="51" t="s">
        <v>782</v>
      </c>
      <c r="D7067" s="51" t="n">
        <v>0</v>
      </c>
    </row>
    <row r="7068" customFormat="false" ht="15" hidden="true" customHeight="false" outlineLevel="0" collapsed="false">
      <c r="A7068" s="51" t="s">
        <v>756</v>
      </c>
      <c r="B7068" s="55" t="n">
        <v>45199</v>
      </c>
      <c r="C7068" s="51" t="s">
        <v>782</v>
      </c>
      <c r="D7068" s="51" t="n">
        <v>0</v>
      </c>
    </row>
    <row r="7069" customFormat="false" ht="15" hidden="true" customHeight="false" outlineLevel="0" collapsed="false">
      <c r="A7069" s="51" t="s">
        <v>594</v>
      </c>
      <c r="B7069" s="55" t="n">
        <v>45199</v>
      </c>
      <c r="C7069" s="51" t="s">
        <v>782</v>
      </c>
      <c r="D7069" s="51" t="n">
        <v>0</v>
      </c>
    </row>
    <row r="7070" customFormat="false" ht="15" hidden="true" customHeight="false" outlineLevel="0" collapsed="false">
      <c r="A7070" s="51" t="s">
        <v>761</v>
      </c>
      <c r="B7070" s="55" t="n">
        <v>45199</v>
      </c>
      <c r="C7070" s="51" t="s">
        <v>782</v>
      </c>
      <c r="D7070" s="51" t="n">
        <v>0</v>
      </c>
    </row>
    <row r="7071" customFormat="false" ht="15" hidden="true" customHeight="false" outlineLevel="0" collapsed="false">
      <c r="A7071" s="51" t="s">
        <v>599</v>
      </c>
      <c r="B7071" s="55" t="n">
        <v>45199</v>
      </c>
      <c r="C7071" s="51" t="s">
        <v>782</v>
      </c>
      <c r="D7071" s="51" t="n">
        <v>0</v>
      </c>
    </row>
    <row r="7072" customFormat="false" ht="15" hidden="true" customHeight="false" outlineLevel="0" collapsed="false">
      <c r="A7072" s="51" t="s">
        <v>604</v>
      </c>
      <c r="B7072" s="55" t="n">
        <v>45199</v>
      </c>
      <c r="C7072" s="51" t="s">
        <v>782</v>
      </c>
      <c r="D7072" s="51" t="n">
        <v>0</v>
      </c>
    </row>
    <row r="7073" customFormat="false" ht="15" hidden="true" customHeight="false" outlineLevel="0" collapsed="false">
      <c r="A7073" s="51" t="s">
        <v>609</v>
      </c>
      <c r="B7073" s="55" t="n">
        <v>45199</v>
      </c>
      <c r="C7073" s="51" t="s">
        <v>782</v>
      </c>
      <c r="D7073" s="51" t="n">
        <v>0</v>
      </c>
    </row>
    <row r="7074" customFormat="false" ht="15" hidden="true" customHeight="false" outlineLevel="0" collapsed="false">
      <c r="A7074" s="51" t="s">
        <v>614</v>
      </c>
      <c r="B7074" s="55" t="n">
        <v>45199</v>
      </c>
      <c r="C7074" s="51" t="s">
        <v>782</v>
      </c>
      <c r="D7074" s="51" t="n">
        <v>0</v>
      </c>
    </row>
    <row r="7075" customFormat="false" ht="15" hidden="true" customHeight="false" outlineLevel="0" collapsed="false">
      <c r="A7075" s="51" t="s">
        <v>619</v>
      </c>
      <c r="B7075" s="55" t="n">
        <v>45199</v>
      </c>
      <c r="C7075" s="51" t="s">
        <v>782</v>
      </c>
      <c r="D7075" s="51" t="n">
        <v>0</v>
      </c>
    </row>
    <row r="7076" customFormat="false" ht="15" hidden="true" customHeight="false" outlineLevel="0" collapsed="false">
      <c r="A7076" s="51" t="s">
        <v>624</v>
      </c>
      <c r="B7076" s="55" t="n">
        <v>45199</v>
      </c>
      <c r="C7076" s="51" t="s">
        <v>782</v>
      </c>
      <c r="D7076" s="51" t="n">
        <v>0</v>
      </c>
    </row>
    <row r="7077" customFormat="false" ht="15" hidden="true" customHeight="false" outlineLevel="0" collapsed="false">
      <c r="A7077" s="51" t="s">
        <v>629</v>
      </c>
      <c r="B7077" s="55" t="n">
        <v>45199</v>
      </c>
      <c r="C7077" s="51" t="s">
        <v>782</v>
      </c>
      <c r="D7077" s="51" t="n">
        <v>0</v>
      </c>
    </row>
    <row r="7078" customFormat="false" ht="15" hidden="true" customHeight="false" outlineLevel="0" collapsed="false">
      <c r="A7078" s="51" t="s">
        <v>633</v>
      </c>
      <c r="B7078" s="55" t="n">
        <v>45199</v>
      </c>
      <c r="C7078" s="51" t="s">
        <v>782</v>
      </c>
      <c r="D7078" s="51" t="n">
        <v>0</v>
      </c>
    </row>
    <row r="7079" customFormat="false" ht="15" hidden="true" customHeight="false" outlineLevel="0" collapsed="false">
      <c r="A7079" s="51" t="s">
        <v>638</v>
      </c>
      <c r="B7079" s="55" t="n">
        <v>45199</v>
      </c>
      <c r="C7079" s="51" t="s">
        <v>782</v>
      </c>
      <c r="D7079" s="51" t="n">
        <v>0</v>
      </c>
    </row>
    <row r="7080" customFormat="false" ht="15" hidden="true" customHeight="false" outlineLevel="0" collapsed="false">
      <c r="A7080" s="51" t="s">
        <v>642</v>
      </c>
      <c r="B7080" s="55" t="n">
        <v>45199</v>
      </c>
      <c r="C7080" s="51" t="s">
        <v>782</v>
      </c>
      <c r="D7080" s="51" t="n">
        <v>0</v>
      </c>
    </row>
    <row r="7081" customFormat="false" ht="15" hidden="true" customHeight="false" outlineLevel="0" collapsed="false">
      <c r="A7081" s="51" t="s">
        <v>646</v>
      </c>
      <c r="B7081" s="55" t="n">
        <v>45199</v>
      </c>
      <c r="C7081" s="51" t="s">
        <v>782</v>
      </c>
      <c r="D7081" s="51" t="n">
        <v>0</v>
      </c>
    </row>
    <row r="7082" customFormat="false" ht="15" hidden="true" customHeight="false" outlineLevel="0" collapsed="false">
      <c r="A7082" s="51" t="s">
        <v>651</v>
      </c>
      <c r="B7082" s="55" t="n">
        <v>45199</v>
      </c>
      <c r="C7082" s="51" t="s">
        <v>782</v>
      </c>
      <c r="D7082" s="51" t="n">
        <v>0</v>
      </c>
    </row>
    <row r="7083" customFormat="false" ht="15" hidden="true" customHeight="false" outlineLevel="0" collapsed="false">
      <c r="A7083" s="51" t="s">
        <v>656</v>
      </c>
      <c r="B7083" s="55" t="n">
        <v>45199</v>
      </c>
      <c r="C7083" s="51" t="s">
        <v>782</v>
      </c>
      <c r="D7083" s="51" t="n">
        <v>0</v>
      </c>
    </row>
    <row r="7084" customFormat="false" ht="15" hidden="true" customHeight="false" outlineLevel="0" collapsed="false">
      <c r="A7084" s="51" t="s">
        <v>661</v>
      </c>
      <c r="B7084" s="55" t="n">
        <v>45199</v>
      </c>
      <c r="C7084" s="51" t="s">
        <v>782</v>
      </c>
      <c r="D7084" s="51" t="n">
        <v>0</v>
      </c>
    </row>
    <row r="7085" customFormat="false" ht="15" hidden="true" customHeight="false" outlineLevel="0" collapsed="false">
      <c r="A7085" s="51" t="s">
        <v>666</v>
      </c>
      <c r="B7085" s="55" t="n">
        <v>45199</v>
      </c>
      <c r="C7085" s="51" t="s">
        <v>782</v>
      </c>
      <c r="D7085" s="51" t="n">
        <v>0</v>
      </c>
    </row>
    <row r="7086" customFormat="false" ht="15" hidden="true" customHeight="false" outlineLevel="0" collapsed="false">
      <c r="A7086" s="51" t="s">
        <v>671</v>
      </c>
      <c r="B7086" s="55" t="n">
        <v>45199</v>
      </c>
      <c r="C7086" s="51" t="s">
        <v>782</v>
      </c>
      <c r="D7086" s="51" t="n">
        <v>0</v>
      </c>
    </row>
    <row r="7087" customFormat="false" ht="15" hidden="true" customHeight="false" outlineLevel="0" collapsed="false">
      <c r="A7087" s="51" t="s">
        <v>676</v>
      </c>
      <c r="B7087" s="55" t="n">
        <v>45199</v>
      </c>
      <c r="C7087" s="51" t="s">
        <v>782</v>
      </c>
      <c r="D7087" s="51" t="n">
        <v>0</v>
      </c>
    </row>
    <row r="7088" customFormat="false" ht="15" hidden="true" customHeight="false" outlineLevel="0" collapsed="false">
      <c r="A7088" s="51" t="s">
        <v>681</v>
      </c>
      <c r="B7088" s="55" t="n">
        <v>45199</v>
      </c>
      <c r="C7088" s="51" t="s">
        <v>782</v>
      </c>
      <c r="D7088" s="51" t="n">
        <v>0</v>
      </c>
    </row>
    <row r="7089" customFormat="false" ht="15" hidden="true" customHeight="false" outlineLevel="0" collapsed="false">
      <c r="A7089" s="51" t="s">
        <v>686</v>
      </c>
      <c r="B7089" s="55" t="n">
        <v>45199</v>
      </c>
      <c r="C7089" s="51" t="s">
        <v>782</v>
      </c>
      <c r="D7089" s="51" t="n">
        <v>0</v>
      </c>
    </row>
    <row r="7090" customFormat="false" ht="15" hidden="true" customHeight="false" outlineLevel="0" collapsed="false">
      <c r="A7090" s="51" t="s">
        <v>691</v>
      </c>
      <c r="B7090" s="55" t="n">
        <v>45199</v>
      </c>
      <c r="C7090" s="51" t="s">
        <v>782</v>
      </c>
      <c r="D7090" s="51" t="n">
        <v>0</v>
      </c>
    </row>
    <row r="7091" customFormat="false" ht="15" hidden="true" customHeight="false" outlineLevel="0" collapsed="false">
      <c r="A7091" s="51" t="s">
        <v>696</v>
      </c>
      <c r="B7091" s="55" t="n">
        <v>45199</v>
      </c>
      <c r="C7091" s="51" t="s">
        <v>782</v>
      </c>
      <c r="D7091" s="51" t="n">
        <v>0</v>
      </c>
    </row>
    <row r="7092" customFormat="false" ht="15" hidden="true" customHeight="false" outlineLevel="0" collapsed="false">
      <c r="A7092" s="51" t="s">
        <v>701</v>
      </c>
      <c r="B7092" s="55" t="n">
        <v>45199</v>
      </c>
      <c r="C7092" s="51" t="s">
        <v>782</v>
      </c>
      <c r="D7092" s="51" t="n">
        <v>0</v>
      </c>
    </row>
    <row r="7093" customFormat="false" ht="15" hidden="true" customHeight="false" outlineLevel="0" collapsed="false">
      <c r="A7093" s="51" t="s">
        <v>707</v>
      </c>
      <c r="B7093" s="55" t="n">
        <v>45199</v>
      </c>
      <c r="C7093" s="51" t="s">
        <v>782</v>
      </c>
      <c r="D7093" s="51" t="n">
        <v>0</v>
      </c>
    </row>
    <row r="7094" customFormat="false" ht="15" hidden="true" customHeight="false" outlineLevel="0" collapsed="false">
      <c r="A7094" s="51" t="s">
        <v>712</v>
      </c>
      <c r="B7094" s="55" t="n">
        <v>45199</v>
      </c>
      <c r="C7094" s="51" t="s">
        <v>782</v>
      </c>
      <c r="D7094" s="51" t="n">
        <v>0</v>
      </c>
    </row>
    <row r="7095" customFormat="false" ht="15" hidden="true" customHeight="false" outlineLevel="0" collapsed="false">
      <c r="A7095" s="51" t="s">
        <v>717</v>
      </c>
      <c r="B7095" s="55" t="n">
        <v>45199</v>
      </c>
      <c r="C7095" s="51" t="s">
        <v>782</v>
      </c>
      <c r="D7095" s="51" t="n">
        <v>0</v>
      </c>
    </row>
    <row r="7096" customFormat="false" ht="15" hidden="true" customHeight="false" outlineLevel="0" collapsed="false">
      <c r="A7096" s="51" t="s">
        <v>767</v>
      </c>
      <c r="B7096" s="55" t="n">
        <v>45199</v>
      </c>
      <c r="C7096" s="51" t="s">
        <v>782</v>
      </c>
      <c r="D7096" s="51" t="n">
        <v>0</v>
      </c>
    </row>
    <row r="7097" customFormat="false" ht="15" hidden="true" customHeight="false" outlineLevel="0" collapsed="false">
      <c r="A7097" s="51" t="s">
        <v>722</v>
      </c>
      <c r="B7097" s="55" t="n">
        <v>45199</v>
      </c>
      <c r="C7097" s="51" t="s">
        <v>782</v>
      </c>
      <c r="D7097" s="51" t="n">
        <v>0</v>
      </c>
    </row>
    <row r="7098" customFormat="false" ht="15" hidden="true" customHeight="false" outlineLevel="0" collapsed="false">
      <c r="A7098" s="51" t="s">
        <v>727</v>
      </c>
      <c r="B7098" s="55" t="n">
        <v>45199</v>
      </c>
      <c r="C7098" s="51" t="s">
        <v>782</v>
      </c>
      <c r="D7098" s="51" t="n">
        <v>0</v>
      </c>
    </row>
    <row r="7099" customFormat="false" ht="15" hidden="true" customHeight="false" outlineLevel="0" collapsed="false">
      <c r="A7099" s="51" t="s">
        <v>732</v>
      </c>
      <c r="B7099" s="55" t="n">
        <v>45199</v>
      </c>
      <c r="C7099" s="51" t="s">
        <v>782</v>
      </c>
      <c r="D7099" s="51" t="n">
        <v>0</v>
      </c>
    </row>
    <row r="7100" customFormat="false" ht="15" hidden="true" customHeight="false" outlineLevel="0" collapsed="false">
      <c r="A7100" s="51" t="s">
        <v>736</v>
      </c>
      <c r="B7100" s="55" t="n">
        <v>45199</v>
      </c>
      <c r="C7100" s="51" t="s">
        <v>782</v>
      </c>
      <c r="D7100" s="51" t="n">
        <v>0</v>
      </c>
    </row>
    <row r="7101" customFormat="false" ht="15" hidden="true" customHeight="false" outlineLevel="0" collapsed="false">
      <c r="A7101" s="51" t="s">
        <v>741</v>
      </c>
      <c r="B7101" s="55" t="n">
        <v>45199</v>
      </c>
      <c r="C7101" s="51" t="s">
        <v>782</v>
      </c>
      <c r="D7101" s="51" t="n">
        <v>0</v>
      </c>
    </row>
    <row r="7102" customFormat="false" ht="15" hidden="true" customHeight="false" outlineLevel="0" collapsed="false">
      <c r="A7102" s="51" t="s">
        <v>746</v>
      </c>
      <c r="B7102" s="55" t="n">
        <v>45199</v>
      </c>
      <c r="C7102" s="51" t="s">
        <v>782</v>
      </c>
      <c r="D7102" s="51" t="n">
        <v>0</v>
      </c>
    </row>
    <row r="7103" customFormat="false" ht="15" hidden="true" customHeight="false" outlineLevel="0" collapsed="false">
      <c r="A7103" s="51" t="s">
        <v>751</v>
      </c>
      <c r="B7103" s="55" t="n">
        <v>45199</v>
      </c>
      <c r="C7103" s="51" t="s">
        <v>782</v>
      </c>
      <c r="D7103" s="51" t="n">
        <v>0</v>
      </c>
    </row>
    <row r="7104" customFormat="false" ht="15" hidden="false" customHeight="false" outlineLevel="0" collapsed="false">
      <c r="A7104" s="51" t="s">
        <v>781</v>
      </c>
      <c r="B7104" s="55" t="n">
        <v>45199</v>
      </c>
      <c r="C7104" s="51" t="s">
        <v>82</v>
      </c>
      <c r="D7104" s="51" t="n">
        <v>0</v>
      </c>
    </row>
    <row r="7105" customFormat="false" ht="15" hidden="true" customHeight="false" outlineLevel="0" collapsed="false">
      <c r="A7105" s="51" t="s">
        <v>783</v>
      </c>
      <c r="B7105" s="55" t="n">
        <v>45199</v>
      </c>
      <c r="C7105" s="51" t="s">
        <v>82</v>
      </c>
      <c r="D7105" s="51" t="n">
        <v>0</v>
      </c>
    </row>
    <row r="7106" customFormat="false" ht="15" hidden="true" customHeight="false" outlineLevel="0" collapsed="false">
      <c r="A7106" s="51" t="s">
        <v>96</v>
      </c>
      <c r="B7106" s="55" t="n">
        <v>45199</v>
      </c>
      <c r="C7106" s="51" t="s">
        <v>82</v>
      </c>
      <c r="D7106" s="51" t="n">
        <v>0</v>
      </c>
    </row>
    <row r="7107" customFormat="false" ht="15" hidden="true" customHeight="false" outlineLevel="0" collapsed="false">
      <c r="A7107" s="51" t="s">
        <v>101</v>
      </c>
      <c r="B7107" s="55" t="n">
        <v>45199</v>
      </c>
      <c r="C7107" s="51" t="s">
        <v>82</v>
      </c>
      <c r="D7107" s="51" t="n">
        <v>0</v>
      </c>
    </row>
    <row r="7108" customFormat="false" ht="15" hidden="true" customHeight="false" outlineLevel="0" collapsed="false">
      <c r="A7108" s="51" t="s">
        <v>106</v>
      </c>
      <c r="B7108" s="55" t="n">
        <v>45199</v>
      </c>
      <c r="C7108" s="51" t="s">
        <v>82</v>
      </c>
      <c r="D7108" s="51" t="n">
        <v>0</v>
      </c>
    </row>
    <row r="7109" customFormat="false" ht="15" hidden="true" customHeight="false" outlineLevel="0" collapsed="false">
      <c r="A7109" s="51" t="s">
        <v>110</v>
      </c>
      <c r="B7109" s="55" t="n">
        <v>45199</v>
      </c>
      <c r="C7109" s="51" t="s">
        <v>82</v>
      </c>
      <c r="D7109" s="51" t="n">
        <v>0</v>
      </c>
    </row>
    <row r="7110" customFormat="false" ht="15" hidden="true" customHeight="false" outlineLevel="0" collapsed="false">
      <c r="A7110" s="51" t="s">
        <v>115</v>
      </c>
      <c r="B7110" s="55" t="n">
        <v>45199</v>
      </c>
      <c r="C7110" s="51" t="s">
        <v>82</v>
      </c>
      <c r="D7110" s="51" t="n">
        <v>0</v>
      </c>
    </row>
    <row r="7111" customFormat="false" ht="15" hidden="true" customHeight="false" outlineLevel="0" collapsed="false">
      <c r="A7111" s="51" t="s">
        <v>120</v>
      </c>
      <c r="B7111" s="55" t="n">
        <v>45199</v>
      </c>
      <c r="C7111" s="51" t="s">
        <v>82</v>
      </c>
      <c r="D7111" s="51" t="n">
        <v>0</v>
      </c>
    </row>
    <row r="7112" customFormat="false" ht="15" hidden="true" customHeight="false" outlineLevel="0" collapsed="false">
      <c r="A7112" s="51" t="s">
        <v>124</v>
      </c>
      <c r="B7112" s="55" t="n">
        <v>45199</v>
      </c>
      <c r="C7112" s="51" t="s">
        <v>82</v>
      </c>
      <c r="D7112" s="51" t="n">
        <v>0</v>
      </c>
    </row>
    <row r="7113" customFormat="false" ht="15" hidden="true" customHeight="false" outlineLevel="0" collapsed="false">
      <c r="A7113" s="51" t="s">
        <v>129</v>
      </c>
      <c r="B7113" s="55" t="n">
        <v>45199</v>
      </c>
      <c r="C7113" s="51" t="s">
        <v>82</v>
      </c>
      <c r="D7113" s="51" t="n">
        <v>0</v>
      </c>
    </row>
    <row r="7114" customFormat="false" ht="15" hidden="true" customHeight="false" outlineLevel="0" collapsed="false">
      <c r="A7114" s="51" t="s">
        <v>134</v>
      </c>
      <c r="B7114" s="55" t="n">
        <v>45199</v>
      </c>
      <c r="C7114" s="51" t="s">
        <v>82</v>
      </c>
      <c r="D7114" s="51" t="n">
        <v>0</v>
      </c>
    </row>
    <row r="7115" customFormat="false" ht="15" hidden="true" customHeight="false" outlineLevel="0" collapsed="false">
      <c r="A7115" s="51" t="s">
        <v>141</v>
      </c>
      <c r="B7115" s="55" t="n">
        <v>45199</v>
      </c>
      <c r="C7115" s="51" t="s">
        <v>82</v>
      </c>
      <c r="D7115" s="51" t="n">
        <v>0</v>
      </c>
    </row>
    <row r="7116" customFormat="false" ht="15" hidden="true" customHeight="false" outlineLevel="0" collapsed="false">
      <c r="A7116" s="51" t="s">
        <v>146</v>
      </c>
      <c r="B7116" s="55" t="n">
        <v>45199</v>
      </c>
      <c r="C7116" s="51" t="s">
        <v>82</v>
      </c>
      <c r="D7116" s="51" t="n">
        <v>0</v>
      </c>
    </row>
    <row r="7117" customFormat="false" ht="15" hidden="true" customHeight="false" outlineLevel="0" collapsed="false">
      <c r="A7117" s="51" t="s">
        <v>151</v>
      </c>
      <c r="B7117" s="55" t="n">
        <v>45199</v>
      </c>
      <c r="C7117" s="51" t="s">
        <v>82</v>
      </c>
      <c r="D7117" s="51" t="n">
        <v>0</v>
      </c>
    </row>
    <row r="7118" customFormat="false" ht="15" hidden="true" customHeight="false" outlineLevel="0" collapsed="false">
      <c r="A7118" s="51" t="s">
        <v>156</v>
      </c>
      <c r="B7118" s="55" t="n">
        <v>45199</v>
      </c>
      <c r="C7118" s="51" t="s">
        <v>82</v>
      </c>
      <c r="D7118" s="51" t="n">
        <v>0</v>
      </c>
    </row>
    <row r="7119" customFormat="false" ht="15" hidden="true" customHeight="false" outlineLevel="0" collapsed="false">
      <c r="A7119" s="51" t="s">
        <v>161</v>
      </c>
      <c r="B7119" s="55" t="n">
        <v>45199</v>
      </c>
      <c r="C7119" s="51" t="s">
        <v>82</v>
      </c>
      <c r="D7119" s="51" t="n">
        <v>0</v>
      </c>
    </row>
    <row r="7120" customFormat="false" ht="15" hidden="true" customHeight="false" outlineLevel="0" collapsed="false">
      <c r="A7120" s="51" t="s">
        <v>166</v>
      </c>
      <c r="B7120" s="55" t="n">
        <v>45199</v>
      </c>
      <c r="C7120" s="51" t="s">
        <v>82</v>
      </c>
      <c r="D7120" s="51" t="n">
        <v>0</v>
      </c>
    </row>
    <row r="7121" customFormat="false" ht="15" hidden="true" customHeight="false" outlineLevel="0" collapsed="false">
      <c r="A7121" s="51" t="s">
        <v>171</v>
      </c>
      <c r="B7121" s="55" t="n">
        <v>45199</v>
      </c>
      <c r="C7121" s="51" t="s">
        <v>82</v>
      </c>
      <c r="D7121" s="51" t="n">
        <v>0</v>
      </c>
    </row>
    <row r="7122" customFormat="false" ht="15" hidden="true" customHeight="false" outlineLevel="0" collapsed="false">
      <c r="A7122" s="51" t="s">
        <v>176</v>
      </c>
      <c r="B7122" s="55" t="n">
        <v>45199</v>
      </c>
      <c r="C7122" s="51" t="s">
        <v>82</v>
      </c>
      <c r="D7122" s="51" t="n">
        <v>0</v>
      </c>
    </row>
    <row r="7123" customFormat="false" ht="15" hidden="true" customHeight="false" outlineLevel="0" collapsed="false">
      <c r="A7123" s="51" t="s">
        <v>181</v>
      </c>
      <c r="B7123" s="55" t="n">
        <v>45199</v>
      </c>
      <c r="C7123" s="51" t="s">
        <v>82</v>
      </c>
      <c r="D7123" s="51" t="n">
        <v>0</v>
      </c>
    </row>
    <row r="7124" customFormat="false" ht="15" hidden="true" customHeight="false" outlineLevel="0" collapsed="false">
      <c r="A7124" s="51" t="s">
        <v>186</v>
      </c>
      <c r="B7124" s="55" t="n">
        <v>45199</v>
      </c>
      <c r="C7124" s="51" t="s">
        <v>82</v>
      </c>
      <c r="D7124" s="51" t="n">
        <v>0</v>
      </c>
    </row>
    <row r="7125" customFormat="false" ht="15" hidden="true" customHeight="false" outlineLevel="0" collapsed="false">
      <c r="A7125" s="51" t="s">
        <v>191</v>
      </c>
      <c r="B7125" s="55" t="n">
        <v>45199</v>
      </c>
      <c r="C7125" s="51" t="s">
        <v>82</v>
      </c>
      <c r="D7125" s="51" t="n">
        <v>0</v>
      </c>
    </row>
    <row r="7126" customFormat="false" ht="15" hidden="true" customHeight="false" outlineLevel="0" collapsed="false">
      <c r="A7126" s="51" t="s">
        <v>196</v>
      </c>
      <c r="B7126" s="55" t="n">
        <v>45199</v>
      </c>
      <c r="C7126" s="51" t="s">
        <v>82</v>
      </c>
      <c r="D7126" s="51" t="n">
        <v>0</v>
      </c>
    </row>
    <row r="7127" customFormat="false" ht="15" hidden="true" customHeight="false" outlineLevel="0" collapsed="false">
      <c r="A7127" s="51" t="s">
        <v>201</v>
      </c>
      <c r="B7127" s="55" t="n">
        <v>45199</v>
      </c>
      <c r="C7127" s="51" t="s">
        <v>82</v>
      </c>
      <c r="D7127" s="51" t="n">
        <v>0</v>
      </c>
    </row>
    <row r="7128" customFormat="false" ht="15" hidden="true" customHeight="false" outlineLevel="0" collapsed="false">
      <c r="A7128" s="51" t="s">
        <v>206</v>
      </c>
      <c r="B7128" s="55" t="n">
        <v>45199</v>
      </c>
      <c r="C7128" s="51" t="s">
        <v>82</v>
      </c>
      <c r="D7128" s="51" t="n">
        <v>0</v>
      </c>
    </row>
    <row r="7129" customFormat="false" ht="15" hidden="true" customHeight="false" outlineLevel="0" collapsed="false">
      <c r="A7129" s="51" t="s">
        <v>210</v>
      </c>
      <c r="B7129" s="55" t="n">
        <v>45199</v>
      </c>
      <c r="C7129" s="51" t="s">
        <v>82</v>
      </c>
      <c r="D7129" s="51" t="n">
        <v>0</v>
      </c>
    </row>
    <row r="7130" customFormat="false" ht="15" hidden="true" customHeight="false" outlineLevel="0" collapsed="false">
      <c r="A7130" s="51" t="s">
        <v>215</v>
      </c>
      <c r="B7130" s="55" t="n">
        <v>45199</v>
      </c>
      <c r="C7130" s="51" t="s">
        <v>82</v>
      </c>
      <c r="D7130" s="51" t="n">
        <v>0</v>
      </c>
    </row>
    <row r="7131" customFormat="false" ht="15" hidden="true" customHeight="false" outlineLevel="0" collapsed="false">
      <c r="A7131" s="51" t="s">
        <v>790</v>
      </c>
      <c r="B7131" s="55" t="n">
        <v>45199</v>
      </c>
      <c r="C7131" s="51" t="s">
        <v>82</v>
      </c>
      <c r="D7131" s="51" t="n">
        <v>0</v>
      </c>
    </row>
    <row r="7132" customFormat="false" ht="15" hidden="true" customHeight="false" outlineLevel="0" collapsed="false">
      <c r="A7132" s="51" t="s">
        <v>225</v>
      </c>
      <c r="B7132" s="55" t="n">
        <v>45199</v>
      </c>
      <c r="C7132" s="51" t="s">
        <v>82</v>
      </c>
      <c r="D7132" s="51" t="n">
        <v>0</v>
      </c>
    </row>
    <row r="7133" customFormat="false" ht="15" hidden="true" customHeight="false" outlineLevel="0" collapsed="false">
      <c r="A7133" s="51" t="s">
        <v>230</v>
      </c>
      <c r="B7133" s="55" t="n">
        <v>45199</v>
      </c>
      <c r="C7133" s="51" t="s">
        <v>82</v>
      </c>
      <c r="D7133" s="51" t="n">
        <v>0</v>
      </c>
    </row>
    <row r="7134" customFormat="false" ht="15" hidden="true" customHeight="false" outlineLevel="0" collapsed="false">
      <c r="A7134" s="51" t="s">
        <v>235</v>
      </c>
      <c r="B7134" s="55" t="n">
        <v>45199</v>
      </c>
      <c r="C7134" s="51" t="s">
        <v>82</v>
      </c>
      <c r="D7134" s="51" t="n">
        <v>0</v>
      </c>
    </row>
    <row r="7135" customFormat="false" ht="15" hidden="true" customHeight="false" outlineLevel="0" collapsed="false">
      <c r="A7135" s="51" t="s">
        <v>240</v>
      </c>
      <c r="B7135" s="55" t="n">
        <v>45199</v>
      </c>
      <c r="C7135" s="51" t="s">
        <v>82</v>
      </c>
      <c r="D7135" s="51" t="n">
        <v>0</v>
      </c>
    </row>
    <row r="7136" customFormat="false" ht="15" hidden="true" customHeight="false" outlineLevel="0" collapsed="false">
      <c r="A7136" s="51" t="s">
        <v>246</v>
      </c>
      <c r="B7136" s="55" t="n">
        <v>45199</v>
      </c>
      <c r="C7136" s="51" t="s">
        <v>82</v>
      </c>
      <c r="D7136" s="51" t="n">
        <v>0</v>
      </c>
    </row>
    <row r="7137" customFormat="false" ht="15" hidden="true" customHeight="false" outlineLevel="0" collapsed="false">
      <c r="A7137" s="51" t="s">
        <v>252</v>
      </c>
      <c r="B7137" s="55" t="n">
        <v>45199</v>
      </c>
      <c r="C7137" s="51" t="s">
        <v>82</v>
      </c>
      <c r="D7137" s="51" t="n">
        <v>0</v>
      </c>
    </row>
    <row r="7138" customFormat="false" ht="15" hidden="true" customHeight="false" outlineLevel="0" collapsed="false">
      <c r="A7138" s="51" t="s">
        <v>257</v>
      </c>
      <c r="B7138" s="55" t="n">
        <v>45199</v>
      </c>
      <c r="C7138" s="51" t="s">
        <v>82</v>
      </c>
      <c r="D7138" s="51" t="n">
        <v>0</v>
      </c>
    </row>
    <row r="7139" customFormat="false" ht="15" hidden="true" customHeight="false" outlineLevel="0" collapsed="false">
      <c r="A7139" s="51" t="s">
        <v>262</v>
      </c>
      <c r="B7139" s="55" t="n">
        <v>45199</v>
      </c>
      <c r="C7139" s="51" t="s">
        <v>82</v>
      </c>
      <c r="D7139" s="51" t="n">
        <v>0</v>
      </c>
    </row>
    <row r="7140" customFormat="false" ht="15" hidden="true" customHeight="false" outlineLevel="0" collapsed="false">
      <c r="A7140" s="51" t="s">
        <v>267</v>
      </c>
      <c r="B7140" s="55" t="n">
        <v>45199</v>
      </c>
      <c r="C7140" s="51" t="s">
        <v>82</v>
      </c>
      <c r="D7140" s="51" t="n">
        <v>0</v>
      </c>
    </row>
    <row r="7141" customFormat="false" ht="15" hidden="true" customHeight="false" outlineLevel="0" collapsed="false">
      <c r="A7141" s="51" t="s">
        <v>272</v>
      </c>
      <c r="B7141" s="55" t="n">
        <v>45199</v>
      </c>
      <c r="C7141" s="51" t="s">
        <v>82</v>
      </c>
      <c r="D7141" s="51" t="n">
        <v>0</v>
      </c>
    </row>
    <row r="7142" customFormat="false" ht="15" hidden="true" customHeight="false" outlineLevel="0" collapsed="false">
      <c r="A7142" s="51" t="s">
        <v>277</v>
      </c>
      <c r="B7142" s="55" t="n">
        <v>45199</v>
      </c>
      <c r="C7142" s="51" t="s">
        <v>82</v>
      </c>
      <c r="D7142" s="51" t="n">
        <v>0</v>
      </c>
    </row>
    <row r="7143" customFormat="false" ht="15" hidden="true" customHeight="false" outlineLevel="0" collapsed="false">
      <c r="A7143" s="51" t="s">
        <v>282</v>
      </c>
      <c r="B7143" s="55" t="n">
        <v>45199</v>
      </c>
      <c r="C7143" s="51" t="s">
        <v>82</v>
      </c>
      <c r="D7143" s="51" t="n">
        <v>0</v>
      </c>
    </row>
    <row r="7144" customFormat="false" ht="15" hidden="true" customHeight="false" outlineLevel="0" collapsed="false">
      <c r="A7144" s="51" t="s">
        <v>287</v>
      </c>
      <c r="B7144" s="55" t="n">
        <v>45199</v>
      </c>
      <c r="C7144" s="51" t="s">
        <v>82</v>
      </c>
      <c r="D7144" s="51" t="n">
        <v>0</v>
      </c>
    </row>
    <row r="7145" customFormat="false" ht="15" hidden="true" customHeight="false" outlineLevel="0" collapsed="false">
      <c r="A7145" s="51" t="s">
        <v>292</v>
      </c>
      <c r="B7145" s="55" t="n">
        <v>45199</v>
      </c>
      <c r="C7145" s="51" t="s">
        <v>82</v>
      </c>
      <c r="D7145" s="51" t="n">
        <v>0</v>
      </c>
    </row>
    <row r="7146" customFormat="false" ht="15" hidden="true" customHeight="false" outlineLevel="0" collapsed="false">
      <c r="A7146" s="51" t="s">
        <v>297</v>
      </c>
      <c r="B7146" s="55" t="n">
        <v>45199</v>
      </c>
      <c r="C7146" s="51" t="s">
        <v>82</v>
      </c>
      <c r="D7146" s="51" t="n">
        <v>0</v>
      </c>
    </row>
    <row r="7147" customFormat="false" ht="15" hidden="true" customHeight="false" outlineLevel="0" collapsed="false">
      <c r="A7147" s="51" t="s">
        <v>302</v>
      </c>
      <c r="B7147" s="55" t="n">
        <v>45199</v>
      </c>
      <c r="C7147" s="51" t="s">
        <v>82</v>
      </c>
      <c r="D7147" s="51" t="n">
        <v>0</v>
      </c>
    </row>
    <row r="7148" customFormat="false" ht="15" hidden="true" customHeight="false" outlineLevel="0" collapsed="false">
      <c r="A7148" s="51" t="s">
        <v>307</v>
      </c>
      <c r="B7148" s="55" t="n">
        <v>45199</v>
      </c>
      <c r="C7148" s="51" t="s">
        <v>82</v>
      </c>
      <c r="D7148" s="51" t="n">
        <v>0</v>
      </c>
    </row>
    <row r="7149" customFormat="false" ht="15" hidden="true" customHeight="false" outlineLevel="0" collapsed="false">
      <c r="A7149" s="51" t="s">
        <v>311</v>
      </c>
      <c r="B7149" s="55" t="n">
        <v>45199</v>
      </c>
      <c r="C7149" s="51" t="s">
        <v>82</v>
      </c>
      <c r="D7149" s="51" t="n">
        <v>0</v>
      </c>
    </row>
    <row r="7150" customFormat="false" ht="15" hidden="true" customHeight="false" outlineLevel="0" collapsed="false">
      <c r="A7150" s="51" t="s">
        <v>317</v>
      </c>
      <c r="B7150" s="55" t="n">
        <v>45199</v>
      </c>
      <c r="C7150" s="51" t="s">
        <v>82</v>
      </c>
      <c r="D7150" s="51" t="n">
        <v>0</v>
      </c>
    </row>
    <row r="7151" customFormat="false" ht="15" hidden="true" customHeight="false" outlineLevel="0" collapsed="false">
      <c r="A7151" s="51" t="s">
        <v>322</v>
      </c>
      <c r="B7151" s="55" t="n">
        <v>45199</v>
      </c>
      <c r="C7151" s="51" t="s">
        <v>82</v>
      </c>
      <c r="D7151" s="51" t="n">
        <v>0</v>
      </c>
    </row>
    <row r="7152" customFormat="false" ht="15" hidden="true" customHeight="false" outlineLevel="0" collapsed="false">
      <c r="A7152" s="51" t="s">
        <v>327</v>
      </c>
      <c r="B7152" s="55" t="n">
        <v>45199</v>
      </c>
      <c r="C7152" s="51" t="s">
        <v>82</v>
      </c>
      <c r="D7152" s="51" t="n">
        <v>0</v>
      </c>
    </row>
    <row r="7153" customFormat="false" ht="15" hidden="true" customHeight="false" outlineLevel="0" collapsed="false">
      <c r="A7153" s="51" t="s">
        <v>332</v>
      </c>
      <c r="B7153" s="55" t="n">
        <v>45199</v>
      </c>
      <c r="C7153" s="51" t="s">
        <v>82</v>
      </c>
      <c r="D7153" s="51" t="n">
        <v>0</v>
      </c>
    </row>
    <row r="7154" customFormat="false" ht="15" hidden="true" customHeight="false" outlineLevel="0" collapsed="false">
      <c r="A7154" s="51" t="s">
        <v>339</v>
      </c>
      <c r="B7154" s="55" t="n">
        <v>45199</v>
      </c>
      <c r="C7154" s="51" t="s">
        <v>82</v>
      </c>
      <c r="D7154" s="51" t="n">
        <v>0</v>
      </c>
    </row>
    <row r="7155" customFormat="false" ht="15" hidden="true" customHeight="false" outlineLevel="0" collapsed="false">
      <c r="A7155" s="51" t="s">
        <v>344</v>
      </c>
      <c r="B7155" s="55" t="n">
        <v>45199</v>
      </c>
      <c r="C7155" s="51" t="s">
        <v>82</v>
      </c>
      <c r="D7155" s="51" t="n">
        <v>0</v>
      </c>
    </row>
    <row r="7156" customFormat="false" ht="15" hidden="true" customHeight="false" outlineLevel="0" collapsed="false">
      <c r="A7156" s="51" t="s">
        <v>349</v>
      </c>
      <c r="B7156" s="55" t="n">
        <v>45199</v>
      </c>
      <c r="C7156" s="51" t="s">
        <v>82</v>
      </c>
      <c r="D7156" s="51" t="n">
        <v>0</v>
      </c>
    </row>
    <row r="7157" customFormat="false" ht="15" hidden="true" customHeight="false" outlineLevel="0" collapsed="false">
      <c r="A7157" s="51" t="s">
        <v>354</v>
      </c>
      <c r="B7157" s="55" t="n">
        <v>45199</v>
      </c>
      <c r="C7157" s="51" t="s">
        <v>82</v>
      </c>
      <c r="D7157" s="51" t="n">
        <v>0</v>
      </c>
    </row>
    <row r="7158" customFormat="false" ht="15" hidden="true" customHeight="false" outlineLevel="0" collapsed="false">
      <c r="A7158" s="51" t="s">
        <v>359</v>
      </c>
      <c r="B7158" s="55" t="n">
        <v>45199</v>
      </c>
      <c r="C7158" s="51" t="s">
        <v>82</v>
      </c>
      <c r="D7158" s="51" t="n">
        <v>0</v>
      </c>
    </row>
    <row r="7159" customFormat="false" ht="15" hidden="true" customHeight="false" outlineLevel="0" collapsed="false">
      <c r="A7159" s="51" t="s">
        <v>364</v>
      </c>
      <c r="B7159" s="55" t="n">
        <v>45199</v>
      </c>
      <c r="C7159" s="51" t="s">
        <v>82</v>
      </c>
      <c r="D7159" s="51" t="n">
        <v>0</v>
      </c>
    </row>
    <row r="7160" customFormat="false" ht="15" hidden="true" customHeight="false" outlineLevel="0" collapsed="false">
      <c r="A7160" s="51" t="s">
        <v>369</v>
      </c>
      <c r="B7160" s="55" t="n">
        <v>45199</v>
      </c>
      <c r="C7160" s="51" t="s">
        <v>82</v>
      </c>
      <c r="D7160" s="51" t="n">
        <v>0</v>
      </c>
    </row>
    <row r="7161" customFormat="false" ht="15" hidden="true" customHeight="false" outlineLevel="0" collapsed="false">
      <c r="A7161" s="51" t="s">
        <v>374</v>
      </c>
      <c r="B7161" s="55" t="n">
        <v>45199</v>
      </c>
      <c r="C7161" s="51" t="s">
        <v>82</v>
      </c>
      <c r="D7161" s="51" t="n">
        <v>0</v>
      </c>
    </row>
    <row r="7162" customFormat="false" ht="15" hidden="true" customHeight="false" outlineLevel="0" collapsed="false">
      <c r="A7162" s="51" t="s">
        <v>379</v>
      </c>
      <c r="B7162" s="55" t="n">
        <v>45199</v>
      </c>
      <c r="C7162" s="51" t="s">
        <v>82</v>
      </c>
      <c r="D7162" s="51" t="n">
        <v>0</v>
      </c>
    </row>
    <row r="7163" customFormat="false" ht="15" hidden="true" customHeight="false" outlineLevel="0" collapsed="false">
      <c r="A7163" s="51" t="s">
        <v>384</v>
      </c>
      <c r="B7163" s="55" t="n">
        <v>45199</v>
      </c>
      <c r="C7163" s="51" t="s">
        <v>82</v>
      </c>
      <c r="D7163" s="51" t="n">
        <v>0</v>
      </c>
    </row>
    <row r="7164" customFormat="false" ht="15" hidden="true" customHeight="false" outlineLevel="0" collapsed="false">
      <c r="A7164" s="51" t="s">
        <v>389</v>
      </c>
      <c r="B7164" s="55" t="n">
        <v>45199</v>
      </c>
      <c r="C7164" s="51" t="s">
        <v>82</v>
      </c>
      <c r="D7164" s="51" t="n">
        <v>0</v>
      </c>
    </row>
    <row r="7165" customFormat="false" ht="15" hidden="true" customHeight="false" outlineLevel="0" collapsed="false">
      <c r="A7165" s="51" t="s">
        <v>394</v>
      </c>
      <c r="B7165" s="55" t="n">
        <v>45199</v>
      </c>
      <c r="C7165" s="51" t="s">
        <v>82</v>
      </c>
      <c r="D7165" s="51" t="n">
        <v>0</v>
      </c>
    </row>
    <row r="7166" customFormat="false" ht="15" hidden="true" customHeight="false" outlineLevel="0" collapsed="false">
      <c r="A7166" s="51" t="s">
        <v>399</v>
      </c>
      <c r="B7166" s="55" t="n">
        <v>45199</v>
      </c>
      <c r="C7166" s="51" t="s">
        <v>82</v>
      </c>
      <c r="D7166" s="51" t="n">
        <v>0</v>
      </c>
    </row>
    <row r="7167" customFormat="false" ht="15" hidden="true" customHeight="false" outlineLevel="0" collapsed="false">
      <c r="A7167" s="51" t="s">
        <v>404</v>
      </c>
      <c r="B7167" s="55" t="n">
        <v>45199</v>
      </c>
      <c r="C7167" s="51" t="s">
        <v>82</v>
      </c>
      <c r="D7167" s="51" t="n">
        <v>5520000</v>
      </c>
    </row>
    <row r="7168" customFormat="false" ht="15" hidden="true" customHeight="false" outlineLevel="0" collapsed="false">
      <c r="A7168" s="51" t="s">
        <v>409</v>
      </c>
      <c r="B7168" s="55" t="n">
        <v>45199</v>
      </c>
      <c r="C7168" s="51" t="s">
        <v>82</v>
      </c>
      <c r="D7168" s="51" t="n">
        <v>0</v>
      </c>
    </row>
    <row r="7169" customFormat="false" ht="15" hidden="true" customHeight="false" outlineLevel="0" collapsed="false">
      <c r="A7169" s="51" t="s">
        <v>414</v>
      </c>
      <c r="B7169" s="55" t="n">
        <v>45199</v>
      </c>
      <c r="C7169" s="51" t="s">
        <v>82</v>
      </c>
      <c r="D7169" s="51" t="n">
        <v>790239</v>
      </c>
    </row>
    <row r="7170" customFormat="false" ht="15" hidden="true" customHeight="false" outlineLevel="0" collapsed="false">
      <c r="A7170" s="51" t="s">
        <v>419</v>
      </c>
      <c r="B7170" s="55" t="n">
        <v>45199</v>
      </c>
      <c r="C7170" s="51" t="s">
        <v>82</v>
      </c>
      <c r="D7170" s="51" t="n">
        <v>0</v>
      </c>
    </row>
    <row r="7171" customFormat="false" ht="15" hidden="true" customHeight="false" outlineLevel="0" collapsed="false">
      <c r="A7171" s="51" t="s">
        <v>424</v>
      </c>
      <c r="B7171" s="55" t="n">
        <v>45199</v>
      </c>
      <c r="C7171" s="51" t="s">
        <v>82</v>
      </c>
      <c r="D7171" s="51" t="n">
        <v>1710000</v>
      </c>
    </row>
    <row r="7172" customFormat="false" ht="15" hidden="true" customHeight="false" outlineLevel="0" collapsed="false">
      <c r="A7172" s="51" t="s">
        <v>429</v>
      </c>
      <c r="B7172" s="55" t="n">
        <v>45199</v>
      </c>
      <c r="C7172" s="51" t="s">
        <v>82</v>
      </c>
      <c r="D7172" s="51" t="n">
        <v>500000</v>
      </c>
    </row>
    <row r="7173" customFormat="false" ht="15" hidden="true" customHeight="false" outlineLevel="0" collapsed="false">
      <c r="A7173" s="51" t="s">
        <v>434</v>
      </c>
      <c r="B7173" s="55" t="n">
        <v>45199</v>
      </c>
      <c r="C7173" s="51" t="s">
        <v>82</v>
      </c>
      <c r="D7173" s="51" t="n">
        <v>4100000</v>
      </c>
    </row>
    <row r="7174" customFormat="false" ht="15" hidden="true" customHeight="false" outlineLevel="0" collapsed="false">
      <c r="A7174" s="51" t="s">
        <v>438</v>
      </c>
      <c r="B7174" s="55" t="n">
        <v>45199</v>
      </c>
      <c r="C7174" s="51" t="s">
        <v>82</v>
      </c>
      <c r="D7174" s="51" t="n">
        <v>3000000</v>
      </c>
    </row>
    <row r="7175" customFormat="false" ht="15" hidden="true" customHeight="false" outlineLevel="0" collapsed="false">
      <c r="A7175" s="51" t="s">
        <v>443</v>
      </c>
      <c r="B7175" s="55" t="n">
        <v>45199</v>
      </c>
      <c r="C7175" s="51" t="s">
        <v>82</v>
      </c>
      <c r="D7175" s="51" t="n">
        <v>3134250</v>
      </c>
    </row>
    <row r="7176" customFormat="false" ht="15" hidden="true" customHeight="false" outlineLevel="0" collapsed="false">
      <c r="A7176" s="51" t="s">
        <v>448</v>
      </c>
      <c r="B7176" s="55" t="n">
        <v>45199</v>
      </c>
      <c r="C7176" s="51" t="s">
        <v>82</v>
      </c>
      <c r="D7176" s="51" t="n">
        <v>385000</v>
      </c>
    </row>
    <row r="7177" customFormat="false" ht="15" hidden="true" customHeight="false" outlineLevel="0" collapsed="false">
      <c r="A7177" s="51" t="s">
        <v>453</v>
      </c>
      <c r="B7177" s="55" t="n">
        <v>45199</v>
      </c>
      <c r="C7177" s="51" t="s">
        <v>82</v>
      </c>
      <c r="D7177" s="51" t="n">
        <v>0</v>
      </c>
    </row>
    <row r="7178" customFormat="false" ht="15" hidden="true" customHeight="false" outlineLevel="0" collapsed="false">
      <c r="A7178" s="51" t="s">
        <v>458</v>
      </c>
      <c r="B7178" s="55" t="n">
        <v>45199</v>
      </c>
      <c r="C7178" s="51" t="s">
        <v>82</v>
      </c>
      <c r="D7178" s="51" t="n">
        <v>0</v>
      </c>
    </row>
    <row r="7179" customFormat="false" ht="15" hidden="true" customHeight="false" outlineLevel="0" collapsed="false">
      <c r="A7179" s="51" t="s">
        <v>473</v>
      </c>
      <c r="B7179" s="55" t="n">
        <v>45199</v>
      </c>
      <c r="C7179" s="51" t="s">
        <v>82</v>
      </c>
      <c r="D7179" s="51" t="n">
        <v>0</v>
      </c>
    </row>
    <row r="7180" customFormat="false" ht="15" hidden="true" customHeight="false" outlineLevel="0" collapsed="false">
      <c r="A7180" s="51" t="s">
        <v>479</v>
      </c>
      <c r="B7180" s="55" t="n">
        <v>45199</v>
      </c>
      <c r="C7180" s="51" t="s">
        <v>82</v>
      </c>
      <c r="D7180" s="51" t="n">
        <v>0</v>
      </c>
    </row>
    <row r="7181" customFormat="false" ht="15" hidden="true" customHeight="false" outlineLevel="0" collapsed="false">
      <c r="A7181" s="51" t="s">
        <v>484</v>
      </c>
      <c r="B7181" s="55" t="n">
        <v>45199</v>
      </c>
      <c r="C7181" s="51" t="s">
        <v>82</v>
      </c>
      <c r="D7181" s="51" t="n">
        <v>0</v>
      </c>
    </row>
    <row r="7182" customFormat="false" ht="15" hidden="true" customHeight="false" outlineLevel="0" collapsed="false">
      <c r="A7182" s="51" t="s">
        <v>489</v>
      </c>
      <c r="B7182" s="55" t="n">
        <v>45199</v>
      </c>
      <c r="C7182" s="51" t="s">
        <v>82</v>
      </c>
      <c r="D7182" s="51" t="n">
        <v>0</v>
      </c>
    </row>
    <row r="7183" customFormat="false" ht="15" hidden="true" customHeight="false" outlineLevel="0" collapsed="false">
      <c r="A7183" s="51" t="s">
        <v>494</v>
      </c>
      <c r="B7183" s="55" t="n">
        <v>45199</v>
      </c>
      <c r="C7183" s="51" t="s">
        <v>82</v>
      </c>
      <c r="D7183" s="51" t="n">
        <v>0</v>
      </c>
    </row>
    <row r="7184" customFormat="false" ht="15" hidden="true" customHeight="false" outlineLevel="0" collapsed="false">
      <c r="A7184" s="51" t="s">
        <v>499</v>
      </c>
      <c r="B7184" s="55" t="n">
        <v>45199</v>
      </c>
      <c r="C7184" s="51" t="s">
        <v>82</v>
      </c>
      <c r="D7184" s="51" t="n">
        <v>0</v>
      </c>
    </row>
    <row r="7185" customFormat="false" ht="15" hidden="true" customHeight="false" outlineLevel="0" collapsed="false">
      <c r="A7185" s="51" t="s">
        <v>504</v>
      </c>
      <c r="B7185" s="55" t="n">
        <v>45199</v>
      </c>
      <c r="C7185" s="51" t="s">
        <v>82</v>
      </c>
      <c r="D7185" s="51" t="n">
        <v>0</v>
      </c>
    </row>
    <row r="7186" customFormat="false" ht="15" hidden="true" customHeight="false" outlineLevel="0" collapsed="false">
      <c r="A7186" s="51" t="s">
        <v>509</v>
      </c>
      <c r="B7186" s="55" t="n">
        <v>45199</v>
      </c>
      <c r="C7186" s="51" t="s">
        <v>82</v>
      </c>
      <c r="D7186" s="51" t="n">
        <v>0</v>
      </c>
    </row>
    <row r="7187" customFormat="false" ht="15" hidden="true" customHeight="false" outlineLevel="0" collapsed="false">
      <c r="A7187" s="51" t="s">
        <v>515</v>
      </c>
      <c r="B7187" s="55" t="n">
        <v>45199</v>
      </c>
      <c r="C7187" s="51" t="s">
        <v>82</v>
      </c>
      <c r="D7187" s="51" t="n">
        <v>0</v>
      </c>
    </row>
    <row r="7188" customFormat="false" ht="15" hidden="true" customHeight="false" outlineLevel="0" collapsed="false">
      <c r="A7188" s="51" t="s">
        <v>520</v>
      </c>
      <c r="B7188" s="55" t="n">
        <v>45199</v>
      </c>
      <c r="C7188" s="51" t="s">
        <v>82</v>
      </c>
      <c r="D7188" s="51" t="n">
        <v>0</v>
      </c>
    </row>
    <row r="7189" customFormat="false" ht="15" hidden="true" customHeight="false" outlineLevel="0" collapsed="false">
      <c r="A7189" s="51" t="s">
        <v>525</v>
      </c>
      <c r="B7189" s="55" t="n">
        <v>45199</v>
      </c>
      <c r="C7189" s="51" t="s">
        <v>82</v>
      </c>
      <c r="D7189" s="51" t="n">
        <v>0</v>
      </c>
    </row>
    <row r="7190" customFormat="false" ht="15" hidden="true" customHeight="false" outlineLevel="0" collapsed="false">
      <c r="A7190" s="51" t="s">
        <v>531</v>
      </c>
      <c r="B7190" s="55" t="n">
        <v>45199</v>
      </c>
      <c r="C7190" s="51" t="s">
        <v>82</v>
      </c>
      <c r="D7190" s="51" t="n">
        <v>0</v>
      </c>
    </row>
    <row r="7191" customFormat="false" ht="15" hidden="true" customHeight="false" outlineLevel="0" collapsed="false">
      <c r="A7191" s="51" t="s">
        <v>536</v>
      </c>
      <c r="B7191" s="55" t="n">
        <v>45199</v>
      </c>
      <c r="C7191" s="51" t="s">
        <v>82</v>
      </c>
      <c r="D7191" s="51" t="n">
        <v>0</v>
      </c>
    </row>
    <row r="7192" customFormat="false" ht="15" hidden="true" customHeight="false" outlineLevel="0" collapsed="false">
      <c r="A7192" s="51" t="s">
        <v>541</v>
      </c>
      <c r="B7192" s="55" t="n">
        <v>45199</v>
      </c>
      <c r="C7192" s="51" t="s">
        <v>82</v>
      </c>
      <c r="D7192" s="51" t="n">
        <v>0</v>
      </c>
    </row>
    <row r="7193" customFormat="false" ht="15" hidden="true" customHeight="false" outlineLevel="0" collapsed="false">
      <c r="A7193" s="51" t="s">
        <v>549</v>
      </c>
      <c r="B7193" s="55" t="n">
        <v>45199</v>
      </c>
      <c r="C7193" s="51" t="s">
        <v>82</v>
      </c>
      <c r="D7193" s="51" t="n">
        <v>0</v>
      </c>
    </row>
    <row r="7194" customFormat="false" ht="15" hidden="true" customHeight="false" outlineLevel="0" collapsed="false">
      <c r="A7194" s="51" t="s">
        <v>554</v>
      </c>
      <c r="B7194" s="55" t="n">
        <v>45199</v>
      </c>
      <c r="C7194" s="51" t="s">
        <v>82</v>
      </c>
      <c r="D7194" s="51" t="n">
        <v>0</v>
      </c>
    </row>
    <row r="7195" customFormat="false" ht="15" hidden="true" customHeight="false" outlineLevel="0" collapsed="false">
      <c r="A7195" s="51" t="s">
        <v>559</v>
      </c>
      <c r="B7195" s="55" t="n">
        <v>45199</v>
      </c>
      <c r="C7195" s="51" t="s">
        <v>82</v>
      </c>
      <c r="D7195" s="51" t="n">
        <v>0</v>
      </c>
    </row>
    <row r="7196" customFormat="false" ht="15" hidden="true" customHeight="false" outlineLevel="0" collapsed="false">
      <c r="A7196" s="51" t="s">
        <v>564</v>
      </c>
      <c r="B7196" s="55" t="n">
        <v>45199</v>
      </c>
      <c r="C7196" s="51" t="s">
        <v>82</v>
      </c>
      <c r="D7196" s="51" t="n">
        <v>0</v>
      </c>
    </row>
    <row r="7197" customFormat="false" ht="15" hidden="true" customHeight="false" outlineLevel="0" collapsed="false">
      <c r="A7197" s="51" t="s">
        <v>569</v>
      </c>
      <c r="B7197" s="55" t="n">
        <v>45199</v>
      </c>
      <c r="C7197" s="51" t="s">
        <v>82</v>
      </c>
      <c r="D7197" s="51" t="n">
        <v>0</v>
      </c>
    </row>
    <row r="7198" customFormat="false" ht="15" hidden="true" customHeight="false" outlineLevel="0" collapsed="false">
      <c r="A7198" s="51" t="s">
        <v>574</v>
      </c>
      <c r="B7198" s="55" t="n">
        <v>45199</v>
      </c>
      <c r="C7198" s="51" t="s">
        <v>82</v>
      </c>
      <c r="D7198" s="51" t="n">
        <v>0</v>
      </c>
    </row>
    <row r="7199" customFormat="false" ht="15" hidden="true" customHeight="false" outlineLevel="0" collapsed="false">
      <c r="A7199" s="51" t="s">
        <v>579</v>
      </c>
      <c r="B7199" s="55" t="n">
        <v>45199</v>
      </c>
      <c r="C7199" s="51" t="s">
        <v>82</v>
      </c>
      <c r="D7199" s="51" t="n">
        <v>0</v>
      </c>
    </row>
    <row r="7200" customFormat="false" ht="15" hidden="true" customHeight="false" outlineLevel="0" collapsed="false">
      <c r="A7200" s="51" t="s">
        <v>584</v>
      </c>
      <c r="B7200" s="55" t="n">
        <v>45199</v>
      </c>
      <c r="C7200" s="51" t="s">
        <v>82</v>
      </c>
      <c r="D7200" s="51" t="n">
        <v>0</v>
      </c>
    </row>
    <row r="7201" customFormat="false" ht="15" hidden="true" customHeight="false" outlineLevel="0" collapsed="false">
      <c r="A7201" s="51" t="s">
        <v>589</v>
      </c>
      <c r="B7201" s="55" t="n">
        <v>45199</v>
      </c>
      <c r="C7201" s="51" t="s">
        <v>82</v>
      </c>
      <c r="D7201" s="51" t="n">
        <v>0</v>
      </c>
    </row>
    <row r="7202" customFormat="false" ht="15" hidden="true" customHeight="false" outlineLevel="0" collapsed="false">
      <c r="A7202" s="51" t="s">
        <v>756</v>
      </c>
      <c r="B7202" s="55" t="n">
        <v>45199</v>
      </c>
      <c r="C7202" s="51" t="s">
        <v>82</v>
      </c>
      <c r="D7202" s="51" t="n">
        <v>0</v>
      </c>
    </row>
    <row r="7203" customFormat="false" ht="15" hidden="true" customHeight="false" outlineLevel="0" collapsed="false">
      <c r="A7203" s="51" t="s">
        <v>594</v>
      </c>
      <c r="B7203" s="55" t="n">
        <v>45199</v>
      </c>
      <c r="C7203" s="51" t="s">
        <v>82</v>
      </c>
      <c r="D7203" s="51" t="n">
        <v>0</v>
      </c>
    </row>
    <row r="7204" customFormat="false" ht="15" hidden="true" customHeight="false" outlineLevel="0" collapsed="false">
      <c r="A7204" s="51" t="s">
        <v>761</v>
      </c>
      <c r="B7204" s="55" t="n">
        <v>45199</v>
      </c>
      <c r="C7204" s="51" t="s">
        <v>82</v>
      </c>
      <c r="D7204" s="51" t="n">
        <v>0</v>
      </c>
    </row>
    <row r="7205" customFormat="false" ht="15" hidden="true" customHeight="false" outlineLevel="0" collapsed="false">
      <c r="A7205" s="51" t="s">
        <v>599</v>
      </c>
      <c r="B7205" s="55" t="n">
        <v>45199</v>
      </c>
      <c r="C7205" s="51" t="s">
        <v>82</v>
      </c>
      <c r="D7205" s="51" t="n">
        <v>0</v>
      </c>
    </row>
    <row r="7206" customFormat="false" ht="15" hidden="true" customHeight="false" outlineLevel="0" collapsed="false">
      <c r="A7206" s="51" t="s">
        <v>604</v>
      </c>
      <c r="B7206" s="55" t="n">
        <v>45199</v>
      </c>
      <c r="C7206" s="51" t="s">
        <v>82</v>
      </c>
      <c r="D7206" s="51" t="n">
        <v>0</v>
      </c>
    </row>
    <row r="7207" customFormat="false" ht="15" hidden="true" customHeight="false" outlineLevel="0" collapsed="false">
      <c r="A7207" s="51" t="s">
        <v>609</v>
      </c>
      <c r="B7207" s="55" t="n">
        <v>45199</v>
      </c>
      <c r="C7207" s="51" t="s">
        <v>82</v>
      </c>
      <c r="D7207" s="51" t="n">
        <v>0</v>
      </c>
    </row>
    <row r="7208" customFormat="false" ht="15" hidden="true" customHeight="false" outlineLevel="0" collapsed="false">
      <c r="A7208" s="51" t="s">
        <v>614</v>
      </c>
      <c r="B7208" s="55" t="n">
        <v>45199</v>
      </c>
      <c r="C7208" s="51" t="s">
        <v>82</v>
      </c>
      <c r="D7208" s="51" t="n">
        <v>0</v>
      </c>
    </row>
    <row r="7209" customFormat="false" ht="15" hidden="true" customHeight="false" outlineLevel="0" collapsed="false">
      <c r="A7209" s="51" t="s">
        <v>619</v>
      </c>
      <c r="B7209" s="55" t="n">
        <v>45199</v>
      </c>
      <c r="C7209" s="51" t="s">
        <v>82</v>
      </c>
      <c r="D7209" s="51" t="n">
        <v>0</v>
      </c>
    </row>
    <row r="7210" customFormat="false" ht="15" hidden="true" customHeight="false" outlineLevel="0" collapsed="false">
      <c r="A7210" s="51" t="s">
        <v>624</v>
      </c>
      <c r="B7210" s="55" t="n">
        <v>45199</v>
      </c>
      <c r="C7210" s="51" t="s">
        <v>82</v>
      </c>
      <c r="D7210" s="51" t="n">
        <v>0</v>
      </c>
    </row>
    <row r="7211" customFormat="false" ht="15" hidden="true" customHeight="false" outlineLevel="0" collapsed="false">
      <c r="A7211" s="51" t="s">
        <v>629</v>
      </c>
      <c r="B7211" s="55" t="n">
        <v>45199</v>
      </c>
      <c r="C7211" s="51" t="s">
        <v>82</v>
      </c>
      <c r="D7211" s="51" t="n">
        <v>0</v>
      </c>
    </row>
    <row r="7212" customFormat="false" ht="15" hidden="true" customHeight="false" outlineLevel="0" collapsed="false">
      <c r="A7212" s="51" t="s">
        <v>633</v>
      </c>
      <c r="B7212" s="55" t="n">
        <v>45199</v>
      </c>
      <c r="C7212" s="51" t="s">
        <v>82</v>
      </c>
      <c r="D7212" s="51" t="n">
        <v>0</v>
      </c>
    </row>
    <row r="7213" customFormat="false" ht="15" hidden="true" customHeight="false" outlineLevel="0" collapsed="false">
      <c r="A7213" s="51" t="s">
        <v>638</v>
      </c>
      <c r="B7213" s="55" t="n">
        <v>45199</v>
      </c>
      <c r="C7213" s="51" t="s">
        <v>82</v>
      </c>
      <c r="D7213" s="51" t="n">
        <v>0</v>
      </c>
    </row>
    <row r="7214" customFormat="false" ht="15" hidden="true" customHeight="false" outlineLevel="0" collapsed="false">
      <c r="A7214" s="51" t="s">
        <v>642</v>
      </c>
      <c r="B7214" s="55" t="n">
        <v>45199</v>
      </c>
      <c r="C7214" s="51" t="s">
        <v>82</v>
      </c>
      <c r="D7214" s="51" t="n">
        <v>0</v>
      </c>
    </row>
    <row r="7215" customFormat="false" ht="15" hidden="true" customHeight="false" outlineLevel="0" collapsed="false">
      <c r="A7215" s="51" t="s">
        <v>646</v>
      </c>
      <c r="B7215" s="55" t="n">
        <v>45199</v>
      </c>
      <c r="C7215" s="51" t="s">
        <v>82</v>
      </c>
      <c r="D7215" s="51" t="n">
        <v>0</v>
      </c>
    </row>
    <row r="7216" customFormat="false" ht="15" hidden="true" customHeight="false" outlineLevel="0" collapsed="false">
      <c r="A7216" s="51" t="s">
        <v>651</v>
      </c>
      <c r="B7216" s="55" t="n">
        <v>45199</v>
      </c>
      <c r="C7216" s="51" t="s">
        <v>82</v>
      </c>
      <c r="D7216" s="51" t="n">
        <v>0</v>
      </c>
    </row>
    <row r="7217" customFormat="false" ht="15" hidden="true" customHeight="false" outlineLevel="0" collapsed="false">
      <c r="A7217" s="51" t="s">
        <v>656</v>
      </c>
      <c r="B7217" s="55" t="n">
        <v>45199</v>
      </c>
      <c r="C7217" s="51" t="s">
        <v>82</v>
      </c>
      <c r="D7217" s="51" t="n">
        <v>0</v>
      </c>
    </row>
    <row r="7218" customFormat="false" ht="15" hidden="true" customHeight="false" outlineLevel="0" collapsed="false">
      <c r="A7218" s="51" t="s">
        <v>661</v>
      </c>
      <c r="B7218" s="55" t="n">
        <v>45199</v>
      </c>
      <c r="C7218" s="51" t="s">
        <v>82</v>
      </c>
      <c r="D7218" s="51" t="n">
        <v>0</v>
      </c>
    </row>
    <row r="7219" customFormat="false" ht="15" hidden="true" customHeight="false" outlineLevel="0" collapsed="false">
      <c r="A7219" s="51" t="s">
        <v>666</v>
      </c>
      <c r="B7219" s="55" t="n">
        <v>45199</v>
      </c>
      <c r="C7219" s="51" t="s">
        <v>82</v>
      </c>
      <c r="D7219" s="51" t="n">
        <v>0</v>
      </c>
    </row>
    <row r="7220" customFormat="false" ht="15" hidden="true" customHeight="false" outlineLevel="0" collapsed="false">
      <c r="A7220" s="51" t="s">
        <v>671</v>
      </c>
      <c r="B7220" s="55" t="n">
        <v>45199</v>
      </c>
      <c r="C7220" s="51" t="s">
        <v>82</v>
      </c>
      <c r="D7220" s="51" t="n">
        <v>0</v>
      </c>
    </row>
    <row r="7221" customFormat="false" ht="15" hidden="true" customHeight="false" outlineLevel="0" collapsed="false">
      <c r="A7221" s="51" t="s">
        <v>676</v>
      </c>
      <c r="B7221" s="55" t="n">
        <v>45199</v>
      </c>
      <c r="C7221" s="51" t="s">
        <v>82</v>
      </c>
      <c r="D7221" s="51" t="n">
        <v>0</v>
      </c>
    </row>
    <row r="7222" customFormat="false" ht="15" hidden="true" customHeight="false" outlineLevel="0" collapsed="false">
      <c r="A7222" s="51" t="s">
        <v>681</v>
      </c>
      <c r="B7222" s="55" t="n">
        <v>45199</v>
      </c>
      <c r="C7222" s="51" t="s">
        <v>82</v>
      </c>
      <c r="D7222" s="51" t="n">
        <v>0</v>
      </c>
    </row>
    <row r="7223" customFormat="false" ht="15" hidden="true" customHeight="false" outlineLevel="0" collapsed="false">
      <c r="A7223" s="51" t="s">
        <v>686</v>
      </c>
      <c r="B7223" s="55" t="n">
        <v>45199</v>
      </c>
      <c r="C7223" s="51" t="s">
        <v>82</v>
      </c>
      <c r="D7223" s="51" t="n">
        <v>0</v>
      </c>
    </row>
    <row r="7224" customFormat="false" ht="15" hidden="true" customHeight="false" outlineLevel="0" collapsed="false">
      <c r="A7224" s="51" t="s">
        <v>691</v>
      </c>
      <c r="B7224" s="55" t="n">
        <v>45199</v>
      </c>
      <c r="C7224" s="51" t="s">
        <v>82</v>
      </c>
      <c r="D7224" s="51" t="n">
        <v>0</v>
      </c>
    </row>
    <row r="7225" customFormat="false" ht="15" hidden="true" customHeight="false" outlineLevel="0" collapsed="false">
      <c r="A7225" s="51" t="s">
        <v>696</v>
      </c>
      <c r="B7225" s="55" t="n">
        <v>45199</v>
      </c>
      <c r="C7225" s="51" t="s">
        <v>82</v>
      </c>
      <c r="D7225" s="51" t="n">
        <v>0</v>
      </c>
    </row>
    <row r="7226" customFormat="false" ht="15" hidden="true" customHeight="false" outlineLevel="0" collapsed="false">
      <c r="A7226" s="51" t="s">
        <v>701</v>
      </c>
      <c r="B7226" s="55" t="n">
        <v>45199</v>
      </c>
      <c r="C7226" s="51" t="s">
        <v>82</v>
      </c>
      <c r="D7226" s="51" t="n">
        <v>0</v>
      </c>
    </row>
    <row r="7227" customFormat="false" ht="15" hidden="true" customHeight="false" outlineLevel="0" collapsed="false">
      <c r="A7227" s="51" t="s">
        <v>707</v>
      </c>
      <c r="B7227" s="55" t="n">
        <v>45199</v>
      </c>
      <c r="C7227" s="51" t="s">
        <v>82</v>
      </c>
      <c r="D7227" s="51" t="n">
        <v>0</v>
      </c>
    </row>
    <row r="7228" customFormat="false" ht="15" hidden="true" customHeight="false" outlineLevel="0" collapsed="false">
      <c r="A7228" s="51" t="s">
        <v>712</v>
      </c>
      <c r="B7228" s="55" t="n">
        <v>45199</v>
      </c>
      <c r="C7228" s="51" t="s">
        <v>82</v>
      </c>
      <c r="D7228" s="51" t="n">
        <v>0</v>
      </c>
    </row>
    <row r="7229" customFormat="false" ht="15" hidden="true" customHeight="false" outlineLevel="0" collapsed="false">
      <c r="A7229" s="51" t="s">
        <v>717</v>
      </c>
      <c r="B7229" s="55" t="n">
        <v>45199</v>
      </c>
      <c r="C7229" s="51" t="s">
        <v>82</v>
      </c>
      <c r="D7229" s="51" t="n">
        <v>0</v>
      </c>
    </row>
    <row r="7230" customFormat="false" ht="15" hidden="true" customHeight="false" outlineLevel="0" collapsed="false">
      <c r="A7230" s="51" t="s">
        <v>767</v>
      </c>
      <c r="B7230" s="55" t="n">
        <v>45199</v>
      </c>
      <c r="C7230" s="51" t="s">
        <v>82</v>
      </c>
      <c r="D7230" s="51" t="n">
        <v>0</v>
      </c>
    </row>
    <row r="7231" customFormat="false" ht="15" hidden="true" customHeight="false" outlineLevel="0" collapsed="false">
      <c r="A7231" s="51" t="s">
        <v>722</v>
      </c>
      <c r="B7231" s="55" t="n">
        <v>45199</v>
      </c>
      <c r="C7231" s="51" t="s">
        <v>82</v>
      </c>
      <c r="D7231" s="51" t="n">
        <v>0</v>
      </c>
    </row>
    <row r="7232" customFormat="false" ht="15" hidden="true" customHeight="false" outlineLevel="0" collapsed="false">
      <c r="A7232" s="51" t="s">
        <v>727</v>
      </c>
      <c r="B7232" s="55" t="n">
        <v>45199</v>
      </c>
      <c r="C7232" s="51" t="s">
        <v>82</v>
      </c>
      <c r="D7232" s="51" t="n">
        <v>0</v>
      </c>
    </row>
    <row r="7233" customFormat="false" ht="15" hidden="true" customHeight="false" outlineLevel="0" collapsed="false">
      <c r="A7233" s="51" t="s">
        <v>732</v>
      </c>
      <c r="B7233" s="55" t="n">
        <v>45199</v>
      </c>
      <c r="C7233" s="51" t="s">
        <v>82</v>
      </c>
      <c r="D7233" s="51" t="n">
        <v>0</v>
      </c>
    </row>
    <row r="7234" customFormat="false" ht="15" hidden="true" customHeight="false" outlineLevel="0" collapsed="false">
      <c r="A7234" s="51" t="s">
        <v>736</v>
      </c>
      <c r="B7234" s="55" t="n">
        <v>45199</v>
      </c>
      <c r="C7234" s="51" t="s">
        <v>82</v>
      </c>
      <c r="D7234" s="51" t="n">
        <v>0</v>
      </c>
    </row>
    <row r="7235" customFormat="false" ht="15" hidden="true" customHeight="false" outlineLevel="0" collapsed="false">
      <c r="A7235" s="51" t="s">
        <v>741</v>
      </c>
      <c r="B7235" s="55" t="n">
        <v>45199</v>
      </c>
      <c r="C7235" s="51" t="s">
        <v>82</v>
      </c>
      <c r="D7235" s="51" t="n">
        <v>0</v>
      </c>
    </row>
    <row r="7236" customFormat="false" ht="15" hidden="true" customHeight="false" outlineLevel="0" collapsed="false">
      <c r="A7236" s="51" t="s">
        <v>746</v>
      </c>
      <c r="B7236" s="55" t="n">
        <v>45199</v>
      </c>
      <c r="C7236" s="51" t="s">
        <v>82</v>
      </c>
      <c r="D7236" s="51" t="n">
        <v>0</v>
      </c>
    </row>
    <row r="7237" customFormat="false" ht="15" hidden="true" customHeight="false" outlineLevel="0" collapsed="false">
      <c r="A7237" s="51" t="s">
        <v>751</v>
      </c>
      <c r="B7237" s="55" t="n">
        <v>45199</v>
      </c>
      <c r="C7237" s="51" t="s">
        <v>82</v>
      </c>
      <c r="D7237" s="51" t="n">
        <v>0</v>
      </c>
    </row>
    <row r="7238" customFormat="false" ht="15" hidden="false" customHeight="false" outlineLevel="0" collapsed="false">
      <c r="A7238" s="51" t="s">
        <v>781</v>
      </c>
      <c r="B7238" s="55" t="n">
        <v>45199</v>
      </c>
      <c r="C7238" s="51" t="s">
        <v>73</v>
      </c>
      <c r="D7238" s="51" t="n">
        <v>0</v>
      </c>
    </row>
    <row r="7239" customFormat="false" ht="15" hidden="true" customHeight="false" outlineLevel="0" collapsed="false">
      <c r="A7239" s="51" t="s">
        <v>783</v>
      </c>
      <c r="B7239" s="55" t="n">
        <v>45199</v>
      </c>
      <c r="C7239" s="51" t="s">
        <v>73</v>
      </c>
      <c r="D7239" s="51" t="n">
        <v>0</v>
      </c>
    </row>
    <row r="7240" customFormat="false" ht="15" hidden="true" customHeight="false" outlineLevel="0" collapsed="false">
      <c r="A7240" s="51" t="s">
        <v>96</v>
      </c>
      <c r="B7240" s="55" t="n">
        <v>45199</v>
      </c>
      <c r="C7240" s="51" t="s">
        <v>73</v>
      </c>
      <c r="D7240" s="51" t="n">
        <v>0</v>
      </c>
    </row>
    <row r="7241" customFormat="false" ht="15" hidden="true" customHeight="false" outlineLevel="0" collapsed="false">
      <c r="A7241" s="51" t="s">
        <v>101</v>
      </c>
      <c r="B7241" s="55" t="n">
        <v>45199</v>
      </c>
      <c r="C7241" s="51" t="s">
        <v>73</v>
      </c>
      <c r="D7241" s="51" t="n">
        <v>0</v>
      </c>
    </row>
    <row r="7242" customFormat="false" ht="15" hidden="true" customHeight="false" outlineLevel="0" collapsed="false">
      <c r="A7242" s="51" t="s">
        <v>106</v>
      </c>
      <c r="B7242" s="55" t="n">
        <v>45199</v>
      </c>
      <c r="C7242" s="51" t="s">
        <v>73</v>
      </c>
      <c r="D7242" s="51" t="n">
        <v>0</v>
      </c>
    </row>
    <row r="7243" customFormat="false" ht="15" hidden="true" customHeight="false" outlineLevel="0" collapsed="false">
      <c r="A7243" s="51" t="s">
        <v>110</v>
      </c>
      <c r="B7243" s="55" t="n">
        <v>45199</v>
      </c>
      <c r="C7243" s="51" t="s">
        <v>73</v>
      </c>
      <c r="D7243" s="51" t="n">
        <v>0</v>
      </c>
    </row>
    <row r="7244" customFormat="false" ht="15" hidden="true" customHeight="false" outlineLevel="0" collapsed="false">
      <c r="A7244" s="51" t="s">
        <v>115</v>
      </c>
      <c r="B7244" s="55" t="n">
        <v>45199</v>
      </c>
      <c r="C7244" s="51" t="s">
        <v>73</v>
      </c>
      <c r="D7244" s="51" t="n">
        <v>0</v>
      </c>
    </row>
    <row r="7245" customFormat="false" ht="15" hidden="true" customHeight="false" outlineLevel="0" collapsed="false">
      <c r="A7245" s="51" t="s">
        <v>120</v>
      </c>
      <c r="B7245" s="55" t="n">
        <v>45199</v>
      </c>
      <c r="C7245" s="51" t="s">
        <v>73</v>
      </c>
      <c r="D7245" s="51" t="n">
        <v>0</v>
      </c>
    </row>
    <row r="7246" customFormat="false" ht="15" hidden="true" customHeight="false" outlineLevel="0" collapsed="false">
      <c r="A7246" s="51" t="s">
        <v>124</v>
      </c>
      <c r="B7246" s="55" t="n">
        <v>45199</v>
      </c>
      <c r="C7246" s="51" t="s">
        <v>73</v>
      </c>
      <c r="D7246" s="51" t="n">
        <v>0</v>
      </c>
    </row>
    <row r="7247" customFormat="false" ht="15" hidden="true" customHeight="false" outlineLevel="0" collapsed="false">
      <c r="A7247" s="51" t="s">
        <v>129</v>
      </c>
      <c r="B7247" s="55" t="n">
        <v>45199</v>
      </c>
      <c r="C7247" s="51" t="s">
        <v>73</v>
      </c>
      <c r="D7247" s="51" t="n">
        <v>0</v>
      </c>
    </row>
    <row r="7248" customFormat="false" ht="15" hidden="true" customHeight="false" outlineLevel="0" collapsed="false">
      <c r="A7248" s="51" t="s">
        <v>134</v>
      </c>
      <c r="B7248" s="55" t="n">
        <v>45199</v>
      </c>
      <c r="C7248" s="51" t="s">
        <v>73</v>
      </c>
      <c r="D7248" s="51" t="n">
        <v>0</v>
      </c>
    </row>
    <row r="7249" customFormat="false" ht="15" hidden="true" customHeight="false" outlineLevel="0" collapsed="false">
      <c r="A7249" s="51" t="s">
        <v>141</v>
      </c>
      <c r="B7249" s="55" t="n">
        <v>45199</v>
      </c>
      <c r="C7249" s="51" t="s">
        <v>73</v>
      </c>
      <c r="D7249" s="51" t="n">
        <v>0</v>
      </c>
    </row>
    <row r="7250" customFormat="false" ht="15" hidden="true" customHeight="false" outlineLevel="0" collapsed="false">
      <c r="A7250" s="51" t="s">
        <v>146</v>
      </c>
      <c r="B7250" s="55" t="n">
        <v>45199</v>
      </c>
      <c r="C7250" s="51" t="s">
        <v>73</v>
      </c>
      <c r="D7250" s="51" t="n">
        <v>0</v>
      </c>
    </row>
    <row r="7251" customFormat="false" ht="15" hidden="true" customHeight="false" outlineLevel="0" collapsed="false">
      <c r="A7251" s="51" t="s">
        <v>151</v>
      </c>
      <c r="B7251" s="55" t="n">
        <v>45199</v>
      </c>
      <c r="C7251" s="51" t="s">
        <v>73</v>
      </c>
      <c r="D7251" s="51" t="n">
        <v>0</v>
      </c>
    </row>
    <row r="7252" customFormat="false" ht="15" hidden="true" customHeight="false" outlineLevel="0" collapsed="false">
      <c r="A7252" s="51" t="s">
        <v>156</v>
      </c>
      <c r="B7252" s="55" t="n">
        <v>45199</v>
      </c>
      <c r="C7252" s="51" t="s">
        <v>73</v>
      </c>
      <c r="D7252" s="51" t="n">
        <v>0</v>
      </c>
    </row>
    <row r="7253" customFormat="false" ht="15" hidden="true" customHeight="false" outlineLevel="0" collapsed="false">
      <c r="A7253" s="51" t="s">
        <v>161</v>
      </c>
      <c r="B7253" s="55" t="n">
        <v>45199</v>
      </c>
      <c r="C7253" s="51" t="s">
        <v>73</v>
      </c>
      <c r="D7253" s="51" t="n">
        <v>0</v>
      </c>
    </row>
    <row r="7254" customFormat="false" ht="15" hidden="true" customHeight="false" outlineLevel="0" collapsed="false">
      <c r="A7254" s="51" t="s">
        <v>166</v>
      </c>
      <c r="B7254" s="55" t="n">
        <v>45199</v>
      </c>
      <c r="C7254" s="51" t="s">
        <v>73</v>
      </c>
      <c r="D7254" s="51" t="n">
        <v>0</v>
      </c>
    </row>
    <row r="7255" customFormat="false" ht="15" hidden="true" customHeight="false" outlineLevel="0" collapsed="false">
      <c r="A7255" s="51" t="s">
        <v>171</v>
      </c>
      <c r="B7255" s="55" t="n">
        <v>45199</v>
      </c>
      <c r="C7255" s="51" t="s">
        <v>73</v>
      </c>
      <c r="D7255" s="51" t="n">
        <v>0</v>
      </c>
    </row>
    <row r="7256" customFormat="false" ht="15" hidden="true" customHeight="false" outlineLevel="0" collapsed="false">
      <c r="A7256" s="51" t="s">
        <v>176</v>
      </c>
      <c r="B7256" s="55" t="n">
        <v>45199</v>
      </c>
      <c r="C7256" s="51" t="s">
        <v>73</v>
      </c>
      <c r="D7256" s="51" t="n">
        <v>0</v>
      </c>
    </row>
    <row r="7257" customFormat="false" ht="15" hidden="true" customHeight="false" outlineLevel="0" collapsed="false">
      <c r="A7257" s="51" t="s">
        <v>181</v>
      </c>
      <c r="B7257" s="55" t="n">
        <v>45199</v>
      </c>
      <c r="C7257" s="51" t="s">
        <v>73</v>
      </c>
      <c r="D7257" s="51" t="n">
        <v>362800</v>
      </c>
    </row>
    <row r="7258" customFormat="false" ht="15" hidden="true" customHeight="false" outlineLevel="0" collapsed="false">
      <c r="A7258" s="51" t="s">
        <v>186</v>
      </c>
      <c r="B7258" s="55" t="n">
        <v>45199</v>
      </c>
      <c r="C7258" s="51" t="s">
        <v>73</v>
      </c>
      <c r="D7258" s="51" t="n">
        <v>0</v>
      </c>
    </row>
    <row r="7259" customFormat="false" ht="15" hidden="true" customHeight="false" outlineLevel="0" collapsed="false">
      <c r="A7259" s="51" t="s">
        <v>191</v>
      </c>
      <c r="B7259" s="55" t="n">
        <v>45199</v>
      </c>
      <c r="C7259" s="51" t="s">
        <v>73</v>
      </c>
      <c r="D7259" s="51" t="n">
        <v>0</v>
      </c>
    </row>
    <row r="7260" customFormat="false" ht="15" hidden="true" customHeight="false" outlineLevel="0" collapsed="false">
      <c r="A7260" s="51" t="s">
        <v>196</v>
      </c>
      <c r="B7260" s="55" t="n">
        <v>45199</v>
      </c>
      <c r="C7260" s="51" t="s">
        <v>73</v>
      </c>
      <c r="D7260" s="51" t="n">
        <v>0</v>
      </c>
    </row>
    <row r="7261" customFormat="false" ht="15" hidden="true" customHeight="false" outlineLevel="0" collapsed="false">
      <c r="A7261" s="51" t="s">
        <v>201</v>
      </c>
      <c r="B7261" s="55" t="n">
        <v>45199</v>
      </c>
      <c r="C7261" s="51" t="s">
        <v>73</v>
      </c>
      <c r="D7261" s="51" t="n">
        <v>0</v>
      </c>
    </row>
    <row r="7262" customFormat="false" ht="15" hidden="true" customHeight="false" outlineLevel="0" collapsed="false">
      <c r="A7262" s="51" t="s">
        <v>206</v>
      </c>
      <c r="B7262" s="55" t="n">
        <v>45199</v>
      </c>
      <c r="C7262" s="51" t="s">
        <v>73</v>
      </c>
      <c r="D7262" s="51" t="n">
        <v>0</v>
      </c>
    </row>
    <row r="7263" customFormat="false" ht="15" hidden="true" customHeight="false" outlineLevel="0" collapsed="false">
      <c r="A7263" s="51" t="s">
        <v>210</v>
      </c>
      <c r="B7263" s="55" t="n">
        <v>45199</v>
      </c>
      <c r="C7263" s="51" t="s">
        <v>73</v>
      </c>
      <c r="D7263" s="51" t="n">
        <v>0</v>
      </c>
    </row>
    <row r="7264" customFormat="false" ht="15" hidden="true" customHeight="false" outlineLevel="0" collapsed="false">
      <c r="A7264" s="51" t="s">
        <v>215</v>
      </c>
      <c r="B7264" s="55" t="n">
        <v>45199</v>
      </c>
      <c r="C7264" s="51" t="s">
        <v>73</v>
      </c>
      <c r="D7264" s="51" t="n">
        <v>0</v>
      </c>
    </row>
    <row r="7265" customFormat="false" ht="15" hidden="true" customHeight="false" outlineLevel="0" collapsed="false">
      <c r="A7265" s="51" t="s">
        <v>790</v>
      </c>
      <c r="B7265" s="55" t="n">
        <v>45199</v>
      </c>
      <c r="C7265" s="51" t="s">
        <v>73</v>
      </c>
      <c r="D7265" s="51" t="n">
        <v>0</v>
      </c>
    </row>
    <row r="7266" customFormat="false" ht="15" hidden="true" customHeight="false" outlineLevel="0" collapsed="false">
      <c r="A7266" s="51" t="s">
        <v>225</v>
      </c>
      <c r="B7266" s="55" t="n">
        <v>45199</v>
      </c>
      <c r="C7266" s="51" t="s">
        <v>73</v>
      </c>
      <c r="D7266" s="51" t="n">
        <v>0</v>
      </c>
    </row>
    <row r="7267" customFormat="false" ht="15" hidden="true" customHeight="false" outlineLevel="0" collapsed="false">
      <c r="A7267" s="51" t="s">
        <v>230</v>
      </c>
      <c r="B7267" s="55" t="n">
        <v>45199</v>
      </c>
      <c r="C7267" s="51" t="s">
        <v>73</v>
      </c>
      <c r="D7267" s="51" t="n">
        <v>0</v>
      </c>
    </row>
    <row r="7268" customFormat="false" ht="15" hidden="true" customHeight="false" outlineLevel="0" collapsed="false">
      <c r="A7268" s="51" t="s">
        <v>235</v>
      </c>
      <c r="B7268" s="55" t="n">
        <v>45199</v>
      </c>
      <c r="C7268" s="51" t="s">
        <v>73</v>
      </c>
      <c r="D7268" s="51" t="n">
        <v>0</v>
      </c>
    </row>
    <row r="7269" customFormat="false" ht="15" hidden="true" customHeight="false" outlineLevel="0" collapsed="false">
      <c r="A7269" s="51" t="s">
        <v>240</v>
      </c>
      <c r="B7269" s="55" t="n">
        <v>45199</v>
      </c>
      <c r="C7269" s="51" t="s">
        <v>73</v>
      </c>
      <c r="D7269" s="51" t="n">
        <v>0</v>
      </c>
    </row>
    <row r="7270" customFormat="false" ht="15" hidden="true" customHeight="false" outlineLevel="0" collapsed="false">
      <c r="A7270" s="51" t="s">
        <v>246</v>
      </c>
      <c r="B7270" s="55" t="n">
        <v>45199</v>
      </c>
      <c r="C7270" s="51" t="s">
        <v>73</v>
      </c>
      <c r="D7270" s="51" t="n">
        <v>750000</v>
      </c>
    </row>
    <row r="7271" customFormat="false" ht="15" hidden="true" customHeight="false" outlineLevel="0" collapsed="false">
      <c r="A7271" s="51" t="s">
        <v>252</v>
      </c>
      <c r="B7271" s="55" t="n">
        <v>45199</v>
      </c>
      <c r="C7271" s="51" t="s">
        <v>73</v>
      </c>
      <c r="D7271" s="51" t="n">
        <v>0</v>
      </c>
    </row>
    <row r="7272" customFormat="false" ht="15" hidden="true" customHeight="false" outlineLevel="0" collapsed="false">
      <c r="A7272" s="51" t="s">
        <v>257</v>
      </c>
      <c r="B7272" s="55" t="n">
        <v>45199</v>
      </c>
      <c r="C7272" s="51" t="s">
        <v>73</v>
      </c>
      <c r="D7272" s="51" t="n">
        <v>0</v>
      </c>
    </row>
    <row r="7273" customFormat="false" ht="15" hidden="true" customHeight="false" outlineLevel="0" collapsed="false">
      <c r="A7273" s="51" t="s">
        <v>262</v>
      </c>
      <c r="B7273" s="55" t="n">
        <v>45199</v>
      </c>
      <c r="C7273" s="51" t="s">
        <v>73</v>
      </c>
      <c r="D7273" s="51" t="n">
        <v>0</v>
      </c>
    </row>
    <row r="7274" customFormat="false" ht="15" hidden="true" customHeight="false" outlineLevel="0" collapsed="false">
      <c r="A7274" s="51" t="s">
        <v>267</v>
      </c>
      <c r="B7274" s="55" t="n">
        <v>45199</v>
      </c>
      <c r="C7274" s="51" t="s">
        <v>73</v>
      </c>
      <c r="D7274" s="51" t="n">
        <v>0</v>
      </c>
    </row>
    <row r="7275" customFormat="false" ht="15" hidden="true" customHeight="false" outlineLevel="0" collapsed="false">
      <c r="A7275" s="51" t="s">
        <v>272</v>
      </c>
      <c r="B7275" s="55" t="n">
        <v>45199</v>
      </c>
      <c r="C7275" s="51" t="s">
        <v>73</v>
      </c>
      <c r="D7275" s="51" t="n">
        <v>0</v>
      </c>
    </row>
    <row r="7276" customFormat="false" ht="15" hidden="true" customHeight="false" outlineLevel="0" collapsed="false">
      <c r="A7276" s="51" t="s">
        <v>277</v>
      </c>
      <c r="B7276" s="55" t="n">
        <v>45199</v>
      </c>
      <c r="C7276" s="51" t="s">
        <v>73</v>
      </c>
      <c r="D7276" s="51" t="n">
        <v>0</v>
      </c>
    </row>
    <row r="7277" customFormat="false" ht="15" hidden="true" customHeight="false" outlineLevel="0" collapsed="false">
      <c r="A7277" s="51" t="s">
        <v>282</v>
      </c>
      <c r="B7277" s="55" t="n">
        <v>45199</v>
      </c>
      <c r="C7277" s="51" t="s">
        <v>73</v>
      </c>
      <c r="D7277" s="51" t="n">
        <v>0</v>
      </c>
    </row>
    <row r="7278" customFormat="false" ht="15" hidden="true" customHeight="false" outlineLevel="0" collapsed="false">
      <c r="A7278" s="51" t="s">
        <v>287</v>
      </c>
      <c r="B7278" s="55" t="n">
        <v>45199</v>
      </c>
      <c r="C7278" s="51" t="s">
        <v>73</v>
      </c>
      <c r="D7278" s="51" t="n">
        <v>0</v>
      </c>
    </row>
    <row r="7279" customFormat="false" ht="15" hidden="true" customHeight="false" outlineLevel="0" collapsed="false">
      <c r="A7279" s="51" t="s">
        <v>292</v>
      </c>
      <c r="B7279" s="55" t="n">
        <v>45199</v>
      </c>
      <c r="C7279" s="51" t="s">
        <v>73</v>
      </c>
      <c r="D7279" s="51" t="n">
        <v>0</v>
      </c>
    </row>
    <row r="7280" customFormat="false" ht="15" hidden="true" customHeight="false" outlineLevel="0" collapsed="false">
      <c r="A7280" s="51" t="s">
        <v>297</v>
      </c>
      <c r="B7280" s="55" t="n">
        <v>45199</v>
      </c>
      <c r="C7280" s="51" t="s">
        <v>73</v>
      </c>
      <c r="D7280" s="51" t="n">
        <v>0</v>
      </c>
    </row>
    <row r="7281" customFormat="false" ht="15" hidden="true" customHeight="false" outlineLevel="0" collapsed="false">
      <c r="A7281" s="51" t="s">
        <v>302</v>
      </c>
      <c r="B7281" s="55" t="n">
        <v>45199</v>
      </c>
      <c r="C7281" s="51" t="s">
        <v>73</v>
      </c>
      <c r="D7281" s="51" t="n">
        <v>0</v>
      </c>
    </row>
    <row r="7282" customFormat="false" ht="15" hidden="true" customHeight="false" outlineLevel="0" collapsed="false">
      <c r="A7282" s="51" t="s">
        <v>307</v>
      </c>
      <c r="B7282" s="55" t="n">
        <v>45199</v>
      </c>
      <c r="C7282" s="51" t="s">
        <v>73</v>
      </c>
      <c r="D7282" s="51" t="n">
        <v>0</v>
      </c>
    </row>
    <row r="7283" customFormat="false" ht="15" hidden="true" customHeight="false" outlineLevel="0" collapsed="false">
      <c r="A7283" s="51" t="s">
        <v>311</v>
      </c>
      <c r="B7283" s="55" t="n">
        <v>45199</v>
      </c>
      <c r="C7283" s="51" t="s">
        <v>73</v>
      </c>
      <c r="D7283" s="51" t="n">
        <v>0</v>
      </c>
    </row>
    <row r="7284" customFormat="false" ht="15" hidden="true" customHeight="false" outlineLevel="0" collapsed="false">
      <c r="A7284" s="51" t="s">
        <v>317</v>
      </c>
      <c r="B7284" s="55" t="n">
        <v>45199</v>
      </c>
      <c r="C7284" s="51" t="s">
        <v>73</v>
      </c>
      <c r="D7284" s="51" t="n">
        <v>561250</v>
      </c>
    </row>
    <row r="7285" customFormat="false" ht="15" hidden="true" customHeight="false" outlineLevel="0" collapsed="false">
      <c r="A7285" s="51" t="s">
        <v>322</v>
      </c>
      <c r="B7285" s="55" t="n">
        <v>45199</v>
      </c>
      <c r="C7285" s="51" t="s">
        <v>73</v>
      </c>
      <c r="D7285" s="51" t="n">
        <v>0</v>
      </c>
    </row>
    <row r="7286" customFormat="false" ht="15" hidden="true" customHeight="false" outlineLevel="0" collapsed="false">
      <c r="A7286" s="51" t="s">
        <v>327</v>
      </c>
      <c r="B7286" s="55" t="n">
        <v>45199</v>
      </c>
      <c r="C7286" s="51" t="s">
        <v>73</v>
      </c>
      <c r="D7286" s="51" t="n">
        <v>200000</v>
      </c>
    </row>
    <row r="7287" customFormat="false" ht="15" hidden="true" customHeight="false" outlineLevel="0" collapsed="false">
      <c r="A7287" s="51" t="s">
        <v>332</v>
      </c>
      <c r="B7287" s="55" t="n">
        <v>45199</v>
      </c>
      <c r="C7287" s="51" t="s">
        <v>73</v>
      </c>
      <c r="D7287" s="51" t="n">
        <v>0</v>
      </c>
    </row>
    <row r="7288" customFormat="false" ht="15" hidden="true" customHeight="false" outlineLevel="0" collapsed="false">
      <c r="A7288" s="51" t="s">
        <v>339</v>
      </c>
      <c r="B7288" s="55" t="n">
        <v>45199</v>
      </c>
      <c r="C7288" s="51" t="s">
        <v>73</v>
      </c>
      <c r="D7288" s="51" t="n">
        <v>0</v>
      </c>
    </row>
    <row r="7289" customFormat="false" ht="15" hidden="true" customHeight="false" outlineLevel="0" collapsed="false">
      <c r="A7289" s="51" t="s">
        <v>344</v>
      </c>
      <c r="B7289" s="55" t="n">
        <v>45199</v>
      </c>
      <c r="C7289" s="51" t="s">
        <v>73</v>
      </c>
      <c r="D7289" s="51" t="n">
        <v>0</v>
      </c>
    </row>
    <row r="7290" customFormat="false" ht="15" hidden="true" customHeight="false" outlineLevel="0" collapsed="false">
      <c r="A7290" s="51" t="s">
        <v>349</v>
      </c>
      <c r="B7290" s="55" t="n">
        <v>45199</v>
      </c>
      <c r="C7290" s="51" t="s">
        <v>73</v>
      </c>
      <c r="D7290" s="51" t="n">
        <v>0</v>
      </c>
    </row>
    <row r="7291" customFormat="false" ht="15" hidden="true" customHeight="false" outlineLevel="0" collapsed="false">
      <c r="A7291" s="51" t="s">
        <v>354</v>
      </c>
      <c r="B7291" s="55" t="n">
        <v>45199</v>
      </c>
      <c r="C7291" s="51" t="s">
        <v>73</v>
      </c>
      <c r="D7291" s="51" t="n">
        <v>668000</v>
      </c>
    </row>
    <row r="7292" customFormat="false" ht="15" hidden="true" customHeight="false" outlineLevel="0" collapsed="false">
      <c r="A7292" s="51" t="s">
        <v>359</v>
      </c>
      <c r="B7292" s="55" t="n">
        <v>45199</v>
      </c>
      <c r="C7292" s="51" t="s">
        <v>73</v>
      </c>
      <c r="D7292" s="51" t="n">
        <v>263699.48</v>
      </c>
    </row>
    <row r="7293" customFormat="false" ht="15" hidden="true" customHeight="false" outlineLevel="0" collapsed="false">
      <c r="A7293" s="51" t="s">
        <v>364</v>
      </c>
      <c r="B7293" s="55" t="n">
        <v>45199</v>
      </c>
      <c r="C7293" s="51" t="s">
        <v>73</v>
      </c>
      <c r="D7293" s="51" t="n">
        <v>0</v>
      </c>
    </row>
    <row r="7294" customFormat="false" ht="15" hidden="true" customHeight="false" outlineLevel="0" collapsed="false">
      <c r="A7294" s="51" t="s">
        <v>369</v>
      </c>
      <c r="B7294" s="55" t="n">
        <v>45199</v>
      </c>
      <c r="C7294" s="51" t="s">
        <v>73</v>
      </c>
      <c r="D7294" s="51" t="n">
        <v>325000</v>
      </c>
    </row>
    <row r="7295" customFormat="false" ht="15" hidden="true" customHeight="false" outlineLevel="0" collapsed="false">
      <c r="A7295" s="51" t="s">
        <v>374</v>
      </c>
      <c r="B7295" s="55" t="n">
        <v>45199</v>
      </c>
      <c r="C7295" s="51" t="s">
        <v>73</v>
      </c>
      <c r="D7295" s="51" t="n">
        <v>243000</v>
      </c>
    </row>
    <row r="7296" customFormat="false" ht="15" hidden="true" customHeight="false" outlineLevel="0" collapsed="false">
      <c r="A7296" s="51" t="s">
        <v>379</v>
      </c>
      <c r="B7296" s="55" t="n">
        <v>45199</v>
      </c>
      <c r="C7296" s="51" t="s">
        <v>73</v>
      </c>
      <c r="D7296" s="51" t="n">
        <v>722221.17</v>
      </c>
    </row>
    <row r="7297" customFormat="false" ht="15" hidden="true" customHeight="false" outlineLevel="0" collapsed="false">
      <c r="A7297" s="51" t="s">
        <v>384</v>
      </c>
      <c r="B7297" s="55" t="n">
        <v>45199</v>
      </c>
      <c r="C7297" s="51" t="s">
        <v>73</v>
      </c>
      <c r="D7297" s="51" t="n">
        <v>187500</v>
      </c>
    </row>
    <row r="7298" customFormat="false" ht="15" hidden="true" customHeight="false" outlineLevel="0" collapsed="false">
      <c r="A7298" s="51" t="s">
        <v>389</v>
      </c>
      <c r="B7298" s="55" t="n">
        <v>45199</v>
      </c>
      <c r="C7298" s="51" t="s">
        <v>73</v>
      </c>
      <c r="D7298" s="51" t="n">
        <v>2625914.0997067</v>
      </c>
    </row>
    <row r="7299" customFormat="false" ht="15" hidden="true" customHeight="false" outlineLevel="0" collapsed="false">
      <c r="A7299" s="51" t="s">
        <v>394</v>
      </c>
      <c r="B7299" s="55" t="n">
        <v>45199</v>
      </c>
      <c r="C7299" s="51" t="s">
        <v>73</v>
      </c>
      <c r="D7299" s="51" t="n">
        <v>0</v>
      </c>
    </row>
    <row r="7300" customFormat="false" ht="15" hidden="true" customHeight="false" outlineLevel="0" collapsed="false">
      <c r="A7300" s="51" t="s">
        <v>399</v>
      </c>
      <c r="B7300" s="55" t="n">
        <v>45199</v>
      </c>
      <c r="C7300" s="51" t="s">
        <v>73</v>
      </c>
      <c r="D7300" s="51" t="n">
        <v>500000</v>
      </c>
    </row>
    <row r="7301" customFormat="false" ht="15" hidden="true" customHeight="false" outlineLevel="0" collapsed="false">
      <c r="A7301" s="51" t="s">
        <v>404</v>
      </c>
      <c r="B7301" s="55" t="n">
        <v>45199</v>
      </c>
      <c r="C7301" s="51" t="s">
        <v>73</v>
      </c>
      <c r="D7301" s="51" t="n">
        <v>0</v>
      </c>
    </row>
    <row r="7302" customFormat="false" ht="15" hidden="true" customHeight="false" outlineLevel="0" collapsed="false">
      <c r="A7302" s="51" t="s">
        <v>409</v>
      </c>
      <c r="B7302" s="55" t="n">
        <v>45199</v>
      </c>
      <c r="C7302" s="51" t="s">
        <v>73</v>
      </c>
      <c r="D7302" s="51" t="n">
        <v>0</v>
      </c>
    </row>
    <row r="7303" customFormat="false" ht="15" hidden="true" customHeight="false" outlineLevel="0" collapsed="false">
      <c r="A7303" s="51" t="s">
        <v>414</v>
      </c>
      <c r="B7303" s="55" t="n">
        <v>45199</v>
      </c>
      <c r="C7303" s="51" t="s">
        <v>73</v>
      </c>
      <c r="D7303" s="51" t="n">
        <v>0</v>
      </c>
    </row>
    <row r="7304" customFormat="false" ht="15" hidden="true" customHeight="false" outlineLevel="0" collapsed="false">
      <c r="A7304" s="51" t="s">
        <v>419</v>
      </c>
      <c r="B7304" s="55" t="n">
        <v>45199</v>
      </c>
      <c r="C7304" s="51" t="s">
        <v>73</v>
      </c>
      <c r="D7304" s="51" t="n">
        <v>1900000</v>
      </c>
    </row>
    <row r="7305" customFormat="false" ht="15" hidden="true" customHeight="false" outlineLevel="0" collapsed="false">
      <c r="A7305" s="51" t="s">
        <v>424</v>
      </c>
      <c r="B7305" s="55" t="n">
        <v>45199</v>
      </c>
      <c r="C7305" s="51" t="s">
        <v>73</v>
      </c>
      <c r="D7305" s="51" t="n">
        <v>0</v>
      </c>
    </row>
    <row r="7306" customFormat="false" ht="15" hidden="true" customHeight="false" outlineLevel="0" collapsed="false">
      <c r="A7306" s="51" t="s">
        <v>429</v>
      </c>
      <c r="B7306" s="55" t="n">
        <v>45199</v>
      </c>
      <c r="C7306" s="51" t="s">
        <v>73</v>
      </c>
      <c r="D7306" s="51" t="n">
        <v>0</v>
      </c>
    </row>
    <row r="7307" customFormat="false" ht="15" hidden="true" customHeight="false" outlineLevel="0" collapsed="false">
      <c r="A7307" s="51" t="s">
        <v>434</v>
      </c>
      <c r="B7307" s="55" t="n">
        <v>45199</v>
      </c>
      <c r="C7307" s="51" t="s">
        <v>73</v>
      </c>
      <c r="D7307" s="51" t="n">
        <v>0</v>
      </c>
    </row>
    <row r="7308" customFormat="false" ht="15" hidden="true" customHeight="false" outlineLevel="0" collapsed="false">
      <c r="A7308" s="51" t="s">
        <v>438</v>
      </c>
      <c r="B7308" s="55" t="n">
        <v>45199</v>
      </c>
      <c r="C7308" s="51" t="s">
        <v>73</v>
      </c>
      <c r="D7308" s="51" t="n">
        <v>0</v>
      </c>
    </row>
    <row r="7309" customFormat="false" ht="15" hidden="true" customHeight="false" outlineLevel="0" collapsed="false">
      <c r="A7309" s="51" t="s">
        <v>443</v>
      </c>
      <c r="B7309" s="55" t="n">
        <v>45199</v>
      </c>
      <c r="C7309" s="51" t="s">
        <v>73</v>
      </c>
      <c r="D7309" s="51" t="n">
        <v>0</v>
      </c>
    </row>
    <row r="7310" customFormat="false" ht="15" hidden="true" customHeight="false" outlineLevel="0" collapsed="false">
      <c r="A7310" s="51" t="s">
        <v>448</v>
      </c>
      <c r="B7310" s="55" t="n">
        <v>45199</v>
      </c>
      <c r="C7310" s="51" t="s">
        <v>73</v>
      </c>
      <c r="D7310" s="51" t="n">
        <v>0</v>
      </c>
    </row>
    <row r="7311" customFormat="false" ht="15" hidden="true" customHeight="false" outlineLevel="0" collapsed="false">
      <c r="A7311" s="51" t="s">
        <v>453</v>
      </c>
      <c r="B7311" s="55" t="n">
        <v>45199</v>
      </c>
      <c r="C7311" s="51" t="s">
        <v>73</v>
      </c>
      <c r="D7311" s="51" t="n">
        <v>0</v>
      </c>
    </row>
    <row r="7312" customFormat="false" ht="15" hidden="true" customHeight="false" outlineLevel="0" collapsed="false">
      <c r="A7312" s="51" t="s">
        <v>458</v>
      </c>
      <c r="B7312" s="55" t="n">
        <v>45199</v>
      </c>
      <c r="C7312" s="51" t="s">
        <v>73</v>
      </c>
      <c r="D7312" s="51" t="n">
        <v>0</v>
      </c>
    </row>
    <row r="7313" customFormat="false" ht="15" hidden="true" customHeight="false" outlineLevel="0" collapsed="false">
      <c r="A7313" s="51" t="s">
        <v>473</v>
      </c>
      <c r="B7313" s="55" t="n">
        <v>45199</v>
      </c>
      <c r="C7313" s="51" t="s">
        <v>73</v>
      </c>
      <c r="D7313" s="51" t="n">
        <v>0</v>
      </c>
    </row>
    <row r="7314" customFormat="false" ht="15" hidden="true" customHeight="false" outlineLevel="0" collapsed="false">
      <c r="A7314" s="51" t="s">
        <v>479</v>
      </c>
      <c r="B7314" s="55" t="n">
        <v>45199</v>
      </c>
      <c r="C7314" s="51" t="s">
        <v>73</v>
      </c>
      <c r="D7314" s="51" t="n">
        <v>0</v>
      </c>
    </row>
    <row r="7315" customFormat="false" ht="15" hidden="true" customHeight="false" outlineLevel="0" collapsed="false">
      <c r="A7315" s="51" t="s">
        <v>484</v>
      </c>
      <c r="B7315" s="55" t="n">
        <v>45199</v>
      </c>
      <c r="C7315" s="51" t="s">
        <v>73</v>
      </c>
      <c r="D7315" s="51" t="n">
        <v>0</v>
      </c>
    </row>
    <row r="7316" customFormat="false" ht="15" hidden="true" customHeight="false" outlineLevel="0" collapsed="false">
      <c r="A7316" s="51" t="s">
        <v>489</v>
      </c>
      <c r="B7316" s="55" t="n">
        <v>45199</v>
      </c>
      <c r="C7316" s="51" t="s">
        <v>73</v>
      </c>
      <c r="D7316" s="51" t="n">
        <v>0</v>
      </c>
    </row>
    <row r="7317" customFormat="false" ht="15" hidden="true" customHeight="false" outlineLevel="0" collapsed="false">
      <c r="A7317" s="51" t="s">
        <v>494</v>
      </c>
      <c r="B7317" s="55" t="n">
        <v>45199</v>
      </c>
      <c r="C7317" s="51" t="s">
        <v>73</v>
      </c>
      <c r="D7317" s="51" t="n">
        <v>0</v>
      </c>
    </row>
    <row r="7318" customFormat="false" ht="15" hidden="true" customHeight="false" outlineLevel="0" collapsed="false">
      <c r="A7318" s="51" t="s">
        <v>499</v>
      </c>
      <c r="B7318" s="55" t="n">
        <v>45199</v>
      </c>
      <c r="C7318" s="51" t="s">
        <v>73</v>
      </c>
      <c r="D7318" s="51" t="n">
        <v>0</v>
      </c>
    </row>
    <row r="7319" customFormat="false" ht="15" hidden="true" customHeight="false" outlineLevel="0" collapsed="false">
      <c r="A7319" s="51" t="s">
        <v>504</v>
      </c>
      <c r="B7319" s="55" t="n">
        <v>45199</v>
      </c>
      <c r="C7319" s="51" t="s">
        <v>73</v>
      </c>
      <c r="D7319" s="51" t="n">
        <v>0</v>
      </c>
    </row>
    <row r="7320" customFormat="false" ht="15" hidden="true" customHeight="false" outlineLevel="0" collapsed="false">
      <c r="A7320" s="51" t="s">
        <v>509</v>
      </c>
      <c r="B7320" s="55" t="n">
        <v>45199</v>
      </c>
      <c r="C7320" s="51" t="s">
        <v>73</v>
      </c>
      <c r="D7320" s="51" t="n">
        <v>0</v>
      </c>
    </row>
    <row r="7321" customFormat="false" ht="15" hidden="true" customHeight="false" outlineLevel="0" collapsed="false">
      <c r="A7321" s="51" t="s">
        <v>515</v>
      </c>
      <c r="B7321" s="55" t="n">
        <v>45199</v>
      </c>
      <c r="C7321" s="51" t="s">
        <v>73</v>
      </c>
      <c r="D7321" s="51" t="n">
        <v>0</v>
      </c>
    </row>
    <row r="7322" customFormat="false" ht="15" hidden="true" customHeight="false" outlineLevel="0" collapsed="false">
      <c r="A7322" s="51" t="s">
        <v>520</v>
      </c>
      <c r="B7322" s="55" t="n">
        <v>45199</v>
      </c>
      <c r="C7322" s="51" t="s">
        <v>73</v>
      </c>
      <c r="D7322" s="51" t="n">
        <v>0</v>
      </c>
    </row>
    <row r="7323" customFormat="false" ht="15" hidden="true" customHeight="false" outlineLevel="0" collapsed="false">
      <c r="A7323" s="51" t="s">
        <v>525</v>
      </c>
      <c r="B7323" s="55" t="n">
        <v>45199</v>
      </c>
      <c r="C7323" s="51" t="s">
        <v>73</v>
      </c>
      <c r="D7323" s="51" t="n">
        <v>0</v>
      </c>
    </row>
    <row r="7324" customFormat="false" ht="15" hidden="true" customHeight="false" outlineLevel="0" collapsed="false">
      <c r="A7324" s="51" t="s">
        <v>531</v>
      </c>
      <c r="B7324" s="55" t="n">
        <v>45199</v>
      </c>
      <c r="C7324" s="51" t="s">
        <v>73</v>
      </c>
      <c r="D7324" s="51" t="n">
        <v>0</v>
      </c>
    </row>
    <row r="7325" customFormat="false" ht="15" hidden="true" customHeight="false" outlineLevel="0" collapsed="false">
      <c r="A7325" s="51" t="s">
        <v>536</v>
      </c>
      <c r="B7325" s="55" t="n">
        <v>45199</v>
      </c>
      <c r="C7325" s="51" t="s">
        <v>73</v>
      </c>
      <c r="D7325" s="51" t="n">
        <v>0</v>
      </c>
    </row>
    <row r="7326" customFormat="false" ht="15" hidden="true" customHeight="false" outlineLevel="0" collapsed="false">
      <c r="A7326" s="51" t="s">
        <v>541</v>
      </c>
      <c r="B7326" s="55" t="n">
        <v>45199</v>
      </c>
      <c r="C7326" s="51" t="s">
        <v>73</v>
      </c>
      <c r="D7326" s="51" t="n">
        <v>0</v>
      </c>
    </row>
    <row r="7327" customFormat="false" ht="15" hidden="true" customHeight="false" outlineLevel="0" collapsed="false">
      <c r="A7327" s="51" t="s">
        <v>549</v>
      </c>
      <c r="B7327" s="55" t="n">
        <v>45199</v>
      </c>
      <c r="C7327" s="51" t="s">
        <v>73</v>
      </c>
      <c r="D7327" s="51" t="n">
        <v>0</v>
      </c>
    </row>
    <row r="7328" customFormat="false" ht="15" hidden="true" customHeight="false" outlineLevel="0" collapsed="false">
      <c r="A7328" s="51" t="s">
        <v>554</v>
      </c>
      <c r="B7328" s="55" t="n">
        <v>45199</v>
      </c>
      <c r="C7328" s="51" t="s">
        <v>73</v>
      </c>
      <c r="D7328" s="51" t="n">
        <v>0</v>
      </c>
    </row>
    <row r="7329" customFormat="false" ht="15" hidden="true" customHeight="false" outlineLevel="0" collapsed="false">
      <c r="A7329" s="51" t="s">
        <v>559</v>
      </c>
      <c r="B7329" s="55" t="n">
        <v>45199</v>
      </c>
      <c r="C7329" s="51" t="s">
        <v>73</v>
      </c>
      <c r="D7329" s="51" t="n">
        <v>0</v>
      </c>
    </row>
    <row r="7330" customFormat="false" ht="15" hidden="true" customHeight="false" outlineLevel="0" collapsed="false">
      <c r="A7330" s="51" t="s">
        <v>564</v>
      </c>
      <c r="B7330" s="55" t="n">
        <v>45199</v>
      </c>
      <c r="C7330" s="51" t="s">
        <v>73</v>
      </c>
      <c r="D7330" s="51" t="n">
        <v>0</v>
      </c>
    </row>
    <row r="7331" customFormat="false" ht="15" hidden="true" customHeight="false" outlineLevel="0" collapsed="false">
      <c r="A7331" s="51" t="s">
        <v>569</v>
      </c>
      <c r="B7331" s="55" t="n">
        <v>45199</v>
      </c>
      <c r="C7331" s="51" t="s">
        <v>73</v>
      </c>
      <c r="D7331" s="51" t="n">
        <v>0</v>
      </c>
    </row>
    <row r="7332" customFormat="false" ht="15" hidden="true" customHeight="false" outlineLevel="0" collapsed="false">
      <c r="A7332" s="51" t="s">
        <v>574</v>
      </c>
      <c r="B7332" s="55" t="n">
        <v>45199</v>
      </c>
      <c r="C7332" s="51" t="s">
        <v>73</v>
      </c>
      <c r="D7332" s="51" t="n">
        <v>0</v>
      </c>
    </row>
    <row r="7333" customFormat="false" ht="15" hidden="true" customHeight="false" outlineLevel="0" collapsed="false">
      <c r="A7333" s="51" t="s">
        <v>579</v>
      </c>
      <c r="B7333" s="55" t="n">
        <v>45199</v>
      </c>
      <c r="C7333" s="51" t="s">
        <v>73</v>
      </c>
      <c r="D7333" s="51" t="n">
        <v>0</v>
      </c>
    </row>
    <row r="7334" customFormat="false" ht="15" hidden="true" customHeight="false" outlineLevel="0" collapsed="false">
      <c r="A7334" s="51" t="s">
        <v>584</v>
      </c>
      <c r="B7334" s="55" t="n">
        <v>45199</v>
      </c>
      <c r="C7334" s="51" t="s">
        <v>73</v>
      </c>
      <c r="D7334" s="51" t="n">
        <v>0</v>
      </c>
    </row>
    <row r="7335" customFormat="false" ht="15" hidden="true" customHeight="false" outlineLevel="0" collapsed="false">
      <c r="A7335" s="51" t="s">
        <v>589</v>
      </c>
      <c r="B7335" s="55" t="n">
        <v>45199</v>
      </c>
      <c r="C7335" s="51" t="s">
        <v>73</v>
      </c>
      <c r="D7335" s="51" t="n">
        <v>0</v>
      </c>
    </row>
    <row r="7336" customFormat="false" ht="15" hidden="true" customHeight="false" outlineLevel="0" collapsed="false">
      <c r="A7336" s="51" t="s">
        <v>756</v>
      </c>
      <c r="B7336" s="55" t="n">
        <v>45199</v>
      </c>
      <c r="C7336" s="51" t="s">
        <v>73</v>
      </c>
      <c r="D7336" s="51" t="n">
        <v>0</v>
      </c>
    </row>
    <row r="7337" customFormat="false" ht="15" hidden="true" customHeight="false" outlineLevel="0" collapsed="false">
      <c r="A7337" s="51" t="s">
        <v>594</v>
      </c>
      <c r="B7337" s="55" t="n">
        <v>45199</v>
      </c>
      <c r="C7337" s="51" t="s">
        <v>73</v>
      </c>
      <c r="D7337" s="51" t="n">
        <v>0</v>
      </c>
    </row>
    <row r="7338" customFormat="false" ht="15" hidden="true" customHeight="false" outlineLevel="0" collapsed="false">
      <c r="A7338" s="51" t="s">
        <v>761</v>
      </c>
      <c r="B7338" s="55" t="n">
        <v>45199</v>
      </c>
      <c r="C7338" s="51" t="s">
        <v>73</v>
      </c>
      <c r="D7338" s="51" t="n">
        <v>0</v>
      </c>
    </row>
    <row r="7339" customFormat="false" ht="15" hidden="true" customHeight="false" outlineLevel="0" collapsed="false">
      <c r="A7339" s="51" t="s">
        <v>599</v>
      </c>
      <c r="B7339" s="55" t="n">
        <v>45199</v>
      </c>
      <c r="C7339" s="51" t="s">
        <v>73</v>
      </c>
      <c r="D7339" s="51" t="n">
        <v>0</v>
      </c>
    </row>
    <row r="7340" customFormat="false" ht="15" hidden="true" customHeight="false" outlineLevel="0" collapsed="false">
      <c r="A7340" s="51" t="s">
        <v>604</v>
      </c>
      <c r="B7340" s="55" t="n">
        <v>45199</v>
      </c>
      <c r="C7340" s="51" t="s">
        <v>73</v>
      </c>
      <c r="D7340" s="51" t="n">
        <v>0</v>
      </c>
    </row>
    <row r="7341" customFormat="false" ht="15" hidden="true" customHeight="false" outlineLevel="0" collapsed="false">
      <c r="A7341" s="51" t="s">
        <v>609</v>
      </c>
      <c r="B7341" s="55" t="n">
        <v>45199</v>
      </c>
      <c r="C7341" s="51" t="s">
        <v>73</v>
      </c>
      <c r="D7341" s="51" t="n">
        <v>0</v>
      </c>
    </row>
    <row r="7342" customFormat="false" ht="15" hidden="true" customHeight="false" outlineLevel="0" collapsed="false">
      <c r="A7342" s="51" t="s">
        <v>614</v>
      </c>
      <c r="B7342" s="55" t="n">
        <v>45199</v>
      </c>
      <c r="C7342" s="51" t="s">
        <v>73</v>
      </c>
      <c r="D7342" s="51" t="n">
        <v>0</v>
      </c>
    </row>
    <row r="7343" customFormat="false" ht="15" hidden="true" customHeight="false" outlineLevel="0" collapsed="false">
      <c r="A7343" s="51" t="s">
        <v>619</v>
      </c>
      <c r="B7343" s="55" t="n">
        <v>45199</v>
      </c>
      <c r="C7343" s="51" t="s">
        <v>73</v>
      </c>
      <c r="D7343" s="51" t="n">
        <v>0</v>
      </c>
    </row>
    <row r="7344" customFormat="false" ht="15" hidden="true" customHeight="false" outlineLevel="0" collapsed="false">
      <c r="A7344" s="51" t="s">
        <v>624</v>
      </c>
      <c r="B7344" s="55" t="n">
        <v>45199</v>
      </c>
      <c r="C7344" s="51" t="s">
        <v>73</v>
      </c>
      <c r="D7344" s="51" t="n">
        <v>0</v>
      </c>
    </row>
    <row r="7345" customFormat="false" ht="15" hidden="true" customHeight="false" outlineLevel="0" collapsed="false">
      <c r="A7345" s="51" t="s">
        <v>629</v>
      </c>
      <c r="B7345" s="55" t="n">
        <v>45199</v>
      </c>
      <c r="C7345" s="51" t="s">
        <v>73</v>
      </c>
      <c r="D7345" s="51" t="n">
        <v>0</v>
      </c>
    </row>
    <row r="7346" customFormat="false" ht="15" hidden="true" customHeight="false" outlineLevel="0" collapsed="false">
      <c r="A7346" s="51" t="s">
        <v>633</v>
      </c>
      <c r="B7346" s="55" t="n">
        <v>45199</v>
      </c>
      <c r="C7346" s="51" t="s">
        <v>73</v>
      </c>
      <c r="D7346" s="51" t="n">
        <v>0</v>
      </c>
    </row>
    <row r="7347" customFormat="false" ht="15" hidden="true" customHeight="false" outlineLevel="0" collapsed="false">
      <c r="A7347" s="51" t="s">
        <v>638</v>
      </c>
      <c r="B7347" s="55" t="n">
        <v>45199</v>
      </c>
      <c r="C7347" s="51" t="s">
        <v>73</v>
      </c>
      <c r="D7347" s="51" t="n">
        <v>0</v>
      </c>
    </row>
    <row r="7348" customFormat="false" ht="15" hidden="true" customHeight="false" outlineLevel="0" collapsed="false">
      <c r="A7348" s="51" t="s">
        <v>642</v>
      </c>
      <c r="B7348" s="55" t="n">
        <v>45199</v>
      </c>
      <c r="C7348" s="51" t="s">
        <v>73</v>
      </c>
      <c r="D7348" s="51" t="n">
        <v>0</v>
      </c>
    </row>
    <row r="7349" customFormat="false" ht="15" hidden="true" customHeight="false" outlineLevel="0" collapsed="false">
      <c r="A7349" s="51" t="s">
        <v>646</v>
      </c>
      <c r="B7349" s="55" t="n">
        <v>45199</v>
      </c>
      <c r="C7349" s="51" t="s">
        <v>73</v>
      </c>
      <c r="D7349" s="51" t="n">
        <v>0</v>
      </c>
    </row>
    <row r="7350" customFormat="false" ht="15" hidden="true" customHeight="false" outlineLevel="0" collapsed="false">
      <c r="A7350" s="51" t="s">
        <v>651</v>
      </c>
      <c r="B7350" s="55" t="n">
        <v>45199</v>
      </c>
      <c r="C7350" s="51" t="s">
        <v>73</v>
      </c>
      <c r="D7350" s="51" t="n">
        <v>0</v>
      </c>
    </row>
    <row r="7351" customFormat="false" ht="15" hidden="true" customHeight="false" outlineLevel="0" collapsed="false">
      <c r="A7351" s="51" t="s">
        <v>656</v>
      </c>
      <c r="B7351" s="55" t="n">
        <v>45199</v>
      </c>
      <c r="C7351" s="51" t="s">
        <v>73</v>
      </c>
      <c r="D7351" s="51" t="n">
        <v>0</v>
      </c>
    </row>
    <row r="7352" customFormat="false" ht="15" hidden="true" customHeight="false" outlineLevel="0" collapsed="false">
      <c r="A7352" s="51" t="s">
        <v>661</v>
      </c>
      <c r="B7352" s="55" t="n">
        <v>45199</v>
      </c>
      <c r="C7352" s="51" t="s">
        <v>73</v>
      </c>
      <c r="D7352" s="51" t="n">
        <v>0</v>
      </c>
    </row>
    <row r="7353" customFormat="false" ht="15" hidden="true" customHeight="false" outlineLevel="0" collapsed="false">
      <c r="A7353" s="51" t="s">
        <v>666</v>
      </c>
      <c r="B7353" s="55" t="n">
        <v>45199</v>
      </c>
      <c r="C7353" s="51" t="s">
        <v>73</v>
      </c>
      <c r="D7353" s="51" t="n">
        <v>0</v>
      </c>
    </row>
    <row r="7354" customFormat="false" ht="15" hidden="true" customHeight="false" outlineLevel="0" collapsed="false">
      <c r="A7354" s="51" t="s">
        <v>671</v>
      </c>
      <c r="B7354" s="55" t="n">
        <v>45199</v>
      </c>
      <c r="C7354" s="51" t="s">
        <v>73</v>
      </c>
      <c r="D7354" s="51" t="n">
        <v>0</v>
      </c>
    </row>
    <row r="7355" customFormat="false" ht="15" hidden="true" customHeight="false" outlineLevel="0" collapsed="false">
      <c r="A7355" s="51" t="s">
        <v>676</v>
      </c>
      <c r="B7355" s="55" t="n">
        <v>45199</v>
      </c>
      <c r="C7355" s="51" t="s">
        <v>73</v>
      </c>
      <c r="D7355" s="51" t="n">
        <v>0</v>
      </c>
    </row>
    <row r="7356" customFormat="false" ht="15" hidden="true" customHeight="false" outlineLevel="0" collapsed="false">
      <c r="A7356" s="51" t="s">
        <v>681</v>
      </c>
      <c r="B7356" s="55" t="n">
        <v>45199</v>
      </c>
      <c r="C7356" s="51" t="s">
        <v>73</v>
      </c>
      <c r="D7356" s="51" t="n">
        <v>0</v>
      </c>
    </row>
    <row r="7357" customFormat="false" ht="15" hidden="true" customHeight="false" outlineLevel="0" collapsed="false">
      <c r="A7357" s="51" t="s">
        <v>686</v>
      </c>
      <c r="B7357" s="55" t="n">
        <v>45199</v>
      </c>
      <c r="C7357" s="51" t="s">
        <v>73</v>
      </c>
      <c r="D7357" s="51" t="n">
        <v>0</v>
      </c>
    </row>
    <row r="7358" customFormat="false" ht="15" hidden="true" customHeight="false" outlineLevel="0" collapsed="false">
      <c r="A7358" s="51" t="s">
        <v>691</v>
      </c>
      <c r="B7358" s="55" t="n">
        <v>45199</v>
      </c>
      <c r="C7358" s="51" t="s">
        <v>73</v>
      </c>
      <c r="D7358" s="51" t="n">
        <v>0</v>
      </c>
    </row>
    <row r="7359" customFormat="false" ht="15" hidden="true" customHeight="false" outlineLevel="0" collapsed="false">
      <c r="A7359" s="51" t="s">
        <v>696</v>
      </c>
      <c r="B7359" s="55" t="n">
        <v>45199</v>
      </c>
      <c r="C7359" s="51" t="s">
        <v>73</v>
      </c>
      <c r="D7359" s="51" t="n">
        <v>0</v>
      </c>
    </row>
    <row r="7360" customFormat="false" ht="15" hidden="true" customHeight="false" outlineLevel="0" collapsed="false">
      <c r="A7360" s="51" t="s">
        <v>701</v>
      </c>
      <c r="B7360" s="55" t="n">
        <v>45199</v>
      </c>
      <c r="C7360" s="51" t="s">
        <v>73</v>
      </c>
      <c r="D7360" s="51" t="n">
        <v>0</v>
      </c>
    </row>
    <row r="7361" customFormat="false" ht="15" hidden="true" customHeight="false" outlineLevel="0" collapsed="false">
      <c r="A7361" s="51" t="s">
        <v>707</v>
      </c>
      <c r="B7361" s="55" t="n">
        <v>45199</v>
      </c>
      <c r="C7361" s="51" t="s">
        <v>73</v>
      </c>
      <c r="D7361" s="51" t="n">
        <v>0</v>
      </c>
    </row>
    <row r="7362" customFormat="false" ht="15" hidden="true" customHeight="false" outlineLevel="0" collapsed="false">
      <c r="A7362" s="51" t="s">
        <v>712</v>
      </c>
      <c r="B7362" s="55" t="n">
        <v>45199</v>
      </c>
      <c r="C7362" s="51" t="s">
        <v>73</v>
      </c>
      <c r="D7362" s="51" t="n">
        <v>0</v>
      </c>
    </row>
    <row r="7363" customFormat="false" ht="15" hidden="true" customHeight="false" outlineLevel="0" collapsed="false">
      <c r="A7363" s="51" t="s">
        <v>717</v>
      </c>
      <c r="B7363" s="55" t="n">
        <v>45199</v>
      </c>
      <c r="C7363" s="51" t="s">
        <v>73</v>
      </c>
      <c r="D7363" s="51" t="n">
        <v>0</v>
      </c>
    </row>
    <row r="7364" customFormat="false" ht="15" hidden="true" customHeight="false" outlineLevel="0" collapsed="false">
      <c r="A7364" s="51" t="s">
        <v>767</v>
      </c>
      <c r="B7364" s="55" t="n">
        <v>45199</v>
      </c>
      <c r="C7364" s="51" t="s">
        <v>73</v>
      </c>
      <c r="D7364" s="51" t="n">
        <v>0</v>
      </c>
    </row>
    <row r="7365" customFormat="false" ht="15" hidden="true" customHeight="false" outlineLevel="0" collapsed="false">
      <c r="A7365" s="51" t="s">
        <v>722</v>
      </c>
      <c r="B7365" s="55" t="n">
        <v>45199</v>
      </c>
      <c r="C7365" s="51" t="s">
        <v>73</v>
      </c>
      <c r="D7365" s="51" t="n">
        <v>0</v>
      </c>
    </row>
    <row r="7366" customFormat="false" ht="15" hidden="true" customHeight="false" outlineLevel="0" collapsed="false">
      <c r="A7366" s="51" t="s">
        <v>727</v>
      </c>
      <c r="B7366" s="55" t="n">
        <v>45199</v>
      </c>
      <c r="C7366" s="51" t="s">
        <v>73</v>
      </c>
      <c r="D7366" s="51" t="n">
        <v>0</v>
      </c>
    </row>
    <row r="7367" customFormat="false" ht="15" hidden="true" customHeight="false" outlineLevel="0" collapsed="false">
      <c r="A7367" s="51" t="s">
        <v>732</v>
      </c>
      <c r="B7367" s="55" t="n">
        <v>45199</v>
      </c>
      <c r="C7367" s="51" t="s">
        <v>73</v>
      </c>
      <c r="D7367" s="51" t="n">
        <v>0</v>
      </c>
    </row>
    <row r="7368" customFormat="false" ht="15" hidden="true" customHeight="false" outlineLevel="0" collapsed="false">
      <c r="A7368" s="51" t="s">
        <v>736</v>
      </c>
      <c r="B7368" s="55" t="n">
        <v>45199</v>
      </c>
      <c r="C7368" s="51" t="s">
        <v>73</v>
      </c>
      <c r="D7368" s="51" t="n">
        <v>0</v>
      </c>
    </row>
    <row r="7369" customFormat="false" ht="15" hidden="true" customHeight="false" outlineLevel="0" collapsed="false">
      <c r="A7369" s="51" t="s">
        <v>741</v>
      </c>
      <c r="B7369" s="55" t="n">
        <v>45199</v>
      </c>
      <c r="C7369" s="51" t="s">
        <v>73</v>
      </c>
      <c r="D7369" s="51" t="n">
        <v>0</v>
      </c>
    </row>
    <row r="7370" customFormat="false" ht="15" hidden="true" customHeight="false" outlineLevel="0" collapsed="false">
      <c r="A7370" s="51" t="s">
        <v>746</v>
      </c>
      <c r="B7370" s="55" t="n">
        <v>45199</v>
      </c>
      <c r="C7370" s="51" t="s">
        <v>73</v>
      </c>
      <c r="D7370" s="51" t="n">
        <v>0</v>
      </c>
    </row>
    <row r="7371" customFormat="false" ht="15" hidden="true" customHeight="false" outlineLevel="0" collapsed="false">
      <c r="A7371" s="51" t="s">
        <v>751</v>
      </c>
      <c r="B7371" s="55" t="n">
        <v>45199</v>
      </c>
      <c r="C7371" s="51" t="s">
        <v>73</v>
      </c>
      <c r="D7371" s="51" t="n">
        <v>0</v>
      </c>
    </row>
    <row r="7372" customFormat="false" ht="15" hidden="false" customHeight="false" outlineLevel="0" collapsed="false">
      <c r="A7372" s="51" t="s">
        <v>781</v>
      </c>
      <c r="B7372" s="55" t="n">
        <v>45199</v>
      </c>
      <c r="C7372" s="51" t="s">
        <v>791</v>
      </c>
      <c r="D7372" s="51" t="n">
        <v>0</v>
      </c>
    </row>
    <row r="7373" customFormat="false" ht="15" hidden="true" customHeight="false" outlineLevel="0" collapsed="false">
      <c r="A7373" s="51" t="s">
        <v>783</v>
      </c>
      <c r="B7373" s="55" t="n">
        <v>45199</v>
      </c>
      <c r="C7373" s="51" t="s">
        <v>791</v>
      </c>
      <c r="D7373" s="51" t="n">
        <v>0</v>
      </c>
    </row>
    <row r="7374" customFormat="false" ht="15" hidden="true" customHeight="false" outlineLevel="0" collapsed="false">
      <c r="A7374" s="51" t="s">
        <v>96</v>
      </c>
      <c r="B7374" s="55" t="n">
        <v>45199</v>
      </c>
      <c r="C7374" s="51" t="s">
        <v>791</v>
      </c>
      <c r="D7374" s="51" t="n">
        <v>0</v>
      </c>
    </row>
    <row r="7375" customFormat="false" ht="15" hidden="true" customHeight="false" outlineLevel="0" collapsed="false">
      <c r="A7375" s="51" t="s">
        <v>101</v>
      </c>
      <c r="B7375" s="55" t="n">
        <v>45199</v>
      </c>
      <c r="C7375" s="51" t="s">
        <v>791</v>
      </c>
      <c r="D7375" s="51" t="n">
        <v>0</v>
      </c>
    </row>
    <row r="7376" customFormat="false" ht="15" hidden="true" customHeight="false" outlineLevel="0" collapsed="false">
      <c r="A7376" s="51" t="s">
        <v>106</v>
      </c>
      <c r="B7376" s="55" t="n">
        <v>45199</v>
      </c>
      <c r="C7376" s="51" t="s">
        <v>791</v>
      </c>
      <c r="D7376" s="51" t="n">
        <v>0</v>
      </c>
    </row>
    <row r="7377" customFormat="false" ht="15" hidden="true" customHeight="false" outlineLevel="0" collapsed="false">
      <c r="A7377" s="51" t="s">
        <v>110</v>
      </c>
      <c r="B7377" s="55" t="n">
        <v>45199</v>
      </c>
      <c r="C7377" s="51" t="s">
        <v>791</v>
      </c>
      <c r="D7377" s="51" t="n">
        <v>0</v>
      </c>
    </row>
    <row r="7378" customFormat="false" ht="15" hidden="true" customHeight="false" outlineLevel="0" collapsed="false">
      <c r="A7378" s="51" t="s">
        <v>115</v>
      </c>
      <c r="B7378" s="55" t="n">
        <v>45199</v>
      </c>
      <c r="C7378" s="51" t="s">
        <v>791</v>
      </c>
      <c r="D7378" s="51" t="n">
        <v>0</v>
      </c>
    </row>
    <row r="7379" customFormat="false" ht="15" hidden="true" customHeight="false" outlineLevel="0" collapsed="false">
      <c r="A7379" s="51" t="s">
        <v>120</v>
      </c>
      <c r="B7379" s="55" t="n">
        <v>45199</v>
      </c>
      <c r="C7379" s="51" t="s">
        <v>791</v>
      </c>
      <c r="D7379" s="51" t="n">
        <v>0</v>
      </c>
    </row>
    <row r="7380" customFormat="false" ht="15" hidden="true" customHeight="false" outlineLevel="0" collapsed="false">
      <c r="A7380" s="51" t="s">
        <v>124</v>
      </c>
      <c r="B7380" s="55" t="n">
        <v>45199</v>
      </c>
      <c r="C7380" s="51" t="s">
        <v>791</v>
      </c>
      <c r="D7380" s="51" t="n">
        <v>0</v>
      </c>
    </row>
    <row r="7381" customFormat="false" ht="15" hidden="true" customHeight="false" outlineLevel="0" collapsed="false">
      <c r="A7381" s="51" t="s">
        <v>129</v>
      </c>
      <c r="B7381" s="55" t="n">
        <v>45199</v>
      </c>
      <c r="C7381" s="51" t="s">
        <v>791</v>
      </c>
      <c r="D7381" s="51" t="n">
        <v>0</v>
      </c>
    </row>
    <row r="7382" customFormat="false" ht="15" hidden="true" customHeight="false" outlineLevel="0" collapsed="false">
      <c r="A7382" s="51" t="s">
        <v>134</v>
      </c>
      <c r="B7382" s="55" t="n">
        <v>45199</v>
      </c>
      <c r="C7382" s="51" t="s">
        <v>791</v>
      </c>
      <c r="D7382" s="51" t="n">
        <v>0</v>
      </c>
    </row>
    <row r="7383" customFormat="false" ht="15" hidden="true" customHeight="false" outlineLevel="0" collapsed="false">
      <c r="A7383" s="51" t="s">
        <v>141</v>
      </c>
      <c r="B7383" s="55" t="n">
        <v>45199</v>
      </c>
      <c r="C7383" s="51" t="s">
        <v>791</v>
      </c>
      <c r="D7383" s="51" t="n">
        <v>0</v>
      </c>
    </row>
    <row r="7384" customFormat="false" ht="15" hidden="true" customHeight="false" outlineLevel="0" collapsed="false">
      <c r="A7384" s="51" t="s">
        <v>146</v>
      </c>
      <c r="B7384" s="55" t="n">
        <v>45199</v>
      </c>
      <c r="C7384" s="51" t="s">
        <v>791</v>
      </c>
      <c r="D7384" s="51" t="n">
        <v>0</v>
      </c>
    </row>
    <row r="7385" customFormat="false" ht="15" hidden="true" customHeight="false" outlineLevel="0" collapsed="false">
      <c r="A7385" s="51" t="s">
        <v>151</v>
      </c>
      <c r="B7385" s="55" t="n">
        <v>45199</v>
      </c>
      <c r="C7385" s="51" t="s">
        <v>791</v>
      </c>
      <c r="D7385" s="51" t="n">
        <v>0</v>
      </c>
    </row>
    <row r="7386" customFormat="false" ht="15" hidden="true" customHeight="false" outlineLevel="0" collapsed="false">
      <c r="A7386" s="51" t="s">
        <v>156</v>
      </c>
      <c r="B7386" s="55" t="n">
        <v>45199</v>
      </c>
      <c r="C7386" s="51" t="s">
        <v>791</v>
      </c>
      <c r="D7386" s="51" t="n">
        <v>0</v>
      </c>
    </row>
    <row r="7387" customFormat="false" ht="15" hidden="true" customHeight="false" outlineLevel="0" collapsed="false">
      <c r="A7387" s="51" t="s">
        <v>161</v>
      </c>
      <c r="B7387" s="55" t="n">
        <v>45199</v>
      </c>
      <c r="C7387" s="51" t="s">
        <v>791</v>
      </c>
      <c r="D7387" s="51" t="n">
        <v>0</v>
      </c>
    </row>
    <row r="7388" customFormat="false" ht="15" hidden="true" customHeight="false" outlineLevel="0" collapsed="false">
      <c r="A7388" s="51" t="s">
        <v>166</v>
      </c>
      <c r="B7388" s="55" t="n">
        <v>45199</v>
      </c>
      <c r="C7388" s="51" t="s">
        <v>791</v>
      </c>
      <c r="D7388" s="51" t="n">
        <v>0</v>
      </c>
    </row>
    <row r="7389" customFormat="false" ht="15" hidden="true" customHeight="false" outlineLevel="0" collapsed="false">
      <c r="A7389" s="51" t="s">
        <v>171</v>
      </c>
      <c r="B7389" s="55" t="n">
        <v>45199</v>
      </c>
      <c r="C7389" s="51" t="s">
        <v>791</v>
      </c>
      <c r="D7389" s="51" t="n">
        <v>0</v>
      </c>
    </row>
    <row r="7390" customFormat="false" ht="15" hidden="true" customHeight="false" outlineLevel="0" collapsed="false">
      <c r="A7390" s="51" t="s">
        <v>176</v>
      </c>
      <c r="B7390" s="55" t="n">
        <v>45199</v>
      </c>
      <c r="C7390" s="51" t="s">
        <v>791</v>
      </c>
      <c r="D7390" s="51" t="n">
        <v>0</v>
      </c>
    </row>
    <row r="7391" customFormat="false" ht="15" hidden="true" customHeight="false" outlineLevel="0" collapsed="false">
      <c r="A7391" s="51" t="s">
        <v>181</v>
      </c>
      <c r="B7391" s="55" t="n">
        <v>45199</v>
      </c>
      <c r="C7391" s="51" t="s">
        <v>791</v>
      </c>
      <c r="D7391" s="51" t="n">
        <v>-362800</v>
      </c>
    </row>
    <row r="7392" customFormat="false" ht="15" hidden="true" customHeight="false" outlineLevel="0" collapsed="false">
      <c r="A7392" s="51" t="s">
        <v>186</v>
      </c>
      <c r="B7392" s="55" t="n">
        <v>45199</v>
      </c>
      <c r="C7392" s="51" t="s">
        <v>791</v>
      </c>
      <c r="D7392" s="51" t="n">
        <v>0</v>
      </c>
    </row>
    <row r="7393" customFormat="false" ht="15" hidden="true" customHeight="false" outlineLevel="0" collapsed="false">
      <c r="A7393" s="51" t="s">
        <v>191</v>
      </c>
      <c r="B7393" s="55" t="n">
        <v>45199</v>
      </c>
      <c r="C7393" s="51" t="s">
        <v>791</v>
      </c>
      <c r="D7393" s="51" t="n">
        <v>0</v>
      </c>
    </row>
    <row r="7394" customFormat="false" ht="15" hidden="true" customHeight="false" outlineLevel="0" collapsed="false">
      <c r="A7394" s="51" t="s">
        <v>196</v>
      </c>
      <c r="B7394" s="55" t="n">
        <v>45199</v>
      </c>
      <c r="C7394" s="51" t="s">
        <v>791</v>
      </c>
      <c r="D7394" s="51" t="n">
        <v>0</v>
      </c>
    </row>
    <row r="7395" customFormat="false" ht="15" hidden="true" customHeight="false" outlineLevel="0" collapsed="false">
      <c r="A7395" s="51" t="s">
        <v>201</v>
      </c>
      <c r="B7395" s="55" t="n">
        <v>45199</v>
      </c>
      <c r="C7395" s="51" t="s">
        <v>791</v>
      </c>
      <c r="D7395" s="51" t="n">
        <v>0</v>
      </c>
    </row>
    <row r="7396" customFormat="false" ht="15" hidden="true" customHeight="false" outlineLevel="0" collapsed="false">
      <c r="A7396" s="51" t="s">
        <v>206</v>
      </c>
      <c r="B7396" s="55" t="n">
        <v>45199</v>
      </c>
      <c r="C7396" s="51" t="s">
        <v>791</v>
      </c>
      <c r="D7396" s="51" t="n">
        <v>0</v>
      </c>
    </row>
    <row r="7397" customFormat="false" ht="15" hidden="true" customHeight="false" outlineLevel="0" collapsed="false">
      <c r="A7397" s="51" t="s">
        <v>210</v>
      </c>
      <c r="B7397" s="55" t="n">
        <v>45199</v>
      </c>
      <c r="C7397" s="51" t="s">
        <v>791</v>
      </c>
      <c r="D7397" s="51" t="n">
        <v>0</v>
      </c>
    </row>
    <row r="7398" customFormat="false" ht="15" hidden="true" customHeight="false" outlineLevel="0" collapsed="false">
      <c r="A7398" s="51" t="s">
        <v>215</v>
      </c>
      <c r="B7398" s="55" t="n">
        <v>45199</v>
      </c>
      <c r="C7398" s="51" t="s">
        <v>791</v>
      </c>
      <c r="D7398" s="51" t="n">
        <v>0</v>
      </c>
    </row>
    <row r="7399" customFormat="false" ht="15" hidden="true" customHeight="false" outlineLevel="0" collapsed="false">
      <c r="A7399" s="51" t="s">
        <v>790</v>
      </c>
      <c r="B7399" s="55" t="n">
        <v>45199</v>
      </c>
      <c r="C7399" s="51" t="s">
        <v>791</v>
      </c>
      <c r="D7399" s="51" t="n">
        <v>0</v>
      </c>
    </row>
    <row r="7400" customFormat="false" ht="15" hidden="true" customHeight="false" outlineLevel="0" collapsed="false">
      <c r="A7400" s="51" t="s">
        <v>225</v>
      </c>
      <c r="B7400" s="55" t="n">
        <v>45199</v>
      </c>
      <c r="C7400" s="51" t="s">
        <v>791</v>
      </c>
      <c r="D7400" s="51" t="n">
        <v>0</v>
      </c>
    </row>
    <row r="7401" customFormat="false" ht="15" hidden="true" customHeight="false" outlineLevel="0" collapsed="false">
      <c r="A7401" s="51" t="s">
        <v>230</v>
      </c>
      <c r="B7401" s="55" t="n">
        <v>45199</v>
      </c>
      <c r="C7401" s="51" t="s">
        <v>791</v>
      </c>
      <c r="D7401" s="51" t="n">
        <v>0</v>
      </c>
    </row>
    <row r="7402" customFormat="false" ht="15" hidden="true" customHeight="false" outlineLevel="0" collapsed="false">
      <c r="A7402" s="51" t="s">
        <v>235</v>
      </c>
      <c r="B7402" s="55" t="n">
        <v>45199</v>
      </c>
      <c r="C7402" s="51" t="s">
        <v>791</v>
      </c>
      <c r="D7402" s="51" t="n">
        <v>0</v>
      </c>
    </row>
    <row r="7403" customFormat="false" ht="15" hidden="true" customHeight="false" outlineLevel="0" collapsed="false">
      <c r="A7403" s="51" t="s">
        <v>240</v>
      </c>
      <c r="B7403" s="55" t="n">
        <v>45199</v>
      </c>
      <c r="C7403" s="51" t="s">
        <v>791</v>
      </c>
      <c r="D7403" s="51" t="n">
        <v>0</v>
      </c>
    </row>
    <row r="7404" customFormat="false" ht="15" hidden="true" customHeight="false" outlineLevel="0" collapsed="false">
      <c r="A7404" s="51" t="s">
        <v>246</v>
      </c>
      <c r="B7404" s="55" t="n">
        <v>45199</v>
      </c>
      <c r="C7404" s="51" t="s">
        <v>791</v>
      </c>
      <c r="D7404" s="51" t="n">
        <v>-750000</v>
      </c>
    </row>
    <row r="7405" customFormat="false" ht="15" hidden="true" customHeight="false" outlineLevel="0" collapsed="false">
      <c r="A7405" s="51" t="s">
        <v>252</v>
      </c>
      <c r="B7405" s="55" t="n">
        <v>45199</v>
      </c>
      <c r="C7405" s="51" t="s">
        <v>791</v>
      </c>
      <c r="D7405" s="51" t="n">
        <v>0</v>
      </c>
    </row>
    <row r="7406" customFormat="false" ht="15" hidden="true" customHeight="false" outlineLevel="0" collapsed="false">
      <c r="A7406" s="51" t="s">
        <v>257</v>
      </c>
      <c r="B7406" s="55" t="n">
        <v>45199</v>
      </c>
      <c r="C7406" s="51" t="s">
        <v>791</v>
      </c>
      <c r="D7406" s="51" t="n">
        <v>0</v>
      </c>
    </row>
    <row r="7407" customFormat="false" ht="15" hidden="true" customHeight="false" outlineLevel="0" collapsed="false">
      <c r="A7407" s="51" t="s">
        <v>262</v>
      </c>
      <c r="B7407" s="55" t="n">
        <v>45199</v>
      </c>
      <c r="C7407" s="51" t="s">
        <v>791</v>
      </c>
      <c r="D7407" s="51" t="n">
        <v>0</v>
      </c>
    </row>
    <row r="7408" customFormat="false" ht="15" hidden="true" customHeight="false" outlineLevel="0" collapsed="false">
      <c r="A7408" s="51" t="s">
        <v>267</v>
      </c>
      <c r="B7408" s="55" t="n">
        <v>45199</v>
      </c>
      <c r="C7408" s="51" t="s">
        <v>791</v>
      </c>
      <c r="D7408" s="51" t="n">
        <v>0</v>
      </c>
    </row>
    <row r="7409" customFormat="false" ht="15" hidden="true" customHeight="false" outlineLevel="0" collapsed="false">
      <c r="A7409" s="51" t="s">
        <v>272</v>
      </c>
      <c r="B7409" s="55" t="n">
        <v>45199</v>
      </c>
      <c r="C7409" s="51" t="s">
        <v>791</v>
      </c>
      <c r="D7409" s="51" t="n">
        <v>0</v>
      </c>
    </row>
    <row r="7410" customFormat="false" ht="15" hidden="true" customHeight="false" outlineLevel="0" collapsed="false">
      <c r="A7410" s="51" t="s">
        <v>277</v>
      </c>
      <c r="B7410" s="55" t="n">
        <v>45199</v>
      </c>
      <c r="C7410" s="51" t="s">
        <v>791</v>
      </c>
      <c r="D7410" s="51" t="n">
        <v>0</v>
      </c>
    </row>
    <row r="7411" customFormat="false" ht="15" hidden="true" customHeight="false" outlineLevel="0" collapsed="false">
      <c r="A7411" s="51" t="s">
        <v>282</v>
      </c>
      <c r="B7411" s="55" t="n">
        <v>45199</v>
      </c>
      <c r="C7411" s="51" t="s">
        <v>791</v>
      </c>
      <c r="D7411" s="51" t="n">
        <v>0</v>
      </c>
    </row>
    <row r="7412" customFormat="false" ht="15" hidden="true" customHeight="false" outlineLevel="0" collapsed="false">
      <c r="A7412" s="51" t="s">
        <v>287</v>
      </c>
      <c r="B7412" s="55" t="n">
        <v>45199</v>
      </c>
      <c r="C7412" s="51" t="s">
        <v>791</v>
      </c>
      <c r="D7412" s="51" t="n">
        <v>0</v>
      </c>
    </row>
    <row r="7413" customFormat="false" ht="15" hidden="true" customHeight="false" outlineLevel="0" collapsed="false">
      <c r="A7413" s="51" t="s">
        <v>292</v>
      </c>
      <c r="B7413" s="55" t="n">
        <v>45199</v>
      </c>
      <c r="C7413" s="51" t="s">
        <v>791</v>
      </c>
      <c r="D7413" s="51" t="n">
        <v>0</v>
      </c>
    </row>
    <row r="7414" customFormat="false" ht="15" hidden="true" customHeight="false" outlineLevel="0" collapsed="false">
      <c r="A7414" s="51" t="s">
        <v>297</v>
      </c>
      <c r="B7414" s="55" t="n">
        <v>45199</v>
      </c>
      <c r="C7414" s="51" t="s">
        <v>791</v>
      </c>
      <c r="D7414" s="51" t="n">
        <v>0</v>
      </c>
    </row>
    <row r="7415" customFormat="false" ht="15" hidden="true" customHeight="false" outlineLevel="0" collapsed="false">
      <c r="A7415" s="51" t="s">
        <v>302</v>
      </c>
      <c r="B7415" s="55" t="n">
        <v>45199</v>
      </c>
      <c r="C7415" s="51" t="s">
        <v>791</v>
      </c>
      <c r="D7415" s="51" t="n">
        <v>0</v>
      </c>
    </row>
    <row r="7416" customFormat="false" ht="15" hidden="true" customHeight="false" outlineLevel="0" collapsed="false">
      <c r="A7416" s="51" t="s">
        <v>307</v>
      </c>
      <c r="B7416" s="55" t="n">
        <v>45199</v>
      </c>
      <c r="C7416" s="51" t="s">
        <v>791</v>
      </c>
      <c r="D7416" s="51" t="n">
        <v>0</v>
      </c>
    </row>
    <row r="7417" customFormat="false" ht="15" hidden="true" customHeight="false" outlineLevel="0" collapsed="false">
      <c r="A7417" s="51" t="s">
        <v>311</v>
      </c>
      <c r="B7417" s="55" t="n">
        <v>45199</v>
      </c>
      <c r="C7417" s="51" t="s">
        <v>791</v>
      </c>
      <c r="D7417" s="51" t="n">
        <v>0</v>
      </c>
    </row>
    <row r="7418" customFormat="false" ht="15" hidden="true" customHeight="false" outlineLevel="0" collapsed="false">
      <c r="A7418" s="51" t="s">
        <v>317</v>
      </c>
      <c r="B7418" s="55" t="n">
        <v>45199</v>
      </c>
      <c r="C7418" s="51" t="s">
        <v>791</v>
      </c>
      <c r="D7418" s="51" t="n">
        <v>-561250</v>
      </c>
    </row>
    <row r="7419" customFormat="false" ht="15" hidden="true" customHeight="false" outlineLevel="0" collapsed="false">
      <c r="A7419" s="51" t="s">
        <v>322</v>
      </c>
      <c r="B7419" s="55" t="n">
        <v>45199</v>
      </c>
      <c r="C7419" s="51" t="s">
        <v>791</v>
      </c>
      <c r="D7419" s="51" t="n">
        <v>0</v>
      </c>
    </row>
    <row r="7420" customFormat="false" ht="15" hidden="true" customHeight="false" outlineLevel="0" collapsed="false">
      <c r="A7420" s="51" t="s">
        <v>327</v>
      </c>
      <c r="B7420" s="55" t="n">
        <v>45199</v>
      </c>
      <c r="C7420" s="51" t="s">
        <v>791</v>
      </c>
      <c r="D7420" s="51" t="n">
        <v>-200000</v>
      </c>
    </row>
    <row r="7421" customFormat="false" ht="15" hidden="true" customHeight="false" outlineLevel="0" collapsed="false">
      <c r="A7421" s="51" t="s">
        <v>332</v>
      </c>
      <c r="B7421" s="55" t="n">
        <v>45199</v>
      </c>
      <c r="C7421" s="51" t="s">
        <v>791</v>
      </c>
      <c r="D7421" s="51" t="n">
        <v>0</v>
      </c>
    </row>
    <row r="7422" customFormat="false" ht="15" hidden="true" customHeight="false" outlineLevel="0" collapsed="false">
      <c r="A7422" s="51" t="s">
        <v>339</v>
      </c>
      <c r="B7422" s="55" t="n">
        <v>45199</v>
      </c>
      <c r="C7422" s="51" t="s">
        <v>791</v>
      </c>
      <c r="D7422" s="51" t="n">
        <v>0</v>
      </c>
    </row>
    <row r="7423" customFormat="false" ht="15" hidden="true" customHeight="false" outlineLevel="0" collapsed="false">
      <c r="A7423" s="51" t="s">
        <v>344</v>
      </c>
      <c r="B7423" s="55" t="n">
        <v>45199</v>
      </c>
      <c r="C7423" s="51" t="s">
        <v>791</v>
      </c>
      <c r="D7423" s="51" t="n">
        <v>0</v>
      </c>
    </row>
    <row r="7424" customFormat="false" ht="15" hidden="true" customHeight="false" outlineLevel="0" collapsed="false">
      <c r="A7424" s="51" t="s">
        <v>349</v>
      </c>
      <c r="B7424" s="55" t="n">
        <v>45199</v>
      </c>
      <c r="C7424" s="51" t="s">
        <v>791</v>
      </c>
      <c r="D7424" s="51" t="n">
        <v>0</v>
      </c>
    </row>
    <row r="7425" customFormat="false" ht="15" hidden="true" customHeight="false" outlineLevel="0" collapsed="false">
      <c r="A7425" s="51" t="s">
        <v>354</v>
      </c>
      <c r="B7425" s="55" t="n">
        <v>45199</v>
      </c>
      <c r="C7425" s="51" t="s">
        <v>791</v>
      </c>
      <c r="D7425" s="51" t="n">
        <v>-668000</v>
      </c>
    </row>
    <row r="7426" customFormat="false" ht="15" hidden="true" customHeight="false" outlineLevel="0" collapsed="false">
      <c r="A7426" s="51" t="s">
        <v>359</v>
      </c>
      <c r="B7426" s="55" t="n">
        <v>45199</v>
      </c>
      <c r="C7426" s="51" t="s">
        <v>791</v>
      </c>
      <c r="D7426" s="51" t="n">
        <v>-263699.48</v>
      </c>
    </row>
    <row r="7427" customFormat="false" ht="15" hidden="true" customHeight="false" outlineLevel="0" collapsed="false">
      <c r="A7427" s="51" t="s">
        <v>364</v>
      </c>
      <c r="B7427" s="55" t="n">
        <v>45199</v>
      </c>
      <c r="C7427" s="51" t="s">
        <v>791</v>
      </c>
      <c r="D7427" s="51" t="n">
        <v>0</v>
      </c>
    </row>
    <row r="7428" customFormat="false" ht="15" hidden="true" customHeight="false" outlineLevel="0" collapsed="false">
      <c r="A7428" s="51" t="s">
        <v>369</v>
      </c>
      <c r="B7428" s="55" t="n">
        <v>45199</v>
      </c>
      <c r="C7428" s="51" t="s">
        <v>791</v>
      </c>
      <c r="D7428" s="51" t="n">
        <v>-325000</v>
      </c>
    </row>
    <row r="7429" customFormat="false" ht="15" hidden="true" customHeight="false" outlineLevel="0" collapsed="false">
      <c r="A7429" s="51" t="s">
        <v>374</v>
      </c>
      <c r="B7429" s="55" t="n">
        <v>45199</v>
      </c>
      <c r="C7429" s="51" t="s">
        <v>791</v>
      </c>
      <c r="D7429" s="51" t="n">
        <v>-243000</v>
      </c>
    </row>
    <row r="7430" customFormat="false" ht="15" hidden="true" customHeight="false" outlineLevel="0" collapsed="false">
      <c r="A7430" s="51" t="s">
        <v>379</v>
      </c>
      <c r="B7430" s="55" t="n">
        <v>45199</v>
      </c>
      <c r="C7430" s="51" t="s">
        <v>791</v>
      </c>
      <c r="D7430" s="51" t="n">
        <v>-722221.17</v>
      </c>
    </row>
    <row r="7431" customFormat="false" ht="15" hidden="true" customHeight="false" outlineLevel="0" collapsed="false">
      <c r="A7431" s="51" t="s">
        <v>384</v>
      </c>
      <c r="B7431" s="55" t="n">
        <v>45199</v>
      </c>
      <c r="C7431" s="51" t="s">
        <v>791</v>
      </c>
      <c r="D7431" s="51" t="n">
        <v>-187500</v>
      </c>
    </row>
    <row r="7432" customFormat="false" ht="15" hidden="true" customHeight="false" outlineLevel="0" collapsed="false">
      <c r="A7432" s="51" t="s">
        <v>389</v>
      </c>
      <c r="B7432" s="55" t="n">
        <v>45199</v>
      </c>
      <c r="C7432" s="51" t="s">
        <v>791</v>
      </c>
      <c r="D7432" s="51" t="n">
        <v>-2625914.0997067</v>
      </c>
    </row>
    <row r="7433" customFormat="false" ht="15" hidden="true" customHeight="false" outlineLevel="0" collapsed="false">
      <c r="A7433" s="51" t="s">
        <v>394</v>
      </c>
      <c r="B7433" s="55" t="n">
        <v>45199</v>
      </c>
      <c r="C7433" s="51" t="s">
        <v>791</v>
      </c>
      <c r="D7433" s="51" t="n">
        <v>0</v>
      </c>
    </row>
    <row r="7434" customFormat="false" ht="15" hidden="true" customHeight="false" outlineLevel="0" collapsed="false">
      <c r="A7434" s="51" t="s">
        <v>399</v>
      </c>
      <c r="B7434" s="55" t="n">
        <v>45199</v>
      </c>
      <c r="C7434" s="51" t="s">
        <v>791</v>
      </c>
      <c r="D7434" s="51" t="n">
        <v>-500000</v>
      </c>
    </row>
    <row r="7435" customFormat="false" ht="15" hidden="true" customHeight="false" outlineLevel="0" collapsed="false">
      <c r="A7435" s="51" t="s">
        <v>404</v>
      </c>
      <c r="B7435" s="55" t="n">
        <v>45199</v>
      </c>
      <c r="C7435" s="51" t="s">
        <v>791</v>
      </c>
      <c r="D7435" s="51" t="n">
        <v>5520000</v>
      </c>
    </row>
    <row r="7436" customFormat="false" ht="15" hidden="true" customHeight="false" outlineLevel="0" collapsed="false">
      <c r="A7436" s="51" t="s">
        <v>409</v>
      </c>
      <c r="B7436" s="55" t="n">
        <v>45199</v>
      </c>
      <c r="C7436" s="51" t="s">
        <v>791</v>
      </c>
      <c r="D7436" s="51" t="n">
        <v>0</v>
      </c>
    </row>
    <row r="7437" customFormat="false" ht="15" hidden="true" customHeight="false" outlineLevel="0" collapsed="false">
      <c r="A7437" s="51" t="s">
        <v>414</v>
      </c>
      <c r="B7437" s="55" t="n">
        <v>45199</v>
      </c>
      <c r="C7437" s="51" t="s">
        <v>791</v>
      </c>
      <c r="D7437" s="51" t="n">
        <v>790239</v>
      </c>
    </row>
    <row r="7438" customFormat="false" ht="15" hidden="true" customHeight="false" outlineLevel="0" collapsed="false">
      <c r="A7438" s="51" t="s">
        <v>419</v>
      </c>
      <c r="B7438" s="55" t="n">
        <v>45199</v>
      </c>
      <c r="C7438" s="51" t="s">
        <v>791</v>
      </c>
      <c r="D7438" s="51" t="n">
        <v>-1900000</v>
      </c>
    </row>
    <row r="7439" customFormat="false" ht="15" hidden="true" customHeight="false" outlineLevel="0" collapsed="false">
      <c r="A7439" s="51" t="s">
        <v>424</v>
      </c>
      <c r="B7439" s="55" t="n">
        <v>45199</v>
      </c>
      <c r="C7439" s="51" t="s">
        <v>791</v>
      </c>
      <c r="D7439" s="51" t="n">
        <v>1710000</v>
      </c>
    </row>
    <row r="7440" customFormat="false" ht="15" hidden="true" customHeight="false" outlineLevel="0" collapsed="false">
      <c r="A7440" s="51" t="s">
        <v>429</v>
      </c>
      <c r="B7440" s="55" t="n">
        <v>45199</v>
      </c>
      <c r="C7440" s="51" t="s">
        <v>791</v>
      </c>
      <c r="D7440" s="51" t="n">
        <v>500000</v>
      </c>
    </row>
    <row r="7441" customFormat="false" ht="15" hidden="true" customHeight="false" outlineLevel="0" collapsed="false">
      <c r="A7441" s="51" t="s">
        <v>434</v>
      </c>
      <c r="B7441" s="55" t="n">
        <v>45199</v>
      </c>
      <c r="C7441" s="51" t="s">
        <v>791</v>
      </c>
      <c r="D7441" s="51" t="n">
        <v>4100000</v>
      </c>
    </row>
    <row r="7442" customFormat="false" ht="15" hidden="true" customHeight="false" outlineLevel="0" collapsed="false">
      <c r="A7442" s="51" t="s">
        <v>438</v>
      </c>
      <c r="B7442" s="55" t="n">
        <v>45199</v>
      </c>
      <c r="C7442" s="51" t="s">
        <v>791</v>
      </c>
      <c r="D7442" s="51" t="n">
        <v>3000000</v>
      </c>
    </row>
    <row r="7443" customFormat="false" ht="15" hidden="true" customHeight="false" outlineLevel="0" collapsed="false">
      <c r="A7443" s="51" t="s">
        <v>443</v>
      </c>
      <c r="B7443" s="55" t="n">
        <v>45199</v>
      </c>
      <c r="C7443" s="51" t="s">
        <v>791</v>
      </c>
      <c r="D7443" s="51" t="n">
        <v>3134250</v>
      </c>
    </row>
    <row r="7444" customFormat="false" ht="15" hidden="true" customHeight="false" outlineLevel="0" collapsed="false">
      <c r="A7444" s="51" t="s">
        <v>448</v>
      </c>
      <c r="B7444" s="55" t="n">
        <v>45199</v>
      </c>
      <c r="C7444" s="51" t="s">
        <v>791</v>
      </c>
      <c r="D7444" s="51" t="n">
        <v>385000</v>
      </c>
    </row>
    <row r="7445" customFormat="false" ht="15" hidden="true" customHeight="false" outlineLevel="0" collapsed="false">
      <c r="A7445" s="51" t="s">
        <v>453</v>
      </c>
      <c r="B7445" s="55" t="n">
        <v>45199</v>
      </c>
      <c r="C7445" s="51" t="s">
        <v>791</v>
      </c>
      <c r="D7445" s="51" t="n">
        <v>0</v>
      </c>
    </row>
    <row r="7446" customFormat="false" ht="15" hidden="true" customHeight="false" outlineLevel="0" collapsed="false">
      <c r="A7446" s="51" t="s">
        <v>458</v>
      </c>
      <c r="B7446" s="55" t="n">
        <v>45199</v>
      </c>
      <c r="C7446" s="51" t="s">
        <v>791</v>
      </c>
      <c r="D7446" s="51" t="n">
        <v>0</v>
      </c>
    </row>
    <row r="7447" customFormat="false" ht="15" hidden="true" customHeight="false" outlineLevel="0" collapsed="false">
      <c r="A7447" s="51" t="s">
        <v>473</v>
      </c>
      <c r="B7447" s="55" t="n">
        <v>45199</v>
      </c>
      <c r="C7447" s="51" t="s">
        <v>791</v>
      </c>
      <c r="D7447" s="51" t="n">
        <v>0</v>
      </c>
    </row>
    <row r="7448" customFormat="false" ht="15" hidden="true" customHeight="false" outlineLevel="0" collapsed="false">
      <c r="A7448" s="51" t="s">
        <v>479</v>
      </c>
      <c r="B7448" s="55" t="n">
        <v>45199</v>
      </c>
      <c r="C7448" s="51" t="s">
        <v>791</v>
      </c>
      <c r="D7448" s="51" t="n">
        <v>0</v>
      </c>
    </row>
    <row r="7449" customFormat="false" ht="15" hidden="true" customHeight="false" outlineLevel="0" collapsed="false">
      <c r="A7449" s="51" t="s">
        <v>484</v>
      </c>
      <c r="B7449" s="55" t="n">
        <v>45199</v>
      </c>
      <c r="C7449" s="51" t="s">
        <v>791</v>
      </c>
      <c r="D7449" s="51" t="n">
        <v>0</v>
      </c>
    </row>
    <row r="7450" customFormat="false" ht="15" hidden="true" customHeight="false" outlineLevel="0" collapsed="false">
      <c r="A7450" s="51" t="s">
        <v>489</v>
      </c>
      <c r="B7450" s="55" t="n">
        <v>45199</v>
      </c>
      <c r="C7450" s="51" t="s">
        <v>791</v>
      </c>
      <c r="D7450" s="51" t="n">
        <v>0</v>
      </c>
    </row>
    <row r="7451" customFormat="false" ht="15" hidden="true" customHeight="false" outlineLevel="0" collapsed="false">
      <c r="A7451" s="51" t="s">
        <v>494</v>
      </c>
      <c r="B7451" s="55" t="n">
        <v>45199</v>
      </c>
      <c r="C7451" s="51" t="s">
        <v>791</v>
      </c>
      <c r="D7451" s="51" t="n">
        <v>0</v>
      </c>
    </row>
    <row r="7452" customFormat="false" ht="15" hidden="true" customHeight="false" outlineLevel="0" collapsed="false">
      <c r="A7452" s="51" t="s">
        <v>499</v>
      </c>
      <c r="B7452" s="55" t="n">
        <v>45199</v>
      </c>
      <c r="C7452" s="51" t="s">
        <v>791</v>
      </c>
      <c r="D7452" s="51" t="n">
        <v>0</v>
      </c>
    </row>
    <row r="7453" customFormat="false" ht="15" hidden="true" customHeight="false" outlineLevel="0" collapsed="false">
      <c r="A7453" s="51" t="s">
        <v>504</v>
      </c>
      <c r="B7453" s="55" t="n">
        <v>45199</v>
      </c>
      <c r="C7453" s="51" t="s">
        <v>791</v>
      </c>
      <c r="D7453" s="51" t="n">
        <v>0</v>
      </c>
    </row>
    <row r="7454" customFormat="false" ht="15" hidden="true" customHeight="false" outlineLevel="0" collapsed="false">
      <c r="A7454" s="51" t="s">
        <v>509</v>
      </c>
      <c r="B7454" s="55" t="n">
        <v>45199</v>
      </c>
      <c r="C7454" s="51" t="s">
        <v>791</v>
      </c>
      <c r="D7454" s="51" t="n">
        <v>0</v>
      </c>
    </row>
    <row r="7455" customFormat="false" ht="15" hidden="true" customHeight="false" outlineLevel="0" collapsed="false">
      <c r="A7455" s="51" t="s">
        <v>515</v>
      </c>
      <c r="B7455" s="55" t="n">
        <v>45199</v>
      </c>
      <c r="C7455" s="51" t="s">
        <v>791</v>
      </c>
      <c r="D7455" s="51" t="n">
        <v>0</v>
      </c>
    </row>
    <row r="7456" customFormat="false" ht="15" hidden="true" customHeight="false" outlineLevel="0" collapsed="false">
      <c r="A7456" s="51" t="s">
        <v>520</v>
      </c>
      <c r="B7456" s="55" t="n">
        <v>45199</v>
      </c>
      <c r="C7456" s="51" t="s">
        <v>791</v>
      </c>
      <c r="D7456" s="51" t="n">
        <v>0</v>
      </c>
    </row>
    <row r="7457" customFormat="false" ht="15" hidden="true" customHeight="false" outlineLevel="0" collapsed="false">
      <c r="A7457" s="51" t="s">
        <v>525</v>
      </c>
      <c r="B7457" s="55" t="n">
        <v>45199</v>
      </c>
      <c r="C7457" s="51" t="s">
        <v>791</v>
      </c>
      <c r="D7457" s="51" t="n">
        <v>0</v>
      </c>
    </row>
    <row r="7458" customFormat="false" ht="15" hidden="true" customHeight="false" outlineLevel="0" collapsed="false">
      <c r="A7458" s="51" t="s">
        <v>531</v>
      </c>
      <c r="B7458" s="55" t="n">
        <v>45199</v>
      </c>
      <c r="C7458" s="51" t="s">
        <v>791</v>
      </c>
      <c r="D7458" s="51" t="n">
        <v>0</v>
      </c>
    </row>
    <row r="7459" customFormat="false" ht="15" hidden="true" customHeight="false" outlineLevel="0" collapsed="false">
      <c r="A7459" s="51" t="s">
        <v>536</v>
      </c>
      <c r="B7459" s="55" t="n">
        <v>45199</v>
      </c>
      <c r="C7459" s="51" t="s">
        <v>791</v>
      </c>
      <c r="D7459" s="51" t="n">
        <v>0</v>
      </c>
    </row>
    <row r="7460" customFormat="false" ht="15" hidden="true" customHeight="false" outlineLevel="0" collapsed="false">
      <c r="A7460" s="51" t="s">
        <v>541</v>
      </c>
      <c r="B7460" s="55" t="n">
        <v>45199</v>
      </c>
      <c r="C7460" s="51" t="s">
        <v>791</v>
      </c>
      <c r="D7460" s="51" t="n">
        <v>0</v>
      </c>
    </row>
    <row r="7461" customFormat="false" ht="15" hidden="true" customHeight="false" outlineLevel="0" collapsed="false">
      <c r="A7461" s="51" t="s">
        <v>549</v>
      </c>
      <c r="B7461" s="55" t="n">
        <v>45199</v>
      </c>
      <c r="C7461" s="51" t="s">
        <v>791</v>
      </c>
      <c r="D7461" s="51" t="n">
        <v>0</v>
      </c>
    </row>
    <row r="7462" customFormat="false" ht="15" hidden="true" customHeight="false" outlineLevel="0" collapsed="false">
      <c r="A7462" s="51" t="s">
        <v>554</v>
      </c>
      <c r="B7462" s="55" t="n">
        <v>45199</v>
      </c>
      <c r="C7462" s="51" t="s">
        <v>791</v>
      </c>
      <c r="D7462" s="51" t="n">
        <v>0</v>
      </c>
    </row>
    <row r="7463" customFormat="false" ht="15" hidden="true" customHeight="false" outlineLevel="0" collapsed="false">
      <c r="A7463" s="51" t="s">
        <v>559</v>
      </c>
      <c r="B7463" s="55" t="n">
        <v>45199</v>
      </c>
      <c r="C7463" s="51" t="s">
        <v>791</v>
      </c>
      <c r="D7463" s="51" t="n">
        <v>0</v>
      </c>
    </row>
    <row r="7464" customFormat="false" ht="15" hidden="true" customHeight="false" outlineLevel="0" collapsed="false">
      <c r="A7464" s="51" t="s">
        <v>564</v>
      </c>
      <c r="B7464" s="55" t="n">
        <v>45199</v>
      </c>
      <c r="C7464" s="51" t="s">
        <v>791</v>
      </c>
      <c r="D7464" s="51" t="n">
        <v>0</v>
      </c>
    </row>
    <row r="7465" customFormat="false" ht="15" hidden="true" customHeight="false" outlineLevel="0" collapsed="false">
      <c r="A7465" s="51" t="s">
        <v>569</v>
      </c>
      <c r="B7465" s="55" t="n">
        <v>45199</v>
      </c>
      <c r="C7465" s="51" t="s">
        <v>791</v>
      </c>
      <c r="D7465" s="51" t="n">
        <v>0</v>
      </c>
    </row>
    <row r="7466" customFormat="false" ht="15" hidden="true" customHeight="false" outlineLevel="0" collapsed="false">
      <c r="A7466" s="51" t="s">
        <v>574</v>
      </c>
      <c r="B7466" s="55" t="n">
        <v>45199</v>
      </c>
      <c r="C7466" s="51" t="s">
        <v>791</v>
      </c>
      <c r="D7466" s="51" t="n">
        <v>0</v>
      </c>
    </row>
    <row r="7467" customFormat="false" ht="15" hidden="true" customHeight="false" outlineLevel="0" collapsed="false">
      <c r="A7467" s="51" t="s">
        <v>579</v>
      </c>
      <c r="B7467" s="55" t="n">
        <v>45199</v>
      </c>
      <c r="C7467" s="51" t="s">
        <v>791</v>
      </c>
      <c r="D7467" s="51" t="n">
        <v>0</v>
      </c>
    </row>
    <row r="7468" customFormat="false" ht="15" hidden="true" customHeight="false" outlineLevel="0" collapsed="false">
      <c r="A7468" s="51" t="s">
        <v>584</v>
      </c>
      <c r="B7468" s="55" t="n">
        <v>45199</v>
      </c>
      <c r="C7468" s="51" t="s">
        <v>791</v>
      </c>
      <c r="D7468" s="51" t="n">
        <v>0</v>
      </c>
    </row>
    <row r="7469" customFormat="false" ht="15" hidden="true" customHeight="false" outlineLevel="0" collapsed="false">
      <c r="A7469" s="51" t="s">
        <v>589</v>
      </c>
      <c r="B7469" s="55" t="n">
        <v>45199</v>
      </c>
      <c r="C7469" s="51" t="s">
        <v>791</v>
      </c>
      <c r="D7469" s="51" t="n">
        <v>0</v>
      </c>
    </row>
    <row r="7470" customFormat="false" ht="15" hidden="true" customHeight="false" outlineLevel="0" collapsed="false">
      <c r="A7470" s="51" t="s">
        <v>756</v>
      </c>
      <c r="B7470" s="55" t="n">
        <v>45199</v>
      </c>
      <c r="C7470" s="51" t="s">
        <v>791</v>
      </c>
      <c r="D7470" s="51" t="n">
        <v>0</v>
      </c>
    </row>
    <row r="7471" customFormat="false" ht="15" hidden="true" customHeight="false" outlineLevel="0" collapsed="false">
      <c r="A7471" s="51" t="s">
        <v>594</v>
      </c>
      <c r="B7471" s="55" t="n">
        <v>45199</v>
      </c>
      <c r="C7471" s="51" t="s">
        <v>791</v>
      </c>
      <c r="D7471" s="51" t="n">
        <v>0</v>
      </c>
    </row>
    <row r="7472" customFormat="false" ht="15" hidden="true" customHeight="false" outlineLevel="0" collapsed="false">
      <c r="A7472" s="51" t="s">
        <v>761</v>
      </c>
      <c r="B7472" s="55" t="n">
        <v>45199</v>
      </c>
      <c r="C7472" s="51" t="s">
        <v>791</v>
      </c>
      <c r="D7472" s="51" t="n">
        <v>0</v>
      </c>
    </row>
    <row r="7473" customFormat="false" ht="15" hidden="true" customHeight="false" outlineLevel="0" collapsed="false">
      <c r="A7473" s="51" t="s">
        <v>599</v>
      </c>
      <c r="B7473" s="55" t="n">
        <v>45199</v>
      </c>
      <c r="C7473" s="51" t="s">
        <v>791</v>
      </c>
      <c r="D7473" s="51" t="n">
        <v>0</v>
      </c>
    </row>
    <row r="7474" customFormat="false" ht="15" hidden="true" customHeight="false" outlineLevel="0" collapsed="false">
      <c r="A7474" s="51" t="s">
        <v>604</v>
      </c>
      <c r="B7474" s="55" t="n">
        <v>45199</v>
      </c>
      <c r="C7474" s="51" t="s">
        <v>791</v>
      </c>
      <c r="D7474" s="51" t="n">
        <v>0</v>
      </c>
    </row>
    <row r="7475" customFormat="false" ht="15" hidden="true" customHeight="false" outlineLevel="0" collapsed="false">
      <c r="A7475" s="51" t="s">
        <v>609</v>
      </c>
      <c r="B7475" s="55" t="n">
        <v>45199</v>
      </c>
      <c r="C7475" s="51" t="s">
        <v>791</v>
      </c>
      <c r="D7475" s="51" t="n">
        <v>0</v>
      </c>
    </row>
    <row r="7476" customFormat="false" ht="15" hidden="true" customHeight="false" outlineLevel="0" collapsed="false">
      <c r="A7476" s="51" t="s">
        <v>614</v>
      </c>
      <c r="B7476" s="55" t="n">
        <v>45199</v>
      </c>
      <c r="C7476" s="51" t="s">
        <v>791</v>
      </c>
      <c r="D7476" s="51" t="n">
        <v>0</v>
      </c>
    </row>
    <row r="7477" customFormat="false" ht="15" hidden="true" customHeight="false" outlineLevel="0" collapsed="false">
      <c r="A7477" s="51" t="s">
        <v>619</v>
      </c>
      <c r="B7477" s="55" t="n">
        <v>45199</v>
      </c>
      <c r="C7477" s="51" t="s">
        <v>791</v>
      </c>
      <c r="D7477" s="51" t="n">
        <v>0</v>
      </c>
    </row>
    <row r="7478" customFormat="false" ht="15" hidden="true" customHeight="false" outlineLevel="0" collapsed="false">
      <c r="A7478" s="51" t="s">
        <v>624</v>
      </c>
      <c r="B7478" s="55" t="n">
        <v>45199</v>
      </c>
      <c r="C7478" s="51" t="s">
        <v>791</v>
      </c>
      <c r="D7478" s="51" t="n">
        <v>0</v>
      </c>
    </row>
    <row r="7479" customFormat="false" ht="15" hidden="true" customHeight="false" outlineLevel="0" collapsed="false">
      <c r="A7479" s="51" t="s">
        <v>629</v>
      </c>
      <c r="B7479" s="55" t="n">
        <v>45199</v>
      </c>
      <c r="C7479" s="51" t="s">
        <v>791</v>
      </c>
      <c r="D7479" s="51" t="n">
        <v>0</v>
      </c>
    </row>
    <row r="7480" customFormat="false" ht="15" hidden="true" customHeight="false" outlineLevel="0" collapsed="false">
      <c r="A7480" s="51" t="s">
        <v>633</v>
      </c>
      <c r="B7480" s="55" t="n">
        <v>45199</v>
      </c>
      <c r="C7480" s="51" t="s">
        <v>791</v>
      </c>
      <c r="D7480" s="51" t="n">
        <v>0</v>
      </c>
    </row>
    <row r="7481" customFormat="false" ht="15" hidden="true" customHeight="false" outlineLevel="0" collapsed="false">
      <c r="A7481" s="51" t="s">
        <v>638</v>
      </c>
      <c r="B7481" s="55" t="n">
        <v>45199</v>
      </c>
      <c r="C7481" s="51" t="s">
        <v>791</v>
      </c>
      <c r="D7481" s="51" t="n">
        <v>0</v>
      </c>
    </row>
    <row r="7482" customFormat="false" ht="15" hidden="true" customHeight="false" outlineLevel="0" collapsed="false">
      <c r="A7482" s="51" t="s">
        <v>642</v>
      </c>
      <c r="B7482" s="55" t="n">
        <v>45199</v>
      </c>
      <c r="C7482" s="51" t="s">
        <v>791</v>
      </c>
      <c r="D7482" s="51" t="n">
        <v>0</v>
      </c>
    </row>
    <row r="7483" customFormat="false" ht="15" hidden="true" customHeight="false" outlineLevel="0" collapsed="false">
      <c r="A7483" s="51" t="s">
        <v>646</v>
      </c>
      <c r="B7483" s="55" t="n">
        <v>45199</v>
      </c>
      <c r="C7483" s="51" t="s">
        <v>791</v>
      </c>
      <c r="D7483" s="51" t="n">
        <v>0</v>
      </c>
    </row>
    <row r="7484" customFormat="false" ht="15" hidden="true" customHeight="false" outlineLevel="0" collapsed="false">
      <c r="A7484" s="51" t="s">
        <v>651</v>
      </c>
      <c r="B7484" s="55" t="n">
        <v>45199</v>
      </c>
      <c r="C7484" s="51" t="s">
        <v>791</v>
      </c>
      <c r="D7484" s="51" t="n">
        <v>0</v>
      </c>
    </row>
    <row r="7485" customFormat="false" ht="15" hidden="true" customHeight="false" outlineLevel="0" collapsed="false">
      <c r="A7485" s="51" t="s">
        <v>656</v>
      </c>
      <c r="B7485" s="55" t="n">
        <v>45199</v>
      </c>
      <c r="C7485" s="51" t="s">
        <v>791</v>
      </c>
      <c r="D7485" s="51" t="n">
        <v>0</v>
      </c>
    </row>
    <row r="7486" customFormat="false" ht="15" hidden="true" customHeight="false" outlineLevel="0" collapsed="false">
      <c r="A7486" s="51" t="s">
        <v>661</v>
      </c>
      <c r="B7486" s="55" t="n">
        <v>45199</v>
      </c>
      <c r="C7486" s="51" t="s">
        <v>791</v>
      </c>
      <c r="D7486" s="51" t="n">
        <v>0</v>
      </c>
    </row>
    <row r="7487" customFormat="false" ht="15" hidden="true" customHeight="false" outlineLevel="0" collapsed="false">
      <c r="A7487" s="51" t="s">
        <v>666</v>
      </c>
      <c r="B7487" s="55" t="n">
        <v>45199</v>
      </c>
      <c r="C7487" s="51" t="s">
        <v>791</v>
      </c>
      <c r="D7487" s="51" t="n">
        <v>0</v>
      </c>
    </row>
    <row r="7488" customFormat="false" ht="15" hidden="true" customHeight="false" outlineLevel="0" collapsed="false">
      <c r="A7488" s="51" t="s">
        <v>671</v>
      </c>
      <c r="B7488" s="55" t="n">
        <v>45199</v>
      </c>
      <c r="C7488" s="51" t="s">
        <v>791</v>
      </c>
      <c r="D7488" s="51" t="n">
        <v>0</v>
      </c>
    </row>
    <row r="7489" customFormat="false" ht="15" hidden="true" customHeight="false" outlineLevel="0" collapsed="false">
      <c r="A7489" s="51" t="s">
        <v>676</v>
      </c>
      <c r="B7489" s="55" t="n">
        <v>45199</v>
      </c>
      <c r="C7489" s="51" t="s">
        <v>791</v>
      </c>
      <c r="D7489" s="51" t="n">
        <v>0</v>
      </c>
    </row>
    <row r="7490" customFormat="false" ht="15" hidden="true" customHeight="false" outlineLevel="0" collapsed="false">
      <c r="A7490" s="51" t="s">
        <v>681</v>
      </c>
      <c r="B7490" s="55" t="n">
        <v>45199</v>
      </c>
      <c r="C7490" s="51" t="s">
        <v>791</v>
      </c>
      <c r="D7490" s="51" t="n">
        <v>0</v>
      </c>
    </row>
    <row r="7491" customFormat="false" ht="15" hidden="true" customHeight="false" outlineLevel="0" collapsed="false">
      <c r="A7491" s="51" t="s">
        <v>686</v>
      </c>
      <c r="B7491" s="55" t="n">
        <v>45199</v>
      </c>
      <c r="C7491" s="51" t="s">
        <v>791</v>
      </c>
      <c r="D7491" s="51" t="n">
        <v>0</v>
      </c>
    </row>
    <row r="7492" customFormat="false" ht="15" hidden="true" customHeight="false" outlineLevel="0" collapsed="false">
      <c r="A7492" s="51" t="s">
        <v>691</v>
      </c>
      <c r="B7492" s="55" t="n">
        <v>45199</v>
      </c>
      <c r="C7492" s="51" t="s">
        <v>791</v>
      </c>
      <c r="D7492" s="51" t="n">
        <v>0</v>
      </c>
    </row>
    <row r="7493" customFormat="false" ht="15" hidden="true" customHeight="false" outlineLevel="0" collapsed="false">
      <c r="A7493" s="51" t="s">
        <v>696</v>
      </c>
      <c r="B7493" s="55" t="n">
        <v>45199</v>
      </c>
      <c r="C7493" s="51" t="s">
        <v>791</v>
      </c>
      <c r="D7493" s="51" t="n">
        <v>0</v>
      </c>
    </row>
    <row r="7494" customFormat="false" ht="15" hidden="true" customHeight="false" outlineLevel="0" collapsed="false">
      <c r="A7494" s="51" t="s">
        <v>701</v>
      </c>
      <c r="B7494" s="55" t="n">
        <v>45199</v>
      </c>
      <c r="C7494" s="51" t="s">
        <v>791</v>
      </c>
      <c r="D7494" s="51" t="n">
        <v>0</v>
      </c>
    </row>
    <row r="7495" customFormat="false" ht="15" hidden="true" customHeight="false" outlineLevel="0" collapsed="false">
      <c r="A7495" s="51" t="s">
        <v>707</v>
      </c>
      <c r="B7495" s="55" t="n">
        <v>45199</v>
      </c>
      <c r="C7495" s="51" t="s">
        <v>791</v>
      </c>
      <c r="D7495" s="51" t="n">
        <v>0</v>
      </c>
    </row>
    <row r="7496" customFormat="false" ht="15" hidden="true" customHeight="false" outlineLevel="0" collapsed="false">
      <c r="A7496" s="51" t="s">
        <v>712</v>
      </c>
      <c r="B7496" s="55" t="n">
        <v>45199</v>
      </c>
      <c r="C7496" s="51" t="s">
        <v>791</v>
      </c>
      <c r="D7496" s="51" t="n">
        <v>0</v>
      </c>
    </row>
    <row r="7497" customFormat="false" ht="15" hidden="true" customHeight="false" outlineLevel="0" collapsed="false">
      <c r="A7497" s="51" t="s">
        <v>717</v>
      </c>
      <c r="B7497" s="55" t="n">
        <v>45199</v>
      </c>
      <c r="C7497" s="51" t="s">
        <v>791</v>
      </c>
      <c r="D7497" s="51" t="n">
        <v>0</v>
      </c>
    </row>
    <row r="7498" customFormat="false" ht="15" hidden="true" customHeight="false" outlineLevel="0" collapsed="false">
      <c r="A7498" s="51" t="s">
        <v>767</v>
      </c>
      <c r="B7498" s="55" t="n">
        <v>45199</v>
      </c>
      <c r="C7498" s="51" t="s">
        <v>791</v>
      </c>
      <c r="D7498" s="51" t="n">
        <v>0</v>
      </c>
    </row>
    <row r="7499" customFormat="false" ht="15" hidden="true" customHeight="false" outlineLevel="0" collapsed="false">
      <c r="A7499" s="51" t="s">
        <v>722</v>
      </c>
      <c r="B7499" s="55" t="n">
        <v>45199</v>
      </c>
      <c r="C7499" s="51" t="s">
        <v>791</v>
      </c>
      <c r="D7499" s="51" t="n">
        <v>0</v>
      </c>
    </row>
    <row r="7500" customFormat="false" ht="15" hidden="true" customHeight="false" outlineLevel="0" collapsed="false">
      <c r="A7500" s="51" t="s">
        <v>727</v>
      </c>
      <c r="B7500" s="55" t="n">
        <v>45199</v>
      </c>
      <c r="C7500" s="51" t="s">
        <v>791</v>
      </c>
      <c r="D7500" s="51" t="n">
        <v>0</v>
      </c>
    </row>
    <row r="7501" customFormat="false" ht="15" hidden="true" customHeight="false" outlineLevel="0" collapsed="false">
      <c r="A7501" s="51" t="s">
        <v>732</v>
      </c>
      <c r="B7501" s="55" t="n">
        <v>45199</v>
      </c>
      <c r="C7501" s="51" t="s">
        <v>791</v>
      </c>
      <c r="D7501" s="51" t="n">
        <v>0</v>
      </c>
    </row>
    <row r="7502" customFormat="false" ht="15" hidden="true" customHeight="false" outlineLevel="0" collapsed="false">
      <c r="A7502" s="51" t="s">
        <v>736</v>
      </c>
      <c r="B7502" s="55" t="n">
        <v>45199</v>
      </c>
      <c r="C7502" s="51" t="s">
        <v>791</v>
      </c>
      <c r="D7502" s="51" t="n">
        <v>0</v>
      </c>
    </row>
    <row r="7503" customFormat="false" ht="15" hidden="true" customHeight="false" outlineLevel="0" collapsed="false">
      <c r="A7503" s="51" t="s">
        <v>741</v>
      </c>
      <c r="B7503" s="55" t="n">
        <v>45199</v>
      </c>
      <c r="C7503" s="51" t="s">
        <v>791</v>
      </c>
      <c r="D7503" s="51" t="n">
        <v>0</v>
      </c>
    </row>
    <row r="7504" customFormat="false" ht="15" hidden="true" customHeight="false" outlineLevel="0" collapsed="false">
      <c r="A7504" s="51" t="s">
        <v>746</v>
      </c>
      <c r="B7504" s="55" t="n">
        <v>45199</v>
      </c>
      <c r="C7504" s="51" t="s">
        <v>791</v>
      </c>
      <c r="D7504" s="51" t="n">
        <v>0</v>
      </c>
    </row>
    <row r="7505" customFormat="false" ht="15" hidden="true" customHeight="false" outlineLevel="0" collapsed="false">
      <c r="A7505" s="51" t="s">
        <v>751</v>
      </c>
      <c r="B7505" s="55" t="n">
        <v>45199</v>
      </c>
      <c r="C7505" s="51" t="s">
        <v>791</v>
      </c>
      <c r="D7505" s="51" t="n">
        <v>0</v>
      </c>
    </row>
    <row r="7506" customFormat="false" ht="15" hidden="false" customHeight="false" outlineLevel="0" collapsed="false">
      <c r="A7506" s="51" t="s">
        <v>781</v>
      </c>
      <c r="B7506" s="55" t="n">
        <v>45291</v>
      </c>
      <c r="C7506" s="51" t="s">
        <v>782</v>
      </c>
      <c r="D7506" s="51" t="n">
        <v>0</v>
      </c>
    </row>
    <row r="7507" customFormat="false" ht="15" hidden="true" customHeight="false" outlineLevel="0" collapsed="false">
      <c r="A7507" s="51" t="s">
        <v>783</v>
      </c>
      <c r="B7507" s="55" t="n">
        <v>45291</v>
      </c>
      <c r="C7507" s="51" t="s">
        <v>782</v>
      </c>
      <c r="D7507" s="51" t="n">
        <v>0</v>
      </c>
    </row>
    <row r="7508" customFormat="false" ht="15" hidden="true" customHeight="false" outlineLevel="0" collapsed="false">
      <c r="A7508" s="51" t="s">
        <v>96</v>
      </c>
      <c r="B7508" s="55" t="n">
        <v>45291</v>
      </c>
      <c r="C7508" s="51" t="s">
        <v>782</v>
      </c>
      <c r="D7508" s="51" t="n">
        <v>0</v>
      </c>
    </row>
    <row r="7509" customFormat="false" ht="15" hidden="true" customHeight="false" outlineLevel="0" collapsed="false">
      <c r="A7509" s="51" t="s">
        <v>101</v>
      </c>
      <c r="B7509" s="55" t="n">
        <v>45291</v>
      </c>
      <c r="C7509" s="51" t="s">
        <v>782</v>
      </c>
      <c r="D7509" s="51" t="n">
        <v>0</v>
      </c>
    </row>
    <row r="7510" customFormat="false" ht="15" hidden="true" customHeight="false" outlineLevel="0" collapsed="false">
      <c r="A7510" s="51" t="s">
        <v>106</v>
      </c>
      <c r="B7510" s="55" t="n">
        <v>45291</v>
      </c>
      <c r="C7510" s="51" t="s">
        <v>782</v>
      </c>
      <c r="D7510" s="51" t="n">
        <v>0</v>
      </c>
    </row>
    <row r="7511" customFormat="false" ht="15" hidden="true" customHeight="false" outlineLevel="0" collapsed="false">
      <c r="A7511" s="51" t="s">
        <v>110</v>
      </c>
      <c r="B7511" s="55" t="n">
        <v>45291</v>
      </c>
      <c r="C7511" s="51" t="s">
        <v>782</v>
      </c>
      <c r="D7511" s="51" t="n">
        <v>0</v>
      </c>
    </row>
    <row r="7512" customFormat="false" ht="15" hidden="true" customHeight="false" outlineLevel="0" collapsed="false">
      <c r="A7512" s="51" t="s">
        <v>115</v>
      </c>
      <c r="B7512" s="55" t="n">
        <v>45291</v>
      </c>
      <c r="C7512" s="51" t="s">
        <v>782</v>
      </c>
      <c r="D7512" s="51" t="n">
        <v>0</v>
      </c>
    </row>
    <row r="7513" customFormat="false" ht="15" hidden="true" customHeight="false" outlineLevel="0" collapsed="false">
      <c r="A7513" s="51" t="s">
        <v>120</v>
      </c>
      <c r="B7513" s="55" t="n">
        <v>45291</v>
      </c>
      <c r="C7513" s="51" t="s">
        <v>782</v>
      </c>
      <c r="D7513" s="51" t="n">
        <v>0</v>
      </c>
    </row>
    <row r="7514" customFormat="false" ht="15" hidden="true" customHeight="false" outlineLevel="0" collapsed="false">
      <c r="A7514" s="51" t="s">
        <v>124</v>
      </c>
      <c r="B7514" s="55" t="n">
        <v>45291</v>
      </c>
      <c r="C7514" s="51" t="s">
        <v>782</v>
      </c>
      <c r="D7514" s="51" t="n">
        <v>0</v>
      </c>
    </row>
    <row r="7515" customFormat="false" ht="15" hidden="true" customHeight="false" outlineLevel="0" collapsed="false">
      <c r="A7515" s="51" t="s">
        <v>129</v>
      </c>
      <c r="B7515" s="55" t="n">
        <v>45291</v>
      </c>
      <c r="C7515" s="51" t="s">
        <v>782</v>
      </c>
      <c r="D7515" s="51" t="n">
        <v>0</v>
      </c>
    </row>
    <row r="7516" customFormat="false" ht="15" hidden="true" customHeight="false" outlineLevel="0" collapsed="false">
      <c r="A7516" s="51" t="s">
        <v>134</v>
      </c>
      <c r="B7516" s="55" t="n">
        <v>45291</v>
      </c>
      <c r="C7516" s="51" t="s">
        <v>782</v>
      </c>
      <c r="D7516" s="51" t="n">
        <v>0</v>
      </c>
    </row>
    <row r="7517" customFormat="false" ht="15" hidden="true" customHeight="false" outlineLevel="0" collapsed="false">
      <c r="A7517" s="51" t="s">
        <v>141</v>
      </c>
      <c r="B7517" s="55" t="n">
        <v>45291</v>
      </c>
      <c r="C7517" s="51" t="s">
        <v>782</v>
      </c>
      <c r="D7517" s="51" t="n">
        <v>0</v>
      </c>
    </row>
    <row r="7518" customFormat="false" ht="15" hidden="true" customHeight="false" outlineLevel="0" collapsed="false">
      <c r="A7518" s="51" t="s">
        <v>146</v>
      </c>
      <c r="B7518" s="55" t="n">
        <v>45291</v>
      </c>
      <c r="C7518" s="51" t="s">
        <v>782</v>
      </c>
      <c r="D7518" s="51" t="n">
        <v>0</v>
      </c>
    </row>
    <row r="7519" customFormat="false" ht="15" hidden="true" customHeight="false" outlineLevel="0" collapsed="false">
      <c r="A7519" s="51" t="s">
        <v>151</v>
      </c>
      <c r="B7519" s="55" t="n">
        <v>45291</v>
      </c>
      <c r="C7519" s="51" t="s">
        <v>782</v>
      </c>
      <c r="D7519" s="51" t="n">
        <v>0</v>
      </c>
    </row>
    <row r="7520" customFormat="false" ht="15" hidden="true" customHeight="false" outlineLevel="0" collapsed="false">
      <c r="A7520" s="51" t="s">
        <v>156</v>
      </c>
      <c r="B7520" s="55" t="n">
        <v>45291</v>
      </c>
      <c r="C7520" s="51" t="s">
        <v>782</v>
      </c>
      <c r="D7520" s="51" t="n">
        <v>0</v>
      </c>
    </row>
    <row r="7521" customFormat="false" ht="15" hidden="true" customHeight="false" outlineLevel="0" collapsed="false">
      <c r="A7521" s="51" t="s">
        <v>161</v>
      </c>
      <c r="B7521" s="55" t="n">
        <v>45291</v>
      </c>
      <c r="C7521" s="51" t="s">
        <v>782</v>
      </c>
      <c r="D7521" s="51" t="n">
        <v>0</v>
      </c>
    </row>
    <row r="7522" customFormat="false" ht="15" hidden="true" customHeight="false" outlineLevel="0" collapsed="false">
      <c r="A7522" s="51" t="s">
        <v>166</v>
      </c>
      <c r="B7522" s="55" t="n">
        <v>45291</v>
      </c>
      <c r="C7522" s="51" t="s">
        <v>782</v>
      </c>
      <c r="D7522" s="51" t="n">
        <v>0</v>
      </c>
    </row>
    <row r="7523" customFormat="false" ht="15" hidden="true" customHeight="false" outlineLevel="0" collapsed="false">
      <c r="A7523" s="51" t="s">
        <v>171</v>
      </c>
      <c r="B7523" s="55" t="n">
        <v>45291</v>
      </c>
      <c r="C7523" s="51" t="s">
        <v>782</v>
      </c>
      <c r="D7523" s="51" t="n">
        <v>0</v>
      </c>
    </row>
    <row r="7524" customFormat="false" ht="15" hidden="true" customHeight="false" outlineLevel="0" collapsed="false">
      <c r="A7524" s="51" t="s">
        <v>176</v>
      </c>
      <c r="B7524" s="55" t="n">
        <v>45291</v>
      </c>
      <c r="C7524" s="51" t="s">
        <v>782</v>
      </c>
      <c r="D7524" s="51" t="n">
        <v>0</v>
      </c>
    </row>
    <row r="7525" customFormat="false" ht="15" hidden="true" customHeight="false" outlineLevel="0" collapsed="false">
      <c r="A7525" s="51" t="s">
        <v>181</v>
      </c>
      <c r="B7525" s="55" t="n">
        <v>45291</v>
      </c>
      <c r="C7525" s="51" t="s">
        <v>782</v>
      </c>
      <c r="D7525" s="51" t="n">
        <v>0</v>
      </c>
    </row>
    <row r="7526" customFormat="false" ht="15" hidden="true" customHeight="false" outlineLevel="0" collapsed="false">
      <c r="A7526" s="51" t="s">
        <v>186</v>
      </c>
      <c r="B7526" s="55" t="n">
        <v>45291</v>
      </c>
      <c r="C7526" s="51" t="s">
        <v>782</v>
      </c>
      <c r="D7526" s="51" t="n">
        <v>0</v>
      </c>
    </row>
    <row r="7527" customFormat="false" ht="15" hidden="true" customHeight="false" outlineLevel="0" collapsed="false">
      <c r="A7527" s="51" t="s">
        <v>191</v>
      </c>
      <c r="B7527" s="55" t="n">
        <v>45291</v>
      </c>
      <c r="C7527" s="51" t="s">
        <v>782</v>
      </c>
      <c r="D7527" s="51" t="n">
        <v>0</v>
      </c>
    </row>
    <row r="7528" customFormat="false" ht="15" hidden="true" customHeight="false" outlineLevel="0" collapsed="false">
      <c r="A7528" s="51" t="s">
        <v>196</v>
      </c>
      <c r="B7528" s="55" t="n">
        <v>45291</v>
      </c>
      <c r="C7528" s="51" t="s">
        <v>782</v>
      </c>
      <c r="D7528" s="51" t="n">
        <v>0</v>
      </c>
    </row>
    <row r="7529" customFormat="false" ht="15" hidden="true" customHeight="false" outlineLevel="0" collapsed="false">
      <c r="A7529" s="51" t="s">
        <v>201</v>
      </c>
      <c r="B7529" s="55" t="n">
        <v>45291</v>
      </c>
      <c r="C7529" s="51" t="s">
        <v>782</v>
      </c>
      <c r="D7529" s="51" t="n">
        <v>0</v>
      </c>
    </row>
    <row r="7530" customFormat="false" ht="15" hidden="true" customHeight="false" outlineLevel="0" collapsed="false">
      <c r="A7530" s="51" t="s">
        <v>206</v>
      </c>
      <c r="B7530" s="55" t="n">
        <v>45291</v>
      </c>
      <c r="C7530" s="51" t="s">
        <v>782</v>
      </c>
      <c r="D7530" s="51" t="n">
        <v>0</v>
      </c>
    </row>
    <row r="7531" customFormat="false" ht="15" hidden="true" customHeight="false" outlineLevel="0" collapsed="false">
      <c r="A7531" s="51" t="s">
        <v>210</v>
      </c>
      <c r="B7531" s="55" t="n">
        <v>45291</v>
      </c>
      <c r="C7531" s="51" t="s">
        <v>782</v>
      </c>
      <c r="D7531" s="51" t="n">
        <v>0</v>
      </c>
    </row>
    <row r="7532" customFormat="false" ht="15" hidden="true" customHeight="false" outlineLevel="0" collapsed="false">
      <c r="A7532" s="51" t="s">
        <v>215</v>
      </c>
      <c r="B7532" s="55" t="n">
        <v>45291</v>
      </c>
      <c r="C7532" s="51" t="s">
        <v>782</v>
      </c>
      <c r="D7532" s="51" t="n">
        <v>0</v>
      </c>
    </row>
    <row r="7533" customFormat="false" ht="15" hidden="true" customHeight="false" outlineLevel="0" collapsed="false">
      <c r="A7533" s="51" t="s">
        <v>790</v>
      </c>
      <c r="B7533" s="55" t="n">
        <v>45291</v>
      </c>
      <c r="C7533" s="51" t="s">
        <v>782</v>
      </c>
      <c r="D7533" s="51" t="n">
        <v>0</v>
      </c>
    </row>
    <row r="7534" customFormat="false" ht="15" hidden="true" customHeight="false" outlineLevel="0" collapsed="false">
      <c r="A7534" s="51" t="s">
        <v>225</v>
      </c>
      <c r="B7534" s="55" t="n">
        <v>45291</v>
      </c>
      <c r="C7534" s="51" t="s">
        <v>782</v>
      </c>
      <c r="D7534" s="51" t="n">
        <v>0</v>
      </c>
    </row>
    <row r="7535" customFormat="false" ht="15" hidden="true" customHeight="false" outlineLevel="0" collapsed="false">
      <c r="A7535" s="51" t="s">
        <v>230</v>
      </c>
      <c r="B7535" s="55" t="n">
        <v>45291</v>
      </c>
      <c r="C7535" s="51" t="s">
        <v>782</v>
      </c>
      <c r="D7535" s="51" t="n">
        <v>0</v>
      </c>
    </row>
    <row r="7536" customFormat="false" ht="15" hidden="true" customHeight="false" outlineLevel="0" collapsed="false">
      <c r="A7536" s="51" t="s">
        <v>235</v>
      </c>
      <c r="B7536" s="55" t="n">
        <v>45291</v>
      </c>
      <c r="C7536" s="51" t="s">
        <v>782</v>
      </c>
      <c r="D7536" s="51" t="n">
        <v>0</v>
      </c>
    </row>
    <row r="7537" customFormat="false" ht="15" hidden="true" customHeight="false" outlineLevel="0" collapsed="false">
      <c r="A7537" s="51" t="s">
        <v>240</v>
      </c>
      <c r="B7537" s="55" t="n">
        <v>45291</v>
      </c>
      <c r="C7537" s="51" t="s">
        <v>782</v>
      </c>
      <c r="D7537" s="51" t="n">
        <v>0</v>
      </c>
    </row>
    <row r="7538" customFormat="false" ht="15" hidden="true" customHeight="false" outlineLevel="0" collapsed="false">
      <c r="A7538" s="51" t="s">
        <v>246</v>
      </c>
      <c r="B7538" s="55" t="n">
        <v>45291</v>
      </c>
      <c r="C7538" s="51" t="s">
        <v>782</v>
      </c>
      <c r="D7538" s="51" t="n">
        <v>0</v>
      </c>
    </row>
    <row r="7539" customFormat="false" ht="15" hidden="true" customHeight="false" outlineLevel="0" collapsed="false">
      <c r="A7539" s="51" t="s">
        <v>252</v>
      </c>
      <c r="B7539" s="55" t="n">
        <v>45291</v>
      </c>
      <c r="C7539" s="51" t="s">
        <v>782</v>
      </c>
      <c r="D7539" s="51" t="n">
        <v>0</v>
      </c>
    </row>
    <row r="7540" customFormat="false" ht="15" hidden="true" customHeight="false" outlineLevel="0" collapsed="false">
      <c r="A7540" s="51" t="s">
        <v>257</v>
      </c>
      <c r="B7540" s="55" t="n">
        <v>45291</v>
      </c>
      <c r="C7540" s="51" t="s">
        <v>782</v>
      </c>
      <c r="D7540" s="51" t="n">
        <v>0</v>
      </c>
    </row>
    <row r="7541" customFormat="false" ht="15" hidden="true" customHeight="false" outlineLevel="0" collapsed="false">
      <c r="A7541" s="51" t="s">
        <v>262</v>
      </c>
      <c r="B7541" s="55" t="n">
        <v>45291</v>
      </c>
      <c r="C7541" s="51" t="s">
        <v>782</v>
      </c>
      <c r="D7541" s="51" t="n">
        <v>0</v>
      </c>
    </row>
    <row r="7542" customFormat="false" ht="15" hidden="true" customHeight="false" outlineLevel="0" collapsed="false">
      <c r="A7542" s="51" t="s">
        <v>267</v>
      </c>
      <c r="B7542" s="55" t="n">
        <v>45291</v>
      </c>
      <c r="C7542" s="51" t="s">
        <v>782</v>
      </c>
      <c r="D7542" s="51" t="n">
        <v>0</v>
      </c>
    </row>
    <row r="7543" customFormat="false" ht="15" hidden="true" customHeight="false" outlineLevel="0" collapsed="false">
      <c r="A7543" s="51" t="s">
        <v>272</v>
      </c>
      <c r="B7543" s="55" t="n">
        <v>45291</v>
      </c>
      <c r="C7543" s="51" t="s">
        <v>782</v>
      </c>
      <c r="D7543" s="51" t="n">
        <v>0</v>
      </c>
    </row>
    <row r="7544" customFormat="false" ht="15" hidden="true" customHeight="false" outlineLevel="0" collapsed="false">
      <c r="A7544" s="51" t="s">
        <v>277</v>
      </c>
      <c r="B7544" s="55" t="n">
        <v>45291</v>
      </c>
      <c r="C7544" s="51" t="s">
        <v>782</v>
      </c>
      <c r="D7544" s="51" t="n">
        <v>0</v>
      </c>
    </row>
    <row r="7545" customFormat="false" ht="15" hidden="true" customHeight="false" outlineLevel="0" collapsed="false">
      <c r="A7545" s="51" t="s">
        <v>282</v>
      </c>
      <c r="B7545" s="55" t="n">
        <v>45291</v>
      </c>
      <c r="C7545" s="51" t="s">
        <v>782</v>
      </c>
      <c r="D7545" s="51" t="n">
        <v>0</v>
      </c>
    </row>
    <row r="7546" customFormat="false" ht="15" hidden="true" customHeight="false" outlineLevel="0" collapsed="false">
      <c r="A7546" s="51" t="s">
        <v>287</v>
      </c>
      <c r="B7546" s="55" t="n">
        <v>45291</v>
      </c>
      <c r="C7546" s="51" t="s">
        <v>782</v>
      </c>
      <c r="D7546" s="51" t="n">
        <v>0</v>
      </c>
    </row>
    <row r="7547" customFormat="false" ht="15" hidden="true" customHeight="false" outlineLevel="0" collapsed="false">
      <c r="A7547" s="51" t="s">
        <v>292</v>
      </c>
      <c r="B7547" s="55" t="n">
        <v>45291</v>
      </c>
      <c r="C7547" s="51" t="s">
        <v>782</v>
      </c>
      <c r="D7547" s="51" t="n">
        <v>0</v>
      </c>
    </row>
    <row r="7548" customFormat="false" ht="15" hidden="true" customHeight="false" outlineLevel="0" collapsed="false">
      <c r="A7548" s="51" t="s">
        <v>297</v>
      </c>
      <c r="B7548" s="55" t="n">
        <v>45291</v>
      </c>
      <c r="C7548" s="51" t="s">
        <v>782</v>
      </c>
      <c r="D7548" s="51" t="n">
        <v>0</v>
      </c>
    </row>
    <row r="7549" customFormat="false" ht="15" hidden="true" customHeight="false" outlineLevel="0" collapsed="false">
      <c r="A7549" s="51" t="s">
        <v>302</v>
      </c>
      <c r="B7549" s="55" t="n">
        <v>45291</v>
      </c>
      <c r="C7549" s="51" t="s">
        <v>782</v>
      </c>
      <c r="D7549" s="51" t="n">
        <v>0</v>
      </c>
    </row>
    <row r="7550" customFormat="false" ht="15" hidden="true" customHeight="false" outlineLevel="0" collapsed="false">
      <c r="A7550" s="51" t="s">
        <v>307</v>
      </c>
      <c r="B7550" s="55" t="n">
        <v>45291</v>
      </c>
      <c r="C7550" s="51" t="s">
        <v>782</v>
      </c>
      <c r="D7550" s="51" t="n">
        <v>0</v>
      </c>
    </row>
    <row r="7551" customFormat="false" ht="15" hidden="true" customHeight="false" outlineLevel="0" collapsed="false">
      <c r="A7551" s="51" t="s">
        <v>311</v>
      </c>
      <c r="B7551" s="55" t="n">
        <v>45291</v>
      </c>
      <c r="C7551" s="51" t="s">
        <v>782</v>
      </c>
      <c r="D7551" s="51" t="n">
        <v>0</v>
      </c>
    </row>
    <row r="7552" customFormat="false" ht="15" hidden="true" customHeight="false" outlineLevel="0" collapsed="false">
      <c r="A7552" s="51" t="s">
        <v>317</v>
      </c>
      <c r="B7552" s="55" t="n">
        <v>45291</v>
      </c>
      <c r="C7552" s="51" t="s">
        <v>782</v>
      </c>
      <c r="D7552" s="51" t="n">
        <v>0</v>
      </c>
    </row>
    <row r="7553" customFormat="false" ht="15" hidden="true" customHeight="false" outlineLevel="0" collapsed="false">
      <c r="A7553" s="51" t="s">
        <v>322</v>
      </c>
      <c r="B7553" s="55" t="n">
        <v>45291</v>
      </c>
      <c r="C7553" s="51" t="s">
        <v>782</v>
      </c>
      <c r="D7553" s="51" t="n">
        <v>0</v>
      </c>
    </row>
    <row r="7554" customFormat="false" ht="15" hidden="true" customHeight="false" outlineLevel="0" collapsed="false">
      <c r="A7554" s="51" t="s">
        <v>327</v>
      </c>
      <c r="B7554" s="55" t="n">
        <v>45291</v>
      </c>
      <c r="C7554" s="51" t="s">
        <v>782</v>
      </c>
      <c r="D7554" s="51" t="n">
        <v>0</v>
      </c>
    </row>
    <row r="7555" customFormat="false" ht="15" hidden="true" customHeight="false" outlineLevel="0" collapsed="false">
      <c r="A7555" s="51" t="s">
        <v>332</v>
      </c>
      <c r="B7555" s="55" t="n">
        <v>45291</v>
      </c>
      <c r="C7555" s="51" t="s">
        <v>782</v>
      </c>
      <c r="D7555" s="51" t="n">
        <v>0</v>
      </c>
    </row>
    <row r="7556" customFormat="false" ht="15" hidden="true" customHeight="false" outlineLevel="0" collapsed="false">
      <c r="A7556" s="51" t="s">
        <v>339</v>
      </c>
      <c r="B7556" s="55" t="n">
        <v>45291</v>
      </c>
      <c r="C7556" s="51" t="s">
        <v>782</v>
      </c>
      <c r="D7556" s="51" t="n">
        <v>0</v>
      </c>
    </row>
    <row r="7557" customFormat="false" ht="15" hidden="true" customHeight="false" outlineLevel="0" collapsed="false">
      <c r="A7557" s="51" t="s">
        <v>344</v>
      </c>
      <c r="B7557" s="55" t="n">
        <v>45291</v>
      </c>
      <c r="C7557" s="51" t="s">
        <v>782</v>
      </c>
      <c r="D7557" s="51" t="n">
        <v>0</v>
      </c>
    </row>
    <row r="7558" customFormat="false" ht="15" hidden="true" customHeight="false" outlineLevel="0" collapsed="false">
      <c r="A7558" s="51" t="s">
        <v>349</v>
      </c>
      <c r="B7558" s="55" t="n">
        <v>45291</v>
      </c>
      <c r="C7558" s="51" t="s">
        <v>782</v>
      </c>
      <c r="D7558" s="51" t="n">
        <v>0</v>
      </c>
    </row>
    <row r="7559" customFormat="false" ht="15" hidden="true" customHeight="false" outlineLevel="0" collapsed="false">
      <c r="A7559" s="51" t="s">
        <v>354</v>
      </c>
      <c r="B7559" s="55" t="n">
        <v>45291</v>
      </c>
      <c r="C7559" s="51" t="s">
        <v>782</v>
      </c>
      <c r="D7559" s="51" t="n">
        <v>0</v>
      </c>
    </row>
    <row r="7560" customFormat="false" ht="15" hidden="true" customHeight="false" outlineLevel="0" collapsed="false">
      <c r="A7560" s="51" t="s">
        <v>359</v>
      </c>
      <c r="B7560" s="55" t="n">
        <v>45291</v>
      </c>
      <c r="C7560" s="51" t="s">
        <v>782</v>
      </c>
      <c r="D7560" s="51" t="n">
        <v>0</v>
      </c>
    </row>
    <row r="7561" customFormat="false" ht="15" hidden="true" customHeight="false" outlineLevel="0" collapsed="false">
      <c r="A7561" s="51" t="s">
        <v>364</v>
      </c>
      <c r="B7561" s="55" t="n">
        <v>45291</v>
      </c>
      <c r="C7561" s="51" t="s">
        <v>782</v>
      </c>
      <c r="D7561" s="51" t="n">
        <v>0</v>
      </c>
    </row>
    <row r="7562" customFormat="false" ht="15" hidden="true" customHeight="false" outlineLevel="0" collapsed="false">
      <c r="A7562" s="51" t="s">
        <v>369</v>
      </c>
      <c r="B7562" s="55" t="n">
        <v>45291</v>
      </c>
      <c r="C7562" s="51" t="s">
        <v>782</v>
      </c>
      <c r="D7562" s="51" t="n">
        <v>0</v>
      </c>
    </row>
    <row r="7563" customFormat="false" ht="15" hidden="true" customHeight="false" outlineLevel="0" collapsed="false">
      <c r="A7563" s="51" t="s">
        <v>374</v>
      </c>
      <c r="B7563" s="55" t="n">
        <v>45291</v>
      </c>
      <c r="C7563" s="51" t="s">
        <v>782</v>
      </c>
      <c r="D7563" s="51" t="n">
        <v>0</v>
      </c>
    </row>
    <row r="7564" customFormat="false" ht="15" hidden="true" customHeight="false" outlineLevel="0" collapsed="false">
      <c r="A7564" s="51" t="s">
        <v>379</v>
      </c>
      <c r="B7564" s="55" t="n">
        <v>45291</v>
      </c>
      <c r="C7564" s="51" t="s">
        <v>782</v>
      </c>
      <c r="D7564" s="51" t="n">
        <v>0</v>
      </c>
    </row>
    <row r="7565" customFormat="false" ht="15" hidden="true" customHeight="false" outlineLevel="0" collapsed="false">
      <c r="A7565" s="51" t="s">
        <v>384</v>
      </c>
      <c r="B7565" s="55" t="n">
        <v>45291</v>
      </c>
      <c r="C7565" s="51" t="s">
        <v>782</v>
      </c>
      <c r="D7565" s="51" t="n">
        <v>0</v>
      </c>
    </row>
    <row r="7566" customFormat="false" ht="15" hidden="true" customHeight="false" outlineLevel="0" collapsed="false">
      <c r="A7566" s="51" t="s">
        <v>389</v>
      </c>
      <c r="B7566" s="55" t="n">
        <v>45291</v>
      </c>
      <c r="C7566" s="51" t="s">
        <v>782</v>
      </c>
      <c r="D7566" s="51" t="n">
        <v>0</v>
      </c>
    </row>
    <row r="7567" customFormat="false" ht="15" hidden="true" customHeight="false" outlineLevel="0" collapsed="false">
      <c r="A7567" s="51" t="s">
        <v>394</v>
      </c>
      <c r="B7567" s="55" t="n">
        <v>45291</v>
      </c>
      <c r="C7567" s="51" t="s">
        <v>782</v>
      </c>
      <c r="D7567" s="51" t="n">
        <v>0</v>
      </c>
    </row>
    <row r="7568" customFormat="false" ht="15" hidden="true" customHeight="false" outlineLevel="0" collapsed="false">
      <c r="A7568" s="51" t="s">
        <v>399</v>
      </c>
      <c r="B7568" s="55" t="n">
        <v>45291</v>
      </c>
      <c r="C7568" s="51" t="s">
        <v>782</v>
      </c>
      <c r="D7568" s="51" t="n">
        <v>0</v>
      </c>
    </row>
    <row r="7569" customFormat="false" ht="15" hidden="true" customHeight="false" outlineLevel="0" collapsed="false">
      <c r="A7569" s="51" t="s">
        <v>404</v>
      </c>
      <c r="B7569" s="55" t="n">
        <v>45291</v>
      </c>
      <c r="C7569" s="51" t="s">
        <v>782</v>
      </c>
      <c r="D7569" s="51" t="n">
        <v>0</v>
      </c>
    </row>
    <row r="7570" customFormat="false" ht="15" hidden="true" customHeight="false" outlineLevel="0" collapsed="false">
      <c r="A7570" s="51" t="s">
        <v>409</v>
      </c>
      <c r="B7570" s="55" t="n">
        <v>45291</v>
      </c>
      <c r="C7570" s="51" t="s">
        <v>782</v>
      </c>
      <c r="D7570" s="51" t="n">
        <v>0</v>
      </c>
    </row>
    <row r="7571" customFormat="false" ht="15" hidden="true" customHeight="false" outlineLevel="0" collapsed="false">
      <c r="A7571" s="51" t="s">
        <v>414</v>
      </c>
      <c r="B7571" s="55" t="n">
        <v>45291</v>
      </c>
      <c r="C7571" s="51" t="s">
        <v>782</v>
      </c>
      <c r="D7571" s="51" t="n">
        <v>0</v>
      </c>
    </row>
    <row r="7572" customFormat="false" ht="15" hidden="true" customHeight="false" outlineLevel="0" collapsed="false">
      <c r="A7572" s="51" t="s">
        <v>419</v>
      </c>
      <c r="B7572" s="55" t="n">
        <v>45291</v>
      </c>
      <c r="C7572" s="51" t="s">
        <v>782</v>
      </c>
      <c r="D7572" s="51" t="n">
        <v>0</v>
      </c>
    </row>
    <row r="7573" customFormat="false" ht="15" hidden="true" customHeight="false" outlineLevel="0" collapsed="false">
      <c r="A7573" s="51" t="s">
        <v>424</v>
      </c>
      <c r="B7573" s="55" t="n">
        <v>45291</v>
      </c>
      <c r="C7573" s="51" t="s">
        <v>782</v>
      </c>
      <c r="D7573" s="51" t="n">
        <v>0</v>
      </c>
    </row>
    <row r="7574" customFormat="false" ht="15" hidden="true" customHeight="false" outlineLevel="0" collapsed="false">
      <c r="A7574" s="51" t="s">
        <v>429</v>
      </c>
      <c r="B7574" s="55" t="n">
        <v>45291</v>
      </c>
      <c r="C7574" s="51" t="s">
        <v>782</v>
      </c>
      <c r="D7574" s="51" t="n">
        <v>0</v>
      </c>
    </row>
    <row r="7575" customFormat="false" ht="15" hidden="true" customHeight="false" outlineLevel="0" collapsed="false">
      <c r="A7575" s="51" t="s">
        <v>434</v>
      </c>
      <c r="B7575" s="55" t="n">
        <v>45291</v>
      </c>
      <c r="C7575" s="51" t="s">
        <v>782</v>
      </c>
      <c r="D7575" s="51" t="n">
        <v>0</v>
      </c>
    </row>
    <row r="7576" customFormat="false" ht="15" hidden="true" customHeight="false" outlineLevel="0" collapsed="false">
      <c r="A7576" s="51" t="s">
        <v>438</v>
      </c>
      <c r="B7576" s="55" t="n">
        <v>45291</v>
      </c>
      <c r="C7576" s="51" t="s">
        <v>782</v>
      </c>
      <c r="D7576" s="51" t="n">
        <v>0</v>
      </c>
    </row>
    <row r="7577" customFormat="false" ht="15" hidden="true" customHeight="false" outlineLevel="0" collapsed="false">
      <c r="A7577" s="51" t="s">
        <v>443</v>
      </c>
      <c r="B7577" s="55" t="n">
        <v>45291</v>
      </c>
      <c r="C7577" s="51" t="s">
        <v>782</v>
      </c>
      <c r="D7577" s="51" t="n">
        <v>0</v>
      </c>
    </row>
    <row r="7578" customFormat="false" ht="15" hidden="true" customHeight="false" outlineLevel="0" collapsed="false">
      <c r="A7578" s="51" t="s">
        <v>448</v>
      </c>
      <c r="B7578" s="55" t="n">
        <v>45291</v>
      </c>
      <c r="C7578" s="51" t="s">
        <v>782</v>
      </c>
      <c r="D7578" s="51" t="n">
        <v>0</v>
      </c>
    </row>
    <row r="7579" customFormat="false" ht="15" hidden="true" customHeight="false" outlineLevel="0" collapsed="false">
      <c r="A7579" s="51" t="s">
        <v>453</v>
      </c>
      <c r="B7579" s="55" t="n">
        <v>45291</v>
      </c>
      <c r="C7579" s="51" t="s">
        <v>782</v>
      </c>
      <c r="D7579" s="51" t="n">
        <v>12000000</v>
      </c>
    </row>
    <row r="7580" customFormat="false" ht="15" hidden="true" customHeight="false" outlineLevel="0" collapsed="false">
      <c r="A7580" s="51" t="s">
        <v>458</v>
      </c>
      <c r="B7580" s="55" t="n">
        <v>45291</v>
      </c>
      <c r="C7580" s="51" t="s">
        <v>782</v>
      </c>
      <c r="D7580" s="51" t="n">
        <v>5100000</v>
      </c>
    </row>
    <row r="7581" customFormat="false" ht="15" hidden="true" customHeight="false" outlineLevel="0" collapsed="false">
      <c r="A7581" s="51" t="s">
        <v>473</v>
      </c>
      <c r="B7581" s="55" t="n">
        <v>45291</v>
      </c>
      <c r="C7581" s="51" t="s">
        <v>782</v>
      </c>
      <c r="D7581" s="51" t="n">
        <v>250000</v>
      </c>
    </row>
    <row r="7582" customFormat="false" ht="15" hidden="true" customHeight="false" outlineLevel="0" collapsed="false">
      <c r="A7582" s="51" t="s">
        <v>479</v>
      </c>
      <c r="B7582" s="55" t="n">
        <v>45291</v>
      </c>
      <c r="C7582" s="51" t="s">
        <v>782</v>
      </c>
      <c r="D7582" s="51" t="n">
        <v>6000000</v>
      </c>
    </row>
    <row r="7583" customFormat="false" ht="15" hidden="true" customHeight="false" outlineLevel="0" collapsed="false">
      <c r="A7583" s="51" t="s">
        <v>484</v>
      </c>
      <c r="B7583" s="55" t="n">
        <v>45291</v>
      </c>
      <c r="C7583" s="51" t="s">
        <v>782</v>
      </c>
      <c r="D7583" s="51" t="n">
        <v>320000</v>
      </c>
    </row>
    <row r="7584" customFormat="false" ht="15" hidden="true" customHeight="false" outlineLevel="0" collapsed="false">
      <c r="A7584" s="51" t="s">
        <v>489</v>
      </c>
      <c r="B7584" s="55" t="n">
        <v>45291</v>
      </c>
      <c r="C7584" s="51" t="s">
        <v>782</v>
      </c>
      <c r="D7584" s="51" t="n">
        <v>0</v>
      </c>
    </row>
    <row r="7585" customFormat="false" ht="15" hidden="true" customHeight="false" outlineLevel="0" collapsed="false">
      <c r="A7585" s="51" t="s">
        <v>494</v>
      </c>
      <c r="B7585" s="55" t="n">
        <v>45291</v>
      </c>
      <c r="C7585" s="51" t="s">
        <v>782</v>
      </c>
      <c r="D7585" s="51" t="n">
        <v>0</v>
      </c>
    </row>
    <row r="7586" customFormat="false" ht="15" hidden="true" customHeight="false" outlineLevel="0" collapsed="false">
      <c r="A7586" s="51" t="s">
        <v>499</v>
      </c>
      <c r="B7586" s="55" t="n">
        <v>45291</v>
      </c>
      <c r="C7586" s="51" t="s">
        <v>782</v>
      </c>
      <c r="D7586" s="51" t="n">
        <v>0</v>
      </c>
    </row>
    <row r="7587" customFormat="false" ht="15" hidden="true" customHeight="false" outlineLevel="0" collapsed="false">
      <c r="A7587" s="51" t="s">
        <v>504</v>
      </c>
      <c r="B7587" s="55" t="n">
        <v>45291</v>
      </c>
      <c r="C7587" s="51" t="s">
        <v>782</v>
      </c>
      <c r="D7587" s="51" t="n">
        <v>0</v>
      </c>
    </row>
    <row r="7588" customFormat="false" ht="15" hidden="true" customHeight="false" outlineLevel="0" collapsed="false">
      <c r="A7588" s="51" t="s">
        <v>509</v>
      </c>
      <c r="B7588" s="55" t="n">
        <v>45291</v>
      </c>
      <c r="C7588" s="51" t="s">
        <v>782</v>
      </c>
      <c r="D7588" s="51" t="n">
        <v>0</v>
      </c>
    </row>
    <row r="7589" customFormat="false" ht="15" hidden="true" customHeight="false" outlineLevel="0" collapsed="false">
      <c r="A7589" s="51" t="s">
        <v>515</v>
      </c>
      <c r="B7589" s="55" t="n">
        <v>45291</v>
      </c>
      <c r="C7589" s="51" t="s">
        <v>782</v>
      </c>
      <c r="D7589" s="51" t="n">
        <v>0</v>
      </c>
    </row>
    <row r="7590" customFormat="false" ht="15" hidden="true" customHeight="false" outlineLevel="0" collapsed="false">
      <c r="A7590" s="51" t="s">
        <v>520</v>
      </c>
      <c r="B7590" s="55" t="n">
        <v>45291</v>
      </c>
      <c r="C7590" s="51" t="s">
        <v>782</v>
      </c>
      <c r="D7590" s="51" t="n">
        <v>0</v>
      </c>
    </row>
    <row r="7591" customFormat="false" ht="15" hidden="true" customHeight="false" outlineLevel="0" collapsed="false">
      <c r="A7591" s="51" t="s">
        <v>525</v>
      </c>
      <c r="B7591" s="55" t="n">
        <v>45291</v>
      </c>
      <c r="C7591" s="51" t="s">
        <v>782</v>
      </c>
      <c r="D7591" s="51" t="n">
        <v>0</v>
      </c>
    </row>
    <row r="7592" customFormat="false" ht="15" hidden="true" customHeight="false" outlineLevel="0" collapsed="false">
      <c r="A7592" s="51" t="s">
        <v>531</v>
      </c>
      <c r="B7592" s="55" t="n">
        <v>45291</v>
      </c>
      <c r="C7592" s="51" t="s">
        <v>782</v>
      </c>
      <c r="D7592" s="51" t="n">
        <v>0</v>
      </c>
    </row>
    <row r="7593" customFormat="false" ht="15" hidden="true" customHeight="false" outlineLevel="0" collapsed="false">
      <c r="A7593" s="51" t="s">
        <v>536</v>
      </c>
      <c r="B7593" s="55" t="n">
        <v>45291</v>
      </c>
      <c r="C7593" s="51" t="s">
        <v>782</v>
      </c>
      <c r="D7593" s="51" t="n">
        <v>0</v>
      </c>
    </row>
    <row r="7594" customFormat="false" ht="15" hidden="true" customHeight="false" outlineLevel="0" collapsed="false">
      <c r="A7594" s="51" t="s">
        <v>541</v>
      </c>
      <c r="B7594" s="55" t="n">
        <v>45291</v>
      </c>
      <c r="C7594" s="51" t="s">
        <v>782</v>
      </c>
      <c r="D7594" s="51" t="n">
        <v>0</v>
      </c>
    </row>
    <row r="7595" customFormat="false" ht="15" hidden="true" customHeight="false" outlineLevel="0" collapsed="false">
      <c r="A7595" s="51" t="s">
        <v>549</v>
      </c>
      <c r="B7595" s="55" t="n">
        <v>45291</v>
      </c>
      <c r="C7595" s="51" t="s">
        <v>782</v>
      </c>
      <c r="D7595" s="51" t="n">
        <v>0</v>
      </c>
    </row>
    <row r="7596" customFormat="false" ht="15" hidden="true" customHeight="false" outlineLevel="0" collapsed="false">
      <c r="A7596" s="51" t="s">
        <v>554</v>
      </c>
      <c r="B7596" s="55" t="n">
        <v>45291</v>
      </c>
      <c r="C7596" s="51" t="s">
        <v>782</v>
      </c>
      <c r="D7596" s="51" t="n">
        <v>0</v>
      </c>
    </row>
    <row r="7597" customFormat="false" ht="15" hidden="true" customHeight="false" outlineLevel="0" collapsed="false">
      <c r="A7597" s="51" t="s">
        <v>559</v>
      </c>
      <c r="B7597" s="55" t="n">
        <v>45291</v>
      </c>
      <c r="C7597" s="51" t="s">
        <v>782</v>
      </c>
      <c r="D7597" s="51" t="n">
        <v>0</v>
      </c>
    </row>
    <row r="7598" customFormat="false" ht="15" hidden="true" customHeight="false" outlineLevel="0" collapsed="false">
      <c r="A7598" s="51" t="s">
        <v>564</v>
      </c>
      <c r="B7598" s="55" t="n">
        <v>45291</v>
      </c>
      <c r="C7598" s="51" t="s">
        <v>782</v>
      </c>
      <c r="D7598" s="51" t="n">
        <v>0</v>
      </c>
    </row>
    <row r="7599" customFormat="false" ht="15" hidden="true" customHeight="false" outlineLevel="0" collapsed="false">
      <c r="A7599" s="51" t="s">
        <v>569</v>
      </c>
      <c r="B7599" s="55" t="n">
        <v>45291</v>
      </c>
      <c r="C7599" s="51" t="s">
        <v>782</v>
      </c>
      <c r="D7599" s="51" t="n">
        <v>0</v>
      </c>
    </row>
    <row r="7600" customFormat="false" ht="15" hidden="true" customHeight="false" outlineLevel="0" collapsed="false">
      <c r="A7600" s="51" t="s">
        <v>574</v>
      </c>
      <c r="B7600" s="55" t="n">
        <v>45291</v>
      </c>
      <c r="C7600" s="51" t="s">
        <v>782</v>
      </c>
      <c r="D7600" s="51" t="n">
        <v>0</v>
      </c>
    </row>
    <row r="7601" customFormat="false" ht="15" hidden="true" customHeight="false" outlineLevel="0" collapsed="false">
      <c r="A7601" s="51" t="s">
        <v>579</v>
      </c>
      <c r="B7601" s="55" t="n">
        <v>45291</v>
      </c>
      <c r="C7601" s="51" t="s">
        <v>782</v>
      </c>
      <c r="D7601" s="51" t="n">
        <v>0</v>
      </c>
    </row>
    <row r="7602" customFormat="false" ht="15" hidden="true" customHeight="false" outlineLevel="0" collapsed="false">
      <c r="A7602" s="51" t="s">
        <v>584</v>
      </c>
      <c r="B7602" s="55" t="n">
        <v>45291</v>
      </c>
      <c r="C7602" s="51" t="s">
        <v>782</v>
      </c>
      <c r="D7602" s="51" t="n">
        <v>0</v>
      </c>
    </row>
    <row r="7603" customFormat="false" ht="15" hidden="true" customHeight="false" outlineLevel="0" collapsed="false">
      <c r="A7603" s="51" t="s">
        <v>589</v>
      </c>
      <c r="B7603" s="55" t="n">
        <v>45291</v>
      </c>
      <c r="C7603" s="51" t="s">
        <v>782</v>
      </c>
      <c r="D7603" s="51" t="n">
        <v>0</v>
      </c>
    </row>
    <row r="7604" customFormat="false" ht="15" hidden="true" customHeight="false" outlineLevel="0" collapsed="false">
      <c r="A7604" s="51" t="s">
        <v>756</v>
      </c>
      <c r="B7604" s="55" t="n">
        <v>45291</v>
      </c>
      <c r="C7604" s="51" t="s">
        <v>782</v>
      </c>
      <c r="D7604" s="51" t="n">
        <v>0</v>
      </c>
    </row>
    <row r="7605" customFormat="false" ht="15" hidden="true" customHeight="false" outlineLevel="0" collapsed="false">
      <c r="A7605" s="51" t="s">
        <v>594</v>
      </c>
      <c r="B7605" s="55" t="n">
        <v>45291</v>
      </c>
      <c r="C7605" s="51" t="s">
        <v>782</v>
      </c>
      <c r="D7605" s="51" t="n">
        <v>0</v>
      </c>
    </row>
    <row r="7606" customFormat="false" ht="15" hidden="true" customHeight="false" outlineLevel="0" collapsed="false">
      <c r="A7606" s="51" t="s">
        <v>761</v>
      </c>
      <c r="B7606" s="55" t="n">
        <v>45291</v>
      </c>
      <c r="C7606" s="51" t="s">
        <v>782</v>
      </c>
      <c r="D7606" s="51" t="n">
        <v>0</v>
      </c>
    </row>
    <row r="7607" customFormat="false" ht="15" hidden="true" customHeight="false" outlineLevel="0" collapsed="false">
      <c r="A7607" s="51" t="s">
        <v>599</v>
      </c>
      <c r="B7607" s="55" t="n">
        <v>45291</v>
      </c>
      <c r="C7607" s="51" t="s">
        <v>782</v>
      </c>
      <c r="D7607" s="51" t="n">
        <v>0</v>
      </c>
    </row>
    <row r="7608" customFormat="false" ht="15" hidden="true" customHeight="false" outlineLevel="0" collapsed="false">
      <c r="A7608" s="51" t="s">
        <v>604</v>
      </c>
      <c r="B7608" s="55" t="n">
        <v>45291</v>
      </c>
      <c r="C7608" s="51" t="s">
        <v>782</v>
      </c>
      <c r="D7608" s="51" t="n">
        <v>0</v>
      </c>
    </row>
    <row r="7609" customFormat="false" ht="15" hidden="true" customHeight="false" outlineLevel="0" collapsed="false">
      <c r="A7609" s="51" t="s">
        <v>609</v>
      </c>
      <c r="B7609" s="55" t="n">
        <v>45291</v>
      </c>
      <c r="C7609" s="51" t="s">
        <v>782</v>
      </c>
      <c r="D7609" s="51" t="n">
        <v>0</v>
      </c>
    </row>
    <row r="7610" customFormat="false" ht="15" hidden="true" customHeight="false" outlineLevel="0" collapsed="false">
      <c r="A7610" s="51" t="s">
        <v>614</v>
      </c>
      <c r="B7610" s="55" t="n">
        <v>45291</v>
      </c>
      <c r="C7610" s="51" t="s">
        <v>782</v>
      </c>
      <c r="D7610" s="51" t="n">
        <v>0</v>
      </c>
    </row>
    <row r="7611" customFormat="false" ht="15" hidden="true" customHeight="false" outlineLevel="0" collapsed="false">
      <c r="A7611" s="51" t="s">
        <v>619</v>
      </c>
      <c r="B7611" s="55" t="n">
        <v>45291</v>
      </c>
      <c r="C7611" s="51" t="s">
        <v>782</v>
      </c>
      <c r="D7611" s="51" t="n">
        <v>0</v>
      </c>
    </row>
    <row r="7612" customFormat="false" ht="15" hidden="true" customHeight="false" outlineLevel="0" collapsed="false">
      <c r="A7612" s="51" t="s">
        <v>624</v>
      </c>
      <c r="B7612" s="55" t="n">
        <v>45291</v>
      </c>
      <c r="C7612" s="51" t="s">
        <v>782</v>
      </c>
      <c r="D7612" s="51" t="n">
        <v>0</v>
      </c>
    </row>
    <row r="7613" customFormat="false" ht="15" hidden="true" customHeight="false" outlineLevel="0" collapsed="false">
      <c r="A7613" s="51" t="s">
        <v>629</v>
      </c>
      <c r="B7613" s="55" t="n">
        <v>45291</v>
      </c>
      <c r="C7613" s="51" t="s">
        <v>782</v>
      </c>
      <c r="D7613" s="51" t="n">
        <v>0</v>
      </c>
    </row>
    <row r="7614" customFormat="false" ht="15" hidden="true" customHeight="false" outlineLevel="0" collapsed="false">
      <c r="A7614" s="51" t="s">
        <v>633</v>
      </c>
      <c r="B7614" s="55" t="n">
        <v>45291</v>
      </c>
      <c r="C7614" s="51" t="s">
        <v>782</v>
      </c>
      <c r="D7614" s="51" t="n">
        <v>0</v>
      </c>
    </row>
    <row r="7615" customFormat="false" ht="15" hidden="true" customHeight="false" outlineLevel="0" collapsed="false">
      <c r="A7615" s="51" t="s">
        <v>638</v>
      </c>
      <c r="B7615" s="55" t="n">
        <v>45291</v>
      </c>
      <c r="C7615" s="51" t="s">
        <v>782</v>
      </c>
      <c r="D7615" s="51" t="n">
        <v>0</v>
      </c>
    </row>
    <row r="7616" customFormat="false" ht="15" hidden="true" customHeight="false" outlineLevel="0" collapsed="false">
      <c r="A7616" s="51" t="s">
        <v>642</v>
      </c>
      <c r="B7616" s="55" t="n">
        <v>45291</v>
      </c>
      <c r="C7616" s="51" t="s">
        <v>782</v>
      </c>
      <c r="D7616" s="51" t="n">
        <v>0</v>
      </c>
    </row>
    <row r="7617" customFormat="false" ht="15" hidden="true" customHeight="false" outlineLevel="0" collapsed="false">
      <c r="A7617" s="51" t="s">
        <v>646</v>
      </c>
      <c r="B7617" s="55" t="n">
        <v>45291</v>
      </c>
      <c r="C7617" s="51" t="s">
        <v>782</v>
      </c>
      <c r="D7617" s="51" t="n">
        <v>0</v>
      </c>
    </row>
    <row r="7618" customFormat="false" ht="15" hidden="true" customHeight="false" outlineLevel="0" collapsed="false">
      <c r="A7618" s="51" t="s">
        <v>651</v>
      </c>
      <c r="B7618" s="55" t="n">
        <v>45291</v>
      </c>
      <c r="C7618" s="51" t="s">
        <v>782</v>
      </c>
      <c r="D7618" s="51" t="n">
        <v>0</v>
      </c>
    </row>
    <row r="7619" customFormat="false" ht="15" hidden="true" customHeight="false" outlineLevel="0" collapsed="false">
      <c r="A7619" s="51" t="s">
        <v>656</v>
      </c>
      <c r="B7619" s="55" t="n">
        <v>45291</v>
      </c>
      <c r="C7619" s="51" t="s">
        <v>782</v>
      </c>
      <c r="D7619" s="51" t="n">
        <v>0</v>
      </c>
    </row>
    <row r="7620" customFormat="false" ht="15" hidden="true" customHeight="false" outlineLevel="0" collapsed="false">
      <c r="A7620" s="51" t="s">
        <v>661</v>
      </c>
      <c r="B7620" s="55" t="n">
        <v>45291</v>
      </c>
      <c r="C7620" s="51" t="s">
        <v>782</v>
      </c>
      <c r="D7620" s="51" t="n">
        <v>0</v>
      </c>
    </row>
    <row r="7621" customFormat="false" ht="15" hidden="true" customHeight="false" outlineLevel="0" collapsed="false">
      <c r="A7621" s="51" t="s">
        <v>666</v>
      </c>
      <c r="B7621" s="55" t="n">
        <v>45291</v>
      </c>
      <c r="C7621" s="51" t="s">
        <v>782</v>
      </c>
      <c r="D7621" s="51" t="n">
        <v>0</v>
      </c>
    </row>
    <row r="7622" customFormat="false" ht="15" hidden="true" customHeight="false" outlineLevel="0" collapsed="false">
      <c r="A7622" s="51" t="s">
        <v>671</v>
      </c>
      <c r="B7622" s="55" t="n">
        <v>45291</v>
      </c>
      <c r="C7622" s="51" t="s">
        <v>782</v>
      </c>
      <c r="D7622" s="51" t="n">
        <v>0</v>
      </c>
    </row>
    <row r="7623" customFormat="false" ht="15" hidden="true" customHeight="false" outlineLevel="0" collapsed="false">
      <c r="A7623" s="51" t="s">
        <v>676</v>
      </c>
      <c r="B7623" s="55" t="n">
        <v>45291</v>
      </c>
      <c r="C7623" s="51" t="s">
        <v>782</v>
      </c>
      <c r="D7623" s="51" t="n">
        <v>0</v>
      </c>
    </row>
    <row r="7624" customFormat="false" ht="15" hidden="true" customHeight="false" outlineLevel="0" collapsed="false">
      <c r="A7624" s="51" t="s">
        <v>681</v>
      </c>
      <c r="B7624" s="55" t="n">
        <v>45291</v>
      </c>
      <c r="C7624" s="51" t="s">
        <v>782</v>
      </c>
      <c r="D7624" s="51" t="n">
        <v>0</v>
      </c>
    </row>
    <row r="7625" customFormat="false" ht="15" hidden="true" customHeight="false" outlineLevel="0" collapsed="false">
      <c r="A7625" s="51" t="s">
        <v>686</v>
      </c>
      <c r="B7625" s="55" t="n">
        <v>45291</v>
      </c>
      <c r="C7625" s="51" t="s">
        <v>782</v>
      </c>
      <c r="D7625" s="51" t="n">
        <v>0</v>
      </c>
    </row>
    <row r="7626" customFormat="false" ht="15" hidden="true" customHeight="false" outlineLevel="0" collapsed="false">
      <c r="A7626" s="51" t="s">
        <v>691</v>
      </c>
      <c r="B7626" s="55" t="n">
        <v>45291</v>
      </c>
      <c r="C7626" s="51" t="s">
        <v>782</v>
      </c>
      <c r="D7626" s="51" t="n">
        <v>0</v>
      </c>
    </row>
    <row r="7627" customFormat="false" ht="15" hidden="true" customHeight="false" outlineLevel="0" collapsed="false">
      <c r="A7627" s="51" t="s">
        <v>696</v>
      </c>
      <c r="B7627" s="55" t="n">
        <v>45291</v>
      </c>
      <c r="C7627" s="51" t="s">
        <v>782</v>
      </c>
      <c r="D7627" s="51" t="n">
        <v>0</v>
      </c>
    </row>
    <row r="7628" customFormat="false" ht="15" hidden="true" customHeight="false" outlineLevel="0" collapsed="false">
      <c r="A7628" s="51" t="s">
        <v>701</v>
      </c>
      <c r="B7628" s="55" t="n">
        <v>45291</v>
      </c>
      <c r="C7628" s="51" t="s">
        <v>782</v>
      </c>
      <c r="D7628" s="51" t="n">
        <v>0</v>
      </c>
    </row>
    <row r="7629" customFormat="false" ht="15" hidden="true" customHeight="false" outlineLevel="0" collapsed="false">
      <c r="A7629" s="51" t="s">
        <v>707</v>
      </c>
      <c r="B7629" s="55" t="n">
        <v>45291</v>
      </c>
      <c r="C7629" s="51" t="s">
        <v>782</v>
      </c>
      <c r="D7629" s="51" t="n">
        <v>0</v>
      </c>
    </row>
    <row r="7630" customFormat="false" ht="15" hidden="true" customHeight="false" outlineLevel="0" collapsed="false">
      <c r="A7630" s="51" t="s">
        <v>712</v>
      </c>
      <c r="B7630" s="55" t="n">
        <v>45291</v>
      </c>
      <c r="C7630" s="51" t="s">
        <v>782</v>
      </c>
      <c r="D7630" s="51" t="n">
        <v>0</v>
      </c>
    </row>
    <row r="7631" customFormat="false" ht="15" hidden="true" customHeight="false" outlineLevel="0" collapsed="false">
      <c r="A7631" s="51" t="s">
        <v>717</v>
      </c>
      <c r="B7631" s="55" t="n">
        <v>45291</v>
      </c>
      <c r="C7631" s="51" t="s">
        <v>782</v>
      </c>
      <c r="D7631" s="51" t="n">
        <v>0</v>
      </c>
    </row>
    <row r="7632" customFormat="false" ht="15" hidden="true" customHeight="false" outlineLevel="0" collapsed="false">
      <c r="A7632" s="51" t="s">
        <v>767</v>
      </c>
      <c r="B7632" s="55" t="n">
        <v>45291</v>
      </c>
      <c r="C7632" s="51" t="s">
        <v>782</v>
      </c>
      <c r="D7632" s="51" t="n">
        <v>0</v>
      </c>
    </row>
    <row r="7633" customFormat="false" ht="15" hidden="true" customHeight="false" outlineLevel="0" collapsed="false">
      <c r="A7633" s="51" t="s">
        <v>722</v>
      </c>
      <c r="B7633" s="55" t="n">
        <v>45291</v>
      </c>
      <c r="C7633" s="51" t="s">
        <v>782</v>
      </c>
      <c r="D7633" s="51" t="n">
        <v>0</v>
      </c>
    </row>
    <row r="7634" customFormat="false" ht="15" hidden="true" customHeight="false" outlineLevel="0" collapsed="false">
      <c r="A7634" s="51" t="s">
        <v>727</v>
      </c>
      <c r="B7634" s="55" t="n">
        <v>45291</v>
      </c>
      <c r="C7634" s="51" t="s">
        <v>782</v>
      </c>
      <c r="D7634" s="51" t="n">
        <v>0</v>
      </c>
    </row>
    <row r="7635" customFormat="false" ht="15" hidden="true" customHeight="false" outlineLevel="0" collapsed="false">
      <c r="A7635" s="51" t="s">
        <v>732</v>
      </c>
      <c r="B7635" s="55" t="n">
        <v>45291</v>
      </c>
      <c r="C7635" s="51" t="s">
        <v>782</v>
      </c>
      <c r="D7635" s="51" t="n">
        <v>0</v>
      </c>
    </row>
    <row r="7636" customFormat="false" ht="15" hidden="true" customHeight="false" outlineLevel="0" collapsed="false">
      <c r="A7636" s="51" t="s">
        <v>736</v>
      </c>
      <c r="B7636" s="55" t="n">
        <v>45291</v>
      </c>
      <c r="C7636" s="51" t="s">
        <v>782</v>
      </c>
      <c r="D7636" s="51" t="n">
        <v>0</v>
      </c>
    </row>
    <row r="7637" customFormat="false" ht="15" hidden="true" customHeight="false" outlineLevel="0" collapsed="false">
      <c r="A7637" s="51" t="s">
        <v>741</v>
      </c>
      <c r="B7637" s="55" t="n">
        <v>45291</v>
      </c>
      <c r="C7637" s="51" t="s">
        <v>782</v>
      </c>
      <c r="D7637" s="51" t="n">
        <v>0</v>
      </c>
    </row>
    <row r="7638" customFormat="false" ht="15" hidden="true" customHeight="false" outlineLevel="0" collapsed="false">
      <c r="A7638" s="51" t="s">
        <v>746</v>
      </c>
      <c r="B7638" s="55" t="n">
        <v>45291</v>
      </c>
      <c r="C7638" s="51" t="s">
        <v>782</v>
      </c>
      <c r="D7638" s="51" t="n">
        <v>0</v>
      </c>
    </row>
    <row r="7639" customFormat="false" ht="15" hidden="true" customHeight="false" outlineLevel="0" collapsed="false">
      <c r="A7639" s="51" t="s">
        <v>751</v>
      </c>
      <c r="B7639" s="55" t="n">
        <v>45291</v>
      </c>
      <c r="C7639" s="51" t="s">
        <v>782</v>
      </c>
      <c r="D7639" s="51" t="n">
        <v>0</v>
      </c>
    </row>
    <row r="7640" customFormat="false" ht="15" hidden="false" customHeight="false" outlineLevel="0" collapsed="false">
      <c r="A7640" s="51" t="s">
        <v>781</v>
      </c>
      <c r="B7640" s="55" t="n">
        <v>45291</v>
      </c>
      <c r="C7640" s="51" t="s">
        <v>82</v>
      </c>
      <c r="D7640" s="51" t="n">
        <v>0</v>
      </c>
    </row>
    <row r="7641" customFormat="false" ht="15" hidden="true" customHeight="false" outlineLevel="0" collapsed="false">
      <c r="A7641" s="51" t="s">
        <v>783</v>
      </c>
      <c r="B7641" s="55" t="n">
        <v>45291</v>
      </c>
      <c r="C7641" s="51" t="s">
        <v>82</v>
      </c>
      <c r="D7641" s="51" t="n">
        <v>0</v>
      </c>
    </row>
    <row r="7642" customFormat="false" ht="15" hidden="true" customHeight="false" outlineLevel="0" collapsed="false">
      <c r="A7642" s="51" t="s">
        <v>96</v>
      </c>
      <c r="B7642" s="55" t="n">
        <v>45291</v>
      </c>
      <c r="C7642" s="51" t="s">
        <v>82</v>
      </c>
      <c r="D7642" s="51" t="n">
        <v>0</v>
      </c>
    </row>
    <row r="7643" customFormat="false" ht="15" hidden="true" customHeight="false" outlineLevel="0" collapsed="false">
      <c r="A7643" s="51" t="s">
        <v>101</v>
      </c>
      <c r="B7643" s="55" t="n">
        <v>45291</v>
      </c>
      <c r="C7643" s="51" t="s">
        <v>82</v>
      </c>
      <c r="D7643" s="51" t="n">
        <v>0</v>
      </c>
    </row>
    <row r="7644" customFormat="false" ht="15" hidden="true" customHeight="false" outlineLevel="0" collapsed="false">
      <c r="A7644" s="51" t="s">
        <v>106</v>
      </c>
      <c r="B7644" s="55" t="n">
        <v>45291</v>
      </c>
      <c r="C7644" s="51" t="s">
        <v>82</v>
      </c>
      <c r="D7644" s="51" t="n">
        <v>0</v>
      </c>
    </row>
    <row r="7645" customFormat="false" ht="15" hidden="true" customHeight="false" outlineLevel="0" collapsed="false">
      <c r="A7645" s="51" t="s">
        <v>110</v>
      </c>
      <c r="B7645" s="55" t="n">
        <v>45291</v>
      </c>
      <c r="C7645" s="51" t="s">
        <v>82</v>
      </c>
      <c r="D7645" s="51" t="n">
        <v>0</v>
      </c>
    </row>
    <row r="7646" customFormat="false" ht="15" hidden="true" customHeight="false" outlineLevel="0" collapsed="false">
      <c r="A7646" s="51" t="s">
        <v>115</v>
      </c>
      <c r="B7646" s="55" t="n">
        <v>45291</v>
      </c>
      <c r="C7646" s="51" t="s">
        <v>82</v>
      </c>
      <c r="D7646" s="51" t="n">
        <v>0</v>
      </c>
    </row>
    <row r="7647" customFormat="false" ht="15" hidden="true" customHeight="false" outlineLevel="0" collapsed="false">
      <c r="A7647" s="51" t="s">
        <v>120</v>
      </c>
      <c r="B7647" s="55" t="n">
        <v>45291</v>
      </c>
      <c r="C7647" s="51" t="s">
        <v>82</v>
      </c>
      <c r="D7647" s="51" t="n">
        <v>0</v>
      </c>
    </row>
    <row r="7648" customFormat="false" ht="15" hidden="true" customHeight="false" outlineLevel="0" collapsed="false">
      <c r="A7648" s="51" t="s">
        <v>124</v>
      </c>
      <c r="B7648" s="55" t="n">
        <v>45291</v>
      </c>
      <c r="C7648" s="51" t="s">
        <v>82</v>
      </c>
      <c r="D7648" s="51" t="n">
        <v>0</v>
      </c>
    </row>
    <row r="7649" customFormat="false" ht="15" hidden="true" customHeight="false" outlineLevel="0" collapsed="false">
      <c r="A7649" s="51" t="s">
        <v>129</v>
      </c>
      <c r="B7649" s="55" t="n">
        <v>45291</v>
      </c>
      <c r="C7649" s="51" t="s">
        <v>82</v>
      </c>
      <c r="D7649" s="51" t="n">
        <v>0</v>
      </c>
    </row>
    <row r="7650" customFormat="false" ht="15" hidden="true" customHeight="false" outlineLevel="0" collapsed="false">
      <c r="A7650" s="51" t="s">
        <v>134</v>
      </c>
      <c r="B7650" s="55" t="n">
        <v>45291</v>
      </c>
      <c r="C7650" s="51" t="s">
        <v>82</v>
      </c>
      <c r="D7650" s="51" t="n">
        <v>0</v>
      </c>
    </row>
    <row r="7651" customFormat="false" ht="15" hidden="true" customHeight="false" outlineLevel="0" collapsed="false">
      <c r="A7651" s="51" t="s">
        <v>141</v>
      </c>
      <c r="B7651" s="55" t="n">
        <v>45291</v>
      </c>
      <c r="C7651" s="51" t="s">
        <v>82</v>
      </c>
      <c r="D7651" s="51" t="n">
        <v>0</v>
      </c>
    </row>
    <row r="7652" customFormat="false" ht="15" hidden="true" customHeight="false" outlineLevel="0" collapsed="false">
      <c r="A7652" s="51" t="s">
        <v>146</v>
      </c>
      <c r="B7652" s="55" t="n">
        <v>45291</v>
      </c>
      <c r="C7652" s="51" t="s">
        <v>82</v>
      </c>
      <c r="D7652" s="51" t="n">
        <v>0</v>
      </c>
    </row>
    <row r="7653" customFormat="false" ht="15" hidden="true" customHeight="false" outlineLevel="0" collapsed="false">
      <c r="A7653" s="51" t="s">
        <v>151</v>
      </c>
      <c r="B7653" s="55" t="n">
        <v>45291</v>
      </c>
      <c r="C7653" s="51" t="s">
        <v>82</v>
      </c>
      <c r="D7653" s="51" t="n">
        <v>0</v>
      </c>
    </row>
    <row r="7654" customFormat="false" ht="15" hidden="true" customHeight="false" outlineLevel="0" collapsed="false">
      <c r="A7654" s="51" t="s">
        <v>156</v>
      </c>
      <c r="B7654" s="55" t="n">
        <v>45291</v>
      </c>
      <c r="C7654" s="51" t="s">
        <v>82</v>
      </c>
      <c r="D7654" s="51" t="n">
        <v>0</v>
      </c>
    </row>
    <row r="7655" customFormat="false" ht="15" hidden="true" customHeight="false" outlineLevel="0" collapsed="false">
      <c r="A7655" s="51" t="s">
        <v>161</v>
      </c>
      <c r="B7655" s="55" t="n">
        <v>45291</v>
      </c>
      <c r="C7655" s="51" t="s">
        <v>82</v>
      </c>
      <c r="D7655" s="51" t="n">
        <v>0</v>
      </c>
    </row>
    <row r="7656" customFormat="false" ht="15" hidden="true" customHeight="false" outlineLevel="0" collapsed="false">
      <c r="A7656" s="51" t="s">
        <v>166</v>
      </c>
      <c r="B7656" s="55" t="n">
        <v>45291</v>
      </c>
      <c r="C7656" s="51" t="s">
        <v>82</v>
      </c>
      <c r="D7656" s="51" t="n">
        <v>0</v>
      </c>
    </row>
    <row r="7657" customFormat="false" ht="15" hidden="true" customHeight="false" outlineLevel="0" collapsed="false">
      <c r="A7657" s="51" t="s">
        <v>171</v>
      </c>
      <c r="B7657" s="55" t="n">
        <v>45291</v>
      </c>
      <c r="C7657" s="51" t="s">
        <v>82</v>
      </c>
      <c r="D7657" s="51" t="n">
        <v>0</v>
      </c>
    </row>
    <row r="7658" customFormat="false" ht="15" hidden="true" customHeight="false" outlineLevel="0" collapsed="false">
      <c r="A7658" s="51" t="s">
        <v>176</v>
      </c>
      <c r="B7658" s="55" t="n">
        <v>45291</v>
      </c>
      <c r="C7658" s="51" t="s">
        <v>82</v>
      </c>
      <c r="D7658" s="51" t="n">
        <v>0</v>
      </c>
    </row>
    <row r="7659" customFormat="false" ht="15" hidden="true" customHeight="false" outlineLevel="0" collapsed="false">
      <c r="A7659" s="51" t="s">
        <v>181</v>
      </c>
      <c r="B7659" s="55" t="n">
        <v>45291</v>
      </c>
      <c r="C7659" s="51" t="s">
        <v>82</v>
      </c>
      <c r="D7659" s="51" t="n">
        <v>0</v>
      </c>
    </row>
    <row r="7660" customFormat="false" ht="15" hidden="true" customHeight="false" outlineLevel="0" collapsed="false">
      <c r="A7660" s="51" t="s">
        <v>186</v>
      </c>
      <c r="B7660" s="55" t="n">
        <v>45291</v>
      </c>
      <c r="C7660" s="51" t="s">
        <v>82</v>
      </c>
      <c r="D7660" s="51" t="n">
        <v>0</v>
      </c>
    </row>
    <row r="7661" customFormat="false" ht="15" hidden="true" customHeight="false" outlineLevel="0" collapsed="false">
      <c r="A7661" s="51" t="s">
        <v>191</v>
      </c>
      <c r="B7661" s="55" t="n">
        <v>45291</v>
      </c>
      <c r="C7661" s="51" t="s">
        <v>82</v>
      </c>
      <c r="D7661" s="51" t="n">
        <v>0</v>
      </c>
    </row>
    <row r="7662" customFormat="false" ht="15" hidden="true" customHeight="false" outlineLevel="0" collapsed="false">
      <c r="A7662" s="51" t="s">
        <v>196</v>
      </c>
      <c r="B7662" s="55" t="n">
        <v>45291</v>
      </c>
      <c r="C7662" s="51" t="s">
        <v>82</v>
      </c>
      <c r="D7662" s="51" t="n">
        <v>0</v>
      </c>
    </row>
    <row r="7663" customFormat="false" ht="15" hidden="true" customHeight="false" outlineLevel="0" collapsed="false">
      <c r="A7663" s="51" t="s">
        <v>201</v>
      </c>
      <c r="B7663" s="55" t="n">
        <v>45291</v>
      </c>
      <c r="C7663" s="51" t="s">
        <v>82</v>
      </c>
      <c r="D7663" s="51" t="n">
        <v>0</v>
      </c>
    </row>
    <row r="7664" customFormat="false" ht="15" hidden="true" customHeight="false" outlineLevel="0" collapsed="false">
      <c r="A7664" s="51" t="s">
        <v>206</v>
      </c>
      <c r="B7664" s="55" t="n">
        <v>45291</v>
      </c>
      <c r="C7664" s="51" t="s">
        <v>82</v>
      </c>
      <c r="D7664" s="51" t="n">
        <v>0</v>
      </c>
    </row>
    <row r="7665" customFormat="false" ht="15" hidden="true" customHeight="false" outlineLevel="0" collapsed="false">
      <c r="A7665" s="51" t="s">
        <v>210</v>
      </c>
      <c r="B7665" s="55" t="n">
        <v>45291</v>
      </c>
      <c r="C7665" s="51" t="s">
        <v>82</v>
      </c>
      <c r="D7665" s="51" t="n">
        <v>0</v>
      </c>
    </row>
    <row r="7666" customFormat="false" ht="15" hidden="true" customHeight="false" outlineLevel="0" collapsed="false">
      <c r="A7666" s="51" t="s">
        <v>215</v>
      </c>
      <c r="B7666" s="55" t="n">
        <v>45291</v>
      </c>
      <c r="C7666" s="51" t="s">
        <v>82</v>
      </c>
      <c r="D7666" s="51" t="n">
        <v>0</v>
      </c>
    </row>
    <row r="7667" customFormat="false" ht="15" hidden="true" customHeight="false" outlineLevel="0" collapsed="false">
      <c r="A7667" s="51" t="s">
        <v>790</v>
      </c>
      <c r="B7667" s="55" t="n">
        <v>45291</v>
      </c>
      <c r="C7667" s="51" t="s">
        <v>82</v>
      </c>
      <c r="D7667" s="51" t="n">
        <v>0</v>
      </c>
    </row>
    <row r="7668" customFormat="false" ht="15" hidden="true" customHeight="false" outlineLevel="0" collapsed="false">
      <c r="A7668" s="51" t="s">
        <v>225</v>
      </c>
      <c r="B7668" s="55" t="n">
        <v>45291</v>
      </c>
      <c r="C7668" s="51" t="s">
        <v>82</v>
      </c>
      <c r="D7668" s="51" t="n">
        <v>0</v>
      </c>
    </row>
    <row r="7669" customFormat="false" ht="15" hidden="true" customHeight="false" outlineLevel="0" collapsed="false">
      <c r="A7669" s="51" t="s">
        <v>230</v>
      </c>
      <c r="B7669" s="55" t="n">
        <v>45291</v>
      </c>
      <c r="C7669" s="51" t="s">
        <v>82</v>
      </c>
      <c r="D7669" s="51" t="n">
        <v>0</v>
      </c>
    </row>
    <row r="7670" customFormat="false" ht="15" hidden="true" customHeight="false" outlineLevel="0" collapsed="false">
      <c r="A7670" s="51" t="s">
        <v>235</v>
      </c>
      <c r="B7670" s="55" t="n">
        <v>45291</v>
      </c>
      <c r="C7670" s="51" t="s">
        <v>82</v>
      </c>
      <c r="D7670" s="51" t="n">
        <v>0</v>
      </c>
    </row>
    <row r="7671" customFormat="false" ht="15" hidden="true" customHeight="false" outlineLevel="0" collapsed="false">
      <c r="A7671" s="51" t="s">
        <v>240</v>
      </c>
      <c r="B7671" s="55" t="n">
        <v>45291</v>
      </c>
      <c r="C7671" s="51" t="s">
        <v>82</v>
      </c>
      <c r="D7671" s="51" t="n">
        <v>0</v>
      </c>
    </row>
    <row r="7672" customFormat="false" ht="15" hidden="true" customHeight="false" outlineLevel="0" collapsed="false">
      <c r="A7672" s="51" t="s">
        <v>246</v>
      </c>
      <c r="B7672" s="55" t="n">
        <v>45291</v>
      </c>
      <c r="C7672" s="51" t="s">
        <v>82</v>
      </c>
      <c r="D7672" s="51" t="n">
        <v>0</v>
      </c>
    </row>
    <row r="7673" customFormat="false" ht="15" hidden="true" customHeight="false" outlineLevel="0" collapsed="false">
      <c r="A7673" s="51" t="s">
        <v>252</v>
      </c>
      <c r="B7673" s="55" t="n">
        <v>45291</v>
      </c>
      <c r="C7673" s="51" t="s">
        <v>82</v>
      </c>
      <c r="D7673" s="51" t="n">
        <v>0</v>
      </c>
    </row>
    <row r="7674" customFormat="false" ht="15" hidden="true" customHeight="false" outlineLevel="0" collapsed="false">
      <c r="A7674" s="51" t="s">
        <v>257</v>
      </c>
      <c r="B7674" s="55" t="n">
        <v>45291</v>
      </c>
      <c r="C7674" s="51" t="s">
        <v>82</v>
      </c>
      <c r="D7674" s="51" t="n">
        <v>0</v>
      </c>
    </row>
    <row r="7675" customFormat="false" ht="15" hidden="true" customHeight="false" outlineLevel="0" collapsed="false">
      <c r="A7675" s="51" t="s">
        <v>262</v>
      </c>
      <c r="B7675" s="55" t="n">
        <v>45291</v>
      </c>
      <c r="C7675" s="51" t="s">
        <v>82</v>
      </c>
      <c r="D7675" s="51" t="n">
        <v>0</v>
      </c>
    </row>
    <row r="7676" customFormat="false" ht="15" hidden="true" customHeight="false" outlineLevel="0" collapsed="false">
      <c r="A7676" s="51" t="s">
        <v>267</v>
      </c>
      <c r="B7676" s="55" t="n">
        <v>45291</v>
      </c>
      <c r="C7676" s="51" t="s">
        <v>82</v>
      </c>
      <c r="D7676" s="51" t="n">
        <v>0</v>
      </c>
    </row>
    <row r="7677" customFormat="false" ht="15" hidden="true" customHeight="false" outlineLevel="0" collapsed="false">
      <c r="A7677" s="51" t="s">
        <v>272</v>
      </c>
      <c r="B7677" s="55" t="n">
        <v>45291</v>
      </c>
      <c r="C7677" s="51" t="s">
        <v>82</v>
      </c>
      <c r="D7677" s="51" t="n">
        <v>0</v>
      </c>
    </row>
    <row r="7678" customFormat="false" ht="15" hidden="true" customHeight="false" outlineLevel="0" collapsed="false">
      <c r="A7678" s="51" t="s">
        <v>277</v>
      </c>
      <c r="B7678" s="55" t="n">
        <v>45291</v>
      </c>
      <c r="C7678" s="51" t="s">
        <v>82</v>
      </c>
      <c r="D7678" s="51" t="n">
        <v>0</v>
      </c>
    </row>
    <row r="7679" customFormat="false" ht="15" hidden="true" customHeight="false" outlineLevel="0" collapsed="false">
      <c r="A7679" s="51" t="s">
        <v>282</v>
      </c>
      <c r="B7679" s="55" t="n">
        <v>45291</v>
      </c>
      <c r="C7679" s="51" t="s">
        <v>82</v>
      </c>
      <c r="D7679" s="51" t="n">
        <v>0</v>
      </c>
    </row>
    <row r="7680" customFormat="false" ht="15" hidden="true" customHeight="false" outlineLevel="0" collapsed="false">
      <c r="A7680" s="51" t="s">
        <v>287</v>
      </c>
      <c r="B7680" s="55" t="n">
        <v>45291</v>
      </c>
      <c r="C7680" s="51" t="s">
        <v>82</v>
      </c>
      <c r="D7680" s="51" t="n">
        <v>0</v>
      </c>
    </row>
    <row r="7681" customFormat="false" ht="15" hidden="true" customHeight="false" outlineLevel="0" collapsed="false">
      <c r="A7681" s="51" t="s">
        <v>292</v>
      </c>
      <c r="B7681" s="55" t="n">
        <v>45291</v>
      </c>
      <c r="C7681" s="51" t="s">
        <v>82</v>
      </c>
      <c r="D7681" s="51" t="n">
        <v>0</v>
      </c>
    </row>
    <row r="7682" customFormat="false" ht="15" hidden="true" customHeight="false" outlineLevel="0" collapsed="false">
      <c r="A7682" s="51" t="s">
        <v>297</v>
      </c>
      <c r="B7682" s="55" t="n">
        <v>45291</v>
      </c>
      <c r="C7682" s="51" t="s">
        <v>82</v>
      </c>
      <c r="D7682" s="51" t="n">
        <v>0</v>
      </c>
    </row>
    <row r="7683" customFormat="false" ht="15" hidden="true" customHeight="false" outlineLevel="0" collapsed="false">
      <c r="A7683" s="51" t="s">
        <v>302</v>
      </c>
      <c r="B7683" s="55" t="n">
        <v>45291</v>
      </c>
      <c r="C7683" s="51" t="s">
        <v>82</v>
      </c>
      <c r="D7683" s="51" t="n">
        <v>0</v>
      </c>
    </row>
    <row r="7684" customFormat="false" ht="15" hidden="true" customHeight="false" outlineLevel="0" collapsed="false">
      <c r="A7684" s="51" t="s">
        <v>307</v>
      </c>
      <c r="B7684" s="55" t="n">
        <v>45291</v>
      </c>
      <c r="C7684" s="51" t="s">
        <v>82</v>
      </c>
      <c r="D7684" s="51" t="n">
        <v>0</v>
      </c>
    </row>
    <row r="7685" customFormat="false" ht="15" hidden="true" customHeight="false" outlineLevel="0" collapsed="false">
      <c r="A7685" s="51" t="s">
        <v>311</v>
      </c>
      <c r="B7685" s="55" t="n">
        <v>45291</v>
      </c>
      <c r="C7685" s="51" t="s">
        <v>82</v>
      </c>
      <c r="D7685" s="51" t="n">
        <v>0</v>
      </c>
    </row>
    <row r="7686" customFormat="false" ht="15" hidden="true" customHeight="false" outlineLevel="0" collapsed="false">
      <c r="A7686" s="51" t="s">
        <v>317</v>
      </c>
      <c r="B7686" s="55" t="n">
        <v>45291</v>
      </c>
      <c r="C7686" s="51" t="s">
        <v>82</v>
      </c>
      <c r="D7686" s="51" t="n">
        <v>0</v>
      </c>
    </row>
    <row r="7687" customFormat="false" ht="15" hidden="true" customHeight="false" outlineLevel="0" collapsed="false">
      <c r="A7687" s="51" t="s">
        <v>322</v>
      </c>
      <c r="B7687" s="55" t="n">
        <v>45291</v>
      </c>
      <c r="C7687" s="51" t="s">
        <v>82</v>
      </c>
      <c r="D7687" s="51" t="n">
        <v>0</v>
      </c>
    </row>
    <row r="7688" customFormat="false" ht="15" hidden="true" customHeight="false" outlineLevel="0" collapsed="false">
      <c r="A7688" s="51" t="s">
        <v>327</v>
      </c>
      <c r="B7688" s="55" t="n">
        <v>45291</v>
      </c>
      <c r="C7688" s="51" t="s">
        <v>82</v>
      </c>
      <c r="D7688" s="51" t="n">
        <v>0</v>
      </c>
    </row>
    <row r="7689" customFormat="false" ht="15" hidden="true" customHeight="false" outlineLevel="0" collapsed="false">
      <c r="A7689" s="51" t="s">
        <v>332</v>
      </c>
      <c r="B7689" s="55" t="n">
        <v>45291</v>
      </c>
      <c r="C7689" s="51" t="s">
        <v>82</v>
      </c>
      <c r="D7689" s="51" t="n">
        <v>0</v>
      </c>
    </row>
    <row r="7690" customFormat="false" ht="15" hidden="true" customHeight="false" outlineLevel="0" collapsed="false">
      <c r="A7690" s="51" t="s">
        <v>339</v>
      </c>
      <c r="B7690" s="55" t="n">
        <v>45291</v>
      </c>
      <c r="C7690" s="51" t="s">
        <v>82</v>
      </c>
      <c r="D7690" s="51" t="n">
        <v>0</v>
      </c>
    </row>
    <row r="7691" customFormat="false" ht="15" hidden="true" customHeight="false" outlineLevel="0" collapsed="false">
      <c r="A7691" s="51" t="s">
        <v>344</v>
      </c>
      <c r="B7691" s="55" t="n">
        <v>45291</v>
      </c>
      <c r="C7691" s="51" t="s">
        <v>82</v>
      </c>
      <c r="D7691" s="51" t="n">
        <v>0</v>
      </c>
    </row>
    <row r="7692" customFormat="false" ht="15" hidden="true" customHeight="false" outlineLevel="0" collapsed="false">
      <c r="A7692" s="51" t="s">
        <v>349</v>
      </c>
      <c r="B7692" s="55" t="n">
        <v>45291</v>
      </c>
      <c r="C7692" s="51" t="s">
        <v>82</v>
      </c>
      <c r="D7692" s="51" t="n">
        <v>0</v>
      </c>
    </row>
    <row r="7693" customFormat="false" ht="15" hidden="true" customHeight="false" outlineLevel="0" collapsed="false">
      <c r="A7693" s="51" t="s">
        <v>354</v>
      </c>
      <c r="B7693" s="55" t="n">
        <v>45291</v>
      </c>
      <c r="C7693" s="51" t="s">
        <v>82</v>
      </c>
      <c r="D7693" s="51" t="n">
        <v>0</v>
      </c>
    </row>
    <row r="7694" customFormat="false" ht="15" hidden="true" customHeight="false" outlineLevel="0" collapsed="false">
      <c r="A7694" s="51" t="s">
        <v>359</v>
      </c>
      <c r="B7694" s="55" t="n">
        <v>45291</v>
      </c>
      <c r="C7694" s="51" t="s">
        <v>82</v>
      </c>
      <c r="D7694" s="51" t="n">
        <v>0</v>
      </c>
    </row>
    <row r="7695" customFormat="false" ht="15" hidden="true" customHeight="false" outlineLevel="0" collapsed="false">
      <c r="A7695" s="51" t="s">
        <v>364</v>
      </c>
      <c r="B7695" s="55" t="n">
        <v>45291</v>
      </c>
      <c r="C7695" s="51" t="s">
        <v>82</v>
      </c>
      <c r="D7695" s="51" t="n">
        <v>0</v>
      </c>
    </row>
    <row r="7696" customFormat="false" ht="15" hidden="true" customHeight="false" outlineLevel="0" collapsed="false">
      <c r="A7696" s="51" t="s">
        <v>369</v>
      </c>
      <c r="B7696" s="55" t="n">
        <v>45291</v>
      </c>
      <c r="C7696" s="51" t="s">
        <v>82</v>
      </c>
      <c r="D7696" s="51" t="n">
        <v>0</v>
      </c>
    </row>
    <row r="7697" customFormat="false" ht="15" hidden="true" customHeight="false" outlineLevel="0" collapsed="false">
      <c r="A7697" s="51" t="s">
        <v>374</v>
      </c>
      <c r="B7697" s="55" t="n">
        <v>45291</v>
      </c>
      <c r="C7697" s="51" t="s">
        <v>82</v>
      </c>
      <c r="D7697" s="51" t="n">
        <v>0</v>
      </c>
    </row>
    <row r="7698" customFormat="false" ht="15" hidden="true" customHeight="false" outlineLevel="0" collapsed="false">
      <c r="A7698" s="51" t="s">
        <v>379</v>
      </c>
      <c r="B7698" s="55" t="n">
        <v>45291</v>
      </c>
      <c r="C7698" s="51" t="s">
        <v>82</v>
      </c>
      <c r="D7698" s="51" t="n">
        <v>0</v>
      </c>
    </row>
    <row r="7699" customFormat="false" ht="15" hidden="true" customHeight="false" outlineLevel="0" collapsed="false">
      <c r="A7699" s="51" t="s">
        <v>384</v>
      </c>
      <c r="B7699" s="55" t="n">
        <v>45291</v>
      </c>
      <c r="C7699" s="51" t="s">
        <v>82</v>
      </c>
      <c r="D7699" s="51" t="n">
        <v>0</v>
      </c>
    </row>
    <row r="7700" customFormat="false" ht="15" hidden="true" customHeight="false" outlineLevel="0" collapsed="false">
      <c r="A7700" s="51" t="s">
        <v>389</v>
      </c>
      <c r="B7700" s="55" t="n">
        <v>45291</v>
      </c>
      <c r="C7700" s="51" t="s">
        <v>82</v>
      </c>
      <c r="D7700" s="51" t="n">
        <v>0</v>
      </c>
    </row>
    <row r="7701" customFormat="false" ht="15" hidden="true" customHeight="false" outlineLevel="0" collapsed="false">
      <c r="A7701" s="51" t="s">
        <v>394</v>
      </c>
      <c r="B7701" s="55" t="n">
        <v>45291</v>
      </c>
      <c r="C7701" s="51" t="s">
        <v>82</v>
      </c>
      <c r="D7701" s="51" t="n">
        <v>0</v>
      </c>
    </row>
    <row r="7702" customFormat="false" ht="15" hidden="true" customHeight="false" outlineLevel="0" collapsed="false">
      <c r="A7702" s="51" t="s">
        <v>399</v>
      </c>
      <c r="B7702" s="55" t="n">
        <v>45291</v>
      </c>
      <c r="C7702" s="51" t="s">
        <v>82</v>
      </c>
      <c r="D7702" s="51" t="n">
        <v>0</v>
      </c>
    </row>
    <row r="7703" customFormat="false" ht="15" hidden="true" customHeight="false" outlineLevel="0" collapsed="false">
      <c r="A7703" s="51" t="s">
        <v>404</v>
      </c>
      <c r="B7703" s="55" t="n">
        <v>45291</v>
      </c>
      <c r="C7703" s="51" t="s">
        <v>82</v>
      </c>
      <c r="D7703" s="51" t="n">
        <v>0</v>
      </c>
    </row>
    <row r="7704" customFormat="false" ht="15" hidden="true" customHeight="false" outlineLevel="0" collapsed="false">
      <c r="A7704" s="51" t="s">
        <v>409</v>
      </c>
      <c r="B7704" s="55" t="n">
        <v>45291</v>
      </c>
      <c r="C7704" s="51" t="s">
        <v>82</v>
      </c>
      <c r="D7704" s="51" t="n">
        <v>0</v>
      </c>
    </row>
    <row r="7705" customFormat="false" ht="15" hidden="true" customHeight="false" outlineLevel="0" collapsed="false">
      <c r="A7705" s="51" t="s">
        <v>414</v>
      </c>
      <c r="B7705" s="55" t="n">
        <v>45291</v>
      </c>
      <c r="C7705" s="51" t="s">
        <v>82</v>
      </c>
      <c r="D7705" s="51" t="n">
        <v>0</v>
      </c>
    </row>
    <row r="7706" customFormat="false" ht="15" hidden="true" customHeight="false" outlineLevel="0" collapsed="false">
      <c r="A7706" s="51" t="s">
        <v>419</v>
      </c>
      <c r="B7706" s="55" t="n">
        <v>45291</v>
      </c>
      <c r="C7706" s="51" t="s">
        <v>82</v>
      </c>
      <c r="D7706" s="51" t="n">
        <v>0</v>
      </c>
    </row>
    <row r="7707" customFormat="false" ht="15" hidden="true" customHeight="false" outlineLevel="0" collapsed="false">
      <c r="A7707" s="51" t="s">
        <v>424</v>
      </c>
      <c r="B7707" s="55" t="n">
        <v>45291</v>
      </c>
      <c r="C7707" s="51" t="s">
        <v>82</v>
      </c>
      <c r="D7707" s="51" t="n">
        <v>0</v>
      </c>
    </row>
    <row r="7708" customFormat="false" ht="15" hidden="true" customHeight="false" outlineLevel="0" collapsed="false">
      <c r="A7708" s="51" t="s">
        <v>429</v>
      </c>
      <c r="B7708" s="55" t="n">
        <v>45291</v>
      </c>
      <c r="C7708" s="51" t="s">
        <v>82</v>
      </c>
      <c r="D7708" s="51" t="n">
        <v>0</v>
      </c>
    </row>
    <row r="7709" customFormat="false" ht="15" hidden="true" customHeight="false" outlineLevel="0" collapsed="false">
      <c r="A7709" s="51" t="s">
        <v>434</v>
      </c>
      <c r="B7709" s="55" t="n">
        <v>45291</v>
      </c>
      <c r="C7709" s="51" t="s">
        <v>82</v>
      </c>
      <c r="D7709" s="51" t="n">
        <v>0</v>
      </c>
    </row>
    <row r="7710" customFormat="false" ht="15" hidden="true" customHeight="false" outlineLevel="0" collapsed="false">
      <c r="A7710" s="51" t="s">
        <v>438</v>
      </c>
      <c r="B7710" s="55" t="n">
        <v>45291</v>
      </c>
      <c r="C7710" s="51" t="s">
        <v>82</v>
      </c>
      <c r="D7710" s="51" t="n">
        <v>0</v>
      </c>
    </row>
    <row r="7711" customFormat="false" ht="15" hidden="true" customHeight="false" outlineLevel="0" collapsed="false">
      <c r="A7711" s="51" t="s">
        <v>443</v>
      </c>
      <c r="B7711" s="55" t="n">
        <v>45291</v>
      </c>
      <c r="C7711" s="51" t="s">
        <v>82</v>
      </c>
      <c r="D7711" s="51" t="n">
        <v>0</v>
      </c>
    </row>
    <row r="7712" customFormat="false" ht="15" hidden="true" customHeight="false" outlineLevel="0" collapsed="false">
      <c r="A7712" s="51" t="s">
        <v>448</v>
      </c>
      <c r="B7712" s="55" t="n">
        <v>45291</v>
      </c>
      <c r="C7712" s="51" t="s">
        <v>82</v>
      </c>
      <c r="D7712" s="51" t="n">
        <v>0</v>
      </c>
    </row>
    <row r="7713" customFormat="false" ht="15" hidden="true" customHeight="false" outlineLevel="0" collapsed="false">
      <c r="A7713" s="51" t="s">
        <v>453</v>
      </c>
      <c r="B7713" s="55" t="n">
        <v>45291</v>
      </c>
      <c r="C7713" s="51" t="s">
        <v>82</v>
      </c>
      <c r="D7713" s="51" t="n">
        <v>12000000</v>
      </c>
    </row>
    <row r="7714" customFormat="false" ht="15" hidden="true" customHeight="false" outlineLevel="0" collapsed="false">
      <c r="A7714" s="51" t="s">
        <v>458</v>
      </c>
      <c r="B7714" s="55" t="n">
        <v>45291</v>
      </c>
      <c r="C7714" s="51" t="s">
        <v>82</v>
      </c>
      <c r="D7714" s="51" t="n">
        <v>4964442</v>
      </c>
    </row>
    <row r="7715" customFormat="false" ht="15" hidden="true" customHeight="false" outlineLevel="0" collapsed="false">
      <c r="A7715" s="51" t="s">
        <v>473</v>
      </c>
      <c r="B7715" s="55" t="n">
        <v>45291</v>
      </c>
      <c r="C7715" s="51" t="s">
        <v>82</v>
      </c>
      <c r="D7715" s="51" t="n">
        <v>250000</v>
      </c>
    </row>
    <row r="7716" customFormat="false" ht="15" hidden="true" customHeight="false" outlineLevel="0" collapsed="false">
      <c r="A7716" s="51" t="s">
        <v>479</v>
      </c>
      <c r="B7716" s="55" t="n">
        <v>45291</v>
      </c>
      <c r="C7716" s="51" t="s">
        <v>82</v>
      </c>
      <c r="D7716" s="51" t="n">
        <v>6000000</v>
      </c>
    </row>
    <row r="7717" customFormat="false" ht="15" hidden="true" customHeight="false" outlineLevel="0" collapsed="false">
      <c r="A7717" s="51" t="s">
        <v>484</v>
      </c>
      <c r="B7717" s="55" t="n">
        <v>45291</v>
      </c>
      <c r="C7717" s="51" t="s">
        <v>82</v>
      </c>
      <c r="D7717" s="51" t="n">
        <v>320000</v>
      </c>
    </row>
    <row r="7718" customFormat="false" ht="15" hidden="true" customHeight="false" outlineLevel="0" collapsed="false">
      <c r="A7718" s="51" t="s">
        <v>489</v>
      </c>
      <c r="B7718" s="55" t="n">
        <v>45291</v>
      </c>
      <c r="C7718" s="51" t="s">
        <v>82</v>
      </c>
      <c r="D7718" s="51" t="n">
        <v>0</v>
      </c>
    </row>
    <row r="7719" customFormat="false" ht="15" hidden="true" customHeight="false" outlineLevel="0" collapsed="false">
      <c r="A7719" s="51" t="s">
        <v>494</v>
      </c>
      <c r="B7719" s="55" t="n">
        <v>45291</v>
      </c>
      <c r="C7719" s="51" t="s">
        <v>82</v>
      </c>
      <c r="D7719" s="51" t="n">
        <v>0</v>
      </c>
    </row>
    <row r="7720" customFormat="false" ht="15" hidden="true" customHeight="false" outlineLevel="0" collapsed="false">
      <c r="A7720" s="51" t="s">
        <v>499</v>
      </c>
      <c r="B7720" s="55" t="n">
        <v>45291</v>
      </c>
      <c r="C7720" s="51" t="s">
        <v>82</v>
      </c>
      <c r="D7720" s="51" t="n">
        <v>0</v>
      </c>
    </row>
    <row r="7721" customFormat="false" ht="15" hidden="true" customHeight="false" outlineLevel="0" collapsed="false">
      <c r="A7721" s="51" t="s">
        <v>504</v>
      </c>
      <c r="B7721" s="55" t="n">
        <v>45291</v>
      </c>
      <c r="C7721" s="51" t="s">
        <v>82</v>
      </c>
      <c r="D7721" s="51" t="n">
        <v>0</v>
      </c>
    </row>
    <row r="7722" customFormat="false" ht="15" hidden="true" customHeight="false" outlineLevel="0" collapsed="false">
      <c r="A7722" s="51" t="s">
        <v>509</v>
      </c>
      <c r="B7722" s="55" t="n">
        <v>45291</v>
      </c>
      <c r="C7722" s="51" t="s">
        <v>82</v>
      </c>
      <c r="D7722" s="51" t="n">
        <v>0</v>
      </c>
    </row>
    <row r="7723" customFormat="false" ht="15" hidden="true" customHeight="false" outlineLevel="0" collapsed="false">
      <c r="A7723" s="51" t="s">
        <v>515</v>
      </c>
      <c r="B7723" s="55" t="n">
        <v>45291</v>
      </c>
      <c r="C7723" s="51" t="s">
        <v>82</v>
      </c>
      <c r="D7723" s="51" t="n">
        <v>0</v>
      </c>
    </row>
    <row r="7724" customFormat="false" ht="15" hidden="true" customHeight="false" outlineLevel="0" collapsed="false">
      <c r="A7724" s="51" t="s">
        <v>520</v>
      </c>
      <c r="B7724" s="55" t="n">
        <v>45291</v>
      </c>
      <c r="C7724" s="51" t="s">
        <v>82</v>
      </c>
      <c r="D7724" s="51" t="n">
        <v>0</v>
      </c>
    </row>
    <row r="7725" customFormat="false" ht="15" hidden="true" customHeight="false" outlineLevel="0" collapsed="false">
      <c r="A7725" s="51" t="s">
        <v>525</v>
      </c>
      <c r="B7725" s="55" t="n">
        <v>45291</v>
      </c>
      <c r="C7725" s="51" t="s">
        <v>82</v>
      </c>
      <c r="D7725" s="51" t="n">
        <v>0</v>
      </c>
    </row>
    <row r="7726" customFormat="false" ht="15" hidden="true" customHeight="false" outlineLevel="0" collapsed="false">
      <c r="A7726" s="51" t="s">
        <v>531</v>
      </c>
      <c r="B7726" s="55" t="n">
        <v>45291</v>
      </c>
      <c r="C7726" s="51" t="s">
        <v>82</v>
      </c>
      <c r="D7726" s="51" t="n">
        <v>0</v>
      </c>
    </row>
    <row r="7727" customFormat="false" ht="15" hidden="true" customHeight="false" outlineLevel="0" collapsed="false">
      <c r="A7727" s="51" t="s">
        <v>536</v>
      </c>
      <c r="B7727" s="55" t="n">
        <v>45291</v>
      </c>
      <c r="C7727" s="51" t="s">
        <v>82</v>
      </c>
      <c r="D7727" s="51" t="n">
        <v>0</v>
      </c>
    </row>
    <row r="7728" customFormat="false" ht="15" hidden="true" customHeight="false" outlineLevel="0" collapsed="false">
      <c r="A7728" s="51" t="s">
        <v>541</v>
      </c>
      <c r="B7728" s="55" t="n">
        <v>45291</v>
      </c>
      <c r="C7728" s="51" t="s">
        <v>82</v>
      </c>
      <c r="D7728" s="51" t="n">
        <v>0</v>
      </c>
    </row>
    <row r="7729" customFormat="false" ht="15" hidden="true" customHeight="false" outlineLevel="0" collapsed="false">
      <c r="A7729" s="51" t="s">
        <v>549</v>
      </c>
      <c r="B7729" s="55" t="n">
        <v>45291</v>
      </c>
      <c r="C7729" s="51" t="s">
        <v>82</v>
      </c>
      <c r="D7729" s="51" t="n">
        <v>0</v>
      </c>
    </row>
    <row r="7730" customFormat="false" ht="15" hidden="true" customHeight="false" outlineLevel="0" collapsed="false">
      <c r="A7730" s="51" t="s">
        <v>554</v>
      </c>
      <c r="B7730" s="55" t="n">
        <v>45291</v>
      </c>
      <c r="C7730" s="51" t="s">
        <v>82</v>
      </c>
      <c r="D7730" s="51" t="n">
        <v>0</v>
      </c>
    </row>
    <row r="7731" customFormat="false" ht="15" hidden="true" customHeight="false" outlineLevel="0" collapsed="false">
      <c r="A7731" s="51" t="s">
        <v>559</v>
      </c>
      <c r="B7731" s="55" t="n">
        <v>45291</v>
      </c>
      <c r="C7731" s="51" t="s">
        <v>82</v>
      </c>
      <c r="D7731" s="51" t="n">
        <v>0</v>
      </c>
    </row>
    <row r="7732" customFormat="false" ht="15" hidden="true" customHeight="false" outlineLevel="0" collapsed="false">
      <c r="A7732" s="51" t="s">
        <v>564</v>
      </c>
      <c r="B7732" s="55" t="n">
        <v>45291</v>
      </c>
      <c r="C7732" s="51" t="s">
        <v>82</v>
      </c>
      <c r="D7732" s="51" t="n">
        <v>0</v>
      </c>
    </row>
    <row r="7733" customFormat="false" ht="15" hidden="true" customHeight="false" outlineLevel="0" collapsed="false">
      <c r="A7733" s="51" t="s">
        <v>569</v>
      </c>
      <c r="B7733" s="55" t="n">
        <v>45291</v>
      </c>
      <c r="C7733" s="51" t="s">
        <v>82</v>
      </c>
      <c r="D7733" s="51" t="n">
        <v>0</v>
      </c>
    </row>
    <row r="7734" customFormat="false" ht="15" hidden="true" customHeight="false" outlineLevel="0" collapsed="false">
      <c r="A7734" s="51" t="s">
        <v>574</v>
      </c>
      <c r="B7734" s="55" t="n">
        <v>45291</v>
      </c>
      <c r="C7734" s="51" t="s">
        <v>82</v>
      </c>
      <c r="D7734" s="51" t="n">
        <v>0</v>
      </c>
    </row>
    <row r="7735" customFormat="false" ht="15" hidden="true" customHeight="false" outlineLevel="0" collapsed="false">
      <c r="A7735" s="51" t="s">
        <v>579</v>
      </c>
      <c r="B7735" s="55" t="n">
        <v>45291</v>
      </c>
      <c r="C7735" s="51" t="s">
        <v>82</v>
      </c>
      <c r="D7735" s="51" t="n">
        <v>0</v>
      </c>
    </row>
    <row r="7736" customFormat="false" ht="15" hidden="true" customHeight="false" outlineLevel="0" collapsed="false">
      <c r="A7736" s="51" t="s">
        <v>584</v>
      </c>
      <c r="B7736" s="55" t="n">
        <v>45291</v>
      </c>
      <c r="C7736" s="51" t="s">
        <v>82</v>
      </c>
      <c r="D7736" s="51" t="n">
        <v>0</v>
      </c>
    </row>
    <row r="7737" customFormat="false" ht="15" hidden="true" customHeight="false" outlineLevel="0" collapsed="false">
      <c r="A7737" s="51" t="s">
        <v>589</v>
      </c>
      <c r="B7737" s="55" t="n">
        <v>45291</v>
      </c>
      <c r="C7737" s="51" t="s">
        <v>82</v>
      </c>
      <c r="D7737" s="51" t="n">
        <v>0</v>
      </c>
    </row>
    <row r="7738" customFormat="false" ht="15" hidden="true" customHeight="false" outlineLevel="0" collapsed="false">
      <c r="A7738" s="51" t="s">
        <v>756</v>
      </c>
      <c r="B7738" s="55" t="n">
        <v>45291</v>
      </c>
      <c r="C7738" s="51" t="s">
        <v>82</v>
      </c>
      <c r="D7738" s="51" t="n">
        <v>0</v>
      </c>
    </row>
    <row r="7739" customFormat="false" ht="15" hidden="true" customHeight="false" outlineLevel="0" collapsed="false">
      <c r="A7739" s="51" t="s">
        <v>594</v>
      </c>
      <c r="B7739" s="55" t="n">
        <v>45291</v>
      </c>
      <c r="C7739" s="51" t="s">
        <v>82</v>
      </c>
      <c r="D7739" s="51" t="n">
        <v>0</v>
      </c>
    </row>
    <row r="7740" customFormat="false" ht="15" hidden="true" customHeight="false" outlineLevel="0" collapsed="false">
      <c r="A7740" s="51" t="s">
        <v>761</v>
      </c>
      <c r="B7740" s="55" t="n">
        <v>45291</v>
      </c>
      <c r="C7740" s="51" t="s">
        <v>82</v>
      </c>
      <c r="D7740" s="51" t="n">
        <v>0</v>
      </c>
    </row>
    <row r="7741" customFormat="false" ht="15" hidden="true" customHeight="false" outlineLevel="0" collapsed="false">
      <c r="A7741" s="51" t="s">
        <v>599</v>
      </c>
      <c r="B7741" s="55" t="n">
        <v>45291</v>
      </c>
      <c r="C7741" s="51" t="s">
        <v>82</v>
      </c>
      <c r="D7741" s="51" t="n">
        <v>0</v>
      </c>
    </row>
    <row r="7742" customFormat="false" ht="15" hidden="true" customHeight="false" outlineLevel="0" collapsed="false">
      <c r="A7742" s="51" t="s">
        <v>604</v>
      </c>
      <c r="B7742" s="55" t="n">
        <v>45291</v>
      </c>
      <c r="C7742" s="51" t="s">
        <v>82</v>
      </c>
      <c r="D7742" s="51" t="n">
        <v>0</v>
      </c>
    </row>
    <row r="7743" customFormat="false" ht="15" hidden="true" customHeight="false" outlineLevel="0" collapsed="false">
      <c r="A7743" s="51" t="s">
        <v>609</v>
      </c>
      <c r="B7743" s="55" t="n">
        <v>45291</v>
      </c>
      <c r="C7743" s="51" t="s">
        <v>82</v>
      </c>
      <c r="D7743" s="51" t="n">
        <v>0</v>
      </c>
    </row>
    <row r="7744" customFormat="false" ht="15" hidden="true" customHeight="false" outlineLevel="0" collapsed="false">
      <c r="A7744" s="51" t="s">
        <v>614</v>
      </c>
      <c r="B7744" s="55" t="n">
        <v>45291</v>
      </c>
      <c r="C7744" s="51" t="s">
        <v>82</v>
      </c>
      <c r="D7744" s="51" t="n">
        <v>0</v>
      </c>
    </row>
    <row r="7745" customFormat="false" ht="15" hidden="true" customHeight="false" outlineLevel="0" collapsed="false">
      <c r="A7745" s="51" t="s">
        <v>619</v>
      </c>
      <c r="B7745" s="55" t="n">
        <v>45291</v>
      </c>
      <c r="C7745" s="51" t="s">
        <v>82</v>
      </c>
      <c r="D7745" s="51" t="n">
        <v>0</v>
      </c>
    </row>
    <row r="7746" customFormat="false" ht="15" hidden="true" customHeight="false" outlineLevel="0" collapsed="false">
      <c r="A7746" s="51" t="s">
        <v>624</v>
      </c>
      <c r="B7746" s="55" t="n">
        <v>45291</v>
      </c>
      <c r="C7746" s="51" t="s">
        <v>82</v>
      </c>
      <c r="D7746" s="51" t="n">
        <v>0</v>
      </c>
    </row>
    <row r="7747" customFormat="false" ht="15" hidden="true" customHeight="false" outlineLevel="0" collapsed="false">
      <c r="A7747" s="51" t="s">
        <v>629</v>
      </c>
      <c r="B7747" s="55" t="n">
        <v>45291</v>
      </c>
      <c r="C7747" s="51" t="s">
        <v>82</v>
      </c>
      <c r="D7747" s="51" t="n">
        <v>0</v>
      </c>
    </row>
    <row r="7748" customFormat="false" ht="15" hidden="true" customHeight="false" outlineLevel="0" collapsed="false">
      <c r="A7748" s="51" t="s">
        <v>633</v>
      </c>
      <c r="B7748" s="55" t="n">
        <v>45291</v>
      </c>
      <c r="C7748" s="51" t="s">
        <v>82</v>
      </c>
      <c r="D7748" s="51" t="n">
        <v>0</v>
      </c>
    </row>
    <row r="7749" customFormat="false" ht="15" hidden="true" customHeight="false" outlineLevel="0" collapsed="false">
      <c r="A7749" s="51" t="s">
        <v>638</v>
      </c>
      <c r="B7749" s="55" t="n">
        <v>45291</v>
      </c>
      <c r="C7749" s="51" t="s">
        <v>82</v>
      </c>
      <c r="D7749" s="51" t="n">
        <v>0</v>
      </c>
    </row>
    <row r="7750" customFormat="false" ht="15" hidden="true" customHeight="false" outlineLevel="0" collapsed="false">
      <c r="A7750" s="51" t="s">
        <v>642</v>
      </c>
      <c r="B7750" s="55" t="n">
        <v>45291</v>
      </c>
      <c r="C7750" s="51" t="s">
        <v>82</v>
      </c>
      <c r="D7750" s="51" t="n">
        <v>0</v>
      </c>
    </row>
    <row r="7751" customFormat="false" ht="15" hidden="true" customHeight="false" outlineLevel="0" collapsed="false">
      <c r="A7751" s="51" t="s">
        <v>646</v>
      </c>
      <c r="B7751" s="55" t="n">
        <v>45291</v>
      </c>
      <c r="C7751" s="51" t="s">
        <v>82</v>
      </c>
      <c r="D7751" s="51" t="n">
        <v>0</v>
      </c>
    </row>
    <row r="7752" customFormat="false" ht="15" hidden="true" customHeight="false" outlineLevel="0" collapsed="false">
      <c r="A7752" s="51" t="s">
        <v>651</v>
      </c>
      <c r="B7752" s="55" t="n">
        <v>45291</v>
      </c>
      <c r="C7752" s="51" t="s">
        <v>82</v>
      </c>
      <c r="D7752" s="51" t="n">
        <v>0</v>
      </c>
    </row>
    <row r="7753" customFormat="false" ht="15" hidden="true" customHeight="false" outlineLevel="0" collapsed="false">
      <c r="A7753" s="51" t="s">
        <v>656</v>
      </c>
      <c r="B7753" s="55" t="n">
        <v>45291</v>
      </c>
      <c r="C7753" s="51" t="s">
        <v>82</v>
      </c>
      <c r="D7753" s="51" t="n">
        <v>0</v>
      </c>
    </row>
    <row r="7754" customFormat="false" ht="15" hidden="true" customHeight="false" outlineLevel="0" collapsed="false">
      <c r="A7754" s="51" t="s">
        <v>661</v>
      </c>
      <c r="B7754" s="55" t="n">
        <v>45291</v>
      </c>
      <c r="C7754" s="51" t="s">
        <v>82</v>
      </c>
      <c r="D7754" s="51" t="n">
        <v>0</v>
      </c>
    </row>
    <row r="7755" customFormat="false" ht="15" hidden="true" customHeight="false" outlineLevel="0" collapsed="false">
      <c r="A7755" s="51" t="s">
        <v>666</v>
      </c>
      <c r="B7755" s="55" t="n">
        <v>45291</v>
      </c>
      <c r="C7755" s="51" t="s">
        <v>82</v>
      </c>
      <c r="D7755" s="51" t="n">
        <v>0</v>
      </c>
    </row>
    <row r="7756" customFormat="false" ht="15" hidden="true" customHeight="false" outlineLevel="0" collapsed="false">
      <c r="A7756" s="51" t="s">
        <v>671</v>
      </c>
      <c r="B7756" s="55" t="n">
        <v>45291</v>
      </c>
      <c r="C7756" s="51" t="s">
        <v>82</v>
      </c>
      <c r="D7756" s="51" t="n">
        <v>0</v>
      </c>
    </row>
    <row r="7757" customFormat="false" ht="15" hidden="true" customHeight="false" outlineLevel="0" collapsed="false">
      <c r="A7757" s="51" t="s">
        <v>676</v>
      </c>
      <c r="B7757" s="55" t="n">
        <v>45291</v>
      </c>
      <c r="C7757" s="51" t="s">
        <v>82</v>
      </c>
      <c r="D7757" s="51" t="n">
        <v>0</v>
      </c>
    </row>
    <row r="7758" customFormat="false" ht="15" hidden="true" customHeight="false" outlineLevel="0" collapsed="false">
      <c r="A7758" s="51" t="s">
        <v>681</v>
      </c>
      <c r="B7758" s="55" t="n">
        <v>45291</v>
      </c>
      <c r="C7758" s="51" t="s">
        <v>82</v>
      </c>
      <c r="D7758" s="51" t="n">
        <v>0</v>
      </c>
    </row>
    <row r="7759" customFormat="false" ht="15" hidden="true" customHeight="false" outlineLevel="0" collapsed="false">
      <c r="A7759" s="51" t="s">
        <v>686</v>
      </c>
      <c r="B7759" s="55" t="n">
        <v>45291</v>
      </c>
      <c r="C7759" s="51" t="s">
        <v>82</v>
      </c>
      <c r="D7759" s="51" t="n">
        <v>0</v>
      </c>
    </row>
    <row r="7760" customFormat="false" ht="15" hidden="true" customHeight="false" outlineLevel="0" collapsed="false">
      <c r="A7760" s="51" t="s">
        <v>691</v>
      </c>
      <c r="B7760" s="55" t="n">
        <v>45291</v>
      </c>
      <c r="C7760" s="51" t="s">
        <v>82</v>
      </c>
      <c r="D7760" s="51" t="n">
        <v>0</v>
      </c>
    </row>
    <row r="7761" customFormat="false" ht="15" hidden="true" customHeight="false" outlineLevel="0" collapsed="false">
      <c r="A7761" s="51" t="s">
        <v>696</v>
      </c>
      <c r="B7761" s="55" t="n">
        <v>45291</v>
      </c>
      <c r="C7761" s="51" t="s">
        <v>82</v>
      </c>
      <c r="D7761" s="51" t="n">
        <v>0</v>
      </c>
    </row>
    <row r="7762" customFormat="false" ht="15" hidden="true" customHeight="false" outlineLevel="0" collapsed="false">
      <c r="A7762" s="51" t="s">
        <v>701</v>
      </c>
      <c r="B7762" s="55" t="n">
        <v>45291</v>
      </c>
      <c r="C7762" s="51" t="s">
        <v>82</v>
      </c>
      <c r="D7762" s="51" t="n">
        <v>0</v>
      </c>
    </row>
    <row r="7763" customFormat="false" ht="15" hidden="true" customHeight="false" outlineLevel="0" collapsed="false">
      <c r="A7763" s="51" t="s">
        <v>707</v>
      </c>
      <c r="B7763" s="55" t="n">
        <v>45291</v>
      </c>
      <c r="C7763" s="51" t="s">
        <v>82</v>
      </c>
      <c r="D7763" s="51" t="n">
        <v>0</v>
      </c>
    </row>
    <row r="7764" customFormat="false" ht="15" hidden="true" customHeight="false" outlineLevel="0" collapsed="false">
      <c r="A7764" s="51" t="s">
        <v>712</v>
      </c>
      <c r="B7764" s="55" t="n">
        <v>45291</v>
      </c>
      <c r="C7764" s="51" t="s">
        <v>82</v>
      </c>
      <c r="D7764" s="51" t="n">
        <v>0</v>
      </c>
    </row>
    <row r="7765" customFormat="false" ht="15" hidden="true" customHeight="false" outlineLevel="0" collapsed="false">
      <c r="A7765" s="51" t="s">
        <v>717</v>
      </c>
      <c r="B7765" s="55" t="n">
        <v>45291</v>
      </c>
      <c r="C7765" s="51" t="s">
        <v>82</v>
      </c>
      <c r="D7765" s="51" t="n">
        <v>0</v>
      </c>
    </row>
    <row r="7766" customFormat="false" ht="15" hidden="true" customHeight="false" outlineLevel="0" collapsed="false">
      <c r="A7766" s="51" t="s">
        <v>767</v>
      </c>
      <c r="B7766" s="55" t="n">
        <v>45291</v>
      </c>
      <c r="C7766" s="51" t="s">
        <v>82</v>
      </c>
      <c r="D7766" s="51" t="n">
        <v>0</v>
      </c>
    </row>
    <row r="7767" customFormat="false" ht="15" hidden="true" customHeight="false" outlineLevel="0" collapsed="false">
      <c r="A7767" s="51" t="s">
        <v>722</v>
      </c>
      <c r="B7767" s="55" t="n">
        <v>45291</v>
      </c>
      <c r="C7767" s="51" t="s">
        <v>82</v>
      </c>
      <c r="D7767" s="51" t="n">
        <v>0</v>
      </c>
    </row>
    <row r="7768" customFormat="false" ht="15" hidden="true" customHeight="false" outlineLevel="0" collapsed="false">
      <c r="A7768" s="51" t="s">
        <v>727</v>
      </c>
      <c r="B7768" s="55" t="n">
        <v>45291</v>
      </c>
      <c r="C7768" s="51" t="s">
        <v>82</v>
      </c>
      <c r="D7768" s="51" t="n">
        <v>0</v>
      </c>
    </row>
    <row r="7769" customFormat="false" ht="15" hidden="true" customHeight="false" outlineLevel="0" collapsed="false">
      <c r="A7769" s="51" t="s">
        <v>732</v>
      </c>
      <c r="B7769" s="55" t="n">
        <v>45291</v>
      </c>
      <c r="C7769" s="51" t="s">
        <v>82</v>
      </c>
      <c r="D7769" s="51" t="n">
        <v>0</v>
      </c>
    </row>
    <row r="7770" customFormat="false" ht="15" hidden="true" customHeight="false" outlineLevel="0" collapsed="false">
      <c r="A7770" s="51" t="s">
        <v>736</v>
      </c>
      <c r="B7770" s="55" t="n">
        <v>45291</v>
      </c>
      <c r="C7770" s="51" t="s">
        <v>82</v>
      </c>
      <c r="D7770" s="51" t="n">
        <v>0</v>
      </c>
    </row>
    <row r="7771" customFormat="false" ht="15" hidden="true" customHeight="false" outlineLevel="0" collapsed="false">
      <c r="A7771" s="51" t="s">
        <v>741</v>
      </c>
      <c r="B7771" s="55" t="n">
        <v>45291</v>
      </c>
      <c r="C7771" s="51" t="s">
        <v>82</v>
      </c>
      <c r="D7771" s="51" t="n">
        <v>0</v>
      </c>
    </row>
    <row r="7772" customFormat="false" ht="15" hidden="true" customHeight="false" outlineLevel="0" collapsed="false">
      <c r="A7772" s="51" t="s">
        <v>746</v>
      </c>
      <c r="B7772" s="55" t="n">
        <v>45291</v>
      </c>
      <c r="C7772" s="51" t="s">
        <v>82</v>
      </c>
      <c r="D7772" s="51" t="n">
        <v>0</v>
      </c>
    </row>
    <row r="7773" customFormat="false" ht="15" hidden="true" customHeight="false" outlineLevel="0" collapsed="false">
      <c r="A7773" s="51" t="s">
        <v>751</v>
      </c>
      <c r="B7773" s="55" t="n">
        <v>45291</v>
      </c>
      <c r="C7773" s="51" t="s">
        <v>82</v>
      </c>
      <c r="D7773" s="51" t="n">
        <v>0</v>
      </c>
    </row>
    <row r="7774" customFormat="false" ht="15" hidden="false" customHeight="false" outlineLevel="0" collapsed="false">
      <c r="A7774" s="51" t="s">
        <v>781</v>
      </c>
      <c r="B7774" s="55" t="n">
        <v>45291</v>
      </c>
      <c r="C7774" s="51" t="s">
        <v>73</v>
      </c>
      <c r="D7774" s="51" t="n">
        <v>0</v>
      </c>
    </row>
    <row r="7775" customFormat="false" ht="15" hidden="true" customHeight="false" outlineLevel="0" collapsed="false">
      <c r="A7775" s="51" t="s">
        <v>783</v>
      </c>
      <c r="B7775" s="55" t="n">
        <v>45291</v>
      </c>
      <c r="C7775" s="51" t="s">
        <v>73</v>
      </c>
      <c r="D7775" s="51" t="n">
        <v>0</v>
      </c>
    </row>
    <row r="7776" customFormat="false" ht="15" hidden="true" customHeight="false" outlineLevel="0" collapsed="false">
      <c r="A7776" s="51" t="s">
        <v>96</v>
      </c>
      <c r="B7776" s="55" t="n">
        <v>45291</v>
      </c>
      <c r="C7776" s="51" t="s">
        <v>73</v>
      </c>
      <c r="D7776" s="51" t="n">
        <v>0</v>
      </c>
    </row>
    <row r="7777" customFormat="false" ht="15" hidden="true" customHeight="false" outlineLevel="0" collapsed="false">
      <c r="A7777" s="51" t="s">
        <v>101</v>
      </c>
      <c r="B7777" s="55" t="n">
        <v>45291</v>
      </c>
      <c r="C7777" s="51" t="s">
        <v>73</v>
      </c>
      <c r="D7777" s="51" t="n">
        <v>0</v>
      </c>
    </row>
    <row r="7778" customFormat="false" ht="15" hidden="true" customHeight="false" outlineLevel="0" collapsed="false">
      <c r="A7778" s="51" t="s">
        <v>106</v>
      </c>
      <c r="B7778" s="55" t="n">
        <v>45291</v>
      </c>
      <c r="C7778" s="51" t="s">
        <v>73</v>
      </c>
      <c r="D7778" s="51" t="n">
        <v>0</v>
      </c>
    </row>
    <row r="7779" customFormat="false" ht="15" hidden="true" customHeight="false" outlineLevel="0" collapsed="false">
      <c r="A7779" s="51" t="s">
        <v>110</v>
      </c>
      <c r="B7779" s="55" t="n">
        <v>45291</v>
      </c>
      <c r="C7779" s="51" t="s">
        <v>73</v>
      </c>
      <c r="D7779" s="51" t="n">
        <v>0</v>
      </c>
    </row>
    <row r="7780" customFormat="false" ht="15" hidden="true" customHeight="false" outlineLevel="0" collapsed="false">
      <c r="A7780" s="51" t="s">
        <v>115</v>
      </c>
      <c r="B7780" s="55" t="n">
        <v>45291</v>
      </c>
      <c r="C7780" s="51" t="s">
        <v>73</v>
      </c>
      <c r="D7780" s="51" t="n">
        <v>0</v>
      </c>
    </row>
    <row r="7781" customFormat="false" ht="15" hidden="true" customHeight="false" outlineLevel="0" collapsed="false">
      <c r="A7781" s="51" t="s">
        <v>120</v>
      </c>
      <c r="B7781" s="55" t="n">
        <v>45291</v>
      </c>
      <c r="C7781" s="51" t="s">
        <v>73</v>
      </c>
      <c r="D7781" s="51" t="n">
        <v>0</v>
      </c>
    </row>
    <row r="7782" customFormat="false" ht="15" hidden="true" customHeight="false" outlineLevel="0" collapsed="false">
      <c r="A7782" s="51" t="s">
        <v>124</v>
      </c>
      <c r="B7782" s="55" t="n">
        <v>45291</v>
      </c>
      <c r="C7782" s="51" t="s">
        <v>73</v>
      </c>
      <c r="D7782" s="51" t="n">
        <v>0</v>
      </c>
    </row>
    <row r="7783" customFormat="false" ht="15" hidden="true" customHeight="false" outlineLevel="0" collapsed="false">
      <c r="A7783" s="51" t="s">
        <v>129</v>
      </c>
      <c r="B7783" s="55" t="n">
        <v>45291</v>
      </c>
      <c r="C7783" s="51" t="s">
        <v>73</v>
      </c>
      <c r="D7783" s="51" t="n">
        <v>0</v>
      </c>
    </row>
    <row r="7784" customFormat="false" ht="15" hidden="true" customHeight="false" outlineLevel="0" collapsed="false">
      <c r="A7784" s="51" t="s">
        <v>134</v>
      </c>
      <c r="B7784" s="55" t="n">
        <v>45291</v>
      </c>
      <c r="C7784" s="51" t="s">
        <v>73</v>
      </c>
      <c r="D7784" s="51" t="n">
        <v>0</v>
      </c>
    </row>
    <row r="7785" customFormat="false" ht="15" hidden="true" customHeight="false" outlineLevel="0" collapsed="false">
      <c r="A7785" s="51" t="s">
        <v>141</v>
      </c>
      <c r="B7785" s="55" t="n">
        <v>45291</v>
      </c>
      <c r="C7785" s="51" t="s">
        <v>73</v>
      </c>
      <c r="D7785" s="51" t="n">
        <v>0</v>
      </c>
    </row>
    <row r="7786" customFormat="false" ht="15" hidden="true" customHeight="false" outlineLevel="0" collapsed="false">
      <c r="A7786" s="51" t="s">
        <v>146</v>
      </c>
      <c r="B7786" s="55" t="n">
        <v>45291</v>
      </c>
      <c r="C7786" s="51" t="s">
        <v>73</v>
      </c>
      <c r="D7786" s="51" t="n">
        <v>0</v>
      </c>
    </row>
    <row r="7787" customFormat="false" ht="15" hidden="true" customHeight="false" outlineLevel="0" collapsed="false">
      <c r="A7787" s="51" t="s">
        <v>151</v>
      </c>
      <c r="B7787" s="55" t="n">
        <v>45291</v>
      </c>
      <c r="C7787" s="51" t="s">
        <v>73</v>
      </c>
      <c r="D7787" s="51" t="n">
        <v>0</v>
      </c>
    </row>
    <row r="7788" customFormat="false" ht="15" hidden="true" customHeight="false" outlineLevel="0" collapsed="false">
      <c r="A7788" s="51" t="s">
        <v>156</v>
      </c>
      <c r="B7788" s="55" t="n">
        <v>45291</v>
      </c>
      <c r="C7788" s="51" t="s">
        <v>73</v>
      </c>
      <c r="D7788" s="51" t="n">
        <v>0</v>
      </c>
    </row>
    <row r="7789" customFormat="false" ht="15" hidden="true" customHeight="false" outlineLevel="0" collapsed="false">
      <c r="A7789" s="51" t="s">
        <v>161</v>
      </c>
      <c r="B7789" s="55" t="n">
        <v>45291</v>
      </c>
      <c r="C7789" s="51" t="s">
        <v>73</v>
      </c>
      <c r="D7789" s="51" t="n">
        <v>0</v>
      </c>
    </row>
    <row r="7790" customFormat="false" ht="15" hidden="true" customHeight="false" outlineLevel="0" collapsed="false">
      <c r="A7790" s="51" t="s">
        <v>166</v>
      </c>
      <c r="B7790" s="55" t="n">
        <v>45291</v>
      </c>
      <c r="C7790" s="51" t="s">
        <v>73</v>
      </c>
      <c r="D7790" s="51" t="n">
        <v>0</v>
      </c>
    </row>
    <row r="7791" customFormat="false" ht="15" hidden="true" customHeight="false" outlineLevel="0" collapsed="false">
      <c r="A7791" s="51" t="s">
        <v>171</v>
      </c>
      <c r="B7791" s="55" t="n">
        <v>45291</v>
      </c>
      <c r="C7791" s="51" t="s">
        <v>73</v>
      </c>
      <c r="D7791" s="51" t="n">
        <v>0</v>
      </c>
    </row>
    <row r="7792" customFormat="false" ht="15" hidden="true" customHeight="false" outlineLevel="0" collapsed="false">
      <c r="A7792" s="51" t="s">
        <v>176</v>
      </c>
      <c r="B7792" s="55" t="n">
        <v>45291</v>
      </c>
      <c r="C7792" s="51" t="s">
        <v>73</v>
      </c>
      <c r="D7792" s="51" t="n">
        <v>0</v>
      </c>
    </row>
    <row r="7793" customFormat="false" ht="15" hidden="true" customHeight="false" outlineLevel="0" collapsed="false">
      <c r="A7793" s="51" t="s">
        <v>181</v>
      </c>
      <c r="B7793" s="55" t="n">
        <v>45291</v>
      </c>
      <c r="C7793" s="51" t="s">
        <v>73</v>
      </c>
      <c r="D7793" s="51" t="n">
        <v>0</v>
      </c>
    </row>
    <row r="7794" customFormat="false" ht="15" hidden="true" customHeight="false" outlineLevel="0" collapsed="false">
      <c r="A7794" s="51" t="s">
        <v>186</v>
      </c>
      <c r="B7794" s="55" t="n">
        <v>45291</v>
      </c>
      <c r="C7794" s="51" t="s">
        <v>73</v>
      </c>
      <c r="D7794" s="51" t="n">
        <v>0</v>
      </c>
    </row>
    <row r="7795" customFormat="false" ht="15" hidden="true" customHeight="false" outlineLevel="0" collapsed="false">
      <c r="A7795" s="51" t="s">
        <v>191</v>
      </c>
      <c r="B7795" s="55" t="n">
        <v>45291</v>
      </c>
      <c r="C7795" s="51" t="s">
        <v>73</v>
      </c>
      <c r="D7795" s="51" t="n">
        <v>0</v>
      </c>
    </row>
    <row r="7796" customFormat="false" ht="15" hidden="true" customHeight="false" outlineLevel="0" collapsed="false">
      <c r="A7796" s="51" t="s">
        <v>196</v>
      </c>
      <c r="B7796" s="55" t="n">
        <v>45291</v>
      </c>
      <c r="C7796" s="51" t="s">
        <v>73</v>
      </c>
      <c r="D7796" s="51" t="n">
        <v>0</v>
      </c>
    </row>
    <row r="7797" customFormat="false" ht="15" hidden="true" customHeight="false" outlineLevel="0" collapsed="false">
      <c r="A7797" s="51" t="s">
        <v>201</v>
      </c>
      <c r="B7797" s="55" t="n">
        <v>45291</v>
      </c>
      <c r="C7797" s="51" t="s">
        <v>73</v>
      </c>
      <c r="D7797" s="51" t="n">
        <v>0</v>
      </c>
    </row>
    <row r="7798" customFormat="false" ht="15" hidden="true" customHeight="false" outlineLevel="0" collapsed="false">
      <c r="A7798" s="51" t="s">
        <v>206</v>
      </c>
      <c r="B7798" s="55" t="n">
        <v>45291</v>
      </c>
      <c r="C7798" s="51" t="s">
        <v>73</v>
      </c>
      <c r="D7798" s="51" t="n">
        <v>0</v>
      </c>
    </row>
    <row r="7799" customFormat="false" ht="15" hidden="true" customHeight="false" outlineLevel="0" collapsed="false">
      <c r="A7799" s="51" t="s">
        <v>210</v>
      </c>
      <c r="B7799" s="55" t="n">
        <v>45291</v>
      </c>
      <c r="C7799" s="51" t="s">
        <v>73</v>
      </c>
      <c r="D7799" s="51" t="n">
        <v>0</v>
      </c>
    </row>
    <row r="7800" customFormat="false" ht="15" hidden="true" customHeight="false" outlineLevel="0" collapsed="false">
      <c r="A7800" s="51" t="s">
        <v>215</v>
      </c>
      <c r="B7800" s="55" t="n">
        <v>45291</v>
      </c>
      <c r="C7800" s="51" t="s">
        <v>73</v>
      </c>
      <c r="D7800" s="51" t="n">
        <v>0</v>
      </c>
    </row>
    <row r="7801" customFormat="false" ht="15" hidden="true" customHeight="false" outlineLevel="0" collapsed="false">
      <c r="A7801" s="51" t="s">
        <v>790</v>
      </c>
      <c r="B7801" s="55" t="n">
        <v>45291</v>
      </c>
      <c r="C7801" s="51" t="s">
        <v>73</v>
      </c>
      <c r="D7801" s="51" t="n">
        <v>0</v>
      </c>
    </row>
    <row r="7802" customFormat="false" ht="15" hidden="true" customHeight="false" outlineLevel="0" collapsed="false">
      <c r="A7802" s="51" t="s">
        <v>225</v>
      </c>
      <c r="B7802" s="55" t="n">
        <v>45291</v>
      </c>
      <c r="C7802" s="51" t="s">
        <v>73</v>
      </c>
      <c r="D7802" s="51" t="n">
        <v>0</v>
      </c>
    </row>
    <row r="7803" customFormat="false" ht="15" hidden="true" customHeight="false" outlineLevel="0" collapsed="false">
      <c r="A7803" s="51" t="s">
        <v>230</v>
      </c>
      <c r="B7803" s="55" t="n">
        <v>45291</v>
      </c>
      <c r="C7803" s="51" t="s">
        <v>73</v>
      </c>
      <c r="D7803" s="51" t="n">
        <v>-85000</v>
      </c>
    </row>
    <row r="7804" customFormat="false" ht="15" hidden="true" customHeight="false" outlineLevel="0" collapsed="false">
      <c r="A7804" s="51" t="s">
        <v>235</v>
      </c>
      <c r="B7804" s="55" t="n">
        <v>45291</v>
      </c>
      <c r="C7804" s="51" t="s">
        <v>73</v>
      </c>
      <c r="D7804" s="51" t="n">
        <v>0</v>
      </c>
    </row>
    <row r="7805" customFormat="false" ht="15" hidden="true" customHeight="false" outlineLevel="0" collapsed="false">
      <c r="A7805" s="51" t="s">
        <v>240</v>
      </c>
      <c r="B7805" s="55" t="n">
        <v>45291</v>
      </c>
      <c r="C7805" s="51" t="s">
        <v>73</v>
      </c>
      <c r="D7805" s="51" t="n">
        <v>0</v>
      </c>
    </row>
    <row r="7806" customFormat="false" ht="15" hidden="true" customHeight="false" outlineLevel="0" collapsed="false">
      <c r="A7806" s="51" t="s">
        <v>246</v>
      </c>
      <c r="B7806" s="55" t="n">
        <v>45291</v>
      </c>
      <c r="C7806" s="51" t="s">
        <v>73</v>
      </c>
      <c r="D7806" s="51" t="n">
        <v>0</v>
      </c>
    </row>
    <row r="7807" customFormat="false" ht="15" hidden="true" customHeight="false" outlineLevel="0" collapsed="false">
      <c r="A7807" s="51" t="s">
        <v>252</v>
      </c>
      <c r="B7807" s="55" t="n">
        <v>45291</v>
      </c>
      <c r="C7807" s="51" t="s">
        <v>73</v>
      </c>
      <c r="D7807" s="51" t="n">
        <v>0</v>
      </c>
    </row>
    <row r="7808" customFormat="false" ht="15" hidden="true" customHeight="false" outlineLevel="0" collapsed="false">
      <c r="A7808" s="51" t="s">
        <v>257</v>
      </c>
      <c r="B7808" s="55" t="n">
        <v>45291</v>
      </c>
      <c r="C7808" s="51" t="s">
        <v>73</v>
      </c>
      <c r="D7808" s="51" t="n">
        <v>0</v>
      </c>
    </row>
    <row r="7809" customFormat="false" ht="15" hidden="true" customHeight="false" outlineLevel="0" collapsed="false">
      <c r="A7809" s="51" t="s">
        <v>262</v>
      </c>
      <c r="B7809" s="55" t="n">
        <v>45291</v>
      </c>
      <c r="C7809" s="51" t="s">
        <v>73</v>
      </c>
      <c r="D7809" s="51" t="n">
        <v>0</v>
      </c>
    </row>
    <row r="7810" customFormat="false" ht="15" hidden="true" customHeight="false" outlineLevel="0" collapsed="false">
      <c r="A7810" s="51" t="s">
        <v>267</v>
      </c>
      <c r="B7810" s="55" t="n">
        <v>45291</v>
      </c>
      <c r="C7810" s="51" t="s">
        <v>73</v>
      </c>
      <c r="D7810" s="51" t="n">
        <v>0</v>
      </c>
    </row>
    <row r="7811" customFormat="false" ht="15" hidden="true" customHeight="false" outlineLevel="0" collapsed="false">
      <c r="A7811" s="51" t="s">
        <v>272</v>
      </c>
      <c r="B7811" s="55" t="n">
        <v>45291</v>
      </c>
      <c r="C7811" s="51" t="s">
        <v>73</v>
      </c>
      <c r="D7811" s="51" t="n">
        <v>0</v>
      </c>
    </row>
    <row r="7812" customFormat="false" ht="15" hidden="true" customHeight="false" outlineLevel="0" collapsed="false">
      <c r="A7812" s="51" t="s">
        <v>277</v>
      </c>
      <c r="B7812" s="55" t="n">
        <v>45291</v>
      </c>
      <c r="C7812" s="51" t="s">
        <v>73</v>
      </c>
      <c r="D7812" s="51" t="n">
        <v>0</v>
      </c>
    </row>
    <row r="7813" customFormat="false" ht="15" hidden="true" customHeight="false" outlineLevel="0" collapsed="false">
      <c r="A7813" s="51" t="s">
        <v>282</v>
      </c>
      <c r="B7813" s="55" t="n">
        <v>45291</v>
      </c>
      <c r="C7813" s="51" t="s">
        <v>73</v>
      </c>
      <c r="D7813" s="51" t="n">
        <v>0</v>
      </c>
    </row>
    <row r="7814" customFormat="false" ht="15" hidden="true" customHeight="false" outlineLevel="0" collapsed="false">
      <c r="A7814" s="51" t="s">
        <v>287</v>
      </c>
      <c r="B7814" s="55" t="n">
        <v>45291</v>
      </c>
      <c r="C7814" s="51" t="s">
        <v>73</v>
      </c>
      <c r="D7814" s="51" t="n">
        <v>0</v>
      </c>
    </row>
    <row r="7815" customFormat="false" ht="15" hidden="true" customHeight="false" outlineLevel="0" collapsed="false">
      <c r="A7815" s="51" t="s">
        <v>292</v>
      </c>
      <c r="B7815" s="55" t="n">
        <v>45291</v>
      </c>
      <c r="C7815" s="51" t="s">
        <v>73</v>
      </c>
      <c r="D7815" s="51" t="n">
        <v>0</v>
      </c>
    </row>
    <row r="7816" customFormat="false" ht="15" hidden="true" customHeight="false" outlineLevel="0" collapsed="false">
      <c r="A7816" s="51" t="s">
        <v>297</v>
      </c>
      <c r="B7816" s="55" t="n">
        <v>45291</v>
      </c>
      <c r="C7816" s="51" t="s">
        <v>73</v>
      </c>
      <c r="D7816" s="51" t="n">
        <v>0</v>
      </c>
    </row>
    <row r="7817" customFormat="false" ht="15" hidden="true" customHeight="false" outlineLevel="0" collapsed="false">
      <c r="A7817" s="51" t="s">
        <v>302</v>
      </c>
      <c r="B7817" s="55" t="n">
        <v>45291</v>
      </c>
      <c r="C7817" s="51" t="s">
        <v>73</v>
      </c>
      <c r="D7817" s="51" t="n">
        <v>0</v>
      </c>
    </row>
    <row r="7818" customFormat="false" ht="15" hidden="true" customHeight="false" outlineLevel="0" collapsed="false">
      <c r="A7818" s="51" t="s">
        <v>307</v>
      </c>
      <c r="B7818" s="55" t="n">
        <v>45291</v>
      </c>
      <c r="C7818" s="51" t="s">
        <v>73</v>
      </c>
      <c r="D7818" s="51" t="n">
        <v>0</v>
      </c>
    </row>
    <row r="7819" customFormat="false" ht="15" hidden="true" customHeight="false" outlineLevel="0" collapsed="false">
      <c r="A7819" s="51" t="s">
        <v>311</v>
      </c>
      <c r="B7819" s="55" t="n">
        <v>45291</v>
      </c>
      <c r="C7819" s="51" t="s">
        <v>73</v>
      </c>
      <c r="D7819" s="51" t="n">
        <v>0</v>
      </c>
    </row>
    <row r="7820" customFormat="false" ht="15" hidden="true" customHeight="false" outlineLevel="0" collapsed="false">
      <c r="A7820" s="51" t="s">
        <v>317</v>
      </c>
      <c r="B7820" s="55" t="n">
        <v>45291</v>
      </c>
      <c r="C7820" s="51" t="s">
        <v>73</v>
      </c>
      <c r="D7820" s="51" t="n">
        <v>0</v>
      </c>
    </row>
    <row r="7821" customFormat="false" ht="15" hidden="true" customHeight="false" outlineLevel="0" collapsed="false">
      <c r="A7821" s="51" t="s">
        <v>322</v>
      </c>
      <c r="B7821" s="55" t="n">
        <v>45291</v>
      </c>
      <c r="C7821" s="51" t="s">
        <v>73</v>
      </c>
      <c r="D7821" s="51" t="n">
        <v>0</v>
      </c>
    </row>
    <row r="7822" customFormat="false" ht="15" hidden="true" customHeight="false" outlineLevel="0" collapsed="false">
      <c r="A7822" s="51" t="s">
        <v>327</v>
      </c>
      <c r="B7822" s="55" t="n">
        <v>45291</v>
      </c>
      <c r="C7822" s="51" t="s">
        <v>73</v>
      </c>
      <c r="D7822" s="51" t="n">
        <v>258000</v>
      </c>
    </row>
    <row r="7823" customFormat="false" ht="15" hidden="true" customHeight="false" outlineLevel="0" collapsed="false">
      <c r="A7823" s="51" t="s">
        <v>332</v>
      </c>
      <c r="B7823" s="55" t="n">
        <v>45291</v>
      </c>
      <c r="C7823" s="51" t="s">
        <v>73</v>
      </c>
      <c r="D7823" s="51" t="n">
        <v>0</v>
      </c>
    </row>
    <row r="7824" customFormat="false" ht="15" hidden="true" customHeight="false" outlineLevel="0" collapsed="false">
      <c r="A7824" s="51" t="s">
        <v>339</v>
      </c>
      <c r="B7824" s="55" t="n">
        <v>45291</v>
      </c>
      <c r="C7824" s="51" t="s">
        <v>73</v>
      </c>
      <c r="D7824" s="51" t="n">
        <v>0</v>
      </c>
    </row>
    <row r="7825" customFormat="false" ht="15" hidden="true" customHeight="false" outlineLevel="0" collapsed="false">
      <c r="A7825" s="51" t="s">
        <v>344</v>
      </c>
      <c r="B7825" s="55" t="n">
        <v>45291</v>
      </c>
      <c r="C7825" s="51" t="s">
        <v>73</v>
      </c>
      <c r="D7825" s="51" t="n">
        <v>0</v>
      </c>
    </row>
    <row r="7826" customFormat="false" ht="15" hidden="true" customHeight="false" outlineLevel="0" collapsed="false">
      <c r="A7826" s="51" t="s">
        <v>349</v>
      </c>
      <c r="B7826" s="55" t="n">
        <v>45291</v>
      </c>
      <c r="C7826" s="51" t="s">
        <v>73</v>
      </c>
      <c r="D7826" s="51" t="n">
        <v>0</v>
      </c>
    </row>
    <row r="7827" customFormat="false" ht="15" hidden="true" customHeight="false" outlineLevel="0" collapsed="false">
      <c r="A7827" s="51" t="s">
        <v>354</v>
      </c>
      <c r="B7827" s="55" t="n">
        <v>45291</v>
      </c>
      <c r="C7827" s="51" t="s">
        <v>73</v>
      </c>
      <c r="D7827" s="51" t="n">
        <v>0</v>
      </c>
    </row>
    <row r="7828" customFormat="false" ht="15" hidden="true" customHeight="false" outlineLevel="0" collapsed="false">
      <c r="A7828" s="51" t="s">
        <v>359</v>
      </c>
      <c r="B7828" s="55" t="n">
        <v>45291</v>
      </c>
      <c r="C7828" s="51" t="s">
        <v>73</v>
      </c>
      <c r="D7828" s="51" t="n">
        <v>155699.48</v>
      </c>
    </row>
    <row r="7829" customFormat="false" ht="15" hidden="true" customHeight="false" outlineLevel="0" collapsed="false">
      <c r="A7829" s="51" t="s">
        <v>364</v>
      </c>
      <c r="B7829" s="55" t="n">
        <v>45291</v>
      </c>
      <c r="C7829" s="51" t="s">
        <v>73</v>
      </c>
      <c r="D7829" s="51" t="n">
        <v>0</v>
      </c>
    </row>
    <row r="7830" customFormat="false" ht="15" hidden="true" customHeight="false" outlineLevel="0" collapsed="false">
      <c r="A7830" s="51" t="s">
        <v>369</v>
      </c>
      <c r="B7830" s="55" t="n">
        <v>45291</v>
      </c>
      <c r="C7830" s="51" t="s">
        <v>73</v>
      </c>
      <c r="D7830" s="51" t="n">
        <v>175000</v>
      </c>
    </row>
    <row r="7831" customFormat="false" ht="15" hidden="true" customHeight="false" outlineLevel="0" collapsed="false">
      <c r="A7831" s="51" t="s">
        <v>374</v>
      </c>
      <c r="B7831" s="55" t="n">
        <v>45291</v>
      </c>
      <c r="C7831" s="51" t="s">
        <v>73</v>
      </c>
      <c r="D7831" s="51" t="n">
        <v>250000</v>
      </c>
    </row>
    <row r="7832" customFormat="false" ht="15" hidden="true" customHeight="false" outlineLevel="0" collapsed="false">
      <c r="A7832" s="51" t="s">
        <v>379</v>
      </c>
      <c r="B7832" s="55" t="n">
        <v>45291</v>
      </c>
      <c r="C7832" s="51" t="s">
        <v>73</v>
      </c>
      <c r="D7832" s="51" t="n">
        <v>1100000</v>
      </c>
    </row>
    <row r="7833" customFormat="false" ht="15" hidden="true" customHeight="false" outlineLevel="0" collapsed="false">
      <c r="A7833" s="51" t="s">
        <v>384</v>
      </c>
      <c r="B7833" s="55" t="n">
        <v>45291</v>
      </c>
      <c r="C7833" s="51" t="s">
        <v>73</v>
      </c>
      <c r="D7833" s="51" t="n">
        <v>0</v>
      </c>
    </row>
    <row r="7834" customFormat="false" ht="15" hidden="true" customHeight="false" outlineLevel="0" collapsed="false">
      <c r="A7834" s="51" t="s">
        <v>389</v>
      </c>
      <c r="B7834" s="55" t="n">
        <v>45291</v>
      </c>
      <c r="C7834" s="51" t="s">
        <v>73</v>
      </c>
      <c r="D7834" s="51" t="n">
        <v>0</v>
      </c>
    </row>
    <row r="7835" customFormat="false" ht="15" hidden="true" customHeight="false" outlineLevel="0" collapsed="false">
      <c r="A7835" s="51" t="s">
        <v>394</v>
      </c>
      <c r="B7835" s="55" t="n">
        <v>45291</v>
      </c>
      <c r="C7835" s="51" t="s">
        <v>73</v>
      </c>
      <c r="D7835" s="51" t="n">
        <v>1050000</v>
      </c>
    </row>
    <row r="7836" customFormat="false" ht="15" hidden="true" customHeight="false" outlineLevel="0" collapsed="false">
      <c r="A7836" s="51" t="s">
        <v>399</v>
      </c>
      <c r="B7836" s="55" t="n">
        <v>45291</v>
      </c>
      <c r="C7836" s="51" t="s">
        <v>73</v>
      </c>
      <c r="D7836" s="51" t="n">
        <v>0</v>
      </c>
    </row>
    <row r="7837" customFormat="false" ht="15" hidden="true" customHeight="false" outlineLevel="0" collapsed="false">
      <c r="A7837" s="51" t="s">
        <v>404</v>
      </c>
      <c r="B7837" s="55" t="n">
        <v>45291</v>
      </c>
      <c r="C7837" s="51" t="s">
        <v>73</v>
      </c>
      <c r="D7837" s="51" t="n">
        <v>460000</v>
      </c>
    </row>
    <row r="7838" customFormat="false" ht="15" hidden="true" customHeight="false" outlineLevel="0" collapsed="false">
      <c r="A7838" s="51" t="s">
        <v>409</v>
      </c>
      <c r="B7838" s="55" t="n">
        <v>45291</v>
      </c>
      <c r="C7838" s="51" t="s">
        <v>73</v>
      </c>
      <c r="D7838" s="51" t="n">
        <v>2000000</v>
      </c>
    </row>
    <row r="7839" customFormat="false" ht="15" hidden="true" customHeight="false" outlineLevel="0" collapsed="false">
      <c r="A7839" s="51" t="s">
        <v>414</v>
      </c>
      <c r="B7839" s="55" t="n">
        <v>45291</v>
      </c>
      <c r="C7839" s="51" t="s">
        <v>73</v>
      </c>
      <c r="D7839" s="51" t="n">
        <v>395000</v>
      </c>
    </row>
    <row r="7840" customFormat="false" ht="15" hidden="true" customHeight="false" outlineLevel="0" collapsed="false">
      <c r="A7840" s="51" t="s">
        <v>419</v>
      </c>
      <c r="B7840" s="55" t="n">
        <v>45291</v>
      </c>
      <c r="C7840" s="51" t="s">
        <v>73</v>
      </c>
      <c r="D7840" s="51" t="n">
        <v>1000000</v>
      </c>
    </row>
    <row r="7841" customFormat="false" ht="15" hidden="true" customHeight="false" outlineLevel="0" collapsed="false">
      <c r="A7841" s="51" t="s">
        <v>424</v>
      </c>
      <c r="B7841" s="55" t="n">
        <v>45291</v>
      </c>
      <c r="C7841" s="51" t="s">
        <v>73</v>
      </c>
      <c r="D7841" s="51" t="n">
        <v>435000</v>
      </c>
    </row>
    <row r="7842" customFormat="false" ht="15" hidden="true" customHeight="false" outlineLevel="0" collapsed="false">
      <c r="A7842" s="51" t="s">
        <v>429</v>
      </c>
      <c r="B7842" s="55" t="n">
        <v>45291</v>
      </c>
      <c r="C7842" s="51" t="s">
        <v>73</v>
      </c>
      <c r="D7842" s="51" t="n">
        <v>250000</v>
      </c>
    </row>
    <row r="7843" customFormat="false" ht="15" hidden="true" customHeight="false" outlineLevel="0" collapsed="false">
      <c r="A7843" s="51" t="s">
        <v>434</v>
      </c>
      <c r="B7843" s="55" t="n">
        <v>45291</v>
      </c>
      <c r="C7843" s="51" t="s">
        <v>73</v>
      </c>
      <c r="D7843" s="51" t="n">
        <v>525000</v>
      </c>
    </row>
    <row r="7844" customFormat="false" ht="15" hidden="true" customHeight="false" outlineLevel="0" collapsed="false">
      <c r="A7844" s="51" t="s">
        <v>438</v>
      </c>
      <c r="B7844" s="55" t="n">
        <v>45291</v>
      </c>
      <c r="C7844" s="51" t="s">
        <v>73</v>
      </c>
      <c r="D7844" s="51" t="n">
        <v>500000</v>
      </c>
    </row>
    <row r="7845" customFormat="false" ht="15" hidden="true" customHeight="false" outlineLevel="0" collapsed="false">
      <c r="A7845" s="51" t="s">
        <v>443</v>
      </c>
      <c r="B7845" s="55" t="n">
        <v>45291</v>
      </c>
      <c r="C7845" s="51" t="s">
        <v>73</v>
      </c>
      <c r="D7845" s="51" t="n">
        <v>1550000</v>
      </c>
    </row>
    <row r="7846" customFormat="false" ht="15" hidden="true" customHeight="false" outlineLevel="0" collapsed="false">
      <c r="A7846" s="51" t="s">
        <v>448</v>
      </c>
      <c r="B7846" s="55" t="n">
        <v>45291</v>
      </c>
      <c r="C7846" s="51" t="s">
        <v>73</v>
      </c>
      <c r="D7846" s="51" t="n">
        <v>0</v>
      </c>
    </row>
    <row r="7847" customFormat="false" ht="15" hidden="true" customHeight="false" outlineLevel="0" collapsed="false">
      <c r="A7847" s="51" t="s">
        <v>453</v>
      </c>
      <c r="B7847" s="55" t="n">
        <v>45291</v>
      </c>
      <c r="C7847" s="51" t="s">
        <v>73</v>
      </c>
      <c r="D7847" s="51" t="n">
        <v>0</v>
      </c>
    </row>
    <row r="7848" customFormat="false" ht="15" hidden="true" customHeight="false" outlineLevel="0" collapsed="false">
      <c r="A7848" s="51" t="s">
        <v>458</v>
      </c>
      <c r="B7848" s="55" t="n">
        <v>45291</v>
      </c>
      <c r="C7848" s="51" t="s">
        <v>73</v>
      </c>
      <c r="D7848" s="51" t="n">
        <v>0</v>
      </c>
    </row>
    <row r="7849" customFormat="false" ht="15" hidden="true" customHeight="false" outlineLevel="0" collapsed="false">
      <c r="A7849" s="51" t="s">
        <v>473</v>
      </c>
      <c r="B7849" s="55" t="n">
        <v>45291</v>
      </c>
      <c r="C7849" s="51" t="s">
        <v>73</v>
      </c>
      <c r="D7849" s="51" t="n">
        <v>0</v>
      </c>
    </row>
    <row r="7850" customFormat="false" ht="15" hidden="true" customHeight="false" outlineLevel="0" collapsed="false">
      <c r="A7850" s="51" t="s">
        <v>479</v>
      </c>
      <c r="B7850" s="55" t="n">
        <v>45291</v>
      </c>
      <c r="C7850" s="51" t="s">
        <v>73</v>
      </c>
      <c r="D7850" s="51" t="n">
        <v>0</v>
      </c>
    </row>
    <row r="7851" customFormat="false" ht="15" hidden="true" customHeight="false" outlineLevel="0" collapsed="false">
      <c r="A7851" s="51" t="s">
        <v>484</v>
      </c>
      <c r="B7851" s="55" t="n">
        <v>45291</v>
      </c>
      <c r="C7851" s="51" t="s">
        <v>73</v>
      </c>
      <c r="D7851" s="51" t="n">
        <v>0</v>
      </c>
    </row>
    <row r="7852" customFormat="false" ht="15" hidden="true" customHeight="false" outlineLevel="0" collapsed="false">
      <c r="A7852" s="51" t="s">
        <v>489</v>
      </c>
      <c r="B7852" s="55" t="n">
        <v>45291</v>
      </c>
      <c r="C7852" s="51" t="s">
        <v>73</v>
      </c>
      <c r="D7852" s="51" t="n">
        <v>0</v>
      </c>
    </row>
    <row r="7853" customFormat="false" ht="15" hidden="true" customHeight="false" outlineLevel="0" collapsed="false">
      <c r="A7853" s="51" t="s">
        <v>494</v>
      </c>
      <c r="B7853" s="55" t="n">
        <v>45291</v>
      </c>
      <c r="C7853" s="51" t="s">
        <v>73</v>
      </c>
      <c r="D7853" s="51" t="n">
        <v>0</v>
      </c>
    </row>
    <row r="7854" customFormat="false" ht="15" hidden="true" customHeight="false" outlineLevel="0" collapsed="false">
      <c r="A7854" s="51" t="s">
        <v>499</v>
      </c>
      <c r="B7854" s="55" t="n">
        <v>45291</v>
      </c>
      <c r="C7854" s="51" t="s">
        <v>73</v>
      </c>
      <c r="D7854" s="51" t="n">
        <v>0</v>
      </c>
    </row>
    <row r="7855" customFormat="false" ht="15" hidden="true" customHeight="false" outlineLevel="0" collapsed="false">
      <c r="A7855" s="51" t="s">
        <v>504</v>
      </c>
      <c r="B7855" s="55" t="n">
        <v>45291</v>
      </c>
      <c r="C7855" s="51" t="s">
        <v>73</v>
      </c>
      <c r="D7855" s="51" t="n">
        <v>0</v>
      </c>
    </row>
    <row r="7856" customFormat="false" ht="15" hidden="true" customHeight="false" outlineLevel="0" collapsed="false">
      <c r="A7856" s="51" t="s">
        <v>509</v>
      </c>
      <c r="B7856" s="55" t="n">
        <v>45291</v>
      </c>
      <c r="C7856" s="51" t="s">
        <v>73</v>
      </c>
      <c r="D7856" s="51" t="n">
        <v>0</v>
      </c>
    </row>
    <row r="7857" customFormat="false" ht="15" hidden="true" customHeight="false" outlineLevel="0" collapsed="false">
      <c r="A7857" s="51" t="s">
        <v>515</v>
      </c>
      <c r="B7857" s="55" t="n">
        <v>45291</v>
      </c>
      <c r="C7857" s="51" t="s">
        <v>73</v>
      </c>
      <c r="D7857" s="51" t="n">
        <v>0</v>
      </c>
    </row>
    <row r="7858" customFormat="false" ht="15" hidden="true" customHeight="false" outlineLevel="0" collapsed="false">
      <c r="A7858" s="51" t="s">
        <v>520</v>
      </c>
      <c r="B7858" s="55" t="n">
        <v>45291</v>
      </c>
      <c r="C7858" s="51" t="s">
        <v>73</v>
      </c>
      <c r="D7858" s="51" t="n">
        <v>0</v>
      </c>
    </row>
    <row r="7859" customFormat="false" ht="15" hidden="true" customHeight="false" outlineLevel="0" collapsed="false">
      <c r="A7859" s="51" t="s">
        <v>525</v>
      </c>
      <c r="B7859" s="55" t="n">
        <v>45291</v>
      </c>
      <c r="C7859" s="51" t="s">
        <v>73</v>
      </c>
      <c r="D7859" s="51" t="n">
        <v>0</v>
      </c>
    </row>
    <row r="7860" customFormat="false" ht="15" hidden="true" customHeight="false" outlineLevel="0" collapsed="false">
      <c r="A7860" s="51" t="s">
        <v>531</v>
      </c>
      <c r="B7860" s="55" t="n">
        <v>45291</v>
      </c>
      <c r="C7860" s="51" t="s">
        <v>73</v>
      </c>
      <c r="D7860" s="51" t="n">
        <v>0</v>
      </c>
    </row>
    <row r="7861" customFormat="false" ht="15" hidden="true" customHeight="false" outlineLevel="0" collapsed="false">
      <c r="A7861" s="51" t="s">
        <v>536</v>
      </c>
      <c r="B7861" s="55" t="n">
        <v>45291</v>
      </c>
      <c r="C7861" s="51" t="s">
        <v>73</v>
      </c>
      <c r="D7861" s="51" t="n">
        <v>0</v>
      </c>
    </row>
    <row r="7862" customFormat="false" ht="15" hidden="true" customHeight="false" outlineLevel="0" collapsed="false">
      <c r="A7862" s="51" t="s">
        <v>541</v>
      </c>
      <c r="B7862" s="55" t="n">
        <v>45291</v>
      </c>
      <c r="C7862" s="51" t="s">
        <v>73</v>
      </c>
      <c r="D7862" s="51" t="n">
        <v>0</v>
      </c>
    </row>
    <row r="7863" customFormat="false" ht="15" hidden="true" customHeight="false" outlineLevel="0" collapsed="false">
      <c r="A7863" s="51" t="s">
        <v>549</v>
      </c>
      <c r="B7863" s="55" t="n">
        <v>45291</v>
      </c>
      <c r="C7863" s="51" t="s">
        <v>73</v>
      </c>
      <c r="D7863" s="51" t="n">
        <v>0</v>
      </c>
    </row>
    <row r="7864" customFormat="false" ht="15" hidden="true" customHeight="false" outlineLevel="0" collapsed="false">
      <c r="A7864" s="51" t="s">
        <v>554</v>
      </c>
      <c r="B7864" s="55" t="n">
        <v>45291</v>
      </c>
      <c r="C7864" s="51" t="s">
        <v>73</v>
      </c>
      <c r="D7864" s="51" t="n">
        <v>0</v>
      </c>
    </row>
    <row r="7865" customFormat="false" ht="15" hidden="true" customHeight="false" outlineLevel="0" collapsed="false">
      <c r="A7865" s="51" t="s">
        <v>559</v>
      </c>
      <c r="B7865" s="55" t="n">
        <v>45291</v>
      </c>
      <c r="C7865" s="51" t="s">
        <v>73</v>
      </c>
      <c r="D7865" s="51" t="n">
        <v>0</v>
      </c>
    </row>
    <row r="7866" customFormat="false" ht="15" hidden="true" customHeight="false" outlineLevel="0" collapsed="false">
      <c r="A7866" s="51" t="s">
        <v>564</v>
      </c>
      <c r="B7866" s="55" t="n">
        <v>45291</v>
      </c>
      <c r="C7866" s="51" t="s">
        <v>73</v>
      </c>
      <c r="D7866" s="51" t="n">
        <v>0</v>
      </c>
    </row>
    <row r="7867" customFormat="false" ht="15" hidden="true" customHeight="false" outlineLevel="0" collapsed="false">
      <c r="A7867" s="51" t="s">
        <v>569</v>
      </c>
      <c r="B7867" s="55" t="n">
        <v>45291</v>
      </c>
      <c r="C7867" s="51" t="s">
        <v>73</v>
      </c>
      <c r="D7867" s="51" t="n">
        <v>0</v>
      </c>
    </row>
    <row r="7868" customFormat="false" ht="15" hidden="true" customHeight="false" outlineLevel="0" collapsed="false">
      <c r="A7868" s="51" t="s">
        <v>574</v>
      </c>
      <c r="B7868" s="55" t="n">
        <v>45291</v>
      </c>
      <c r="C7868" s="51" t="s">
        <v>73</v>
      </c>
      <c r="D7868" s="51" t="n">
        <v>0</v>
      </c>
    </row>
    <row r="7869" customFormat="false" ht="15" hidden="true" customHeight="false" outlineLevel="0" collapsed="false">
      <c r="A7869" s="51" t="s">
        <v>579</v>
      </c>
      <c r="B7869" s="55" t="n">
        <v>45291</v>
      </c>
      <c r="C7869" s="51" t="s">
        <v>73</v>
      </c>
      <c r="D7869" s="51" t="n">
        <v>0</v>
      </c>
    </row>
    <row r="7870" customFormat="false" ht="15" hidden="true" customHeight="false" outlineLevel="0" collapsed="false">
      <c r="A7870" s="51" t="s">
        <v>584</v>
      </c>
      <c r="B7870" s="55" t="n">
        <v>45291</v>
      </c>
      <c r="C7870" s="51" t="s">
        <v>73</v>
      </c>
      <c r="D7870" s="51" t="n">
        <v>0</v>
      </c>
    </row>
    <row r="7871" customFormat="false" ht="15" hidden="true" customHeight="false" outlineLevel="0" collapsed="false">
      <c r="A7871" s="51" t="s">
        <v>589</v>
      </c>
      <c r="B7871" s="55" t="n">
        <v>45291</v>
      </c>
      <c r="C7871" s="51" t="s">
        <v>73</v>
      </c>
      <c r="D7871" s="51" t="n">
        <v>0</v>
      </c>
    </row>
    <row r="7872" customFormat="false" ht="15" hidden="true" customHeight="false" outlineLevel="0" collapsed="false">
      <c r="A7872" s="51" t="s">
        <v>756</v>
      </c>
      <c r="B7872" s="55" t="n">
        <v>45291</v>
      </c>
      <c r="C7872" s="51" t="s">
        <v>73</v>
      </c>
      <c r="D7872" s="51" t="n">
        <v>0</v>
      </c>
    </row>
    <row r="7873" customFormat="false" ht="15" hidden="true" customHeight="false" outlineLevel="0" collapsed="false">
      <c r="A7873" s="51" t="s">
        <v>594</v>
      </c>
      <c r="B7873" s="55" t="n">
        <v>45291</v>
      </c>
      <c r="C7873" s="51" t="s">
        <v>73</v>
      </c>
      <c r="D7873" s="51" t="n">
        <v>0</v>
      </c>
    </row>
    <row r="7874" customFormat="false" ht="15" hidden="true" customHeight="false" outlineLevel="0" collapsed="false">
      <c r="A7874" s="51" t="s">
        <v>761</v>
      </c>
      <c r="B7874" s="55" t="n">
        <v>45291</v>
      </c>
      <c r="C7874" s="51" t="s">
        <v>73</v>
      </c>
      <c r="D7874" s="51" t="n">
        <v>0</v>
      </c>
    </row>
    <row r="7875" customFormat="false" ht="15" hidden="true" customHeight="false" outlineLevel="0" collapsed="false">
      <c r="A7875" s="51" t="s">
        <v>599</v>
      </c>
      <c r="B7875" s="55" t="n">
        <v>45291</v>
      </c>
      <c r="C7875" s="51" t="s">
        <v>73</v>
      </c>
      <c r="D7875" s="51" t="n">
        <v>0</v>
      </c>
    </row>
    <row r="7876" customFormat="false" ht="15" hidden="true" customHeight="false" outlineLevel="0" collapsed="false">
      <c r="A7876" s="51" t="s">
        <v>604</v>
      </c>
      <c r="B7876" s="55" t="n">
        <v>45291</v>
      </c>
      <c r="C7876" s="51" t="s">
        <v>73</v>
      </c>
      <c r="D7876" s="51" t="n">
        <v>0</v>
      </c>
    </row>
    <row r="7877" customFormat="false" ht="15" hidden="true" customHeight="false" outlineLevel="0" collapsed="false">
      <c r="A7877" s="51" t="s">
        <v>609</v>
      </c>
      <c r="B7877" s="55" t="n">
        <v>45291</v>
      </c>
      <c r="C7877" s="51" t="s">
        <v>73</v>
      </c>
      <c r="D7877" s="51" t="n">
        <v>0</v>
      </c>
    </row>
    <row r="7878" customFormat="false" ht="15" hidden="true" customHeight="false" outlineLevel="0" collapsed="false">
      <c r="A7878" s="51" t="s">
        <v>614</v>
      </c>
      <c r="B7878" s="55" t="n">
        <v>45291</v>
      </c>
      <c r="C7878" s="51" t="s">
        <v>73</v>
      </c>
      <c r="D7878" s="51" t="n">
        <v>0</v>
      </c>
    </row>
    <row r="7879" customFormat="false" ht="15" hidden="true" customHeight="false" outlineLevel="0" collapsed="false">
      <c r="A7879" s="51" t="s">
        <v>619</v>
      </c>
      <c r="B7879" s="55" t="n">
        <v>45291</v>
      </c>
      <c r="C7879" s="51" t="s">
        <v>73</v>
      </c>
      <c r="D7879" s="51" t="n">
        <v>0</v>
      </c>
    </row>
    <row r="7880" customFormat="false" ht="15" hidden="true" customHeight="false" outlineLevel="0" collapsed="false">
      <c r="A7880" s="51" t="s">
        <v>624</v>
      </c>
      <c r="B7880" s="55" t="n">
        <v>45291</v>
      </c>
      <c r="C7880" s="51" t="s">
        <v>73</v>
      </c>
      <c r="D7880" s="51" t="n">
        <v>0</v>
      </c>
    </row>
    <row r="7881" customFormat="false" ht="15" hidden="true" customHeight="false" outlineLevel="0" collapsed="false">
      <c r="A7881" s="51" t="s">
        <v>629</v>
      </c>
      <c r="B7881" s="55" t="n">
        <v>45291</v>
      </c>
      <c r="C7881" s="51" t="s">
        <v>73</v>
      </c>
      <c r="D7881" s="51" t="n">
        <v>0</v>
      </c>
    </row>
    <row r="7882" customFormat="false" ht="15" hidden="true" customHeight="false" outlineLevel="0" collapsed="false">
      <c r="A7882" s="51" t="s">
        <v>633</v>
      </c>
      <c r="B7882" s="55" t="n">
        <v>45291</v>
      </c>
      <c r="C7882" s="51" t="s">
        <v>73</v>
      </c>
      <c r="D7882" s="51" t="n">
        <v>0</v>
      </c>
    </row>
    <row r="7883" customFormat="false" ht="15" hidden="true" customHeight="false" outlineLevel="0" collapsed="false">
      <c r="A7883" s="51" t="s">
        <v>638</v>
      </c>
      <c r="B7883" s="55" t="n">
        <v>45291</v>
      </c>
      <c r="C7883" s="51" t="s">
        <v>73</v>
      </c>
      <c r="D7883" s="51" t="n">
        <v>0</v>
      </c>
    </row>
    <row r="7884" customFormat="false" ht="15" hidden="true" customHeight="false" outlineLevel="0" collapsed="false">
      <c r="A7884" s="51" t="s">
        <v>642</v>
      </c>
      <c r="B7884" s="55" t="n">
        <v>45291</v>
      </c>
      <c r="C7884" s="51" t="s">
        <v>73</v>
      </c>
      <c r="D7884" s="51" t="n">
        <v>0</v>
      </c>
    </row>
    <row r="7885" customFormat="false" ht="15" hidden="true" customHeight="false" outlineLevel="0" collapsed="false">
      <c r="A7885" s="51" t="s">
        <v>646</v>
      </c>
      <c r="B7885" s="55" t="n">
        <v>45291</v>
      </c>
      <c r="C7885" s="51" t="s">
        <v>73</v>
      </c>
      <c r="D7885" s="51" t="n">
        <v>0</v>
      </c>
    </row>
    <row r="7886" customFormat="false" ht="15" hidden="true" customHeight="false" outlineLevel="0" collapsed="false">
      <c r="A7886" s="51" t="s">
        <v>651</v>
      </c>
      <c r="B7886" s="55" t="n">
        <v>45291</v>
      </c>
      <c r="C7886" s="51" t="s">
        <v>73</v>
      </c>
      <c r="D7886" s="51" t="n">
        <v>0</v>
      </c>
    </row>
    <row r="7887" customFormat="false" ht="15" hidden="true" customHeight="false" outlineLevel="0" collapsed="false">
      <c r="A7887" s="51" t="s">
        <v>656</v>
      </c>
      <c r="B7887" s="55" t="n">
        <v>45291</v>
      </c>
      <c r="C7887" s="51" t="s">
        <v>73</v>
      </c>
      <c r="D7887" s="51" t="n">
        <v>0</v>
      </c>
    </row>
    <row r="7888" customFormat="false" ht="15" hidden="true" customHeight="false" outlineLevel="0" collapsed="false">
      <c r="A7888" s="51" t="s">
        <v>661</v>
      </c>
      <c r="B7888" s="55" t="n">
        <v>45291</v>
      </c>
      <c r="C7888" s="51" t="s">
        <v>73</v>
      </c>
      <c r="D7888" s="51" t="n">
        <v>0</v>
      </c>
    </row>
    <row r="7889" customFormat="false" ht="15" hidden="true" customHeight="false" outlineLevel="0" collapsed="false">
      <c r="A7889" s="51" t="s">
        <v>666</v>
      </c>
      <c r="B7889" s="55" t="n">
        <v>45291</v>
      </c>
      <c r="C7889" s="51" t="s">
        <v>73</v>
      </c>
      <c r="D7889" s="51" t="n">
        <v>0</v>
      </c>
    </row>
    <row r="7890" customFormat="false" ht="15" hidden="true" customHeight="false" outlineLevel="0" collapsed="false">
      <c r="A7890" s="51" t="s">
        <v>671</v>
      </c>
      <c r="B7890" s="55" t="n">
        <v>45291</v>
      </c>
      <c r="C7890" s="51" t="s">
        <v>73</v>
      </c>
      <c r="D7890" s="51" t="n">
        <v>0</v>
      </c>
    </row>
    <row r="7891" customFormat="false" ht="15" hidden="true" customHeight="false" outlineLevel="0" collapsed="false">
      <c r="A7891" s="51" t="s">
        <v>676</v>
      </c>
      <c r="B7891" s="55" t="n">
        <v>45291</v>
      </c>
      <c r="C7891" s="51" t="s">
        <v>73</v>
      </c>
      <c r="D7891" s="51" t="n">
        <v>0</v>
      </c>
    </row>
    <row r="7892" customFormat="false" ht="15" hidden="true" customHeight="false" outlineLevel="0" collapsed="false">
      <c r="A7892" s="51" t="s">
        <v>681</v>
      </c>
      <c r="B7892" s="55" t="n">
        <v>45291</v>
      </c>
      <c r="C7892" s="51" t="s">
        <v>73</v>
      </c>
      <c r="D7892" s="51" t="n">
        <v>0</v>
      </c>
    </row>
    <row r="7893" customFormat="false" ht="15" hidden="true" customHeight="false" outlineLevel="0" collapsed="false">
      <c r="A7893" s="51" t="s">
        <v>686</v>
      </c>
      <c r="B7893" s="55" t="n">
        <v>45291</v>
      </c>
      <c r="C7893" s="51" t="s">
        <v>73</v>
      </c>
      <c r="D7893" s="51" t="n">
        <v>0</v>
      </c>
    </row>
    <row r="7894" customFormat="false" ht="15" hidden="true" customHeight="false" outlineLevel="0" collapsed="false">
      <c r="A7894" s="51" t="s">
        <v>691</v>
      </c>
      <c r="B7894" s="55" t="n">
        <v>45291</v>
      </c>
      <c r="C7894" s="51" t="s">
        <v>73</v>
      </c>
      <c r="D7894" s="51" t="n">
        <v>0</v>
      </c>
    </row>
    <row r="7895" customFormat="false" ht="15" hidden="true" customHeight="false" outlineLevel="0" collapsed="false">
      <c r="A7895" s="51" t="s">
        <v>696</v>
      </c>
      <c r="B7895" s="55" t="n">
        <v>45291</v>
      </c>
      <c r="C7895" s="51" t="s">
        <v>73</v>
      </c>
      <c r="D7895" s="51" t="n">
        <v>0</v>
      </c>
    </row>
    <row r="7896" customFormat="false" ht="15" hidden="true" customHeight="false" outlineLevel="0" collapsed="false">
      <c r="A7896" s="51" t="s">
        <v>701</v>
      </c>
      <c r="B7896" s="55" t="n">
        <v>45291</v>
      </c>
      <c r="C7896" s="51" t="s">
        <v>73</v>
      </c>
      <c r="D7896" s="51" t="n">
        <v>0</v>
      </c>
    </row>
    <row r="7897" customFormat="false" ht="15" hidden="true" customHeight="false" outlineLevel="0" collapsed="false">
      <c r="A7897" s="51" t="s">
        <v>707</v>
      </c>
      <c r="B7897" s="55" t="n">
        <v>45291</v>
      </c>
      <c r="C7897" s="51" t="s">
        <v>73</v>
      </c>
      <c r="D7897" s="51" t="n">
        <v>0</v>
      </c>
    </row>
    <row r="7898" customFormat="false" ht="15" hidden="true" customHeight="false" outlineLevel="0" collapsed="false">
      <c r="A7898" s="51" t="s">
        <v>712</v>
      </c>
      <c r="B7898" s="55" t="n">
        <v>45291</v>
      </c>
      <c r="C7898" s="51" t="s">
        <v>73</v>
      </c>
      <c r="D7898" s="51" t="n">
        <v>0</v>
      </c>
    </row>
    <row r="7899" customFormat="false" ht="15" hidden="true" customHeight="false" outlineLevel="0" collapsed="false">
      <c r="A7899" s="51" t="s">
        <v>717</v>
      </c>
      <c r="B7899" s="55" t="n">
        <v>45291</v>
      </c>
      <c r="C7899" s="51" t="s">
        <v>73</v>
      </c>
      <c r="D7899" s="51" t="n">
        <v>0</v>
      </c>
    </row>
    <row r="7900" customFormat="false" ht="15" hidden="true" customHeight="false" outlineLevel="0" collapsed="false">
      <c r="A7900" s="51" t="s">
        <v>767</v>
      </c>
      <c r="B7900" s="55" t="n">
        <v>45291</v>
      </c>
      <c r="C7900" s="51" t="s">
        <v>73</v>
      </c>
      <c r="D7900" s="51" t="n">
        <v>0</v>
      </c>
    </row>
    <row r="7901" customFormat="false" ht="15" hidden="true" customHeight="false" outlineLevel="0" collapsed="false">
      <c r="A7901" s="51" t="s">
        <v>722</v>
      </c>
      <c r="B7901" s="55" t="n">
        <v>45291</v>
      </c>
      <c r="C7901" s="51" t="s">
        <v>73</v>
      </c>
      <c r="D7901" s="51" t="n">
        <v>0</v>
      </c>
    </row>
    <row r="7902" customFormat="false" ht="15" hidden="true" customHeight="false" outlineLevel="0" collapsed="false">
      <c r="A7902" s="51" t="s">
        <v>727</v>
      </c>
      <c r="B7902" s="55" t="n">
        <v>45291</v>
      </c>
      <c r="C7902" s="51" t="s">
        <v>73</v>
      </c>
      <c r="D7902" s="51" t="n">
        <v>0</v>
      </c>
    </row>
    <row r="7903" customFormat="false" ht="15" hidden="true" customHeight="false" outlineLevel="0" collapsed="false">
      <c r="A7903" s="51" t="s">
        <v>732</v>
      </c>
      <c r="B7903" s="55" t="n">
        <v>45291</v>
      </c>
      <c r="C7903" s="51" t="s">
        <v>73</v>
      </c>
      <c r="D7903" s="51" t="n">
        <v>0</v>
      </c>
    </row>
    <row r="7904" customFormat="false" ht="15" hidden="true" customHeight="false" outlineLevel="0" collapsed="false">
      <c r="A7904" s="51" t="s">
        <v>736</v>
      </c>
      <c r="B7904" s="55" t="n">
        <v>45291</v>
      </c>
      <c r="C7904" s="51" t="s">
        <v>73</v>
      </c>
      <c r="D7904" s="51" t="n">
        <v>0</v>
      </c>
    </row>
    <row r="7905" customFormat="false" ht="15" hidden="true" customHeight="false" outlineLevel="0" collapsed="false">
      <c r="A7905" s="51" t="s">
        <v>741</v>
      </c>
      <c r="B7905" s="55" t="n">
        <v>45291</v>
      </c>
      <c r="C7905" s="51" t="s">
        <v>73</v>
      </c>
      <c r="D7905" s="51" t="n">
        <v>0</v>
      </c>
    </row>
    <row r="7906" customFormat="false" ht="15" hidden="true" customHeight="false" outlineLevel="0" collapsed="false">
      <c r="A7906" s="51" t="s">
        <v>746</v>
      </c>
      <c r="B7906" s="55" t="n">
        <v>45291</v>
      </c>
      <c r="C7906" s="51" t="s">
        <v>73</v>
      </c>
      <c r="D7906" s="51" t="n">
        <v>0</v>
      </c>
    </row>
    <row r="7907" customFormat="false" ht="15" hidden="true" customHeight="false" outlineLevel="0" collapsed="false">
      <c r="A7907" s="51" t="s">
        <v>751</v>
      </c>
      <c r="B7907" s="55" t="n">
        <v>45291</v>
      </c>
      <c r="C7907" s="51" t="s">
        <v>73</v>
      </c>
      <c r="D7907" s="51" t="n">
        <v>0</v>
      </c>
    </row>
    <row r="7908" customFormat="false" ht="15" hidden="false" customHeight="false" outlineLevel="0" collapsed="false">
      <c r="A7908" s="51" t="s">
        <v>781</v>
      </c>
      <c r="B7908" s="55" t="n">
        <v>45291</v>
      </c>
      <c r="C7908" s="51" t="s">
        <v>791</v>
      </c>
      <c r="D7908" s="51" t="n">
        <v>0</v>
      </c>
    </row>
    <row r="7909" customFormat="false" ht="15" hidden="true" customHeight="false" outlineLevel="0" collapsed="false">
      <c r="A7909" s="51" t="s">
        <v>783</v>
      </c>
      <c r="B7909" s="55" t="n">
        <v>45291</v>
      </c>
      <c r="C7909" s="51" t="s">
        <v>791</v>
      </c>
      <c r="D7909" s="51" t="n">
        <v>0</v>
      </c>
    </row>
    <row r="7910" customFormat="false" ht="15" hidden="true" customHeight="false" outlineLevel="0" collapsed="false">
      <c r="A7910" s="51" t="s">
        <v>96</v>
      </c>
      <c r="B7910" s="55" t="n">
        <v>45291</v>
      </c>
      <c r="C7910" s="51" t="s">
        <v>791</v>
      </c>
      <c r="D7910" s="51" t="n">
        <v>0</v>
      </c>
    </row>
    <row r="7911" customFormat="false" ht="15" hidden="true" customHeight="false" outlineLevel="0" collapsed="false">
      <c r="A7911" s="51" t="s">
        <v>101</v>
      </c>
      <c r="B7911" s="55" t="n">
        <v>45291</v>
      </c>
      <c r="C7911" s="51" t="s">
        <v>791</v>
      </c>
      <c r="D7911" s="51" t="n">
        <v>0</v>
      </c>
    </row>
    <row r="7912" customFormat="false" ht="15" hidden="true" customHeight="false" outlineLevel="0" collapsed="false">
      <c r="A7912" s="51" t="s">
        <v>106</v>
      </c>
      <c r="B7912" s="55" t="n">
        <v>45291</v>
      </c>
      <c r="C7912" s="51" t="s">
        <v>791</v>
      </c>
      <c r="D7912" s="51" t="n">
        <v>0</v>
      </c>
    </row>
    <row r="7913" customFormat="false" ht="15" hidden="true" customHeight="false" outlineLevel="0" collapsed="false">
      <c r="A7913" s="51" t="s">
        <v>110</v>
      </c>
      <c r="B7913" s="55" t="n">
        <v>45291</v>
      </c>
      <c r="C7913" s="51" t="s">
        <v>791</v>
      </c>
      <c r="D7913" s="51" t="n">
        <v>0</v>
      </c>
    </row>
    <row r="7914" customFormat="false" ht="15" hidden="true" customHeight="false" outlineLevel="0" collapsed="false">
      <c r="A7914" s="51" t="s">
        <v>115</v>
      </c>
      <c r="B7914" s="55" t="n">
        <v>45291</v>
      </c>
      <c r="C7914" s="51" t="s">
        <v>791</v>
      </c>
      <c r="D7914" s="51" t="n">
        <v>0</v>
      </c>
    </row>
    <row r="7915" customFormat="false" ht="15" hidden="true" customHeight="false" outlineLevel="0" collapsed="false">
      <c r="A7915" s="51" t="s">
        <v>120</v>
      </c>
      <c r="B7915" s="55" t="n">
        <v>45291</v>
      </c>
      <c r="C7915" s="51" t="s">
        <v>791</v>
      </c>
      <c r="D7915" s="51" t="n">
        <v>0</v>
      </c>
    </row>
    <row r="7916" customFormat="false" ht="15" hidden="true" customHeight="false" outlineLevel="0" collapsed="false">
      <c r="A7916" s="51" t="s">
        <v>124</v>
      </c>
      <c r="B7916" s="55" t="n">
        <v>45291</v>
      </c>
      <c r="C7916" s="51" t="s">
        <v>791</v>
      </c>
      <c r="D7916" s="51" t="n">
        <v>0</v>
      </c>
    </row>
    <row r="7917" customFormat="false" ht="15" hidden="true" customHeight="false" outlineLevel="0" collapsed="false">
      <c r="A7917" s="51" t="s">
        <v>129</v>
      </c>
      <c r="B7917" s="55" t="n">
        <v>45291</v>
      </c>
      <c r="C7917" s="51" t="s">
        <v>791</v>
      </c>
      <c r="D7917" s="51" t="n">
        <v>0</v>
      </c>
    </row>
    <row r="7918" customFormat="false" ht="15" hidden="true" customHeight="false" outlineLevel="0" collapsed="false">
      <c r="A7918" s="51" t="s">
        <v>134</v>
      </c>
      <c r="B7918" s="55" t="n">
        <v>45291</v>
      </c>
      <c r="C7918" s="51" t="s">
        <v>791</v>
      </c>
      <c r="D7918" s="51" t="n">
        <v>0</v>
      </c>
    </row>
    <row r="7919" customFormat="false" ht="15" hidden="true" customHeight="false" outlineLevel="0" collapsed="false">
      <c r="A7919" s="51" t="s">
        <v>141</v>
      </c>
      <c r="B7919" s="55" t="n">
        <v>45291</v>
      </c>
      <c r="C7919" s="51" t="s">
        <v>791</v>
      </c>
      <c r="D7919" s="51" t="n">
        <v>0</v>
      </c>
    </row>
    <row r="7920" customFormat="false" ht="15" hidden="true" customHeight="false" outlineLevel="0" collapsed="false">
      <c r="A7920" s="51" t="s">
        <v>146</v>
      </c>
      <c r="B7920" s="55" t="n">
        <v>45291</v>
      </c>
      <c r="C7920" s="51" t="s">
        <v>791</v>
      </c>
      <c r="D7920" s="51" t="n">
        <v>0</v>
      </c>
    </row>
    <row r="7921" customFormat="false" ht="15" hidden="true" customHeight="false" outlineLevel="0" collapsed="false">
      <c r="A7921" s="51" t="s">
        <v>151</v>
      </c>
      <c r="B7921" s="55" t="n">
        <v>45291</v>
      </c>
      <c r="C7921" s="51" t="s">
        <v>791</v>
      </c>
      <c r="D7921" s="51" t="n">
        <v>0</v>
      </c>
    </row>
    <row r="7922" customFormat="false" ht="15" hidden="true" customHeight="false" outlineLevel="0" collapsed="false">
      <c r="A7922" s="51" t="s">
        <v>156</v>
      </c>
      <c r="B7922" s="55" t="n">
        <v>45291</v>
      </c>
      <c r="C7922" s="51" t="s">
        <v>791</v>
      </c>
      <c r="D7922" s="51" t="n">
        <v>0</v>
      </c>
    </row>
    <row r="7923" customFormat="false" ht="15" hidden="true" customHeight="false" outlineLevel="0" collapsed="false">
      <c r="A7923" s="51" t="s">
        <v>161</v>
      </c>
      <c r="B7923" s="55" t="n">
        <v>45291</v>
      </c>
      <c r="C7923" s="51" t="s">
        <v>791</v>
      </c>
      <c r="D7923" s="51" t="n">
        <v>0</v>
      </c>
    </row>
    <row r="7924" customFormat="false" ht="15" hidden="true" customHeight="false" outlineLevel="0" collapsed="false">
      <c r="A7924" s="51" t="s">
        <v>166</v>
      </c>
      <c r="B7924" s="55" t="n">
        <v>45291</v>
      </c>
      <c r="C7924" s="51" t="s">
        <v>791</v>
      </c>
      <c r="D7924" s="51" t="n">
        <v>0</v>
      </c>
    </row>
    <row r="7925" customFormat="false" ht="15" hidden="true" customHeight="false" outlineLevel="0" collapsed="false">
      <c r="A7925" s="51" t="s">
        <v>171</v>
      </c>
      <c r="B7925" s="55" t="n">
        <v>45291</v>
      </c>
      <c r="C7925" s="51" t="s">
        <v>791</v>
      </c>
      <c r="D7925" s="51" t="n">
        <v>0</v>
      </c>
    </row>
    <row r="7926" customFormat="false" ht="15" hidden="true" customHeight="false" outlineLevel="0" collapsed="false">
      <c r="A7926" s="51" t="s">
        <v>176</v>
      </c>
      <c r="B7926" s="55" t="n">
        <v>45291</v>
      </c>
      <c r="C7926" s="51" t="s">
        <v>791</v>
      </c>
      <c r="D7926" s="51" t="n">
        <v>0</v>
      </c>
    </row>
    <row r="7927" customFormat="false" ht="15" hidden="true" customHeight="false" outlineLevel="0" collapsed="false">
      <c r="A7927" s="51" t="s">
        <v>181</v>
      </c>
      <c r="B7927" s="55" t="n">
        <v>45291</v>
      </c>
      <c r="C7927" s="51" t="s">
        <v>791</v>
      </c>
      <c r="D7927" s="51" t="n">
        <v>0</v>
      </c>
    </row>
    <row r="7928" customFormat="false" ht="15" hidden="true" customHeight="false" outlineLevel="0" collapsed="false">
      <c r="A7928" s="51" t="s">
        <v>186</v>
      </c>
      <c r="B7928" s="55" t="n">
        <v>45291</v>
      </c>
      <c r="C7928" s="51" t="s">
        <v>791</v>
      </c>
      <c r="D7928" s="51" t="n">
        <v>0</v>
      </c>
    </row>
    <row r="7929" customFormat="false" ht="15" hidden="true" customHeight="false" outlineLevel="0" collapsed="false">
      <c r="A7929" s="51" t="s">
        <v>191</v>
      </c>
      <c r="B7929" s="55" t="n">
        <v>45291</v>
      </c>
      <c r="C7929" s="51" t="s">
        <v>791</v>
      </c>
      <c r="D7929" s="51" t="n">
        <v>0</v>
      </c>
    </row>
    <row r="7930" customFormat="false" ht="15" hidden="true" customHeight="false" outlineLevel="0" collapsed="false">
      <c r="A7930" s="51" t="s">
        <v>196</v>
      </c>
      <c r="B7930" s="55" t="n">
        <v>45291</v>
      </c>
      <c r="C7930" s="51" t="s">
        <v>791</v>
      </c>
      <c r="D7930" s="51" t="n">
        <v>0</v>
      </c>
    </row>
    <row r="7931" customFormat="false" ht="15" hidden="true" customHeight="false" outlineLevel="0" collapsed="false">
      <c r="A7931" s="51" t="s">
        <v>201</v>
      </c>
      <c r="B7931" s="55" t="n">
        <v>45291</v>
      </c>
      <c r="C7931" s="51" t="s">
        <v>791</v>
      </c>
      <c r="D7931" s="51" t="n">
        <v>0</v>
      </c>
    </row>
    <row r="7932" customFormat="false" ht="15" hidden="true" customHeight="false" outlineLevel="0" collapsed="false">
      <c r="A7932" s="51" t="s">
        <v>206</v>
      </c>
      <c r="B7932" s="55" t="n">
        <v>45291</v>
      </c>
      <c r="C7932" s="51" t="s">
        <v>791</v>
      </c>
      <c r="D7932" s="51" t="n">
        <v>0</v>
      </c>
    </row>
    <row r="7933" customFormat="false" ht="15" hidden="true" customHeight="false" outlineLevel="0" collapsed="false">
      <c r="A7933" s="51" t="s">
        <v>210</v>
      </c>
      <c r="B7933" s="55" t="n">
        <v>45291</v>
      </c>
      <c r="C7933" s="51" t="s">
        <v>791</v>
      </c>
      <c r="D7933" s="51" t="n">
        <v>0</v>
      </c>
    </row>
    <row r="7934" customFormat="false" ht="15" hidden="true" customHeight="false" outlineLevel="0" collapsed="false">
      <c r="A7934" s="51" t="s">
        <v>215</v>
      </c>
      <c r="B7934" s="55" t="n">
        <v>45291</v>
      </c>
      <c r="C7934" s="51" t="s">
        <v>791</v>
      </c>
      <c r="D7934" s="51" t="n">
        <v>0</v>
      </c>
    </row>
    <row r="7935" customFormat="false" ht="15" hidden="true" customHeight="false" outlineLevel="0" collapsed="false">
      <c r="A7935" s="51" t="s">
        <v>790</v>
      </c>
      <c r="B7935" s="55" t="n">
        <v>45291</v>
      </c>
      <c r="C7935" s="51" t="s">
        <v>791</v>
      </c>
      <c r="D7935" s="51" t="n">
        <v>0</v>
      </c>
    </row>
    <row r="7936" customFormat="false" ht="15" hidden="true" customHeight="false" outlineLevel="0" collapsed="false">
      <c r="A7936" s="51" t="s">
        <v>225</v>
      </c>
      <c r="B7936" s="55" t="n">
        <v>45291</v>
      </c>
      <c r="C7936" s="51" t="s">
        <v>791</v>
      </c>
      <c r="D7936" s="51" t="n">
        <v>0</v>
      </c>
    </row>
    <row r="7937" customFormat="false" ht="15" hidden="true" customHeight="false" outlineLevel="0" collapsed="false">
      <c r="A7937" s="51" t="s">
        <v>230</v>
      </c>
      <c r="B7937" s="55" t="n">
        <v>45291</v>
      </c>
      <c r="C7937" s="51" t="s">
        <v>791</v>
      </c>
      <c r="D7937" s="51" t="n">
        <v>85000</v>
      </c>
    </row>
    <row r="7938" customFormat="false" ht="15" hidden="true" customHeight="false" outlineLevel="0" collapsed="false">
      <c r="A7938" s="51" t="s">
        <v>235</v>
      </c>
      <c r="B7938" s="55" t="n">
        <v>45291</v>
      </c>
      <c r="C7938" s="51" t="s">
        <v>791</v>
      </c>
      <c r="D7938" s="51" t="n">
        <v>0</v>
      </c>
    </row>
    <row r="7939" customFormat="false" ht="15" hidden="true" customHeight="false" outlineLevel="0" collapsed="false">
      <c r="A7939" s="51" t="s">
        <v>240</v>
      </c>
      <c r="B7939" s="55" t="n">
        <v>45291</v>
      </c>
      <c r="C7939" s="51" t="s">
        <v>791</v>
      </c>
      <c r="D7939" s="51" t="n">
        <v>0</v>
      </c>
    </row>
    <row r="7940" customFormat="false" ht="15" hidden="true" customHeight="false" outlineLevel="0" collapsed="false">
      <c r="A7940" s="51" t="s">
        <v>246</v>
      </c>
      <c r="B7940" s="55" t="n">
        <v>45291</v>
      </c>
      <c r="C7940" s="51" t="s">
        <v>791</v>
      </c>
      <c r="D7940" s="51" t="n">
        <v>0</v>
      </c>
    </row>
    <row r="7941" customFormat="false" ht="15" hidden="true" customHeight="false" outlineLevel="0" collapsed="false">
      <c r="A7941" s="51" t="s">
        <v>252</v>
      </c>
      <c r="B7941" s="55" t="n">
        <v>45291</v>
      </c>
      <c r="C7941" s="51" t="s">
        <v>791</v>
      </c>
      <c r="D7941" s="51" t="n">
        <v>0</v>
      </c>
    </row>
    <row r="7942" customFormat="false" ht="15" hidden="true" customHeight="false" outlineLevel="0" collapsed="false">
      <c r="A7942" s="51" t="s">
        <v>257</v>
      </c>
      <c r="B7942" s="55" t="n">
        <v>45291</v>
      </c>
      <c r="C7942" s="51" t="s">
        <v>791</v>
      </c>
      <c r="D7942" s="51" t="n">
        <v>0</v>
      </c>
    </row>
    <row r="7943" customFormat="false" ht="15" hidden="true" customHeight="false" outlineLevel="0" collapsed="false">
      <c r="A7943" s="51" t="s">
        <v>262</v>
      </c>
      <c r="B7943" s="55" t="n">
        <v>45291</v>
      </c>
      <c r="C7943" s="51" t="s">
        <v>791</v>
      </c>
      <c r="D7943" s="51" t="n">
        <v>0</v>
      </c>
    </row>
    <row r="7944" customFormat="false" ht="15" hidden="true" customHeight="false" outlineLevel="0" collapsed="false">
      <c r="A7944" s="51" t="s">
        <v>267</v>
      </c>
      <c r="B7944" s="55" t="n">
        <v>45291</v>
      </c>
      <c r="C7944" s="51" t="s">
        <v>791</v>
      </c>
      <c r="D7944" s="51" t="n">
        <v>0</v>
      </c>
    </row>
    <row r="7945" customFormat="false" ht="15" hidden="true" customHeight="false" outlineLevel="0" collapsed="false">
      <c r="A7945" s="51" t="s">
        <v>272</v>
      </c>
      <c r="B7945" s="55" t="n">
        <v>45291</v>
      </c>
      <c r="C7945" s="51" t="s">
        <v>791</v>
      </c>
      <c r="D7945" s="51" t="n">
        <v>0</v>
      </c>
    </row>
    <row r="7946" customFormat="false" ht="15" hidden="true" customHeight="false" outlineLevel="0" collapsed="false">
      <c r="A7946" s="51" t="s">
        <v>277</v>
      </c>
      <c r="B7946" s="55" t="n">
        <v>45291</v>
      </c>
      <c r="C7946" s="51" t="s">
        <v>791</v>
      </c>
      <c r="D7946" s="51" t="n">
        <v>0</v>
      </c>
    </row>
    <row r="7947" customFormat="false" ht="15" hidden="true" customHeight="false" outlineLevel="0" collapsed="false">
      <c r="A7947" s="51" t="s">
        <v>282</v>
      </c>
      <c r="B7947" s="55" t="n">
        <v>45291</v>
      </c>
      <c r="C7947" s="51" t="s">
        <v>791</v>
      </c>
      <c r="D7947" s="51" t="n">
        <v>0</v>
      </c>
    </row>
    <row r="7948" customFormat="false" ht="15" hidden="true" customHeight="false" outlineLevel="0" collapsed="false">
      <c r="A7948" s="51" t="s">
        <v>287</v>
      </c>
      <c r="B7948" s="55" t="n">
        <v>45291</v>
      </c>
      <c r="C7948" s="51" t="s">
        <v>791</v>
      </c>
      <c r="D7948" s="51" t="n">
        <v>0</v>
      </c>
    </row>
    <row r="7949" customFormat="false" ht="15" hidden="true" customHeight="false" outlineLevel="0" collapsed="false">
      <c r="A7949" s="51" t="s">
        <v>292</v>
      </c>
      <c r="B7949" s="55" t="n">
        <v>45291</v>
      </c>
      <c r="C7949" s="51" t="s">
        <v>791</v>
      </c>
      <c r="D7949" s="51" t="n">
        <v>0</v>
      </c>
    </row>
    <row r="7950" customFormat="false" ht="15" hidden="true" customHeight="false" outlineLevel="0" collapsed="false">
      <c r="A7950" s="51" t="s">
        <v>297</v>
      </c>
      <c r="B7950" s="55" t="n">
        <v>45291</v>
      </c>
      <c r="C7950" s="51" t="s">
        <v>791</v>
      </c>
      <c r="D7950" s="51" t="n">
        <v>0</v>
      </c>
    </row>
    <row r="7951" customFormat="false" ht="15" hidden="true" customHeight="false" outlineLevel="0" collapsed="false">
      <c r="A7951" s="51" t="s">
        <v>302</v>
      </c>
      <c r="B7951" s="55" t="n">
        <v>45291</v>
      </c>
      <c r="C7951" s="51" t="s">
        <v>791</v>
      </c>
      <c r="D7951" s="51" t="n">
        <v>0</v>
      </c>
    </row>
    <row r="7952" customFormat="false" ht="15" hidden="true" customHeight="false" outlineLevel="0" collapsed="false">
      <c r="A7952" s="51" t="s">
        <v>307</v>
      </c>
      <c r="B7952" s="55" t="n">
        <v>45291</v>
      </c>
      <c r="C7952" s="51" t="s">
        <v>791</v>
      </c>
      <c r="D7952" s="51" t="n">
        <v>0</v>
      </c>
    </row>
    <row r="7953" customFormat="false" ht="15" hidden="true" customHeight="false" outlineLevel="0" collapsed="false">
      <c r="A7953" s="51" t="s">
        <v>311</v>
      </c>
      <c r="B7953" s="55" t="n">
        <v>45291</v>
      </c>
      <c r="C7953" s="51" t="s">
        <v>791</v>
      </c>
      <c r="D7953" s="51" t="n">
        <v>0</v>
      </c>
    </row>
    <row r="7954" customFormat="false" ht="15" hidden="true" customHeight="false" outlineLevel="0" collapsed="false">
      <c r="A7954" s="51" t="s">
        <v>317</v>
      </c>
      <c r="B7954" s="55" t="n">
        <v>45291</v>
      </c>
      <c r="C7954" s="51" t="s">
        <v>791</v>
      </c>
      <c r="D7954" s="51" t="n">
        <v>0</v>
      </c>
    </row>
    <row r="7955" customFormat="false" ht="15" hidden="true" customHeight="false" outlineLevel="0" collapsed="false">
      <c r="A7955" s="51" t="s">
        <v>322</v>
      </c>
      <c r="B7955" s="55" t="n">
        <v>45291</v>
      </c>
      <c r="C7955" s="51" t="s">
        <v>791</v>
      </c>
      <c r="D7955" s="51" t="n">
        <v>0</v>
      </c>
    </row>
    <row r="7956" customFormat="false" ht="15" hidden="true" customHeight="false" outlineLevel="0" collapsed="false">
      <c r="A7956" s="51" t="s">
        <v>327</v>
      </c>
      <c r="B7956" s="55" t="n">
        <v>45291</v>
      </c>
      <c r="C7956" s="51" t="s">
        <v>791</v>
      </c>
      <c r="D7956" s="51" t="n">
        <v>-258000</v>
      </c>
    </row>
    <row r="7957" customFormat="false" ht="15" hidden="true" customHeight="false" outlineLevel="0" collapsed="false">
      <c r="A7957" s="51" t="s">
        <v>332</v>
      </c>
      <c r="B7957" s="55" t="n">
        <v>45291</v>
      </c>
      <c r="C7957" s="51" t="s">
        <v>791</v>
      </c>
      <c r="D7957" s="51" t="n">
        <v>0</v>
      </c>
    </row>
    <row r="7958" customFormat="false" ht="15" hidden="true" customHeight="false" outlineLevel="0" collapsed="false">
      <c r="A7958" s="51" t="s">
        <v>339</v>
      </c>
      <c r="B7958" s="55" t="n">
        <v>45291</v>
      </c>
      <c r="C7958" s="51" t="s">
        <v>791</v>
      </c>
      <c r="D7958" s="51" t="n">
        <v>0</v>
      </c>
    </row>
    <row r="7959" customFormat="false" ht="15" hidden="true" customHeight="false" outlineLevel="0" collapsed="false">
      <c r="A7959" s="51" t="s">
        <v>344</v>
      </c>
      <c r="B7959" s="55" t="n">
        <v>45291</v>
      </c>
      <c r="C7959" s="51" t="s">
        <v>791</v>
      </c>
      <c r="D7959" s="51" t="n">
        <v>0</v>
      </c>
    </row>
    <row r="7960" customFormat="false" ht="15" hidden="true" customHeight="false" outlineLevel="0" collapsed="false">
      <c r="A7960" s="51" t="s">
        <v>349</v>
      </c>
      <c r="B7960" s="55" t="n">
        <v>45291</v>
      </c>
      <c r="C7960" s="51" t="s">
        <v>791</v>
      </c>
      <c r="D7960" s="51" t="n">
        <v>0</v>
      </c>
    </row>
    <row r="7961" customFormat="false" ht="15" hidden="true" customHeight="false" outlineLevel="0" collapsed="false">
      <c r="A7961" s="51" t="s">
        <v>354</v>
      </c>
      <c r="B7961" s="55" t="n">
        <v>45291</v>
      </c>
      <c r="C7961" s="51" t="s">
        <v>791</v>
      </c>
      <c r="D7961" s="51" t="n">
        <v>0</v>
      </c>
    </row>
    <row r="7962" customFormat="false" ht="15" hidden="true" customHeight="false" outlineLevel="0" collapsed="false">
      <c r="A7962" s="51" t="s">
        <v>359</v>
      </c>
      <c r="B7962" s="55" t="n">
        <v>45291</v>
      </c>
      <c r="C7962" s="51" t="s">
        <v>791</v>
      </c>
      <c r="D7962" s="51" t="n">
        <v>-155699.48</v>
      </c>
    </row>
    <row r="7963" customFormat="false" ht="15" hidden="true" customHeight="false" outlineLevel="0" collapsed="false">
      <c r="A7963" s="51" t="s">
        <v>364</v>
      </c>
      <c r="B7963" s="55" t="n">
        <v>45291</v>
      </c>
      <c r="C7963" s="51" t="s">
        <v>791</v>
      </c>
      <c r="D7963" s="51" t="n">
        <v>0</v>
      </c>
    </row>
    <row r="7964" customFormat="false" ht="15" hidden="true" customHeight="false" outlineLevel="0" collapsed="false">
      <c r="A7964" s="51" t="s">
        <v>369</v>
      </c>
      <c r="B7964" s="55" t="n">
        <v>45291</v>
      </c>
      <c r="C7964" s="51" t="s">
        <v>791</v>
      </c>
      <c r="D7964" s="51" t="n">
        <v>-175000</v>
      </c>
    </row>
    <row r="7965" customFormat="false" ht="15" hidden="true" customHeight="false" outlineLevel="0" collapsed="false">
      <c r="A7965" s="51" t="s">
        <v>374</v>
      </c>
      <c r="B7965" s="55" t="n">
        <v>45291</v>
      </c>
      <c r="C7965" s="51" t="s">
        <v>791</v>
      </c>
      <c r="D7965" s="51" t="n">
        <v>-250000</v>
      </c>
    </row>
    <row r="7966" customFormat="false" ht="15" hidden="true" customHeight="false" outlineLevel="0" collapsed="false">
      <c r="A7966" s="51" t="s">
        <v>379</v>
      </c>
      <c r="B7966" s="55" t="n">
        <v>45291</v>
      </c>
      <c r="C7966" s="51" t="s">
        <v>791</v>
      </c>
      <c r="D7966" s="51" t="n">
        <v>-1100000</v>
      </c>
    </row>
    <row r="7967" customFormat="false" ht="15" hidden="true" customHeight="false" outlineLevel="0" collapsed="false">
      <c r="A7967" s="51" t="s">
        <v>384</v>
      </c>
      <c r="B7967" s="55" t="n">
        <v>45291</v>
      </c>
      <c r="C7967" s="51" t="s">
        <v>791</v>
      </c>
      <c r="D7967" s="51" t="n">
        <v>0</v>
      </c>
    </row>
    <row r="7968" customFormat="false" ht="15" hidden="true" customHeight="false" outlineLevel="0" collapsed="false">
      <c r="A7968" s="51" t="s">
        <v>389</v>
      </c>
      <c r="B7968" s="55" t="n">
        <v>45291</v>
      </c>
      <c r="C7968" s="51" t="s">
        <v>791</v>
      </c>
      <c r="D7968" s="51" t="n">
        <v>0</v>
      </c>
    </row>
    <row r="7969" customFormat="false" ht="15" hidden="true" customHeight="false" outlineLevel="0" collapsed="false">
      <c r="A7969" s="51" t="s">
        <v>394</v>
      </c>
      <c r="B7969" s="55" t="n">
        <v>45291</v>
      </c>
      <c r="C7969" s="51" t="s">
        <v>791</v>
      </c>
      <c r="D7969" s="51" t="n">
        <v>-1050000</v>
      </c>
    </row>
    <row r="7970" customFormat="false" ht="15" hidden="true" customHeight="false" outlineLevel="0" collapsed="false">
      <c r="A7970" s="51" t="s">
        <v>399</v>
      </c>
      <c r="B7970" s="55" t="n">
        <v>45291</v>
      </c>
      <c r="C7970" s="51" t="s">
        <v>791</v>
      </c>
      <c r="D7970" s="51" t="n">
        <v>0</v>
      </c>
    </row>
    <row r="7971" customFormat="false" ht="15" hidden="true" customHeight="false" outlineLevel="0" collapsed="false">
      <c r="A7971" s="51" t="s">
        <v>404</v>
      </c>
      <c r="B7971" s="55" t="n">
        <v>45291</v>
      </c>
      <c r="C7971" s="51" t="s">
        <v>791</v>
      </c>
      <c r="D7971" s="51" t="n">
        <v>-460000</v>
      </c>
    </row>
    <row r="7972" customFormat="false" ht="15" hidden="true" customHeight="false" outlineLevel="0" collapsed="false">
      <c r="A7972" s="51" t="s">
        <v>409</v>
      </c>
      <c r="B7972" s="55" t="n">
        <v>45291</v>
      </c>
      <c r="C7972" s="51" t="s">
        <v>791</v>
      </c>
      <c r="D7972" s="51" t="n">
        <v>-2000000</v>
      </c>
    </row>
    <row r="7973" customFormat="false" ht="15" hidden="true" customHeight="false" outlineLevel="0" collapsed="false">
      <c r="A7973" s="51" t="s">
        <v>414</v>
      </c>
      <c r="B7973" s="55" t="n">
        <v>45291</v>
      </c>
      <c r="C7973" s="51" t="s">
        <v>791</v>
      </c>
      <c r="D7973" s="51" t="n">
        <v>-395000</v>
      </c>
    </row>
    <row r="7974" customFormat="false" ht="15" hidden="true" customHeight="false" outlineLevel="0" collapsed="false">
      <c r="A7974" s="51" t="s">
        <v>419</v>
      </c>
      <c r="B7974" s="55" t="n">
        <v>45291</v>
      </c>
      <c r="C7974" s="51" t="s">
        <v>791</v>
      </c>
      <c r="D7974" s="51" t="n">
        <v>-1000000</v>
      </c>
    </row>
    <row r="7975" customFormat="false" ht="15" hidden="true" customHeight="false" outlineLevel="0" collapsed="false">
      <c r="A7975" s="51" t="s">
        <v>424</v>
      </c>
      <c r="B7975" s="55" t="n">
        <v>45291</v>
      </c>
      <c r="C7975" s="51" t="s">
        <v>791</v>
      </c>
      <c r="D7975" s="51" t="n">
        <v>-435000</v>
      </c>
    </row>
    <row r="7976" customFormat="false" ht="15" hidden="true" customHeight="false" outlineLevel="0" collapsed="false">
      <c r="A7976" s="51" t="s">
        <v>429</v>
      </c>
      <c r="B7976" s="55" t="n">
        <v>45291</v>
      </c>
      <c r="C7976" s="51" t="s">
        <v>791</v>
      </c>
      <c r="D7976" s="51" t="n">
        <v>-250000</v>
      </c>
    </row>
    <row r="7977" customFormat="false" ht="15" hidden="true" customHeight="false" outlineLevel="0" collapsed="false">
      <c r="A7977" s="51" t="s">
        <v>434</v>
      </c>
      <c r="B7977" s="55" t="n">
        <v>45291</v>
      </c>
      <c r="C7977" s="51" t="s">
        <v>791</v>
      </c>
      <c r="D7977" s="51" t="n">
        <v>-525000</v>
      </c>
    </row>
    <row r="7978" customFormat="false" ht="15" hidden="true" customHeight="false" outlineLevel="0" collapsed="false">
      <c r="A7978" s="51" t="s">
        <v>438</v>
      </c>
      <c r="B7978" s="55" t="n">
        <v>45291</v>
      </c>
      <c r="C7978" s="51" t="s">
        <v>791</v>
      </c>
      <c r="D7978" s="51" t="n">
        <v>-500000</v>
      </c>
    </row>
    <row r="7979" customFormat="false" ht="15" hidden="true" customHeight="false" outlineLevel="0" collapsed="false">
      <c r="A7979" s="51" t="s">
        <v>443</v>
      </c>
      <c r="B7979" s="55" t="n">
        <v>45291</v>
      </c>
      <c r="C7979" s="51" t="s">
        <v>791</v>
      </c>
      <c r="D7979" s="51" t="n">
        <v>-1550000</v>
      </c>
    </row>
    <row r="7980" customFormat="false" ht="15" hidden="true" customHeight="false" outlineLevel="0" collapsed="false">
      <c r="A7980" s="51" t="s">
        <v>448</v>
      </c>
      <c r="B7980" s="55" t="n">
        <v>45291</v>
      </c>
      <c r="C7980" s="51" t="s">
        <v>791</v>
      </c>
      <c r="D7980" s="51" t="n">
        <v>0</v>
      </c>
    </row>
    <row r="7981" customFormat="false" ht="15" hidden="true" customHeight="false" outlineLevel="0" collapsed="false">
      <c r="A7981" s="51" t="s">
        <v>453</v>
      </c>
      <c r="B7981" s="55" t="n">
        <v>45291</v>
      </c>
      <c r="C7981" s="51" t="s">
        <v>791</v>
      </c>
      <c r="D7981" s="51" t="n">
        <v>12000000</v>
      </c>
    </row>
    <row r="7982" customFormat="false" ht="15" hidden="true" customHeight="false" outlineLevel="0" collapsed="false">
      <c r="A7982" s="51" t="s">
        <v>458</v>
      </c>
      <c r="B7982" s="55" t="n">
        <v>45291</v>
      </c>
      <c r="C7982" s="51" t="s">
        <v>791</v>
      </c>
      <c r="D7982" s="51" t="n">
        <v>4964442</v>
      </c>
    </row>
    <row r="7983" customFormat="false" ht="15" hidden="true" customHeight="false" outlineLevel="0" collapsed="false">
      <c r="A7983" s="51" t="s">
        <v>473</v>
      </c>
      <c r="B7983" s="55" t="n">
        <v>45291</v>
      </c>
      <c r="C7983" s="51" t="s">
        <v>791</v>
      </c>
      <c r="D7983" s="51" t="n">
        <v>250000</v>
      </c>
    </row>
    <row r="7984" customFormat="false" ht="15" hidden="true" customHeight="false" outlineLevel="0" collapsed="false">
      <c r="A7984" s="51" t="s">
        <v>479</v>
      </c>
      <c r="B7984" s="55" t="n">
        <v>45291</v>
      </c>
      <c r="C7984" s="51" t="s">
        <v>791</v>
      </c>
      <c r="D7984" s="51" t="n">
        <v>6000000</v>
      </c>
    </row>
    <row r="7985" customFormat="false" ht="15" hidden="true" customHeight="false" outlineLevel="0" collapsed="false">
      <c r="A7985" s="51" t="s">
        <v>484</v>
      </c>
      <c r="B7985" s="55" t="n">
        <v>45291</v>
      </c>
      <c r="C7985" s="51" t="s">
        <v>791</v>
      </c>
      <c r="D7985" s="51" t="n">
        <v>320000</v>
      </c>
    </row>
    <row r="7986" customFormat="false" ht="15" hidden="true" customHeight="false" outlineLevel="0" collapsed="false">
      <c r="A7986" s="51" t="s">
        <v>489</v>
      </c>
      <c r="B7986" s="55" t="n">
        <v>45291</v>
      </c>
      <c r="C7986" s="51" t="s">
        <v>791</v>
      </c>
      <c r="D7986" s="51" t="n">
        <v>0</v>
      </c>
    </row>
    <row r="7987" customFormat="false" ht="15" hidden="true" customHeight="false" outlineLevel="0" collapsed="false">
      <c r="A7987" s="51" t="s">
        <v>494</v>
      </c>
      <c r="B7987" s="55" t="n">
        <v>45291</v>
      </c>
      <c r="C7987" s="51" t="s">
        <v>791</v>
      </c>
      <c r="D7987" s="51" t="n">
        <v>0</v>
      </c>
    </row>
    <row r="7988" customFormat="false" ht="15" hidden="true" customHeight="false" outlineLevel="0" collapsed="false">
      <c r="A7988" s="51" t="s">
        <v>499</v>
      </c>
      <c r="B7988" s="55" t="n">
        <v>45291</v>
      </c>
      <c r="C7988" s="51" t="s">
        <v>791</v>
      </c>
      <c r="D7988" s="51" t="n">
        <v>0</v>
      </c>
    </row>
    <row r="7989" customFormat="false" ht="15" hidden="true" customHeight="false" outlineLevel="0" collapsed="false">
      <c r="A7989" s="51" t="s">
        <v>504</v>
      </c>
      <c r="B7989" s="55" t="n">
        <v>45291</v>
      </c>
      <c r="C7989" s="51" t="s">
        <v>791</v>
      </c>
      <c r="D7989" s="51" t="n">
        <v>0</v>
      </c>
    </row>
    <row r="7990" customFormat="false" ht="15" hidden="true" customHeight="false" outlineLevel="0" collapsed="false">
      <c r="A7990" s="51" t="s">
        <v>509</v>
      </c>
      <c r="B7990" s="55" t="n">
        <v>45291</v>
      </c>
      <c r="C7990" s="51" t="s">
        <v>791</v>
      </c>
      <c r="D7990" s="51" t="n">
        <v>0</v>
      </c>
    </row>
    <row r="7991" customFormat="false" ht="15" hidden="true" customHeight="false" outlineLevel="0" collapsed="false">
      <c r="A7991" s="51" t="s">
        <v>515</v>
      </c>
      <c r="B7991" s="55" t="n">
        <v>45291</v>
      </c>
      <c r="C7991" s="51" t="s">
        <v>791</v>
      </c>
      <c r="D7991" s="51" t="n">
        <v>0</v>
      </c>
    </row>
    <row r="7992" customFormat="false" ht="15" hidden="true" customHeight="false" outlineLevel="0" collapsed="false">
      <c r="A7992" s="51" t="s">
        <v>520</v>
      </c>
      <c r="B7992" s="55" t="n">
        <v>45291</v>
      </c>
      <c r="C7992" s="51" t="s">
        <v>791</v>
      </c>
      <c r="D7992" s="51" t="n">
        <v>0</v>
      </c>
    </row>
    <row r="7993" customFormat="false" ht="15" hidden="true" customHeight="false" outlineLevel="0" collapsed="false">
      <c r="A7993" s="51" t="s">
        <v>525</v>
      </c>
      <c r="B7993" s="55" t="n">
        <v>45291</v>
      </c>
      <c r="C7993" s="51" t="s">
        <v>791</v>
      </c>
      <c r="D7993" s="51" t="n">
        <v>0</v>
      </c>
    </row>
    <row r="7994" customFormat="false" ht="15" hidden="true" customHeight="false" outlineLevel="0" collapsed="false">
      <c r="A7994" s="51" t="s">
        <v>531</v>
      </c>
      <c r="B7994" s="55" t="n">
        <v>45291</v>
      </c>
      <c r="C7994" s="51" t="s">
        <v>791</v>
      </c>
      <c r="D7994" s="51" t="n">
        <v>0</v>
      </c>
    </row>
    <row r="7995" customFormat="false" ht="15" hidden="true" customHeight="false" outlineLevel="0" collapsed="false">
      <c r="A7995" s="51" t="s">
        <v>536</v>
      </c>
      <c r="B7995" s="55" t="n">
        <v>45291</v>
      </c>
      <c r="C7995" s="51" t="s">
        <v>791</v>
      </c>
      <c r="D7995" s="51" t="n">
        <v>0</v>
      </c>
    </row>
    <row r="7996" customFormat="false" ht="15" hidden="true" customHeight="false" outlineLevel="0" collapsed="false">
      <c r="A7996" s="51" t="s">
        <v>541</v>
      </c>
      <c r="B7996" s="55" t="n">
        <v>45291</v>
      </c>
      <c r="C7996" s="51" t="s">
        <v>791</v>
      </c>
      <c r="D7996" s="51" t="n">
        <v>0</v>
      </c>
    </row>
    <row r="7997" customFormat="false" ht="15" hidden="true" customHeight="false" outlineLevel="0" collapsed="false">
      <c r="A7997" s="51" t="s">
        <v>549</v>
      </c>
      <c r="B7997" s="55" t="n">
        <v>45291</v>
      </c>
      <c r="C7997" s="51" t="s">
        <v>791</v>
      </c>
      <c r="D7997" s="51" t="n">
        <v>0</v>
      </c>
    </row>
    <row r="7998" customFormat="false" ht="15" hidden="true" customHeight="false" outlineLevel="0" collapsed="false">
      <c r="A7998" s="51" t="s">
        <v>554</v>
      </c>
      <c r="B7998" s="55" t="n">
        <v>45291</v>
      </c>
      <c r="C7998" s="51" t="s">
        <v>791</v>
      </c>
      <c r="D7998" s="51" t="n">
        <v>0</v>
      </c>
    </row>
    <row r="7999" customFormat="false" ht="15" hidden="true" customHeight="false" outlineLevel="0" collapsed="false">
      <c r="A7999" s="51" t="s">
        <v>559</v>
      </c>
      <c r="B7999" s="55" t="n">
        <v>45291</v>
      </c>
      <c r="C7999" s="51" t="s">
        <v>791</v>
      </c>
      <c r="D7999" s="51" t="n">
        <v>0</v>
      </c>
    </row>
    <row r="8000" customFormat="false" ht="15" hidden="true" customHeight="false" outlineLevel="0" collapsed="false">
      <c r="A8000" s="51" t="s">
        <v>564</v>
      </c>
      <c r="B8000" s="55" t="n">
        <v>45291</v>
      </c>
      <c r="C8000" s="51" t="s">
        <v>791</v>
      </c>
      <c r="D8000" s="51" t="n">
        <v>0</v>
      </c>
    </row>
    <row r="8001" customFormat="false" ht="15" hidden="true" customHeight="false" outlineLevel="0" collapsed="false">
      <c r="A8001" s="51" t="s">
        <v>569</v>
      </c>
      <c r="B8001" s="55" t="n">
        <v>45291</v>
      </c>
      <c r="C8001" s="51" t="s">
        <v>791</v>
      </c>
      <c r="D8001" s="51" t="n">
        <v>0</v>
      </c>
    </row>
    <row r="8002" customFormat="false" ht="15" hidden="true" customHeight="false" outlineLevel="0" collapsed="false">
      <c r="A8002" s="51" t="s">
        <v>574</v>
      </c>
      <c r="B8002" s="55" t="n">
        <v>45291</v>
      </c>
      <c r="C8002" s="51" t="s">
        <v>791</v>
      </c>
      <c r="D8002" s="51" t="n">
        <v>0</v>
      </c>
    </row>
    <row r="8003" customFormat="false" ht="15" hidden="true" customHeight="false" outlineLevel="0" collapsed="false">
      <c r="A8003" s="51" t="s">
        <v>579</v>
      </c>
      <c r="B8003" s="55" t="n">
        <v>45291</v>
      </c>
      <c r="C8003" s="51" t="s">
        <v>791</v>
      </c>
      <c r="D8003" s="51" t="n">
        <v>0</v>
      </c>
    </row>
    <row r="8004" customFormat="false" ht="15" hidden="true" customHeight="false" outlineLevel="0" collapsed="false">
      <c r="A8004" s="51" t="s">
        <v>584</v>
      </c>
      <c r="B8004" s="55" t="n">
        <v>45291</v>
      </c>
      <c r="C8004" s="51" t="s">
        <v>791</v>
      </c>
      <c r="D8004" s="51" t="n">
        <v>0</v>
      </c>
    </row>
    <row r="8005" customFormat="false" ht="15" hidden="true" customHeight="false" outlineLevel="0" collapsed="false">
      <c r="A8005" s="51" t="s">
        <v>589</v>
      </c>
      <c r="B8005" s="55" t="n">
        <v>45291</v>
      </c>
      <c r="C8005" s="51" t="s">
        <v>791</v>
      </c>
      <c r="D8005" s="51" t="n">
        <v>0</v>
      </c>
    </row>
    <row r="8006" customFormat="false" ht="15" hidden="true" customHeight="false" outlineLevel="0" collapsed="false">
      <c r="A8006" s="51" t="s">
        <v>756</v>
      </c>
      <c r="B8006" s="55" t="n">
        <v>45291</v>
      </c>
      <c r="C8006" s="51" t="s">
        <v>791</v>
      </c>
      <c r="D8006" s="51" t="n">
        <v>0</v>
      </c>
    </row>
    <row r="8007" customFormat="false" ht="15" hidden="true" customHeight="false" outlineLevel="0" collapsed="false">
      <c r="A8007" s="51" t="s">
        <v>594</v>
      </c>
      <c r="B8007" s="55" t="n">
        <v>45291</v>
      </c>
      <c r="C8007" s="51" t="s">
        <v>791</v>
      </c>
      <c r="D8007" s="51" t="n">
        <v>0</v>
      </c>
    </row>
    <row r="8008" customFormat="false" ht="15" hidden="true" customHeight="false" outlineLevel="0" collapsed="false">
      <c r="A8008" s="51" t="s">
        <v>761</v>
      </c>
      <c r="B8008" s="55" t="n">
        <v>45291</v>
      </c>
      <c r="C8008" s="51" t="s">
        <v>791</v>
      </c>
      <c r="D8008" s="51" t="n">
        <v>0</v>
      </c>
    </row>
    <row r="8009" customFormat="false" ht="15" hidden="true" customHeight="false" outlineLevel="0" collapsed="false">
      <c r="A8009" s="51" t="s">
        <v>599</v>
      </c>
      <c r="B8009" s="55" t="n">
        <v>45291</v>
      </c>
      <c r="C8009" s="51" t="s">
        <v>791</v>
      </c>
      <c r="D8009" s="51" t="n">
        <v>0</v>
      </c>
    </row>
    <row r="8010" customFormat="false" ht="15" hidden="true" customHeight="false" outlineLevel="0" collapsed="false">
      <c r="A8010" s="51" t="s">
        <v>604</v>
      </c>
      <c r="B8010" s="55" t="n">
        <v>45291</v>
      </c>
      <c r="C8010" s="51" t="s">
        <v>791</v>
      </c>
      <c r="D8010" s="51" t="n">
        <v>0</v>
      </c>
    </row>
    <row r="8011" customFormat="false" ht="15" hidden="true" customHeight="false" outlineLevel="0" collapsed="false">
      <c r="A8011" s="51" t="s">
        <v>609</v>
      </c>
      <c r="B8011" s="55" t="n">
        <v>45291</v>
      </c>
      <c r="C8011" s="51" t="s">
        <v>791</v>
      </c>
      <c r="D8011" s="51" t="n">
        <v>0</v>
      </c>
    </row>
    <row r="8012" customFormat="false" ht="15" hidden="true" customHeight="false" outlineLevel="0" collapsed="false">
      <c r="A8012" s="51" t="s">
        <v>614</v>
      </c>
      <c r="B8012" s="55" t="n">
        <v>45291</v>
      </c>
      <c r="C8012" s="51" t="s">
        <v>791</v>
      </c>
      <c r="D8012" s="51" t="n">
        <v>0</v>
      </c>
    </row>
    <row r="8013" customFormat="false" ht="15" hidden="true" customHeight="false" outlineLevel="0" collapsed="false">
      <c r="A8013" s="51" t="s">
        <v>619</v>
      </c>
      <c r="B8013" s="55" t="n">
        <v>45291</v>
      </c>
      <c r="C8013" s="51" t="s">
        <v>791</v>
      </c>
      <c r="D8013" s="51" t="n">
        <v>0</v>
      </c>
    </row>
    <row r="8014" customFormat="false" ht="15" hidden="true" customHeight="false" outlineLevel="0" collapsed="false">
      <c r="A8014" s="51" t="s">
        <v>624</v>
      </c>
      <c r="B8014" s="55" t="n">
        <v>45291</v>
      </c>
      <c r="C8014" s="51" t="s">
        <v>791</v>
      </c>
      <c r="D8014" s="51" t="n">
        <v>0</v>
      </c>
    </row>
    <row r="8015" customFormat="false" ht="15" hidden="true" customHeight="false" outlineLevel="0" collapsed="false">
      <c r="A8015" s="51" t="s">
        <v>629</v>
      </c>
      <c r="B8015" s="55" t="n">
        <v>45291</v>
      </c>
      <c r="C8015" s="51" t="s">
        <v>791</v>
      </c>
      <c r="D8015" s="51" t="n">
        <v>0</v>
      </c>
    </row>
    <row r="8016" customFormat="false" ht="15" hidden="true" customHeight="false" outlineLevel="0" collapsed="false">
      <c r="A8016" s="51" t="s">
        <v>633</v>
      </c>
      <c r="B8016" s="55" t="n">
        <v>45291</v>
      </c>
      <c r="C8016" s="51" t="s">
        <v>791</v>
      </c>
      <c r="D8016" s="51" t="n">
        <v>0</v>
      </c>
    </row>
    <row r="8017" customFormat="false" ht="15" hidden="true" customHeight="false" outlineLevel="0" collapsed="false">
      <c r="A8017" s="51" t="s">
        <v>638</v>
      </c>
      <c r="B8017" s="55" t="n">
        <v>45291</v>
      </c>
      <c r="C8017" s="51" t="s">
        <v>791</v>
      </c>
      <c r="D8017" s="51" t="n">
        <v>0</v>
      </c>
    </row>
    <row r="8018" customFormat="false" ht="15" hidden="true" customHeight="false" outlineLevel="0" collapsed="false">
      <c r="A8018" s="51" t="s">
        <v>642</v>
      </c>
      <c r="B8018" s="55" t="n">
        <v>45291</v>
      </c>
      <c r="C8018" s="51" t="s">
        <v>791</v>
      </c>
      <c r="D8018" s="51" t="n">
        <v>0</v>
      </c>
    </row>
    <row r="8019" customFormat="false" ht="15" hidden="true" customHeight="false" outlineLevel="0" collapsed="false">
      <c r="A8019" s="51" t="s">
        <v>646</v>
      </c>
      <c r="B8019" s="55" t="n">
        <v>45291</v>
      </c>
      <c r="C8019" s="51" t="s">
        <v>791</v>
      </c>
      <c r="D8019" s="51" t="n">
        <v>0</v>
      </c>
    </row>
    <row r="8020" customFormat="false" ht="15" hidden="true" customHeight="false" outlineLevel="0" collapsed="false">
      <c r="A8020" s="51" t="s">
        <v>651</v>
      </c>
      <c r="B8020" s="55" t="n">
        <v>45291</v>
      </c>
      <c r="C8020" s="51" t="s">
        <v>791</v>
      </c>
      <c r="D8020" s="51" t="n">
        <v>0</v>
      </c>
    </row>
    <row r="8021" customFormat="false" ht="15" hidden="true" customHeight="false" outlineLevel="0" collapsed="false">
      <c r="A8021" s="51" t="s">
        <v>656</v>
      </c>
      <c r="B8021" s="55" t="n">
        <v>45291</v>
      </c>
      <c r="C8021" s="51" t="s">
        <v>791</v>
      </c>
      <c r="D8021" s="51" t="n">
        <v>0</v>
      </c>
    </row>
    <row r="8022" customFormat="false" ht="15" hidden="true" customHeight="false" outlineLevel="0" collapsed="false">
      <c r="A8022" s="51" t="s">
        <v>661</v>
      </c>
      <c r="B8022" s="55" t="n">
        <v>45291</v>
      </c>
      <c r="C8022" s="51" t="s">
        <v>791</v>
      </c>
      <c r="D8022" s="51" t="n">
        <v>0</v>
      </c>
    </row>
    <row r="8023" customFormat="false" ht="15" hidden="true" customHeight="false" outlineLevel="0" collapsed="false">
      <c r="A8023" s="51" t="s">
        <v>666</v>
      </c>
      <c r="B8023" s="55" t="n">
        <v>45291</v>
      </c>
      <c r="C8023" s="51" t="s">
        <v>791</v>
      </c>
      <c r="D8023" s="51" t="n">
        <v>0</v>
      </c>
    </row>
    <row r="8024" customFormat="false" ht="15" hidden="true" customHeight="false" outlineLevel="0" collapsed="false">
      <c r="A8024" s="51" t="s">
        <v>671</v>
      </c>
      <c r="B8024" s="55" t="n">
        <v>45291</v>
      </c>
      <c r="C8024" s="51" t="s">
        <v>791</v>
      </c>
      <c r="D8024" s="51" t="n">
        <v>0</v>
      </c>
    </row>
    <row r="8025" customFormat="false" ht="15" hidden="true" customHeight="false" outlineLevel="0" collapsed="false">
      <c r="A8025" s="51" t="s">
        <v>676</v>
      </c>
      <c r="B8025" s="55" t="n">
        <v>45291</v>
      </c>
      <c r="C8025" s="51" t="s">
        <v>791</v>
      </c>
      <c r="D8025" s="51" t="n">
        <v>0</v>
      </c>
    </row>
    <row r="8026" customFormat="false" ht="15" hidden="true" customHeight="false" outlineLevel="0" collapsed="false">
      <c r="A8026" s="51" t="s">
        <v>681</v>
      </c>
      <c r="B8026" s="55" t="n">
        <v>45291</v>
      </c>
      <c r="C8026" s="51" t="s">
        <v>791</v>
      </c>
      <c r="D8026" s="51" t="n">
        <v>0</v>
      </c>
    </row>
    <row r="8027" customFormat="false" ht="15" hidden="true" customHeight="false" outlineLevel="0" collapsed="false">
      <c r="A8027" s="51" t="s">
        <v>686</v>
      </c>
      <c r="B8027" s="55" t="n">
        <v>45291</v>
      </c>
      <c r="C8027" s="51" t="s">
        <v>791</v>
      </c>
      <c r="D8027" s="51" t="n">
        <v>0</v>
      </c>
    </row>
    <row r="8028" customFormat="false" ht="15" hidden="true" customHeight="false" outlineLevel="0" collapsed="false">
      <c r="A8028" s="51" t="s">
        <v>691</v>
      </c>
      <c r="B8028" s="55" t="n">
        <v>45291</v>
      </c>
      <c r="C8028" s="51" t="s">
        <v>791</v>
      </c>
      <c r="D8028" s="51" t="n">
        <v>0</v>
      </c>
    </row>
    <row r="8029" customFormat="false" ht="15" hidden="true" customHeight="false" outlineLevel="0" collapsed="false">
      <c r="A8029" s="51" t="s">
        <v>696</v>
      </c>
      <c r="B8029" s="55" t="n">
        <v>45291</v>
      </c>
      <c r="C8029" s="51" t="s">
        <v>791</v>
      </c>
      <c r="D8029" s="51" t="n">
        <v>0</v>
      </c>
    </row>
    <row r="8030" customFormat="false" ht="15" hidden="true" customHeight="false" outlineLevel="0" collapsed="false">
      <c r="A8030" s="51" t="s">
        <v>701</v>
      </c>
      <c r="B8030" s="55" t="n">
        <v>45291</v>
      </c>
      <c r="C8030" s="51" t="s">
        <v>791</v>
      </c>
      <c r="D8030" s="51" t="n">
        <v>0</v>
      </c>
    </row>
    <row r="8031" customFormat="false" ht="15" hidden="true" customHeight="false" outlineLevel="0" collapsed="false">
      <c r="A8031" s="51" t="s">
        <v>707</v>
      </c>
      <c r="B8031" s="55" t="n">
        <v>45291</v>
      </c>
      <c r="C8031" s="51" t="s">
        <v>791</v>
      </c>
      <c r="D8031" s="51" t="n">
        <v>0</v>
      </c>
    </row>
    <row r="8032" customFormat="false" ht="15" hidden="true" customHeight="false" outlineLevel="0" collapsed="false">
      <c r="A8032" s="51" t="s">
        <v>712</v>
      </c>
      <c r="B8032" s="55" t="n">
        <v>45291</v>
      </c>
      <c r="C8032" s="51" t="s">
        <v>791</v>
      </c>
      <c r="D8032" s="51" t="n">
        <v>0</v>
      </c>
    </row>
    <row r="8033" customFormat="false" ht="15" hidden="true" customHeight="false" outlineLevel="0" collapsed="false">
      <c r="A8033" s="51" t="s">
        <v>717</v>
      </c>
      <c r="B8033" s="55" t="n">
        <v>45291</v>
      </c>
      <c r="C8033" s="51" t="s">
        <v>791</v>
      </c>
      <c r="D8033" s="51" t="n">
        <v>0</v>
      </c>
    </row>
    <row r="8034" customFormat="false" ht="15" hidden="true" customHeight="false" outlineLevel="0" collapsed="false">
      <c r="A8034" s="51" t="s">
        <v>767</v>
      </c>
      <c r="B8034" s="55" t="n">
        <v>45291</v>
      </c>
      <c r="C8034" s="51" t="s">
        <v>791</v>
      </c>
      <c r="D8034" s="51" t="n">
        <v>0</v>
      </c>
    </row>
    <row r="8035" customFormat="false" ht="15" hidden="true" customHeight="false" outlineLevel="0" collapsed="false">
      <c r="A8035" s="51" t="s">
        <v>722</v>
      </c>
      <c r="B8035" s="55" t="n">
        <v>45291</v>
      </c>
      <c r="C8035" s="51" t="s">
        <v>791</v>
      </c>
      <c r="D8035" s="51" t="n">
        <v>0</v>
      </c>
    </row>
    <row r="8036" customFormat="false" ht="15" hidden="true" customHeight="false" outlineLevel="0" collapsed="false">
      <c r="A8036" s="51" t="s">
        <v>727</v>
      </c>
      <c r="B8036" s="55" t="n">
        <v>45291</v>
      </c>
      <c r="C8036" s="51" t="s">
        <v>791</v>
      </c>
      <c r="D8036" s="51" t="n">
        <v>0</v>
      </c>
    </row>
    <row r="8037" customFormat="false" ht="15" hidden="true" customHeight="false" outlineLevel="0" collapsed="false">
      <c r="A8037" s="51" t="s">
        <v>732</v>
      </c>
      <c r="B8037" s="55" t="n">
        <v>45291</v>
      </c>
      <c r="C8037" s="51" t="s">
        <v>791</v>
      </c>
      <c r="D8037" s="51" t="n">
        <v>0</v>
      </c>
    </row>
    <row r="8038" customFormat="false" ht="15" hidden="true" customHeight="false" outlineLevel="0" collapsed="false">
      <c r="A8038" s="51" t="s">
        <v>736</v>
      </c>
      <c r="B8038" s="55" t="n">
        <v>45291</v>
      </c>
      <c r="C8038" s="51" t="s">
        <v>791</v>
      </c>
      <c r="D8038" s="51" t="n">
        <v>0</v>
      </c>
    </row>
    <row r="8039" customFormat="false" ht="15" hidden="true" customHeight="false" outlineLevel="0" collapsed="false">
      <c r="A8039" s="51" t="s">
        <v>741</v>
      </c>
      <c r="B8039" s="55" t="n">
        <v>45291</v>
      </c>
      <c r="C8039" s="51" t="s">
        <v>791</v>
      </c>
      <c r="D8039" s="51" t="n">
        <v>0</v>
      </c>
    </row>
    <row r="8040" customFormat="false" ht="15" hidden="true" customHeight="false" outlineLevel="0" collapsed="false">
      <c r="A8040" s="51" t="s">
        <v>746</v>
      </c>
      <c r="B8040" s="55" t="n">
        <v>45291</v>
      </c>
      <c r="C8040" s="51" t="s">
        <v>791</v>
      </c>
      <c r="D8040" s="51" t="n">
        <v>0</v>
      </c>
    </row>
    <row r="8041" customFormat="false" ht="15" hidden="true" customHeight="false" outlineLevel="0" collapsed="false">
      <c r="A8041" s="51" t="s">
        <v>751</v>
      </c>
      <c r="B8041" s="55" t="n">
        <v>45291</v>
      </c>
      <c r="C8041" s="51" t="s">
        <v>791</v>
      </c>
      <c r="D8041" s="51" t="n">
        <v>0</v>
      </c>
    </row>
    <row r="8042" customFormat="false" ht="15" hidden="false" customHeight="false" outlineLevel="0" collapsed="false">
      <c r="A8042" s="51" t="s">
        <v>781</v>
      </c>
      <c r="B8042" s="55" t="n">
        <v>45381</v>
      </c>
      <c r="C8042" s="51" t="s">
        <v>782</v>
      </c>
      <c r="D8042" s="51" t="n">
        <v>0</v>
      </c>
    </row>
    <row r="8043" customFormat="false" ht="15" hidden="true" customHeight="false" outlineLevel="0" collapsed="false">
      <c r="A8043" s="51" t="s">
        <v>783</v>
      </c>
      <c r="B8043" s="55" t="n">
        <v>45381</v>
      </c>
      <c r="C8043" s="51" t="s">
        <v>782</v>
      </c>
      <c r="D8043" s="51" t="n">
        <v>0</v>
      </c>
    </row>
    <row r="8044" customFormat="false" ht="15" hidden="true" customHeight="false" outlineLevel="0" collapsed="false">
      <c r="A8044" s="51" t="s">
        <v>96</v>
      </c>
      <c r="B8044" s="55" t="n">
        <v>45381</v>
      </c>
      <c r="C8044" s="51" t="s">
        <v>782</v>
      </c>
      <c r="D8044" s="51" t="n">
        <v>0</v>
      </c>
    </row>
    <row r="8045" customFormat="false" ht="15" hidden="true" customHeight="false" outlineLevel="0" collapsed="false">
      <c r="A8045" s="51" t="s">
        <v>101</v>
      </c>
      <c r="B8045" s="55" t="n">
        <v>45381</v>
      </c>
      <c r="C8045" s="51" t="s">
        <v>782</v>
      </c>
      <c r="D8045" s="51" t="n">
        <v>0</v>
      </c>
    </row>
    <row r="8046" customFormat="false" ht="15" hidden="true" customHeight="false" outlineLevel="0" collapsed="false">
      <c r="A8046" s="51" t="s">
        <v>106</v>
      </c>
      <c r="B8046" s="55" t="n">
        <v>45381</v>
      </c>
      <c r="C8046" s="51" t="s">
        <v>782</v>
      </c>
      <c r="D8046" s="51" t="n">
        <v>0</v>
      </c>
    </row>
    <row r="8047" customFormat="false" ht="15" hidden="true" customHeight="false" outlineLevel="0" collapsed="false">
      <c r="A8047" s="51" t="s">
        <v>110</v>
      </c>
      <c r="B8047" s="55" t="n">
        <v>45381</v>
      </c>
      <c r="C8047" s="51" t="s">
        <v>782</v>
      </c>
      <c r="D8047" s="51" t="n">
        <v>0</v>
      </c>
    </row>
    <row r="8048" customFormat="false" ht="15" hidden="true" customHeight="false" outlineLevel="0" collapsed="false">
      <c r="A8048" s="51" t="s">
        <v>115</v>
      </c>
      <c r="B8048" s="55" t="n">
        <v>45381</v>
      </c>
      <c r="C8048" s="51" t="s">
        <v>782</v>
      </c>
      <c r="D8048" s="51" t="n">
        <v>0</v>
      </c>
    </row>
    <row r="8049" customFormat="false" ht="15" hidden="true" customHeight="false" outlineLevel="0" collapsed="false">
      <c r="A8049" s="51" t="s">
        <v>120</v>
      </c>
      <c r="B8049" s="55" t="n">
        <v>45381</v>
      </c>
      <c r="C8049" s="51" t="s">
        <v>782</v>
      </c>
      <c r="D8049" s="51" t="n">
        <v>0</v>
      </c>
    </row>
    <row r="8050" customFormat="false" ht="15" hidden="true" customHeight="false" outlineLevel="0" collapsed="false">
      <c r="A8050" s="51" t="s">
        <v>124</v>
      </c>
      <c r="B8050" s="55" t="n">
        <v>45381</v>
      </c>
      <c r="C8050" s="51" t="s">
        <v>782</v>
      </c>
      <c r="D8050" s="51" t="n">
        <v>0</v>
      </c>
    </row>
    <row r="8051" customFormat="false" ht="15" hidden="true" customHeight="false" outlineLevel="0" collapsed="false">
      <c r="A8051" s="51" t="s">
        <v>129</v>
      </c>
      <c r="B8051" s="55" t="n">
        <v>45381</v>
      </c>
      <c r="C8051" s="51" t="s">
        <v>782</v>
      </c>
      <c r="D8051" s="51" t="n">
        <v>0</v>
      </c>
    </row>
    <row r="8052" customFormat="false" ht="15" hidden="true" customHeight="false" outlineLevel="0" collapsed="false">
      <c r="A8052" s="51" t="s">
        <v>134</v>
      </c>
      <c r="B8052" s="55" t="n">
        <v>45381</v>
      </c>
      <c r="C8052" s="51" t="s">
        <v>782</v>
      </c>
      <c r="D8052" s="51" t="n">
        <v>0</v>
      </c>
    </row>
    <row r="8053" customFormat="false" ht="15" hidden="true" customHeight="false" outlineLevel="0" collapsed="false">
      <c r="A8053" s="51" t="s">
        <v>141</v>
      </c>
      <c r="B8053" s="55" t="n">
        <v>45381</v>
      </c>
      <c r="C8053" s="51" t="s">
        <v>782</v>
      </c>
      <c r="D8053" s="51" t="n">
        <v>0</v>
      </c>
    </row>
    <row r="8054" customFormat="false" ht="15" hidden="true" customHeight="false" outlineLevel="0" collapsed="false">
      <c r="A8054" s="51" t="s">
        <v>146</v>
      </c>
      <c r="B8054" s="55" t="n">
        <v>45381</v>
      </c>
      <c r="C8054" s="51" t="s">
        <v>782</v>
      </c>
      <c r="D8054" s="51" t="n">
        <v>0</v>
      </c>
    </row>
    <row r="8055" customFormat="false" ht="15" hidden="true" customHeight="false" outlineLevel="0" collapsed="false">
      <c r="A8055" s="51" t="s">
        <v>151</v>
      </c>
      <c r="B8055" s="55" t="n">
        <v>45381</v>
      </c>
      <c r="C8055" s="51" t="s">
        <v>782</v>
      </c>
      <c r="D8055" s="51" t="n">
        <v>0</v>
      </c>
    </row>
    <row r="8056" customFormat="false" ht="15" hidden="true" customHeight="false" outlineLevel="0" collapsed="false">
      <c r="A8056" s="51" t="s">
        <v>156</v>
      </c>
      <c r="B8056" s="55" t="n">
        <v>45381</v>
      </c>
      <c r="C8056" s="51" t="s">
        <v>782</v>
      </c>
      <c r="D8056" s="51" t="n">
        <v>0</v>
      </c>
    </row>
    <row r="8057" customFormat="false" ht="15" hidden="true" customHeight="false" outlineLevel="0" collapsed="false">
      <c r="A8057" s="51" t="s">
        <v>161</v>
      </c>
      <c r="B8057" s="55" t="n">
        <v>45381</v>
      </c>
      <c r="C8057" s="51" t="s">
        <v>782</v>
      </c>
      <c r="D8057" s="51" t="n">
        <v>0</v>
      </c>
    </row>
    <row r="8058" customFormat="false" ht="15" hidden="true" customHeight="false" outlineLevel="0" collapsed="false">
      <c r="A8058" s="51" t="s">
        <v>166</v>
      </c>
      <c r="B8058" s="55" t="n">
        <v>45381</v>
      </c>
      <c r="C8058" s="51" t="s">
        <v>782</v>
      </c>
      <c r="D8058" s="51" t="n">
        <v>0</v>
      </c>
    </row>
    <row r="8059" customFormat="false" ht="15" hidden="true" customHeight="false" outlineLevel="0" collapsed="false">
      <c r="A8059" s="51" t="s">
        <v>171</v>
      </c>
      <c r="B8059" s="55" t="n">
        <v>45381</v>
      </c>
      <c r="C8059" s="51" t="s">
        <v>782</v>
      </c>
      <c r="D8059" s="51" t="n">
        <v>0</v>
      </c>
    </row>
    <row r="8060" customFormat="false" ht="15" hidden="true" customHeight="false" outlineLevel="0" collapsed="false">
      <c r="A8060" s="51" t="s">
        <v>176</v>
      </c>
      <c r="B8060" s="55" t="n">
        <v>45381</v>
      </c>
      <c r="C8060" s="51" t="s">
        <v>782</v>
      </c>
      <c r="D8060" s="51" t="n">
        <v>0</v>
      </c>
    </row>
    <row r="8061" customFormat="false" ht="15" hidden="true" customHeight="false" outlineLevel="0" collapsed="false">
      <c r="A8061" s="51" t="s">
        <v>181</v>
      </c>
      <c r="B8061" s="55" t="n">
        <v>45381</v>
      </c>
      <c r="C8061" s="51" t="s">
        <v>782</v>
      </c>
      <c r="D8061" s="51" t="n">
        <v>0</v>
      </c>
    </row>
    <row r="8062" customFormat="false" ht="15" hidden="true" customHeight="false" outlineLevel="0" collapsed="false">
      <c r="A8062" s="51" t="s">
        <v>186</v>
      </c>
      <c r="B8062" s="55" t="n">
        <v>45381</v>
      </c>
      <c r="C8062" s="51" t="s">
        <v>782</v>
      </c>
      <c r="D8062" s="51" t="n">
        <v>0</v>
      </c>
    </row>
    <row r="8063" customFormat="false" ht="15" hidden="true" customHeight="false" outlineLevel="0" collapsed="false">
      <c r="A8063" s="51" t="s">
        <v>191</v>
      </c>
      <c r="B8063" s="55" t="n">
        <v>45381</v>
      </c>
      <c r="C8063" s="51" t="s">
        <v>782</v>
      </c>
      <c r="D8063" s="51" t="n">
        <v>0</v>
      </c>
    </row>
    <row r="8064" customFormat="false" ht="15" hidden="true" customHeight="false" outlineLevel="0" collapsed="false">
      <c r="A8064" s="51" t="s">
        <v>196</v>
      </c>
      <c r="B8064" s="55" t="n">
        <v>45381</v>
      </c>
      <c r="C8064" s="51" t="s">
        <v>782</v>
      </c>
      <c r="D8064" s="51" t="n">
        <v>0</v>
      </c>
    </row>
    <row r="8065" customFormat="false" ht="15" hidden="true" customHeight="false" outlineLevel="0" collapsed="false">
      <c r="A8065" s="51" t="s">
        <v>201</v>
      </c>
      <c r="B8065" s="55" t="n">
        <v>45381</v>
      </c>
      <c r="C8065" s="51" t="s">
        <v>782</v>
      </c>
      <c r="D8065" s="51" t="n">
        <v>0</v>
      </c>
    </row>
    <row r="8066" customFormat="false" ht="15" hidden="true" customHeight="false" outlineLevel="0" collapsed="false">
      <c r="A8066" s="51" t="s">
        <v>206</v>
      </c>
      <c r="B8066" s="55" t="n">
        <v>45381</v>
      </c>
      <c r="C8066" s="51" t="s">
        <v>782</v>
      </c>
      <c r="D8066" s="51" t="n">
        <v>0</v>
      </c>
    </row>
    <row r="8067" customFormat="false" ht="15" hidden="true" customHeight="false" outlineLevel="0" collapsed="false">
      <c r="A8067" s="51" t="s">
        <v>210</v>
      </c>
      <c r="B8067" s="55" t="n">
        <v>45381</v>
      </c>
      <c r="C8067" s="51" t="s">
        <v>782</v>
      </c>
      <c r="D8067" s="51" t="n">
        <v>0</v>
      </c>
    </row>
    <row r="8068" customFormat="false" ht="15" hidden="true" customHeight="false" outlineLevel="0" collapsed="false">
      <c r="A8068" s="51" t="s">
        <v>215</v>
      </c>
      <c r="B8068" s="55" t="n">
        <v>45381</v>
      </c>
      <c r="C8068" s="51" t="s">
        <v>782</v>
      </c>
      <c r="D8068" s="51" t="n">
        <v>0</v>
      </c>
    </row>
    <row r="8069" customFormat="false" ht="15" hidden="true" customHeight="false" outlineLevel="0" collapsed="false">
      <c r="A8069" s="51" t="s">
        <v>790</v>
      </c>
      <c r="B8069" s="55" t="n">
        <v>45381</v>
      </c>
      <c r="C8069" s="51" t="s">
        <v>782</v>
      </c>
      <c r="D8069" s="51" t="n">
        <v>0</v>
      </c>
    </row>
    <row r="8070" customFormat="false" ht="15" hidden="true" customHeight="false" outlineLevel="0" collapsed="false">
      <c r="A8070" s="51" t="s">
        <v>225</v>
      </c>
      <c r="B8070" s="55" t="n">
        <v>45381</v>
      </c>
      <c r="C8070" s="51" t="s">
        <v>782</v>
      </c>
      <c r="D8070" s="51" t="n">
        <v>0</v>
      </c>
    </row>
    <row r="8071" customFormat="false" ht="15" hidden="true" customHeight="false" outlineLevel="0" collapsed="false">
      <c r="A8071" s="51" t="s">
        <v>230</v>
      </c>
      <c r="B8071" s="55" t="n">
        <v>45381</v>
      </c>
      <c r="C8071" s="51" t="s">
        <v>782</v>
      </c>
      <c r="D8071" s="51" t="n">
        <v>0</v>
      </c>
    </row>
    <row r="8072" customFormat="false" ht="15" hidden="true" customHeight="false" outlineLevel="0" collapsed="false">
      <c r="A8072" s="51" t="s">
        <v>235</v>
      </c>
      <c r="B8072" s="55" t="n">
        <v>45381</v>
      </c>
      <c r="C8072" s="51" t="s">
        <v>782</v>
      </c>
      <c r="D8072" s="51" t="n">
        <v>0</v>
      </c>
    </row>
    <row r="8073" customFormat="false" ht="15" hidden="true" customHeight="false" outlineLevel="0" collapsed="false">
      <c r="A8073" s="51" t="s">
        <v>240</v>
      </c>
      <c r="B8073" s="55" t="n">
        <v>45381</v>
      </c>
      <c r="C8073" s="51" t="s">
        <v>782</v>
      </c>
      <c r="D8073" s="51" t="n">
        <v>0</v>
      </c>
    </row>
    <row r="8074" customFormat="false" ht="15" hidden="true" customHeight="false" outlineLevel="0" collapsed="false">
      <c r="A8074" s="51" t="s">
        <v>246</v>
      </c>
      <c r="B8074" s="55" t="n">
        <v>45381</v>
      </c>
      <c r="C8074" s="51" t="s">
        <v>782</v>
      </c>
      <c r="D8074" s="51" t="n">
        <v>0</v>
      </c>
    </row>
    <row r="8075" customFormat="false" ht="15" hidden="true" customHeight="false" outlineLevel="0" collapsed="false">
      <c r="A8075" s="51" t="s">
        <v>252</v>
      </c>
      <c r="B8075" s="55" t="n">
        <v>45381</v>
      </c>
      <c r="C8075" s="51" t="s">
        <v>782</v>
      </c>
      <c r="D8075" s="51" t="n">
        <v>0</v>
      </c>
    </row>
    <row r="8076" customFormat="false" ht="15" hidden="true" customHeight="false" outlineLevel="0" collapsed="false">
      <c r="A8076" s="51" t="s">
        <v>257</v>
      </c>
      <c r="B8076" s="55" t="n">
        <v>45381</v>
      </c>
      <c r="C8076" s="51" t="s">
        <v>782</v>
      </c>
      <c r="D8076" s="51" t="n">
        <v>0</v>
      </c>
    </row>
    <row r="8077" customFormat="false" ht="15" hidden="true" customHeight="false" outlineLevel="0" collapsed="false">
      <c r="A8077" s="51" t="s">
        <v>262</v>
      </c>
      <c r="B8077" s="55" t="n">
        <v>45381</v>
      </c>
      <c r="C8077" s="51" t="s">
        <v>782</v>
      </c>
      <c r="D8077" s="51" t="n">
        <v>0</v>
      </c>
    </row>
    <row r="8078" customFormat="false" ht="15" hidden="true" customHeight="false" outlineLevel="0" collapsed="false">
      <c r="A8078" s="51" t="s">
        <v>267</v>
      </c>
      <c r="B8078" s="55" t="n">
        <v>45381</v>
      </c>
      <c r="C8078" s="51" t="s">
        <v>782</v>
      </c>
      <c r="D8078" s="51" t="n">
        <v>0</v>
      </c>
    </row>
    <row r="8079" customFormat="false" ht="15" hidden="true" customHeight="false" outlineLevel="0" collapsed="false">
      <c r="A8079" s="51" t="s">
        <v>272</v>
      </c>
      <c r="B8079" s="55" t="n">
        <v>45381</v>
      </c>
      <c r="C8079" s="51" t="s">
        <v>782</v>
      </c>
      <c r="D8079" s="51" t="n">
        <v>0</v>
      </c>
    </row>
    <row r="8080" customFormat="false" ht="15" hidden="true" customHeight="false" outlineLevel="0" collapsed="false">
      <c r="A8080" s="51" t="s">
        <v>277</v>
      </c>
      <c r="B8080" s="55" t="n">
        <v>45381</v>
      </c>
      <c r="C8080" s="51" t="s">
        <v>782</v>
      </c>
      <c r="D8080" s="51" t="n">
        <v>0</v>
      </c>
    </row>
    <row r="8081" customFormat="false" ht="15" hidden="true" customHeight="false" outlineLevel="0" collapsed="false">
      <c r="A8081" s="51" t="s">
        <v>282</v>
      </c>
      <c r="B8081" s="55" t="n">
        <v>45381</v>
      </c>
      <c r="C8081" s="51" t="s">
        <v>782</v>
      </c>
      <c r="D8081" s="51" t="n">
        <v>0</v>
      </c>
    </row>
    <row r="8082" customFormat="false" ht="15" hidden="true" customHeight="false" outlineLevel="0" collapsed="false">
      <c r="A8082" s="51" t="s">
        <v>287</v>
      </c>
      <c r="B8082" s="55" t="n">
        <v>45381</v>
      </c>
      <c r="C8082" s="51" t="s">
        <v>782</v>
      </c>
      <c r="D8082" s="51" t="n">
        <v>0</v>
      </c>
    </row>
    <row r="8083" customFormat="false" ht="15" hidden="true" customHeight="false" outlineLevel="0" collapsed="false">
      <c r="A8083" s="51" t="s">
        <v>292</v>
      </c>
      <c r="B8083" s="55" t="n">
        <v>45381</v>
      </c>
      <c r="C8083" s="51" t="s">
        <v>782</v>
      </c>
      <c r="D8083" s="51" t="n">
        <v>0</v>
      </c>
    </row>
    <row r="8084" customFormat="false" ht="15" hidden="true" customHeight="false" outlineLevel="0" collapsed="false">
      <c r="A8084" s="51" t="s">
        <v>297</v>
      </c>
      <c r="B8084" s="55" t="n">
        <v>45381</v>
      </c>
      <c r="C8084" s="51" t="s">
        <v>782</v>
      </c>
      <c r="D8084" s="51" t="n">
        <v>0</v>
      </c>
    </row>
    <row r="8085" customFormat="false" ht="15" hidden="true" customHeight="false" outlineLevel="0" collapsed="false">
      <c r="A8085" s="51" t="s">
        <v>302</v>
      </c>
      <c r="B8085" s="55" t="n">
        <v>45381</v>
      </c>
      <c r="C8085" s="51" t="s">
        <v>782</v>
      </c>
      <c r="D8085" s="51" t="n">
        <v>0</v>
      </c>
    </row>
    <row r="8086" customFormat="false" ht="15" hidden="true" customHeight="false" outlineLevel="0" collapsed="false">
      <c r="A8086" s="51" t="s">
        <v>307</v>
      </c>
      <c r="B8086" s="55" t="n">
        <v>45381</v>
      </c>
      <c r="C8086" s="51" t="s">
        <v>782</v>
      </c>
      <c r="D8086" s="51" t="n">
        <v>0</v>
      </c>
    </row>
    <row r="8087" customFormat="false" ht="15" hidden="true" customHeight="false" outlineLevel="0" collapsed="false">
      <c r="A8087" s="51" t="s">
        <v>311</v>
      </c>
      <c r="B8087" s="55" t="n">
        <v>45381</v>
      </c>
      <c r="C8087" s="51" t="s">
        <v>782</v>
      </c>
      <c r="D8087" s="51" t="n">
        <v>0</v>
      </c>
    </row>
    <row r="8088" customFormat="false" ht="15" hidden="true" customHeight="false" outlineLevel="0" collapsed="false">
      <c r="A8088" s="51" t="s">
        <v>317</v>
      </c>
      <c r="B8088" s="55" t="n">
        <v>45381</v>
      </c>
      <c r="C8088" s="51" t="s">
        <v>782</v>
      </c>
      <c r="D8088" s="51" t="n">
        <v>0</v>
      </c>
    </row>
    <row r="8089" customFormat="false" ht="15" hidden="true" customHeight="false" outlineLevel="0" collapsed="false">
      <c r="A8089" s="51" t="s">
        <v>322</v>
      </c>
      <c r="B8089" s="55" t="n">
        <v>45381</v>
      </c>
      <c r="C8089" s="51" t="s">
        <v>782</v>
      </c>
      <c r="D8089" s="51" t="n">
        <v>0</v>
      </c>
    </row>
    <row r="8090" customFormat="false" ht="15" hidden="true" customHeight="false" outlineLevel="0" collapsed="false">
      <c r="A8090" s="51" t="s">
        <v>327</v>
      </c>
      <c r="B8090" s="55" t="n">
        <v>45381</v>
      </c>
      <c r="C8090" s="51" t="s">
        <v>782</v>
      </c>
      <c r="D8090" s="51" t="n">
        <v>0</v>
      </c>
    </row>
    <row r="8091" customFormat="false" ht="15" hidden="true" customHeight="false" outlineLevel="0" collapsed="false">
      <c r="A8091" s="51" t="s">
        <v>332</v>
      </c>
      <c r="B8091" s="55" t="n">
        <v>45381</v>
      </c>
      <c r="C8091" s="51" t="s">
        <v>782</v>
      </c>
      <c r="D8091" s="51" t="n">
        <v>0</v>
      </c>
    </row>
    <row r="8092" customFormat="false" ht="15" hidden="true" customHeight="false" outlineLevel="0" collapsed="false">
      <c r="A8092" s="51" t="s">
        <v>339</v>
      </c>
      <c r="B8092" s="55" t="n">
        <v>45381</v>
      </c>
      <c r="C8092" s="51" t="s">
        <v>782</v>
      </c>
      <c r="D8092" s="51" t="n">
        <v>0</v>
      </c>
    </row>
    <row r="8093" customFormat="false" ht="15" hidden="true" customHeight="false" outlineLevel="0" collapsed="false">
      <c r="A8093" s="51" t="s">
        <v>344</v>
      </c>
      <c r="B8093" s="55" t="n">
        <v>45381</v>
      </c>
      <c r="C8093" s="51" t="s">
        <v>782</v>
      </c>
      <c r="D8093" s="51" t="n">
        <v>0</v>
      </c>
    </row>
    <row r="8094" customFormat="false" ht="15" hidden="true" customHeight="false" outlineLevel="0" collapsed="false">
      <c r="A8094" s="51" t="s">
        <v>349</v>
      </c>
      <c r="B8094" s="55" t="n">
        <v>45381</v>
      </c>
      <c r="C8094" s="51" t="s">
        <v>782</v>
      </c>
      <c r="D8094" s="51" t="n">
        <v>0</v>
      </c>
    </row>
    <row r="8095" customFormat="false" ht="15" hidden="true" customHeight="false" outlineLevel="0" collapsed="false">
      <c r="A8095" s="51" t="s">
        <v>354</v>
      </c>
      <c r="B8095" s="55" t="n">
        <v>45381</v>
      </c>
      <c r="C8095" s="51" t="s">
        <v>782</v>
      </c>
      <c r="D8095" s="51" t="n">
        <v>0</v>
      </c>
    </row>
    <row r="8096" customFormat="false" ht="15" hidden="true" customHeight="false" outlineLevel="0" collapsed="false">
      <c r="A8096" s="51" t="s">
        <v>359</v>
      </c>
      <c r="B8096" s="55" t="n">
        <v>45381</v>
      </c>
      <c r="C8096" s="51" t="s">
        <v>782</v>
      </c>
      <c r="D8096" s="51" t="n">
        <v>0</v>
      </c>
    </row>
    <row r="8097" customFormat="false" ht="15" hidden="true" customHeight="false" outlineLevel="0" collapsed="false">
      <c r="A8097" s="51" t="s">
        <v>364</v>
      </c>
      <c r="B8097" s="55" t="n">
        <v>45381</v>
      </c>
      <c r="C8097" s="51" t="s">
        <v>782</v>
      </c>
      <c r="D8097" s="51" t="n">
        <v>0</v>
      </c>
    </row>
    <row r="8098" customFormat="false" ht="15" hidden="true" customHeight="false" outlineLevel="0" collapsed="false">
      <c r="A8098" s="51" t="s">
        <v>369</v>
      </c>
      <c r="B8098" s="55" t="n">
        <v>45381</v>
      </c>
      <c r="C8098" s="51" t="s">
        <v>782</v>
      </c>
      <c r="D8098" s="51" t="n">
        <v>0</v>
      </c>
    </row>
    <row r="8099" customFormat="false" ht="15" hidden="true" customHeight="false" outlineLevel="0" collapsed="false">
      <c r="A8099" s="51" t="s">
        <v>374</v>
      </c>
      <c r="B8099" s="55" t="n">
        <v>45381</v>
      </c>
      <c r="C8099" s="51" t="s">
        <v>782</v>
      </c>
      <c r="D8099" s="51" t="n">
        <v>0</v>
      </c>
    </row>
    <row r="8100" customFormat="false" ht="15" hidden="true" customHeight="false" outlineLevel="0" collapsed="false">
      <c r="A8100" s="51" t="s">
        <v>379</v>
      </c>
      <c r="B8100" s="55" t="n">
        <v>45381</v>
      </c>
      <c r="C8100" s="51" t="s">
        <v>782</v>
      </c>
      <c r="D8100" s="51" t="n">
        <v>0</v>
      </c>
    </row>
    <row r="8101" customFormat="false" ht="15" hidden="true" customHeight="false" outlineLevel="0" collapsed="false">
      <c r="A8101" s="51" t="s">
        <v>384</v>
      </c>
      <c r="B8101" s="55" t="n">
        <v>45381</v>
      </c>
      <c r="C8101" s="51" t="s">
        <v>782</v>
      </c>
      <c r="D8101" s="51" t="n">
        <v>0</v>
      </c>
    </row>
    <row r="8102" customFormat="false" ht="15" hidden="true" customHeight="false" outlineLevel="0" collapsed="false">
      <c r="A8102" s="51" t="s">
        <v>389</v>
      </c>
      <c r="B8102" s="55" t="n">
        <v>45381</v>
      </c>
      <c r="C8102" s="51" t="s">
        <v>782</v>
      </c>
      <c r="D8102" s="51" t="n">
        <v>0</v>
      </c>
    </row>
    <row r="8103" customFormat="false" ht="15" hidden="true" customHeight="false" outlineLevel="0" collapsed="false">
      <c r="A8103" s="51" t="s">
        <v>394</v>
      </c>
      <c r="B8103" s="55" t="n">
        <v>45381</v>
      </c>
      <c r="C8103" s="51" t="s">
        <v>782</v>
      </c>
      <c r="D8103" s="51" t="n">
        <v>0</v>
      </c>
    </row>
    <row r="8104" customFormat="false" ht="15" hidden="true" customHeight="false" outlineLevel="0" collapsed="false">
      <c r="A8104" s="51" t="s">
        <v>399</v>
      </c>
      <c r="B8104" s="55" t="n">
        <v>45381</v>
      </c>
      <c r="C8104" s="51" t="s">
        <v>782</v>
      </c>
      <c r="D8104" s="51" t="n">
        <v>0</v>
      </c>
    </row>
    <row r="8105" customFormat="false" ht="15" hidden="true" customHeight="false" outlineLevel="0" collapsed="false">
      <c r="A8105" s="51" t="s">
        <v>404</v>
      </c>
      <c r="B8105" s="55" t="n">
        <v>45381</v>
      </c>
      <c r="C8105" s="51" t="s">
        <v>782</v>
      </c>
      <c r="D8105" s="51" t="n">
        <v>0</v>
      </c>
    </row>
    <row r="8106" customFormat="false" ht="15" hidden="true" customHeight="false" outlineLevel="0" collapsed="false">
      <c r="A8106" s="51" t="s">
        <v>409</v>
      </c>
      <c r="B8106" s="55" t="n">
        <v>45381</v>
      </c>
      <c r="C8106" s="51" t="s">
        <v>782</v>
      </c>
      <c r="D8106" s="51" t="n">
        <v>0</v>
      </c>
    </row>
    <row r="8107" customFormat="false" ht="15" hidden="true" customHeight="false" outlineLevel="0" collapsed="false">
      <c r="A8107" s="51" t="s">
        <v>414</v>
      </c>
      <c r="B8107" s="55" t="n">
        <v>45381</v>
      </c>
      <c r="C8107" s="51" t="s">
        <v>782</v>
      </c>
      <c r="D8107" s="51" t="n">
        <v>0</v>
      </c>
    </row>
    <row r="8108" customFormat="false" ht="15" hidden="true" customHeight="false" outlineLevel="0" collapsed="false">
      <c r="A8108" s="51" t="s">
        <v>419</v>
      </c>
      <c r="B8108" s="55" t="n">
        <v>45381</v>
      </c>
      <c r="C8108" s="51" t="s">
        <v>782</v>
      </c>
      <c r="D8108" s="51" t="n">
        <v>0</v>
      </c>
    </row>
    <row r="8109" customFormat="false" ht="15" hidden="true" customHeight="false" outlineLevel="0" collapsed="false">
      <c r="A8109" s="51" t="s">
        <v>424</v>
      </c>
      <c r="B8109" s="55" t="n">
        <v>45381</v>
      </c>
      <c r="C8109" s="51" t="s">
        <v>782</v>
      </c>
      <c r="D8109" s="51" t="n">
        <v>0</v>
      </c>
    </row>
    <row r="8110" customFormat="false" ht="15" hidden="true" customHeight="false" outlineLevel="0" collapsed="false">
      <c r="A8110" s="51" t="s">
        <v>429</v>
      </c>
      <c r="B8110" s="55" t="n">
        <v>45381</v>
      </c>
      <c r="C8110" s="51" t="s">
        <v>782</v>
      </c>
      <c r="D8110" s="51" t="n">
        <v>0</v>
      </c>
    </row>
    <row r="8111" customFormat="false" ht="15" hidden="true" customHeight="false" outlineLevel="0" collapsed="false">
      <c r="A8111" s="51" t="s">
        <v>434</v>
      </c>
      <c r="B8111" s="55" t="n">
        <v>45381</v>
      </c>
      <c r="C8111" s="51" t="s">
        <v>782</v>
      </c>
      <c r="D8111" s="51" t="n">
        <v>0</v>
      </c>
    </row>
    <row r="8112" customFormat="false" ht="15" hidden="true" customHeight="false" outlineLevel="0" collapsed="false">
      <c r="A8112" s="51" t="s">
        <v>438</v>
      </c>
      <c r="B8112" s="55" t="n">
        <v>45381</v>
      </c>
      <c r="C8112" s="51" t="s">
        <v>782</v>
      </c>
      <c r="D8112" s="51" t="n">
        <v>0</v>
      </c>
    </row>
    <row r="8113" customFormat="false" ht="15" hidden="true" customHeight="false" outlineLevel="0" collapsed="false">
      <c r="A8113" s="51" t="s">
        <v>443</v>
      </c>
      <c r="B8113" s="55" t="n">
        <v>45381</v>
      </c>
      <c r="C8113" s="51" t="s">
        <v>782</v>
      </c>
      <c r="D8113" s="51" t="n">
        <v>0</v>
      </c>
    </row>
    <row r="8114" customFormat="false" ht="15" hidden="true" customHeight="false" outlineLevel="0" collapsed="false">
      <c r="A8114" s="51" t="s">
        <v>448</v>
      </c>
      <c r="B8114" s="55" t="n">
        <v>45381</v>
      </c>
      <c r="C8114" s="51" t="s">
        <v>782</v>
      </c>
      <c r="D8114" s="51" t="n">
        <v>0</v>
      </c>
    </row>
    <row r="8115" customFormat="false" ht="15" hidden="true" customHeight="false" outlineLevel="0" collapsed="false">
      <c r="A8115" s="51" t="s">
        <v>453</v>
      </c>
      <c r="B8115" s="55" t="n">
        <v>45381</v>
      </c>
      <c r="C8115" s="51" t="s">
        <v>782</v>
      </c>
      <c r="D8115" s="51" t="n">
        <v>0</v>
      </c>
    </row>
    <row r="8116" customFormat="false" ht="15" hidden="true" customHeight="false" outlineLevel="0" collapsed="false">
      <c r="A8116" s="51" t="s">
        <v>458</v>
      </c>
      <c r="B8116" s="55" t="n">
        <v>45381</v>
      </c>
      <c r="C8116" s="51" t="s">
        <v>782</v>
      </c>
      <c r="D8116" s="51" t="n">
        <v>0</v>
      </c>
    </row>
    <row r="8117" customFormat="false" ht="15" hidden="true" customHeight="false" outlineLevel="0" collapsed="false">
      <c r="A8117" s="51" t="s">
        <v>473</v>
      </c>
      <c r="B8117" s="55" t="n">
        <v>45381</v>
      </c>
      <c r="C8117" s="51" t="s">
        <v>782</v>
      </c>
      <c r="D8117" s="51" t="n">
        <v>0</v>
      </c>
    </row>
    <row r="8118" customFormat="false" ht="15" hidden="true" customHeight="false" outlineLevel="0" collapsed="false">
      <c r="A8118" s="51" t="s">
        <v>479</v>
      </c>
      <c r="B8118" s="55" t="n">
        <v>45381</v>
      </c>
      <c r="C8118" s="51" t="s">
        <v>782</v>
      </c>
      <c r="D8118" s="51" t="n">
        <v>0</v>
      </c>
    </row>
    <row r="8119" customFormat="false" ht="15" hidden="true" customHeight="false" outlineLevel="0" collapsed="false">
      <c r="A8119" s="51" t="s">
        <v>484</v>
      </c>
      <c r="B8119" s="55" t="n">
        <v>45381</v>
      </c>
      <c r="C8119" s="51" t="s">
        <v>782</v>
      </c>
      <c r="D8119" s="51" t="n">
        <v>0</v>
      </c>
    </row>
    <row r="8120" customFormat="false" ht="15" hidden="true" customHeight="false" outlineLevel="0" collapsed="false">
      <c r="A8120" s="51" t="s">
        <v>489</v>
      </c>
      <c r="B8120" s="55" t="n">
        <v>45381</v>
      </c>
      <c r="C8120" s="51" t="s">
        <v>782</v>
      </c>
      <c r="D8120" s="51" t="n">
        <v>275000</v>
      </c>
    </row>
    <row r="8121" customFormat="false" ht="15" hidden="true" customHeight="false" outlineLevel="0" collapsed="false">
      <c r="A8121" s="51" t="s">
        <v>494</v>
      </c>
      <c r="B8121" s="55" t="n">
        <v>45381</v>
      </c>
      <c r="C8121" s="51" t="s">
        <v>782</v>
      </c>
      <c r="D8121" s="51" t="n">
        <v>635343</v>
      </c>
    </row>
    <row r="8122" customFormat="false" ht="15" hidden="true" customHeight="false" outlineLevel="0" collapsed="false">
      <c r="A8122" s="51" t="s">
        <v>499</v>
      </c>
      <c r="B8122" s="55" t="n">
        <v>45381</v>
      </c>
      <c r="C8122" s="51" t="s">
        <v>782</v>
      </c>
      <c r="D8122" s="51" t="n">
        <v>840310</v>
      </c>
    </row>
    <row r="8123" customFormat="false" ht="15" hidden="true" customHeight="false" outlineLevel="0" collapsed="false">
      <c r="A8123" s="51" t="s">
        <v>504</v>
      </c>
      <c r="B8123" s="55" t="n">
        <v>45381</v>
      </c>
      <c r="C8123" s="51" t="s">
        <v>782</v>
      </c>
      <c r="D8123" s="51" t="n">
        <v>425000</v>
      </c>
    </row>
    <row r="8124" customFormat="false" ht="15" hidden="true" customHeight="false" outlineLevel="0" collapsed="false">
      <c r="A8124" s="51" t="s">
        <v>509</v>
      </c>
      <c r="B8124" s="55" t="n">
        <v>45381</v>
      </c>
      <c r="C8124" s="51" t="s">
        <v>782</v>
      </c>
      <c r="D8124" s="51" t="n">
        <v>1290373.28</v>
      </c>
    </row>
    <row r="8125" customFormat="false" ht="15" hidden="true" customHeight="false" outlineLevel="0" collapsed="false">
      <c r="A8125" s="51" t="s">
        <v>515</v>
      </c>
      <c r="B8125" s="55" t="n">
        <v>45381</v>
      </c>
      <c r="C8125" s="51" t="s">
        <v>782</v>
      </c>
      <c r="D8125" s="51" t="n">
        <v>1644300</v>
      </c>
    </row>
    <row r="8126" customFormat="false" ht="15" hidden="true" customHeight="false" outlineLevel="0" collapsed="false">
      <c r="A8126" s="51" t="s">
        <v>520</v>
      </c>
      <c r="B8126" s="55" t="n">
        <v>45381</v>
      </c>
      <c r="C8126" s="51" t="s">
        <v>782</v>
      </c>
      <c r="D8126" s="51" t="n">
        <v>1000000</v>
      </c>
    </row>
    <row r="8127" customFormat="false" ht="15" hidden="true" customHeight="false" outlineLevel="0" collapsed="false">
      <c r="A8127" s="51" t="s">
        <v>525</v>
      </c>
      <c r="B8127" s="55" t="n">
        <v>45381</v>
      </c>
      <c r="C8127" s="51" t="s">
        <v>782</v>
      </c>
      <c r="D8127" s="51" t="n">
        <v>0</v>
      </c>
    </row>
    <row r="8128" customFormat="false" ht="15" hidden="true" customHeight="false" outlineLevel="0" collapsed="false">
      <c r="A8128" s="51" t="s">
        <v>531</v>
      </c>
      <c r="B8128" s="55" t="n">
        <v>45381</v>
      </c>
      <c r="C8128" s="51" t="s">
        <v>782</v>
      </c>
      <c r="D8128" s="51" t="n">
        <v>0</v>
      </c>
    </row>
    <row r="8129" customFormat="false" ht="15" hidden="true" customHeight="false" outlineLevel="0" collapsed="false">
      <c r="A8129" s="51" t="s">
        <v>536</v>
      </c>
      <c r="B8129" s="55" t="n">
        <v>45381</v>
      </c>
      <c r="C8129" s="51" t="s">
        <v>782</v>
      </c>
      <c r="D8129" s="51" t="n">
        <v>0</v>
      </c>
    </row>
    <row r="8130" customFormat="false" ht="15" hidden="true" customHeight="false" outlineLevel="0" collapsed="false">
      <c r="A8130" s="51" t="s">
        <v>541</v>
      </c>
      <c r="B8130" s="55" t="n">
        <v>45381</v>
      </c>
      <c r="C8130" s="51" t="s">
        <v>782</v>
      </c>
      <c r="D8130" s="51" t="n">
        <v>0</v>
      </c>
    </row>
    <row r="8131" customFormat="false" ht="15" hidden="true" customHeight="false" outlineLevel="0" collapsed="false">
      <c r="A8131" s="51" t="s">
        <v>549</v>
      </c>
      <c r="B8131" s="55" t="n">
        <v>45381</v>
      </c>
      <c r="C8131" s="51" t="s">
        <v>782</v>
      </c>
      <c r="D8131" s="51" t="n">
        <v>0</v>
      </c>
    </row>
    <row r="8132" customFormat="false" ht="15" hidden="true" customHeight="false" outlineLevel="0" collapsed="false">
      <c r="A8132" s="51" t="s">
        <v>554</v>
      </c>
      <c r="B8132" s="55" t="n">
        <v>45381</v>
      </c>
      <c r="C8132" s="51" t="s">
        <v>782</v>
      </c>
      <c r="D8132" s="51" t="n">
        <v>0</v>
      </c>
    </row>
    <row r="8133" customFormat="false" ht="15" hidden="true" customHeight="false" outlineLevel="0" collapsed="false">
      <c r="A8133" s="51" t="s">
        <v>559</v>
      </c>
      <c r="B8133" s="55" t="n">
        <v>45381</v>
      </c>
      <c r="C8133" s="51" t="s">
        <v>782</v>
      </c>
      <c r="D8133" s="51" t="n">
        <v>0</v>
      </c>
    </row>
    <row r="8134" customFormat="false" ht="15" hidden="true" customHeight="false" outlineLevel="0" collapsed="false">
      <c r="A8134" s="51" t="s">
        <v>564</v>
      </c>
      <c r="B8134" s="55" t="n">
        <v>45381</v>
      </c>
      <c r="C8134" s="51" t="s">
        <v>782</v>
      </c>
      <c r="D8134" s="51" t="n">
        <v>0</v>
      </c>
    </row>
    <row r="8135" customFormat="false" ht="15" hidden="true" customHeight="false" outlineLevel="0" collapsed="false">
      <c r="A8135" s="51" t="s">
        <v>569</v>
      </c>
      <c r="B8135" s="55" t="n">
        <v>45381</v>
      </c>
      <c r="C8135" s="51" t="s">
        <v>782</v>
      </c>
      <c r="D8135" s="51" t="n">
        <v>0</v>
      </c>
    </row>
    <row r="8136" customFormat="false" ht="15" hidden="true" customHeight="false" outlineLevel="0" collapsed="false">
      <c r="A8136" s="51" t="s">
        <v>574</v>
      </c>
      <c r="B8136" s="55" t="n">
        <v>45381</v>
      </c>
      <c r="C8136" s="51" t="s">
        <v>782</v>
      </c>
      <c r="D8136" s="51" t="n">
        <v>0</v>
      </c>
    </row>
    <row r="8137" customFormat="false" ht="15" hidden="true" customHeight="false" outlineLevel="0" collapsed="false">
      <c r="A8137" s="51" t="s">
        <v>579</v>
      </c>
      <c r="B8137" s="55" t="n">
        <v>45381</v>
      </c>
      <c r="C8137" s="51" t="s">
        <v>782</v>
      </c>
      <c r="D8137" s="51" t="n">
        <v>0</v>
      </c>
    </row>
    <row r="8138" customFormat="false" ht="15" hidden="true" customHeight="false" outlineLevel="0" collapsed="false">
      <c r="A8138" s="51" t="s">
        <v>584</v>
      </c>
      <c r="B8138" s="55" t="n">
        <v>45381</v>
      </c>
      <c r="C8138" s="51" t="s">
        <v>782</v>
      </c>
      <c r="D8138" s="51" t="n">
        <v>0</v>
      </c>
    </row>
    <row r="8139" customFormat="false" ht="15" hidden="true" customHeight="false" outlineLevel="0" collapsed="false">
      <c r="A8139" s="51" t="s">
        <v>589</v>
      </c>
      <c r="B8139" s="55" t="n">
        <v>45381</v>
      </c>
      <c r="C8139" s="51" t="s">
        <v>782</v>
      </c>
      <c r="D8139" s="51" t="n">
        <v>0</v>
      </c>
    </row>
    <row r="8140" customFormat="false" ht="15" hidden="true" customHeight="false" outlineLevel="0" collapsed="false">
      <c r="A8140" s="51" t="s">
        <v>756</v>
      </c>
      <c r="B8140" s="55" t="n">
        <v>45381</v>
      </c>
      <c r="C8140" s="51" t="s">
        <v>782</v>
      </c>
      <c r="D8140" s="51" t="n">
        <v>0</v>
      </c>
    </row>
    <row r="8141" customFormat="false" ht="15" hidden="true" customHeight="false" outlineLevel="0" collapsed="false">
      <c r="A8141" s="51" t="s">
        <v>594</v>
      </c>
      <c r="B8141" s="55" t="n">
        <v>45381</v>
      </c>
      <c r="C8141" s="51" t="s">
        <v>782</v>
      </c>
      <c r="D8141" s="51" t="n">
        <v>0</v>
      </c>
    </row>
    <row r="8142" customFormat="false" ht="15" hidden="true" customHeight="false" outlineLevel="0" collapsed="false">
      <c r="A8142" s="51" t="s">
        <v>761</v>
      </c>
      <c r="B8142" s="55" t="n">
        <v>45381</v>
      </c>
      <c r="C8142" s="51" t="s">
        <v>782</v>
      </c>
      <c r="D8142" s="51" t="n">
        <v>0</v>
      </c>
    </row>
    <row r="8143" customFormat="false" ht="15" hidden="true" customHeight="false" outlineLevel="0" collapsed="false">
      <c r="A8143" s="51" t="s">
        <v>599</v>
      </c>
      <c r="B8143" s="55" t="n">
        <v>45381</v>
      </c>
      <c r="C8143" s="51" t="s">
        <v>782</v>
      </c>
      <c r="D8143" s="51" t="n">
        <v>0</v>
      </c>
    </row>
    <row r="8144" customFormat="false" ht="15" hidden="true" customHeight="false" outlineLevel="0" collapsed="false">
      <c r="A8144" s="51" t="s">
        <v>604</v>
      </c>
      <c r="B8144" s="55" t="n">
        <v>45381</v>
      </c>
      <c r="C8144" s="51" t="s">
        <v>782</v>
      </c>
      <c r="D8144" s="51" t="n">
        <v>0</v>
      </c>
    </row>
    <row r="8145" customFormat="false" ht="15" hidden="true" customHeight="false" outlineLevel="0" collapsed="false">
      <c r="A8145" s="51" t="s">
        <v>609</v>
      </c>
      <c r="B8145" s="55" t="n">
        <v>45381</v>
      </c>
      <c r="C8145" s="51" t="s">
        <v>782</v>
      </c>
      <c r="D8145" s="51" t="n">
        <v>0</v>
      </c>
    </row>
    <row r="8146" customFormat="false" ht="15" hidden="true" customHeight="false" outlineLevel="0" collapsed="false">
      <c r="A8146" s="51" t="s">
        <v>614</v>
      </c>
      <c r="B8146" s="55" t="n">
        <v>45381</v>
      </c>
      <c r="C8146" s="51" t="s">
        <v>782</v>
      </c>
      <c r="D8146" s="51" t="n">
        <v>0</v>
      </c>
    </row>
    <row r="8147" customFormat="false" ht="15" hidden="true" customHeight="false" outlineLevel="0" collapsed="false">
      <c r="A8147" s="51" t="s">
        <v>619</v>
      </c>
      <c r="B8147" s="55" t="n">
        <v>45381</v>
      </c>
      <c r="C8147" s="51" t="s">
        <v>782</v>
      </c>
      <c r="D8147" s="51" t="n">
        <v>0</v>
      </c>
    </row>
    <row r="8148" customFormat="false" ht="15" hidden="true" customHeight="false" outlineLevel="0" collapsed="false">
      <c r="A8148" s="51" t="s">
        <v>624</v>
      </c>
      <c r="B8148" s="55" t="n">
        <v>45381</v>
      </c>
      <c r="C8148" s="51" t="s">
        <v>782</v>
      </c>
      <c r="D8148" s="51" t="n">
        <v>0</v>
      </c>
    </row>
    <row r="8149" customFormat="false" ht="15" hidden="true" customHeight="false" outlineLevel="0" collapsed="false">
      <c r="A8149" s="51" t="s">
        <v>629</v>
      </c>
      <c r="B8149" s="55" t="n">
        <v>45381</v>
      </c>
      <c r="C8149" s="51" t="s">
        <v>782</v>
      </c>
      <c r="D8149" s="51" t="n">
        <v>0</v>
      </c>
    </row>
    <row r="8150" customFormat="false" ht="15" hidden="true" customHeight="false" outlineLevel="0" collapsed="false">
      <c r="A8150" s="51" t="s">
        <v>633</v>
      </c>
      <c r="B8150" s="55" t="n">
        <v>45381</v>
      </c>
      <c r="C8150" s="51" t="s">
        <v>782</v>
      </c>
      <c r="D8150" s="51" t="n">
        <v>0</v>
      </c>
    </row>
    <row r="8151" customFormat="false" ht="15" hidden="true" customHeight="false" outlineLevel="0" collapsed="false">
      <c r="A8151" s="51" t="s">
        <v>638</v>
      </c>
      <c r="B8151" s="55" t="n">
        <v>45381</v>
      </c>
      <c r="C8151" s="51" t="s">
        <v>782</v>
      </c>
      <c r="D8151" s="51" t="n">
        <v>0</v>
      </c>
    </row>
    <row r="8152" customFormat="false" ht="15" hidden="true" customHeight="false" outlineLevel="0" collapsed="false">
      <c r="A8152" s="51" t="s">
        <v>642</v>
      </c>
      <c r="B8152" s="55" t="n">
        <v>45381</v>
      </c>
      <c r="C8152" s="51" t="s">
        <v>782</v>
      </c>
      <c r="D8152" s="51" t="n">
        <v>0</v>
      </c>
    </row>
    <row r="8153" customFormat="false" ht="15" hidden="true" customHeight="false" outlineLevel="0" collapsed="false">
      <c r="A8153" s="51" t="s">
        <v>646</v>
      </c>
      <c r="B8153" s="55" t="n">
        <v>45381</v>
      </c>
      <c r="C8153" s="51" t="s">
        <v>782</v>
      </c>
      <c r="D8153" s="51" t="n">
        <v>0</v>
      </c>
    </row>
    <row r="8154" customFormat="false" ht="15" hidden="true" customHeight="false" outlineLevel="0" collapsed="false">
      <c r="A8154" s="51" t="s">
        <v>651</v>
      </c>
      <c r="B8154" s="55" t="n">
        <v>45381</v>
      </c>
      <c r="C8154" s="51" t="s">
        <v>782</v>
      </c>
      <c r="D8154" s="51" t="n">
        <v>0</v>
      </c>
    </row>
    <row r="8155" customFormat="false" ht="15" hidden="true" customHeight="false" outlineLevel="0" collapsed="false">
      <c r="A8155" s="51" t="s">
        <v>656</v>
      </c>
      <c r="B8155" s="55" t="n">
        <v>45381</v>
      </c>
      <c r="C8155" s="51" t="s">
        <v>782</v>
      </c>
      <c r="D8155" s="51" t="n">
        <v>0</v>
      </c>
    </row>
    <row r="8156" customFormat="false" ht="15" hidden="true" customHeight="false" outlineLevel="0" collapsed="false">
      <c r="A8156" s="51" t="s">
        <v>661</v>
      </c>
      <c r="B8156" s="55" t="n">
        <v>45381</v>
      </c>
      <c r="C8156" s="51" t="s">
        <v>782</v>
      </c>
      <c r="D8156" s="51" t="n">
        <v>0</v>
      </c>
    </row>
    <row r="8157" customFormat="false" ht="15" hidden="true" customHeight="false" outlineLevel="0" collapsed="false">
      <c r="A8157" s="51" t="s">
        <v>666</v>
      </c>
      <c r="B8157" s="55" t="n">
        <v>45381</v>
      </c>
      <c r="C8157" s="51" t="s">
        <v>782</v>
      </c>
      <c r="D8157" s="51" t="n">
        <v>0</v>
      </c>
    </row>
    <row r="8158" customFormat="false" ht="15" hidden="true" customHeight="false" outlineLevel="0" collapsed="false">
      <c r="A8158" s="51" t="s">
        <v>671</v>
      </c>
      <c r="B8158" s="55" t="n">
        <v>45381</v>
      </c>
      <c r="C8158" s="51" t="s">
        <v>782</v>
      </c>
      <c r="D8158" s="51" t="n">
        <v>0</v>
      </c>
    </row>
    <row r="8159" customFormat="false" ht="15" hidden="true" customHeight="false" outlineLevel="0" collapsed="false">
      <c r="A8159" s="51" t="s">
        <v>676</v>
      </c>
      <c r="B8159" s="55" t="n">
        <v>45381</v>
      </c>
      <c r="C8159" s="51" t="s">
        <v>782</v>
      </c>
      <c r="D8159" s="51" t="n">
        <v>0</v>
      </c>
    </row>
    <row r="8160" customFormat="false" ht="15" hidden="true" customHeight="false" outlineLevel="0" collapsed="false">
      <c r="A8160" s="51" t="s">
        <v>681</v>
      </c>
      <c r="B8160" s="55" t="n">
        <v>45381</v>
      </c>
      <c r="C8160" s="51" t="s">
        <v>782</v>
      </c>
      <c r="D8160" s="51" t="n">
        <v>0</v>
      </c>
    </row>
    <row r="8161" customFormat="false" ht="15" hidden="true" customHeight="false" outlineLevel="0" collapsed="false">
      <c r="A8161" s="51" t="s">
        <v>686</v>
      </c>
      <c r="B8161" s="55" t="n">
        <v>45381</v>
      </c>
      <c r="C8161" s="51" t="s">
        <v>782</v>
      </c>
      <c r="D8161" s="51" t="n">
        <v>0</v>
      </c>
    </row>
    <row r="8162" customFormat="false" ht="15" hidden="true" customHeight="false" outlineLevel="0" collapsed="false">
      <c r="A8162" s="51" t="s">
        <v>691</v>
      </c>
      <c r="B8162" s="55" t="n">
        <v>45381</v>
      </c>
      <c r="C8162" s="51" t="s">
        <v>782</v>
      </c>
      <c r="D8162" s="51" t="n">
        <v>0</v>
      </c>
    </row>
    <row r="8163" customFormat="false" ht="15" hidden="true" customHeight="false" outlineLevel="0" collapsed="false">
      <c r="A8163" s="51" t="s">
        <v>696</v>
      </c>
      <c r="B8163" s="55" t="n">
        <v>45381</v>
      </c>
      <c r="C8163" s="51" t="s">
        <v>782</v>
      </c>
      <c r="D8163" s="51" t="n">
        <v>0</v>
      </c>
    </row>
    <row r="8164" customFormat="false" ht="15" hidden="true" customHeight="false" outlineLevel="0" collapsed="false">
      <c r="A8164" s="51" t="s">
        <v>701</v>
      </c>
      <c r="B8164" s="55" t="n">
        <v>45381</v>
      </c>
      <c r="C8164" s="51" t="s">
        <v>782</v>
      </c>
      <c r="D8164" s="51" t="n">
        <v>0</v>
      </c>
    </row>
    <row r="8165" customFormat="false" ht="15" hidden="true" customHeight="false" outlineLevel="0" collapsed="false">
      <c r="A8165" s="51" t="s">
        <v>707</v>
      </c>
      <c r="B8165" s="55" t="n">
        <v>45381</v>
      </c>
      <c r="C8165" s="51" t="s">
        <v>782</v>
      </c>
      <c r="D8165" s="51" t="n">
        <v>0</v>
      </c>
    </row>
    <row r="8166" customFormat="false" ht="15" hidden="true" customHeight="false" outlineLevel="0" collapsed="false">
      <c r="A8166" s="51" t="s">
        <v>712</v>
      </c>
      <c r="B8166" s="55" t="n">
        <v>45381</v>
      </c>
      <c r="C8166" s="51" t="s">
        <v>782</v>
      </c>
      <c r="D8166" s="51" t="n">
        <v>0</v>
      </c>
    </row>
    <row r="8167" customFormat="false" ht="15" hidden="true" customHeight="false" outlineLevel="0" collapsed="false">
      <c r="A8167" s="51" t="s">
        <v>717</v>
      </c>
      <c r="B8167" s="55" t="n">
        <v>45381</v>
      </c>
      <c r="C8167" s="51" t="s">
        <v>782</v>
      </c>
      <c r="D8167" s="51" t="n">
        <v>0</v>
      </c>
    </row>
    <row r="8168" customFormat="false" ht="15" hidden="true" customHeight="false" outlineLevel="0" collapsed="false">
      <c r="A8168" s="51" t="s">
        <v>767</v>
      </c>
      <c r="B8168" s="55" t="n">
        <v>45381</v>
      </c>
      <c r="C8168" s="51" t="s">
        <v>782</v>
      </c>
      <c r="D8168" s="51" t="n">
        <v>0</v>
      </c>
    </row>
    <row r="8169" customFormat="false" ht="15" hidden="true" customHeight="false" outlineLevel="0" collapsed="false">
      <c r="A8169" s="51" t="s">
        <v>722</v>
      </c>
      <c r="B8169" s="55" t="n">
        <v>45381</v>
      </c>
      <c r="C8169" s="51" t="s">
        <v>782</v>
      </c>
      <c r="D8169" s="51" t="n">
        <v>0</v>
      </c>
    </row>
    <row r="8170" customFormat="false" ht="15" hidden="true" customHeight="false" outlineLevel="0" collapsed="false">
      <c r="A8170" s="51" t="s">
        <v>727</v>
      </c>
      <c r="B8170" s="55" t="n">
        <v>45381</v>
      </c>
      <c r="C8170" s="51" t="s">
        <v>782</v>
      </c>
      <c r="D8170" s="51" t="n">
        <v>0</v>
      </c>
    </row>
    <row r="8171" customFormat="false" ht="15" hidden="true" customHeight="false" outlineLevel="0" collapsed="false">
      <c r="A8171" s="51" t="s">
        <v>732</v>
      </c>
      <c r="B8171" s="55" t="n">
        <v>45381</v>
      </c>
      <c r="C8171" s="51" t="s">
        <v>782</v>
      </c>
      <c r="D8171" s="51" t="n">
        <v>0</v>
      </c>
    </row>
    <row r="8172" customFormat="false" ht="15" hidden="true" customHeight="false" outlineLevel="0" collapsed="false">
      <c r="A8172" s="51" t="s">
        <v>736</v>
      </c>
      <c r="B8172" s="55" t="n">
        <v>45381</v>
      </c>
      <c r="C8172" s="51" t="s">
        <v>782</v>
      </c>
      <c r="D8172" s="51" t="n">
        <v>0</v>
      </c>
    </row>
    <row r="8173" customFormat="false" ht="15" hidden="true" customHeight="false" outlineLevel="0" collapsed="false">
      <c r="A8173" s="51" t="s">
        <v>741</v>
      </c>
      <c r="B8173" s="55" t="n">
        <v>45381</v>
      </c>
      <c r="C8173" s="51" t="s">
        <v>782</v>
      </c>
      <c r="D8173" s="51" t="n">
        <v>0</v>
      </c>
    </row>
    <row r="8174" customFormat="false" ht="15" hidden="true" customHeight="false" outlineLevel="0" collapsed="false">
      <c r="A8174" s="51" t="s">
        <v>746</v>
      </c>
      <c r="B8174" s="55" t="n">
        <v>45381</v>
      </c>
      <c r="C8174" s="51" t="s">
        <v>782</v>
      </c>
      <c r="D8174" s="51" t="n">
        <v>0</v>
      </c>
    </row>
    <row r="8175" customFormat="false" ht="15" hidden="true" customHeight="false" outlineLevel="0" collapsed="false">
      <c r="A8175" s="51" t="s">
        <v>751</v>
      </c>
      <c r="B8175" s="55" t="n">
        <v>45381</v>
      </c>
      <c r="C8175" s="51" t="s">
        <v>782</v>
      </c>
      <c r="D8175" s="51" t="n">
        <v>0</v>
      </c>
    </row>
    <row r="8176" customFormat="false" ht="15" hidden="false" customHeight="false" outlineLevel="0" collapsed="false">
      <c r="A8176" s="51" t="s">
        <v>781</v>
      </c>
      <c r="B8176" s="55" t="n">
        <v>45381</v>
      </c>
      <c r="C8176" s="51" t="s">
        <v>82</v>
      </c>
      <c r="D8176" s="51" t="n">
        <v>0</v>
      </c>
    </row>
    <row r="8177" customFormat="false" ht="15" hidden="true" customHeight="false" outlineLevel="0" collapsed="false">
      <c r="A8177" s="51" t="s">
        <v>783</v>
      </c>
      <c r="B8177" s="55" t="n">
        <v>45381</v>
      </c>
      <c r="C8177" s="51" t="s">
        <v>82</v>
      </c>
      <c r="D8177" s="51" t="n">
        <v>0</v>
      </c>
    </row>
    <row r="8178" customFormat="false" ht="15" hidden="true" customHeight="false" outlineLevel="0" collapsed="false">
      <c r="A8178" s="51" t="s">
        <v>96</v>
      </c>
      <c r="B8178" s="55" t="n">
        <v>45381</v>
      </c>
      <c r="C8178" s="51" t="s">
        <v>82</v>
      </c>
      <c r="D8178" s="51" t="n">
        <v>0</v>
      </c>
    </row>
    <row r="8179" customFormat="false" ht="15" hidden="true" customHeight="false" outlineLevel="0" collapsed="false">
      <c r="A8179" s="51" t="s">
        <v>101</v>
      </c>
      <c r="B8179" s="55" t="n">
        <v>45381</v>
      </c>
      <c r="C8179" s="51" t="s">
        <v>82</v>
      </c>
      <c r="D8179" s="51" t="n">
        <v>0</v>
      </c>
    </row>
    <row r="8180" customFormat="false" ht="15" hidden="true" customHeight="false" outlineLevel="0" collapsed="false">
      <c r="A8180" s="51" t="s">
        <v>106</v>
      </c>
      <c r="B8180" s="55" t="n">
        <v>45381</v>
      </c>
      <c r="C8180" s="51" t="s">
        <v>82</v>
      </c>
      <c r="D8180" s="51" t="n">
        <v>0</v>
      </c>
    </row>
    <row r="8181" customFormat="false" ht="15" hidden="true" customHeight="false" outlineLevel="0" collapsed="false">
      <c r="A8181" s="51" t="s">
        <v>110</v>
      </c>
      <c r="B8181" s="55" t="n">
        <v>45381</v>
      </c>
      <c r="C8181" s="51" t="s">
        <v>82</v>
      </c>
      <c r="D8181" s="51" t="n">
        <v>0</v>
      </c>
    </row>
    <row r="8182" customFormat="false" ht="15" hidden="true" customHeight="false" outlineLevel="0" collapsed="false">
      <c r="A8182" s="51" t="s">
        <v>115</v>
      </c>
      <c r="B8182" s="55" t="n">
        <v>45381</v>
      </c>
      <c r="C8182" s="51" t="s">
        <v>82</v>
      </c>
      <c r="D8182" s="51" t="n">
        <v>0</v>
      </c>
    </row>
    <row r="8183" customFormat="false" ht="15" hidden="true" customHeight="false" outlineLevel="0" collapsed="false">
      <c r="A8183" s="51" t="s">
        <v>120</v>
      </c>
      <c r="B8183" s="55" t="n">
        <v>45381</v>
      </c>
      <c r="C8183" s="51" t="s">
        <v>82</v>
      </c>
      <c r="D8183" s="51" t="n">
        <v>0</v>
      </c>
    </row>
    <row r="8184" customFormat="false" ht="15" hidden="true" customHeight="false" outlineLevel="0" collapsed="false">
      <c r="A8184" s="51" t="s">
        <v>124</v>
      </c>
      <c r="B8184" s="55" t="n">
        <v>45381</v>
      </c>
      <c r="C8184" s="51" t="s">
        <v>82</v>
      </c>
      <c r="D8184" s="51" t="n">
        <v>0</v>
      </c>
    </row>
    <row r="8185" customFormat="false" ht="15" hidden="true" customHeight="false" outlineLevel="0" collapsed="false">
      <c r="A8185" s="51" t="s">
        <v>129</v>
      </c>
      <c r="B8185" s="55" t="n">
        <v>45381</v>
      </c>
      <c r="C8185" s="51" t="s">
        <v>82</v>
      </c>
      <c r="D8185" s="51" t="n">
        <v>0</v>
      </c>
    </row>
    <row r="8186" customFormat="false" ht="15" hidden="true" customHeight="false" outlineLevel="0" collapsed="false">
      <c r="A8186" s="51" t="s">
        <v>134</v>
      </c>
      <c r="B8186" s="55" t="n">
        <v>45381</v>
      </c>
      <c r="C8186" s="51" t="s">
        <v>82</v>
      </c>
      <c r="D8186" s="51" t="n">
        <v>0</v>
      </c>
    </row>
    <row r="8187" customFormat="false" ht="15" hidden="true" customHeight="false" outlineLevel="0" collapsed="false">
      <c r="A8187" s="51" t="s">
        <v>141</v>
      </c>
      <c r="B8187" s="55" t="n">
        <v>45381</v>
      </c>
      <c r="C8187" s="51" t="s">
        <v>82</v>
      </c>
      <c r="D8187" s="51" t="n">
        <v>0</v>
      </c>
    </row>
    <row r="8188" customFormat="false" ht="15" hidden="true" customHeight="false" outlineLevel="0" collapsed="false">
      <c r="A8188" s="51" t="s">
        <v>146</v>
      </c>
      <c r="B8188" s="55" t="n">
        <v>45381</v>
      </c>
      <c r="C8188" s="51" t="s">
        <v>82</v>
      </c>
      <c r="D8188" s="51" t="n">
        <v>0</v>
      </c>
    </row>
    <row r="8189" customFormat="false" ht="15" hidden="true" customHeight="false" outlineLevel="0" collapsed="false">
      <c r="A8189" s="51" t="s">
        <v>151</v>
      </c>
      <c r="B8189" s="55" t="n">
        <v>45381</v>
      </c>
      <c r="C8189" s="51" t="s">
        <v>82</v>
      </c>
      <c r="D8189" s="51" t="n">
        <v>0</v>
      </c>
    </row>
    <row r="8190" customFormat="false" ht="15" hidden="true" customHeight="false" outlineLevel="0" collapsed="false">
      <c r="A8190" s="51" t="s">
        <v>156</v>
      </c>
      <c r="B8190" s="55" t="n">
        <v>45381</v>
      </c>
      <c r="C8190" s="51" t="s">
        <v>82</v>
      </c>
      <c r="D8190" s="51" t="n">
        <v>0</v>
      </c>
    </row>
    <row r="8191" customFormat="false" ht="15" hidden="true" customHeight="false" outlineLevel="0" collapsed="false">
      <c r="A8191" s="51" t="s">
        <v>161</v>
      </c>
      <c r="B8191" s="55" t="n">
        <v>45381</v>
      </c>
      <c r="C8191" s="51" t="s">
        <v>82</v>
      </c>
      <c r="D8191" s="51" t="n">
        <v>0</v>
      </c>
    </row>
    <row r="8192" customFormat="false" ht="15" hidden="true" customHeight="false" outlineLevel="0" collapsed="false">
      <c r="A8192" s="51" t="s">
        <v>166</v>
      </c>
      <c r="B8192" s="55" t="n">
        <v>45381</v>
      </c>
      <c r="C8192" s="51" t="s">
        <v>82</v>
      </c>
      <c r="D8192" s="51" t="n">
        <v>0</v>
      </c>
    </row>
    <row r="8193" customFormat="false" ht="15" hidden="true" customHeight="false" outlineLevel="0" collapsed="false">
      <c r="A8193" s="51" t="s">
        <v>171</v>
      </c>
      <c r="B8193" s="55" t="n">
        <v>45381</v>
      </c>
      <c r="C8193" s="51" t="s">
        <v>82</v>
      </c>
      <c r="D8193" s="51" t="n">
        <v>0</v>
      </c>
    </row>
    <row r="8194" customFormat="false" ht="15" hidden="true" customHeight="false" outlineLevel="0" collapsed="false">
      <c r="A8194" s="51" t="s">
        <v>176</v>
      </c>
      <c r="B8194" s="55" t="n">
        <v>45381</v>
      </c>
      <c r="C8194" s="51" t="s">
        <v>82</v>
      </c>
      <c r="D8194" s="51" t="n">
        <v>0</v>
      </c>
    </row>
    <row r="8195" customFormat="false" ht="15" hidden="true" customHeight="false" outlineLevel="0" collapsed="false">
      <c r="A8195" s="51" t="s">
        <v>181</v>
      </c>
      <c r="B8195" s="55" t="n">
        <v>45381</v>
      </c>
      <c r="C8195" s="51" t="s">
        <v>82</v>
      </c>
      <c r="D8195" s="51" t="n">
        <v>0</v>
      </c>
    </row>
    <row r="8196" customFormat="false" ht="15" hidden="true" customHeight="false" outlineLevel="0" collapsed="false">
      <c r="A8196" s="51" t="s">
        <v>186</v>
      </c>
      <c r="B8196" s="55" t="n">
        <v>45381</v>
      </c>
      <c r="C8196" s="51" t="s">
        <v>82</v>
      </c>
      <c r="D8196" s="51" t="n">
        <v>0</v>
      </c>
    </row>
    <row r="8197" customFormat="false" ht="15" hidden="true" customHeight="false" outlineLevel="0" collapsed="false">
      <c r="A8197" s="51" t="s">
        <v>191</v>
      </c>
      <c r="B8197" s="55" t="n">
        <v>45381</v>
      </c>
      <c r="C8197" s="51" t="s">
        <v>82</v>
      </c>
      <c r="D8197" s="51" t="n">
        <v>0</v>
      </c>
    </row>
    <row r="8198" customFormat="false" ht="15" hidden="true" customHeight="false" outlineLevel="0" collapsed="false">
      <c r="A8198" s="51" t="s">
        <v>196</v>
      </c>
      <c r="B8198" s="55" t="n">
        <v>45381</v>
      </c>
      <c r="C8198" s="51" t="s">
        <v>82</v>
      </c>
      <c r="D8198" s="51" t="n">
        <v>0</v>
      </c>
    </row>
    <row r="8199" customFormat="false" ht="15" hidden="true" customHeight="false" outlineLevel="0" collapsed="false">
      <c r="A8199" s="51" t="s">
        <v>201</v>
      </c>
      <c r="B8199" s="55" t="n">
        <v>45381</v>
      </c>
      <c r="C8199" s="51" t="s">
        <v>82</v>
      </c>
      <c r="D8199" s="51" t="n">
        <v>0</v>
      </c>
    </row>
    <row r="8200" customFormat="false" ht="15" hidden="true" customHeight="false" outlineLevel="0" collapsed="false">
      <c r="A8200" s="51" t="s">
        <v>206</v>
      </c>
      <c r="B8200" s="55" t="n">
        <v>45381</v>
      </c>
      <c r="C8200" s="51" t="s">
        <v>82</v>
      </c>
      <c r="D8200" s="51" t="n">
        <v>0</v>
      </c>
    </row>
    <row r="8201" customFormat="false" ht="15" hidden="true" customHeight="false" outlineLevel="0" collapsed="false">
      <c r="A8201" s="51" t="s">
        <v>210</v>
      </c>
      <c r="B8201" s="55" t="n">
        <v>45381</v>
      </c>
      <c r="C8201" s="51" t="s">
        <v>82</v>
      </c>
      <c r="D8201" s="51" t="n">
        <v>0</v>
      </c>
    </row>
    <row r="8202" customFormat="false" ht="15" hidden="true" customHeight="false" outlineLevel="0" collapsed="false">
      <c r="A8202" s="51" t="s">
        <v>215</v>
      </c>
      <c r="B8202" s="55" t="n">
        <v>45381</v>
      </c>
      <c r="C8202" s="51" t="s">
        <v>82</v>
      </c>
      <c r="D8202" s="51" t="n">
        <v>0</v>
      </c>
    </row>
    <row r="8203" customFormat="false" ht="15" hidden="true" customHeight="false" outlineLevel="0" collapsed="false">
      <c r="A8203" s="51" t="s">
        <v>790</v>
      </c>
      <c r="B8203" s="55" t="n">
        <v>45381</v>
      </c>
      <c r="C8203" s="51" t="s">
        <v>82</v>
      </c>
      <c r="D8203" s="51" t="n">
        <v>0</v>
      </c>
    </row>
    <row r="8204" customFormat="false" ht="15" hidden="true" customHeight="false" outlineLevel="0" collapsed="false">
      <c r="A8204" s="51" t="s">
        <v>225</v>
      </c>
      <c r="B8204" s="55" t="n">
        <v>45381</v>
      </c>
      <c r="C8204" s="51" t="s">
        <v>82</v>
      </c>
      <c r="D8204" s="51" t="n">
        <v>0</v>
      </c>
    </row>
    <row r="8205" customFormat="false" ht="15" hidden="true" customHeight="false" outlineLevel="0" collapsed="false">
      <c r="A8205" s="51" t="s">
        <v>230</v>
      </c>
      <c r="B8205" s="55" t="n">
        <v>45381</v>
      </c>
      <c r="C8205" s="51" t="s">
        <v>82</v>
      </c>
      <c r="D8205" s="51" t="n">
        <v>0</v>
      </c>
    </row>
    <row r="8206" customFormat="false" ht="15" hidden="true" customHeight="false" outlineLevel="0" collapsed="false">
      <c r="A8206" s="51" t="s">
        <v>235</v>
      </c>
      <c r="B8206" s="55" t="n">
        <v>45381</v>
      </c>
      <c r="C8206" s="51" t="s">
        <v>82</v>
      </c>
      <c r="D8206" s="51" t="n">
        <v>0</v>
      </c>
    </row>
    <row r="8207" customFormat="false" ht="15" hidden="true" customHeight="false" outlineLevel="0" collapsed="false">
      <c r="A8207" s="51" t="s">
        <v>240</v>
      </c>
      <c r="B8207" s="55" t="n">
        <v>45381</v>
      </c>
      <c r="C8207" s="51" t="s">
        <v>82</v>
      </c>
      <c r="D8207" s="51" t="n">
        <v>0</v>
      </c>
    </row>
    <row r="8208" customFormat="false" ht="15" hidden="true" customHeight="false" outlineLevel="0" collapsed="false">
      <c r="A8208" s="51" t="s">
        <v>246</v>
      </c>
      <c r="B8208" s="55" t="n">
        <v>45381</v>
      </c>
      <c r="C8208" s="51" t="s">
        <v>82</v>
      </c>
      <c r="D8208" s="51" t="n">
        <v>0</v>
      </c>
    </row>
    <row r="8209" customFormat="false" ht="15" hidden="true" customHeight="false" outlineLevel="0" collapsed="false">
      <c r="A8209" s="51" t="s">
        <v>252</v>
      </c>
      <c r="B8209" s="55" t="n">
        <v>45381</v>
      </c>
      <c r="C8209" s="51" t="s">
        <v>82</v>
      </c>
      <c r="D8209" s="51" t="n">
        <v>0</v>
      </c>
    </row>
    <row r="8210" customFormat="false" ht="15" hidden="true" customHeight="false" outlineLevel="0" collapsed="false">
      <c r="A8210" s="51" t="s">
        <v>257</v>
      </c>
      <c r="B8210" s="55" t="n">
        <v>45381</v>
      </c>
      <c r="C8210" s="51" t="s">
        <v>82</v>
      </c>
      <c r="D8210" s="51" t="n">
        <v>0</v>
      </c>
    </row>
    <row r="8211" customFormat="false" ht="15" hidden="true" customHeight="false" outlineLevel="0" collapsed="false">
      <c r="A8211" s="51" t="s">
        <v>262</v>
      </c>
      <c r="B8211" s="55" t="n">
        <v>45381</v>
      </c>
      <c r="C8211" s="51" t="s">
        <v>82</v>
      </c>
      <c r="D8211" s="51" t="n">
        <v>0</v>
      </c>
    </row>
    <row r="8212" customFormat="false" ht="15" hidden="true" customHeight="false" outlineLevel="0" collapsed="false">
      <c r="A8212" s="51" t="s">
        <v>267</v>
      </c>
      <c r="B8212" s="55" t="n">
        <v>45381</v>
      </c>
      <c r="C8212" s="51" t="s">
        <v>82</v>
      </c>
      <c r="D8212" s="51" t="n">
        <v>0</v>
      </c>
    </row>
    <row r="8213" customFormat="false" ht="15" hidden="true" customHeight="false" outlineLevel="0" collapsed="false">
      <c r="A8213" s="51" t="s">
        <v>272</v>
      </c>
      <c r="B8213" s="55" t="n">
        <v>45381</v>
      </c>
      <c r="C8213" s="51" t="s">
        <v>82</v>
      </c>
      <c r="D8213" s="51" t="n">
        <v>0</v>
      </c>
    </row>
    <row r="8214" customFormat="false" ht="15" hidden="true" customHeight="false" outlineLevel="0" collapsed="false">
      <c r="A8214" s="51" t="s">
        <v>277</v>
      </c>
      <c r="B8214" s="55" t="n">
        <v>45381</v>
      </c>
      <c r="C8214" s="51" t="s">
        <v>82</v>
      </c>
      <c r="D8214" s="51" t="n">
        <v>0</v>
      </c>
    </row>
    <row r="8215" customFormat="false" ht="15" hidden="true" customHeight="false" outlineLevel="0" collapsed="false">
      <c r="A8215" s="51" t="s">
        <v>282</v>
      </c>
      <c r="B8215" s="55" t="n">
        <v>45381</v>
      </c>
      <c r="C8215" s="51" t="s">
        <v>82</v>
      </c>
      <c r="D8215" s="51" t="n">
        <v>0</v>
      </c>
    </row>
    <row r="8216" customFormat="false" ht="15" hidden="true" customHeight="false" outlineLevel="0" collapsed="false">
      <c r="A8216" s="51" t="s">
        <v>287</v>
      </c>
      <c r="B8216" s="55" t="n">
        <v>45381</v>
      </c>
      <c r="C8216" s="51" t="s">
        <v>82</v>
      </c>
      <c r="D8216" s="51" t="n">
        <v>0</v>
      </c>
    </row>
    <row r="8217" customFormat="false" ht="15" hidden="true" customHeight="false" outlineLevel="0" collapsed="false">
      <c r="A8217" s="51" t="s">
        <v>292</v>
      </c>
      <c r="B8217" s="55" t="n">
        <v>45381</v>
      </c>
      <c r="C8217" s="51" t="s">
        <v>82</v>
      </c>
      <c r="D8217" s="51" t="n">
        <v>0</v>
      </c>
    </row>
    <row r="8218" customFormat="false" ht="15" hidden="true" customHeight="false" outlineLevel="0" collapsed="false">
      <c r="A8218" s="51" t="s">
        <v>297</v>
      </c>
      <c r="B8218" s="55" t="n">
        <v>45381</v>
      </c>
      <c r="C8218" s="51" t="s">
        <v>82</v>
      </c>
      <c r="D8218" s="51" t="n">
        <v>0</v>
      </c>
    </row>
    <row r="8219" customFormat="false" ht="15" hidden="true" customHeight="false" outlineLevel="0" collapsed="false">
      <c r="A8219" s="51" t="s">
        <v>302</v>
      </c>
      <c r="B8219" s="55" t="n">
        <v>45381</v>
      </c>
      <c r="C8219" s="51" t="s">
        <v>82</v>
      </c>
      <c r="D8219" s="51" t="n">
        <v>0</v>
      </c>
    </row>
    <row r="8220" customFormat="false" ht="15" hidden="true" customHeight="false" outlineLevel="0" collapsed="false">
      <c r="A8220" s="51" t="s">
        <v>307</v>
      </c>
      <c r="B8220" s="55" t="n">
        <v>45381</v>
      </c>
      <c r="C8220" s="51" t="s">
        <v>82</v>
      </c>
      <c r="D8220" s="51" t="n">
        <v>0</v>
      </c>
    </row>
    <row r="8221" customFormat="false" ht="15" hidden="true" customHeight="false" outlineLevel="0" collapsed="false">
      <c r="A8221" s="51" t="s">
        <v>311</v>
      </c>
      <c r="B8221" s="55" t="n">
        <v>45381</v>
      </c>
      <c r="C8221" s="51" t="s">
        <v>82</v>
      </c>
      <c r="D8221" s="51" t="n">
        <v>0</v>
      </c>
    </row>
    <row r="8222" customFormat="false" ht="15" hidden="true" customHeight="false" outlineLevel="0" collapsed="false">
      <c r="A8222" s="51" t="s">
        <v>317</v>
      </c>
      <c r="B8222" s="55" t="n">
        <v>45381</v>
      </c>
      <c r="C8222" s="51" t="s">
        <v>82</v>
      </c>
      <c r="D8222" s="51" t="n">
        <v>0</v>
      </c>
    </row>
    <row r="8223" customFormat="false" ht="15" hidden="true" customHeight="false" outlineLevel="0" collapsed="false">
      <c r="A8223" s="51" t="s">
        <v>322</v>
      </c>
      <c r="B8223" s="55" t="n">
        <v>45381</v>
      </c>
      <c r="C8223" s="51" t="s">
        <v>82</v>
      </c>
      <c r="D8223" s="51" t="n">
        <v>0</v>
      </c>
    </row>
    <row r="8224" customFormat="false" ht="15" hidden="true" customHeight="false" outlineLevel="0" collapsed="false">
      <c r="A8224" s="51" t="s">
        <v>327</v>
      </c>
      <c r="B8224" s="55" t="n">
        <v>45381</v>
      </c>
      <c r="C8224" s="51" t="s">
        <v>82</v>
      </c>
      <c r="D8224" s="51" t="n">
        <v>0</v>
      </c>
    </row>
    <row r="8225" customFormat="false" ht="15" hidden="true" customHeight="false" outlineLevel="0" collapsed="false">
      <c r="A8225" s="51" t="s">
        <v>332</v>
      </c>
      <c r="B8225" s="55" t="n">
        <v>45381</v>
      </c>
      <c r="C8225" s="51" t="s">
        <v>82</v>
      </c>
      <c r="D8225" s="51" t="n">
        <v>0</v>
      </c>
    </row>
    <row r="8226" customFormat="false" ht="15" hidden="true" customHeight="false" outlineLevel="0" collapsed="false">
      <c r="A8226" s="51" t="s">
        <v>339</v>
      </c>
      <c r="B8226" s="55" t="n">
        <v>45381</v>
      </c>
      <c r="C8226" s="51" t="s">
        <v>82</v>
      </c>
      <c r="D8226" s="51" t="n">
        <v>0</v>
      </c>
    </row>
    <row r="8227" customFormat="false" ht="15" hidden="true" customHeight="false" outlineLevel="0" collapsed="false">
      <c r="A8227" s="51" t="s">
        <v>344</v>
      </c>
      <c r="B8227" s="55" t="n">
        <v>45381</v>
      </c>
      <c r="C8227" s="51" t="s">
        <v>82</v>
      </c>
      <c r="D8227" s="51" t="n">
        <v>0</v>
      </c>
    </row>
    <row r="8228" customFormat="false" ht="15" hidden="true" customHeight="false" outlineLevel="0" collapsed="false">
      <c r="A8228" s="51" t="s">
        <v>349</v>
      </c>
      <c r="B8228" s="55" t="n">
        <v>45381</v>
      </c>
      <c r="C8228" s="51" t="s">
        <v>82</v>
      </c>
      <c r="D8228" s="51" t="n">
        <v>0</v>
      </c>
    </row>
    <row r="8229" customFormat="false" ht="15" hidden="true" customHeight="false" outlineLevel="0" collapsed="false">
      <c r="A8229" s="51" t="s">
        <v>354</v>
      </c>
      <c r="B8229" s="55" t="n">
        <v>45381</v>
      </c>
      <c r="C8229" s="51" t="s">
        <v>82</v>
      </c>
      <c r="D8229" s="51" t="n">
        <v>0</v>
      </c>
    </row>
    <row r="8230" customFormat="false" ht="15" hidden="true" customHeight="false" outlineLevel="0" collapsed="false">
      <c r="A8230" s="51" t="s">
        <v>359</v>
      </c>
      <c r="B8230" s="55" t="n">
        <v>45381</v>
      </c>
      <c r="C8230" s="51" t="s">
        <v>82</v>
      </c>
      <c r="D8230" s="51" t="n">
        <v>0</v>
      </c>
    </row>
    <row r="8231" customFormat="false" ht="15" hidden="true" customHeight="false" outlineLevel="0" collapsed="false">
      <c r="A8231" s="51" t="s">
        <v>364</v>
      </c>
      <c r="B8231" s="55" t="n">
        <v>45381</v>
      </c>
      <c r="C8231" s="51" t="s">
        <v>82</v>
      </c>
      <c r="D8231" s="51" t="n">
        <v>0</v>
      </c>
    </row>
    <row r="8232" customFormat="false" ht="15" hidden="true" customHeight="false" outlineLevel="0" collapsed="false">
      <c r="A8232" s="51" t="s">
        <v>369</v>
      </c>
      <c r="B8232" s="55" t="n">
        <v>45381</v>
      </c>
      <c r="C8232" s="51" t="s">
        <v>82</v>
      </c>
      <c r="D8232" s="51" t="n">
        <v>0</v>
      </c>
    </row>
    <row r="8233" customFormat="false" ht="15" hidden="true" customHeight="false" outlineLevel="0" collapsed="false">
      <c r="A8233" s="51" t="s">
        <v>374</v>
      </c>
      <c r="B8233" s="55" t="n">
        <v>45381</v>
      </c>
      <c r="C8233" s="51" t="s">
        <v>82</v>
      </c>
      <c r="D8233" s="51" t="n">
        <v>0</v>
      </c>
    </row>
    <row r="8234" customFormat="false" ht="15" hidden="true" customHeight="false" outlineLevel="0" collapsed="false">
      <c r="A8234" s="51" t="s">
        <v>379</v>
      </c>
      <c r="B8234" s="55" t="n">
        <v>45381</v>
      </c>
      <c r="C8234" s="51" t="s">
        <v>82</v>
      </c>
      <c r="D8234" s="51" t="n">
        <v>0</v>
      </c>
    </row>
    <row r="8235" customFormat="false" ht="15" hidden="true" customHeight="false" outlineLevel="0" collapsed="false">
      <c r="A8235" s="51" t="s">
        <v>384</v>
      </c>
      <c r="B8235" s="55" t="n">
        <v>45381</v>
      </c>
      <c r="C8235" s="51" t="s">
        <v>82</v>
      </c>
      <c r="D8235" s="51" t="n">
        <v>0</v>
      </c>
    </row>
    <row r="8236" customFormat="false" ht="15" hidden="true" customHeight="false" outlineLevel="0" collapsed="false">
      <c r="A8236" s="51" t="s">
        <v>389</v>
      </c>
      <c r="B8236" s="55" t="n">
        <v>45381</v>
      </c>
      <c r="C8236" s="51" t="s">
        <v>82</v>
      </c>
      <c r="D8236" s="51" t="n">
        <v>0</v>
      </c>
    </row>
    <row r="8237" customFormat="false" ht="15" hidden="true" customHeight="false" outlineLevel="0" collapsed="false">
      <c r="A8237" s="51" t="s">
        <v>394</v>
      </c>
      <c r="B8237" s="55" t="n">
        <v>45381</v>
      </c>
      <c r="C8237" s="51" t="s">
        <v>82</v>
      </c>
      <c r="D8237" s="51" t="n">
        <v>0</v>
      </c>
    </row>
    <row r="8238" customFormat="false" ht="15" hidden="true" customHeight="false" outlineLevel="0" collapsed="false">
      <c r="A8238" s="51" t="s">
        <v>399</v>
      </c>
      <c r="B8238" s="55" t="n">
        <v>45381</v>
      </c>
      <c r="C8238" s="51" t="s">
        <v>82</v>
      </c>
      <c r="D8238" s="51" t="n">
        <v>0</v>
      </c>
    </row>
    <row r="8239" customFormat="false" ht="15" hidden="true" customHeight="false" outlineLevel="0" collapsed="false">
      <c r="A8239" s="51" t="s">
        <v>404</v>
      </c>
      <c r="B8239" s="55" t="n">
        <v>45381</v>
      </c>
      <c r="C8239" s="51" t="s">
        <v>82</v>
      </c>
      <c r="D8239" s="51" t="n">
        <v>0</v>
      </c>
    </row>
    <row r="8240" customFormat="false" ht="15" hidden="true" customHeight="false" outlineLevel="0" collapsed="false">
      <c r="A8240" s="51" t="s">
        <v>409</v>
      </c>
      <c r="B8240" s="55" t="n">
        <v>45381</v>
      </c>
      <c r="C8240" s="51" t="s">
        <v>82</v>
      </c>
      <c r="D8240" s="51" t="n">
        <v>0</v>
      </c>
    </row>
    <row r="8241" customFormat="false" ht="15" hidden="true" customHeight="false" outlineLevel="0" collapsed="false">
      <c r="A8241" s="51" t="s">
        <v>414</v>
      </c>
      <c r="B8241" s="55" t="n">
        <v>45381</v>
      </c>
      <c r="C8241" s="51" t="s">
        <v>82</v>
      </c>
      <c r="D8241" s="51" t="n">
        <v>0</v>
      </c>
    </row>
    <row r="8242" customFormat="false" ht="15" hidden="true" customHeight="false" outlineLevel="0" collapsed="false">
      <c r="A8242" s="51" t="s">
        <v>419</v>
      </c>
      <c r="B8242" s="55" t="n">
        <v>45381</v>
      </c>
      <c r="C8242" s="51" t="s">
        <v>82</v>
      </c>
      <c r="D8242" s="51" t="n">
        <v>0</v>
      </c>
    </row>
    <row r="8243" customFormat="false" ht="15" hidden="true" customHeight="false" outlineLevel="0" collapsed="false">
      <c r="A8243" s="51" t="s">
        <v>424</v>
      </c>
      <c r="B8243" s="55" t="n">
        <v>45381</v>
      </c>
      <c r="C8243" s="51" t="s">
        <v>82</v>
      </c>
      <c r="D8243" s="51" t="n">
        <v>0</v>
      </c>
    </row>
    <row r="8244" customFormat="false" ht="15" hidden="true" customHeight="false" outlineLevel="0" collapsed="false">
      <c r="A8244" s="51" t="s">
        <v>429</v>
      </c>
      <c r="B8244" s="55" t="n">
        <v>45381</v>
      </c>
      <c r="C8244" s="51" t="s">
        <v>82</v>
      </c>
      <c r="D8244" s="51" t="n">
        <v>0</v>
      </c>
    </row>
    <row r="8245" customFormat="false" ht="15" hidden="true" customHeight="false" outlineLevel="0" collapsed="false">
      <c r="A8245" s="51" t="s">
        <v>434</v>
      </c>
      <c r="B8245" s="55" t="n">
        <v>45381</v>
      </c>
      <c r="C8245" s="51" t="s">
        <v>82</v>
      </c>
      <c r="D8245" s="51" t="n">
        <v>0</v>
      </c>
    </row>
    <row r="8246" customFormat="false" ht="15" hidden="true" customHeight="false" outlineLevel="0" collapsed="false">
      <c r="A8246" s="51" t="s">
        <v>438</v>
      </c>
      <c r="B8246" s="55" t="n">
        <v>45381</v>
      </c>
      <c r="C8246" s="51" t="s">
        <v>82</v>
      </c>
      <c r="D8246" s="51" t="n">
        <v>0</v>
      </c>
    </row>
    <row r="8247" customFormat="false" ht="15" hidden="true" customHeight="false" outlineLevel="0" collapsed="false">
      <c r="A8247" s="51" t="s">
        <v>443</v>
      </c>
      <c r="B8247" s="55" t="n">
        <v>45381</v>
      </c>
      <c r="C8247" s="51" t="s">
        <v>82</v>
      </c>
      <c r="D8247" s="51" t="n">
        <v>0</v>
      </c>
    </row>
    <row r="8248" customFormat="false" ht="15" hidden="true" customHeight="false" outlineLevel="0" collapsed="false">
      <c r="A8248" s="51" t="s">
        <v>448</v>
      </c>
      <c r="B8248" s="55" t="n">
        <v>45381</v>
      </c>
      <c r="C8248" s="51" t="s">
        <v>82</v>
      </c>
      <c r="D8248" s="51" t="n">
        <v>0</v>
      </c>
    </row>
    <row r="8249" customFormat="false" ht="15" hidden="true" customHeight="false" outlineLevel="0" collapsed="false">
      <c r="A8249" s="51" t="s">
        <v>453</v>
      </c>
      <c r="B8249" s="55" t="n">
        <v>45381</v>
      </c>
      <c r="C8249" s="51" t="s">
        <v>82</v>
      </c>
      <c r="D8249" s="51" t="n">
        <v>0</v>
      </c>
    </row>
    <row r="8250" customFormat="false" ht="15" hidden="true" customHeight="false" outlineLevel="0" collapsed="false">
      <c r="A8250" s="51" t="s">
        <v>458</v>
      </c>
      <c r="B8250" s="55" t="n">
        <v>45381</v>
      </c>
      <c r="C8250" s="51" t="s">
        <v>82</v>
      </c>
      <c r="D8250" s="51" t="n">
        <v>0</v>
      </c>
    </row>
    <row r="8251" customFormat="false" ht="15" hidden="true" customHeight="false" outlineLevel="0" collapsed="false">
      <c r="A8251" s="51" t="s">
        <v>473</v>
      </c>
      <c r="B8251" s="55" t="n">
        <v>45381</v>
      </c>
      <c r="C8251" s="51" t="s">
        <v>82</v>
      </c>
      <c r="D8251" s="51" t="n">
        <v>0</v>
      </c>
    </row>
    <row r="8252" customFormat="false" ht="15" hidden="true" customHeight="false" outlineLevel="0" collapsed="false">
      <c r="A8252" s="51" t="s">
        <v>479</v>
      </c>
      <c r="B8252" s="55" t="n">
        <v>45381</v>
      </c>
      <c r="C8252" s="51" t="s">
        <v>82</v>
      </c>
      <c r="D8252" s="51" t="n">
        <v>0</v>
      </c>
    </row>
    <row r="8253" customFormat="false" ht="15" hidden="true" customHeight="false" outlineLevel="0" collapsed="false">
      <c r="A8253" s="51" t="s">
        <v>484</v>
      </c>
      <c r="B8253" s="55" t="n">
        <v>45381</v>
      </c>
      <c r="C8253" s="51" t="s">
        <v>82</v>
      </c>
      <c r="D8253" s="51" t="n">
        <v>0</v>
      </c>
    </row>
    <row r="8254" customFormat="false" ht="15" hidden="true" customHeight="false" outlineLevel="0" collapsed="false">
      <c r="A8254" s="51" t="s">
        <v>489</v>
      </c>
      <c r="B8254" s="55" t="n">
        <v>45381</v>
      </c>
      <c r="C8254" s="51" t="s">
        <v>82</v>
      </c>
      <c r="D8254" s="51" t="n">
        <v>275000</v>
      </c>
    </row>
    <row r="8255" customFormat="false" ht="15" hidden="true" customHeight="false" outlineLevel="0" collapsed="false">
      <c r="A8255" s="51" t="s">
        <v>494</v>
      </c>
      <c r="B8255" s="55" t="n">
        <v>45381</v>
      </c>
      <c r="C8255" s="51" t="s">
        <v>82</v>
      </c>
      <c r="D8255" s="51" t="n">
        <v>635343</v>
      </c>
    </row>
    <row r="8256" customFormat="false" ht="15" hidden="true" customHeight="false" outlineLevel="0" collapsed="false">
      <c r="A8256" s="51" t="s">
        <v>499</v>
      </c>
      <c r="B8256" s="55" t="n">
        <v>45381</v>
      </c>
      <c r="C8256" s="51" t="s">
        <v>82</v>
      </c>
      <c r="D8256" s="51" t="n">
        <v>840310</v>
      </c>
    </row>
    <row r="8257" customFormat="false" ht="15" hidden="true" customHeight="false" outlineLevel="0" collapsed="false">
      <c r="A8257" s="51" t="s">
        <v>504</v>
      </c>
      <c r="B8257" s="55" t="n">
        <v>45381</v>
      </c>
      <c r="C8257" s="51" t="s">
        <v>82</v>
      </c>
      <c r="D8257" s="51" t="n">
        <v>425000</v>
      </c>
    </row>
    <row r="8258" customFormat="false" ht="15" hidden="true" customHeight="false" outlineLevel="0" collapsed="false">
      <c r="A8258" s="51" t="s">
        <v>509</v>
      </c>
      <c r="B8258" s="55" t="n">
        <v>45381</v>
      </c>
      <c r="C8258" s="51" t="s">
        <v>82</v>
      </c>
      <c r="D8258" s="51" t="n">
        <v>1290373.28</v>
      </c>
    </row>
    <row r="8259" customFormat="false" ht="15" hidden="true" customHeight="false" outlineLevel="0" collapsed="false">
      <c r="A8259" s="51" t="s">
        <v>515</v>
      </c>
      <c r="B8259" s="55" t="n">
        <v>45381</v>
      </c>
      <c r="C8259" s="51" t="s">
        <v>82</v>
      </c>
      <c r="D8259" s="51" t="n">
        <v>1644300</v>
      </c>
    </row>
    <row r="8260" customFormat="false" ht="15" hidden="true" customHeight="false" outlineLevel="0" collapsed="false">
      <c r="A8260" s="51" t="s">
        <v>520</v>
      </c>
      <c r="B8260" s="55" t="n">
        <v>45381</v>
      </c>
      <c r="C8260" s="51" t="s">
        <v>82</v>
      </c>
      <c r="D8260" s="51" t="n">
        <v>1000000</v>
      </c>
    </row>
    <row r="8261" customFormat="false" ht="15" hidden="true" customHeight="false" outlineLevel="0" collapsed="false">
      <c r="A8261" s="51" t="s">
        <v>525</v>
      </c>
      <c r="B8261" s="55" t="n">
        <v>45381</v>
      </c>
      <c r="C8261" s="51" t="s">
        <v>82</v>
      </c>
      <c r="D8261" s="51" t="n">
        <v>0</v>
      </c>
    </row>
    <row r="8262" customFormat="false" ht="15" hidden="true" customHeight="false" outlineLevel="0" collapsed="false">
      <c r="A8262" s="51" t="s">
        <v>531</v>
      </c>
      <c r="B8262" s="55" t="n">
        <v>45381</v>
      </c>
      <c r="C8262" s="51" t="s">
        <v>82</v>
      </c>
      <c r="D8262" s="51" t="n">
        <v>0</v>
      </c>
    </row>
    <row r="8263" customFormat="false" ht="15" hidden="true" customHeight="false" outlineLevel="0" collapsed="false">
      <c r="A8263" s="51" t="s">
        <v>536</v>
      </c>
      <c r="B8263" s="55" t="n">
        <v>45381</v>
      </c>
      <c r="C8263" s="51" t="s">
        <v>82</v>
      </c>
      <c r="D8263" s="51" t="n">
        <v>0</v>
      </c>
    </row>
    <row r="8264" customFormat="false" ht="15" hidden="true" customHeight="false" outlineLevel="0" collapsed="false">
      <c r="A8264" s="51" t="s">
        <v>541</v>
      </c>
      <c r="B8264" s="55" t="n">
        <v>45381</v>
      </c>
      <c r="C8264" s="51" t="s">
        <v>82</v>
      </c>
      <c r="D8264" s="51" t="n">
        <v>0</v>
      </c>
    </row>
    <row r="8265" customFormat="false" ht="15" hidden="true" customHeight="false" outlineLevel="0" collapsed="false">
      <c r="A8265" s="51" t="s">
        <v>549</v>
      </c>
      <c r="B8265" s="55" t="n">
        <v>45381</v>
      </c>
      <c r="C8265" s="51" t="s">
        <v>82</v>
      </c>
      <c r="D8265" s="51" t="n">
        <v>0</v>
      </c>
    </row>
    <row r="8266" customFormat="false" ht="15" hidden="true" customHeight="false" outlineLevel="0" collapsed="false">
      <c r="A8266" s="51" t="s">
        <v>554</v>
      </c>
      <c r="B8266" s="55" t="n">
        <v>45381</v>
      </c>
      <c r="C8266" s="51" t="s">
        <v>82</v>
      </c>
      <c r="D8266" s="51" t="n">
        <v>0</v>
      </c>
    </row>
    <row r="8267" customFormat="false" ht="15" hidden="true" customHeight="false" outlineLevel="0" collapsed="false">
      <c r="A8267" s="51" t="s">
        <v>559</v>
      </c>
      <c r="B8267" s="55" t="n">
        <v>45381</v>
      </c>
      <c r="C8267" s="51" t="s">
        <v>82</v>
      </c>
      <c r="D8267" s="51" t="n">
        <v>0</v>
      </c>
    </row>
    <row r="8268" customFormat="false" ht="15" hidden="true" customHeight="false" outlineLevel="0" collapsed="false">
      <c r="A8268" s="51" t="s">
        <v>564</v>
      </c>
      <c r="B8268" s="55" t="n">
        <v>45381</v>
      </c>
      <c r="C8268" s="51" t="s">
        <v>82</v>
      </c>
      <c r="D8268" s="51" t="n">
        <v>0</v>
      </c>
    </row>
    <row r="8269" customFormat="false" ht="15" hidden="true" customHeight="false" outlineLevel="0" collapsed="false">
      <c r="A8269" s="51" t="s">
        <v>569</v>
      </c>
      <c r="B8269" s="55" t="n">
        <v>45381</v>
      </c>
      <c r="C8269" s="51" t="s">
        <v>82</v>
      </c>
      <c r="D8269" s="51" t="n">
        <v>0</v>
      </c>
    </row>
    <row r="8270" customFormat="false" ht="15" hidden="true" customHeight="false" outlineLevel="0" collapsed="false">
      <c r="A8270" s="51" t="s">
        <v>574</v>
      </c>
      <c r="B8270" s="55" t="n">
        <v>45381</v>
      </c>
      <c r="C8270" s="51" t="s">
        <v>82</v>
      </c>
      <c r="D8270" s="51" t="n">
        <v>0</v>
      </c>
    </row>
    <row r="8271" customFormat="false" ht="15" hidden="true" customHeight="false" outlineLevel="0" collapsed="false">
      <c r="A8271" s="51" t="s">
        <v>579</v>
      </c>
      <c r="B8271" s="55" t="n">
        <v>45381</v>
      </c>
      <c r="C8271" s="51" t="s">
        <v>82</v>
      </c>
      <c r="D8271" s="51" t="n">
        <v>0</v>
      </c>
    </row>
    <row r="8272" customFormat="false" ht="15" hidden="true" customHeight="false" outlineLevel="0" collapsed="false">
      <c r="A8272" s="51" t="s">
        <v>584</v>
      </c>
      <c r="B8272" s="55" t="n">
        <v>45381</v>
      </c>
      <c r="C8272" s="51" t="s">
        <v>82</v>
      </c>
      <c r="D8272" s="51" t="n">
        <v>0</v>
      </c>
    </row>
    <row r="8273" customFormat="false" ht="15" hidden="true" customHeight="false" outlineLevel="0" collapsed="false">
      <c r="A8273" s="51" t="s">
        <v>589</v>
      </c>
      <c r="B8273" s="55" t="n">
        <v>45381</v>
      </c>
      <c r="C8273" s="51" t="s">
        <v>82</v>
      </c>
      <c r="D8273" s="51" t="n">
        <v>0</v>
      </c>
    </row>
    <row r="8274" customFormat="false" ht="15" hidden="true" customHeight="false" outlineLevel="0" collapsed="false">
      <c r="A8274" s="51" t="s">
        <v>756</v>
      </c>
      <c r="B8274" s="55" t="n">
        <v>45381</v>
      </c>
      <c r="C8274" s="51" t="s">
        <v>82</v>
      </c>
      <c r="D8274" s="51" t="n">
        <v>0</v>
      </c>
    </row>
    <row r="8275" customFormat="false" ht="15" hidden="true" customHeight="false" outlineLevel="0" collapsed="false">
      <c r="A8275" s="51" t="s">
        <v>594</v>
      </c>
      <c r="B8275" s="55" t="n">
        <v>45381</v>
      </c>
      <c r="C8275" s="51" t="s">
        <v>82</v>
      </c>
      <c r="D8275" s="51" t="n">
        <v>0</v>
      </c>
    </row>
    <row r="8276" customFormat="false" ht="15" hidden="true" customHeight="false" outlineLevel="0" collapsed="false">
      <c r="A8276" s="51" t="s">
        <v>761</v>
      </c>
      <c r="B8276" s="55" t="n">
        <v>45381</v>
      </c>
      <c r="C8276" s="51" t="s">
        <v>82</v>
      </c>
      <c r="D8276" s="51" t="n">
        <v>0</v>
      </c>
    </row>
    <row r="8277" customFormat="false" ht="15" hidden="true" customHeight="false" outlineLevel="0" collapsed="false">
      <c r="A8277" s="51" t="s">
        <v>599</v>
      </c>
      <c r="B8277" s="55" t="n">
        <v>45381</v>
      </c>
      <c r="C8277" s="51" t="s">
        <v>82</v>
      </c>
      <c r="D8277" s="51" t="n">
        <v>0</v>
      </c>
    </row>
    <row r="8278" customFormat="false" ht="15" hidden="true" customHeight="false" outlineLevel="0" collapsed="false">
      <c r="A8278" s="51" t="s">
        <v>604</v>
      </c>
      <c r="B8278" s="55" t="n">
        <v>45381</v>
      </c>
      <c r="C8278" s="51" t="s">
        <v>82</v>
      </c>
      <c r="D8278" s="51" t="n">
        <v>0</v>
      </c>
    </row>
    <row r="8279" customFormat="false" ht="15" hidden="true" customHeight="false" outlineLevel="0" collapsed="false">
      <c r="A8279" s="51" t="s">
        <v>609</v>
      </c>
      <c r="B8279" s="55" t="n">
        <v>45381</v>
      </c>
      <c r="C8279" s="51" t="s">
        <v>82</v>
      </c>
      <c r="D8279" s="51" t="n">
        <v>0</v>
      </c>
    </row>
    <row r="8280" customFormat="false" ht="15" hidden="true" customHeight="false" outlineLevel="0" collapsed="false">
      <c r="A8280" s="51" t="s">
        <v>614</v>
      </c>
      <c r="B8280" s="55" t="n">
        <v>45381</v>
      </c>
      <c r="C8280" s="51" t="s">
        <v>82</v>
      </c>
      <c r="D8280" s="51" t="n">
        <v>0</v>
      </c>
    </row>
    <row r="8281" customFormat="false" ht="15" hidden="true" customHeight="false" outlineLevel="0" collapsed="false">
      <c r="A8281" s="51" t="s">
        <v>619</v>
      </c>
      <c r="B8281" s="55" t="n">
        <v>45381</v>
      </c>
      <c r="C8281" s="51" t="s">
        <v>82</v>
      </c>
      <c r="D8281" s="51" t="n">
        <v>0</v>
      </c>
    </row>
    <row r="8282" customFormat="false" ht="15" hidden="true" customHeight="false" outlineLevel="0" collapsed="false">
      <c r="A8282" s="51" t="s">
        <v>624</v>
      </c>
      <c r="B8282" s="55" t="n">
        <v>45381</v>
      </c>
      <c r="C8282" s="51" t="s">
        <v>82</v>
      </c>
      <c r="D8282" s="51" t="n">
        <v>0</v>
      </c>
    </row>
    <row r="8283" customFormat="false" ht="15" hidden="true" customHeight="false" outlineLevel="0" collapsed="false">
      <c r="A8283" s="51" t="s">
        <v>629</v>
      </c>
      <c r="B8283" s="55" t="n">
        <v>45381</v>
      </c>
      <c r="C8283" s="51" t="s">
        <v>82</v>
      </c>
      <c r="D8283" s="51" t="n">
        <v>0</v>
      </c>
    </row>
    <row r="8284" customFormat="false" ht="15" hidden="true" customHeight="false" outlineLevel="0" collapsed="false">
      <c r="A8284" s="51" t="s">
        <v>633</v>
      </c>
      <c r="B8284" s="55" t="n">
        <v>45381</v>
      </c>
      <c r="C8284" s="51" t="s">
        <v>82</v>
      </c>
      <c r="D8284" s="51" t="n">
        <v>0</v>
      </c>
    </row>
    <row r="8285" customFormat="false" ht="15" hidden="true" customHeight="false" outlineLevel="0" collapsed="false">
      <c r="A8285" s="51" t="s">
        <v>638</v>
      </c>
      <c r="B8285" s="55" t="n">
        <v>45381</v>
      </c>
      <c r="C8285" s="51" t="s">
        <v>82</v>
      </c>
      <c r="D8285" s="51" t="n">
        <v>0</v>
      </c>
    </row>
    <row r="8286" customFormat="false" ht="15" hidden="true" customHeight="false" outlineLevel="0" collapsed="false">
      <c r="A8286" s="51" t="s">
        <v>642</v>
      </c>
      <c r="B8286" s="55" t="n">
        <v>45381</v>
      </c>
      <c r="C8286" s="51" t="s">
        <v>82</v>
      </c>
      <c r="D8286" s="51" t="n">
        <v>0</v>
      </c>
    </row>
    <row r="8287" customFormat="false" ht="15" hidden="true" customHeight="false" outlineLevel="0" collapsed="false">
      <c r="A8287" s="51" t="s">
        <v>646</v>
      </c>
      <c r="B8287" s="55" t="n">
        <v>45381</v>
      </c>
      <c r="C8287" s="51" t="s">
        <v>82</v>
      </c>
      <c r="D8287" s="51" t="n">
        <v>0</v>
      </c>
    </row>
    <row r="8288" customFormat="false" ht="15" hidden="true" customHeight="false" outlineLevel="0" collapsed="false">
      <c r="A8288" s="51" t="s">
        <v>651</v>
      </c>
      <c r="B8288" s="55" t="n">
        <v>45381</v>
      </c>
      <c r="C8288" s="51" t="s">
        <v>82</v>
      </c>
      <c r="D8288" s="51" t="n">
        <v>0</v>
      </c>
    </row>
    <row r="8289" customFormat="false" ht="15" hidden="true" customHeight="false" outlineLevel="0" collapsed="false">
      <c r="A8289" s="51" t="s">
        <v>656</v>
      </c>
      <c r="B8289" s="55" t="n">
        <v>45381</v>
      </c>
      <c r="C8289" s="51" t="s">
        <v>82</v>
      </c>
      <c r="D8289" s="51" t="n">
        <v>0</v>
      </c>
    </row>
    <row r="8290" customFormat="false" ht="15" hidden="true" customHeight="false" outlineLevel="0" collapsed="false">
      <c r="A8290" s="51" t="s">
        <v>661</v>
      </c>
      <c r="B8290" s="55" t="n">
        <v>45381</v>
      </c>
      <c r="C8290" s="51" t="s">
        <v>82</v>
      </c>
      <c r="D8290" s="51" t="n">
        <v>0</v>
      </c>
    </row>
    <row r="8291" customFormat="false" ht="15" hidden="true" customHeight="false" outlineLevel="0" collapsed="false">
      <c r="A8291" s="51" t="s">
        <v>666</v>
      </c>
      <c r="B8291" s="55" t="n">
        <v>45381</v>
      </c>
      <c r="C8291" s="51" t="s">
        <v>82</v>
      </c>
      <c r="D8291" s="51" t="n">
        <v>0</v>
      </c>
    </row>
    <row r="8292" customFormat="false" ht="15" hidden="true" customHeight="false" outlineLevel="0" collapsed="false">
      <c r="A8292" s="51" t="s">
        <v>671</v>
      </c>
      <c r="B8292" s="55" t="n">
        <v>45381</v>
      </c>
      <c r="C8292" s="51" t="s">
        <v>82</v>
      </c>
      <c r="D8292" s="51" t="n">
        <v>0</v>
      </c>
    </row>
    <row r="8293" customFormat="false" ht="15" hidden="true" customHeight="false" outlineLevel="0" collapsed="false">
      <c r="A8293" s="51" t="s">
        <v>676</v>
      </c>
      <c r="B8293" s="55" t="n">
        <v>45381</v>
      </c>
      <c r="C8293" s="51" t="s">
        <v>82</v>
      </c>
      <c r="D8293" s="51" t="n">
        <v>0</v>
      </c>
    </row>
    <row r="8294" customFormat="false" ht="15" hidden="true" customHeight="false" outlineLevel="0" collapsed="false">
      <c r="A8294" s="51" t="s">
        <v>681</v>
      </c>
      <c r="B8294" s="55" t="n">
        <v>45381</v>
      </c>
      <c r="C8294" s="51" t="s">
        <v>82</v>
      </c>
      <c r="D8294" s="51" t="n">
        <v>0</v>
      </c>
    </row>
    <row r="8295" customFormat="false" ht="15" hidden="true" customHeight="false" outlineLevel="0" collapsed="false">
      <c r="A8295" s="51" t="s">
        <v>686</v>
      </c>
      <c r="B8295" s="55" t="n">
        <v>45381</v>
      </c>
      <c r="C8295" s="51" t="s">
        <v>82</v>
      </c>
      <c r="D8295" s="51" t="n">
        <v>0</v>
      </c>
    </row>
    <row r="8296" customFormat="false" ht="15" hidden="true" customHeight="false" outlineLevel="0" collapsed="false">
      <c r="A8296" s="51" t="s">
        <v>691</v>
      </c>
      <c r="B8296" s="55" t="n">
        <v>45381</v>
      </c>
      <c r="C8296" s="51" t="s">
        <v>82</v>
      </c>
      <c r="D8296" s="51" t="n">
        <v>0</v>
      </c>
    </row>
    <row r="8297" customFormat="false" ht="15" hidden="true" customHeight="false" outlineLevel="0" collapsed="false">
      <c r="A8297" s="51" t="s">
        <v>696</v>
      </c>
      <c r="B8297" s="55" t="n">
        <v>45381</v>
      </c>
      <c r="C8297" s="51" t="s">
        <v>82</v>
      </c>
      <c r="D8297" s="51" t="n">
        <v>0</v>
      </c>
    </row>
    <row r="8298" customFormat="false" ht="15" hidden="true" customHeight="false" outlineLevel="0" collapsed="false">
      <c r="A8298" s="51" t="s">
        <v>701</v>
      </c>
      <c r="B8298" s="55" t="n">
        <v>45381</v>
      </c>
      <c r="C8298" s="51" t="s">
        <v>82</v>
      </c>
      <c r="D8298" s="51" t="n">
        <v>0</v>
      </c>
    </row>
    <row r="8299" customFormat="false" ht="15" hidden="true" customHeight="false" outlineLevel="0" collapsed="false">
      <c r="A8299" s="51" t="s">
        <v>707</v>
      </c>
      <c r="B8299" s="55" t="n">
        <v>45381</v>
      </c>
      <c r="C8299" s="51" t="s">
        <v>82</v>
      </c>
      <c r="D8299" s="51" t="n">
        <v>0</v>
      </c>
    </row>
    <row r="8300" customFormat="false" ht="15" hidden="true" customHeight="false" outlineLevel="0" collapsed="false">
      <c r="A8300" s="51" t="s">
        <v>712</v>
      </c>
      <c r="B8300" s="55" t="n">
        <v>45381</v>
      </c>
      <c r="C8300" s="51" t="s">
        <v>82</v>
      </c>
      <c r="D8300" s="51" t="n">
        <v>0</v>
      </c>
    </row>
    <row r="8301" customFormat="false" ht="15" hidden="true" customHeight="false" outlineLevel="0" collapsed="false">
      <c r="A8301" s="51" t="s">
        <v>717</v>
      </c>
      <c r="B8301" s="55" t="n">
        <v>45381</v>
      </c>
      <c r="C8301" s="51" t="s">
        <v>82</v>
      </c>
      <c r="D8301" s="51" t="n">
        <v>0</v>
      </c>
    </row>
    <row r="8302" customFormat="false" ht="15" hidden="true" customHeight="false" outlineLevel="0" collapsed="false">
      <c r="A8302" s="51" t="s">
        <v>767</v>
      </c>
      <c r="B8302" s="55" t="n">
        <v>45381</v>
      </c>
      <c r="C8302" s="51" t="s">
        <v>82</v>
      </c>
      <c r="D8302" s="51" t="n">
        <v>0</v>
      </c>
    </row>
    <row r="8303" customFormat="false" ht="15" hidden="true" customHeight="false" outlineLevel="0" collapsed="false">
      <c r="A8303" s="51" t="s">
        <v>722</v>
      </c>
      <c r="B8303" s="55" t="n">
        <v>45381</v>
      </c>
      <c r="C8303" s="51" t="s">
        <v>82</v>
      </c>
      <c r="D8303" s="51" t="n">
        <v>0</v>
      </c>
    </row>
    <row r="8304" customFormat="false" ht="15" hidden="true" customHeight="false" outlineLevel="0" collapsed="false">
      <c r="A8304" s="51" t="s">
        <v>727</v>
      </c>
      <c r="B8304" s="55" t="n">
        <v>45381</v>
      </c>
      <c r="C8304" s="51" t="s">
        <v>82</v>
      </c>
      <c r="D8304" s="51" t="n">
        <v>0</v>
      </c>
    </row>
    <row r="8305" customFormat="false" ht="15" hidden="true" customHeight="false" outlineLevel="0" collapsed="false">
      <c r="A8305" s="51" t="s">
        <v>732</v>
      </c>
      <c r="B8305" s="55" t="n">
        <v>45381</v>
      </c>
      <c r="C8305" s="51" t="s">
        <v>82</v>
      </c>
      <c r="D8305" s="51" t="n">
        <v>0</v>
      </c>
    </row>
    <row r="8306" customFormat="false" ht="15" hidden="true" customHeight="false" outlineLevel="0" collapsed="false">
      <c r="A8306" s="51" t="s">
        <v>736</v>
      </c>
      <c r="B8306" s="55" t="n">
        <v>45381</v>
      </c>
      <c r="C8306" s="51" t="s">
        <v>82</v>
      </c>
      <c r="D8306" s="51" t="n">
        <v>0</v>
      </c>
    </row>
    <row r="8307" customFormat="false" ht="15" hidden="true" customHeight="false" outlineLevel="0" collapsed="false">
      <c r="A8307" s="51" t="s">
        <v>741</v>
      </c>
      <c r="B8307" s="55" t="n">
        <v>45381</v>
      </c>
      <c r="C8307" s="51" t="s">
        <v>82</v>
      </c>
      <c r="D8307" s="51" t="n">
        <v>0</v>
      </c>
    </row>
    <row r="8308" customFormat="false" ht="15" hidden="true" customHeight="false" outlineLevel="0" collapsed="false">
      <c r="A8308" s="51" t="s">
        <v>746</v>
      </c>
      <c r="B8308" s="55" t="n">
        <v>45381</v>
      </c>
      <c r="C8308" s="51" t="s">
        <v>82</v>
      </c>
      <c r="D8308" s="51" t="n">
        <v>0</v>
      </c>
    </row>
    <row r="8309" customFormat="false" ht="15" hidden="true" customHeight="false" outlineLevel="0" collapsed="false">
      <c r="A8309" s="51" t="s">
        <v>751</v>
      </c>
      <c r="B8309" s="55" t="n">
        <v>45381</v>
      </c>
      <c r="C8309" s="51" t="s">
        <v>82</v>
      </c>
      <c r="D8309" s="51" t="n">
        <v>0</v>
      </c>
    </row>
    <row r="8310" customFormat="false" ht="15" hidden="false" customHeight="false" outlineLevel="0" collapsed="false">
      <c r="A8310" s="51" t="s">
        <v>781</v>
      </c>
      <c r="B8310" s="55" t="n">
        <v>45381</v>
      </c>
      <c r="C8310" s="51" t="s">
        <v>73</v>
      </c>
      <c r="D8310" s="51" t="n">
        <v>0</v>
      </c>
    </row>
    <row r="8311" customFormat="false" ht="15" hidden="true" customHeight="false" outlineLevel="0" collapsed="false">
      <c r="A8311" s="51" t="s">
        <v>783</v>
      </c>
      <c r="B8311" s="55" t="n">
        <v>45381</v>
      </c>
      <c r="C8311" s="51" t="s">
        <v>73</v>
      </c>
      <c r="D8311" s="51" t="n">
        <v>0</v>
      </c>
    </row>
    <row r="8312" customFormat="false" ht="15" hidden="true" customHeight="false" outlineLevel="0" collapsed="false">
      <c r="A8312" s="51" t="s">
        <v>96</v>
      </c>
      <c r="B8312" s="55" t="n">
        <v>45381</v>
      </c>
      <c r="C8312" s="51" t="s">
        <v>73</v>
      </c>
      <c r="D8312" s="51" t="n">
        <v>0</v>
      </c>
    </row>
    <row r="8313" customFormat="false" ht="15" hidden="true" customHeight="false" outlineLevel="0" collapsed="false">
      <c r="A8313" s="51" t="s">
        <v>101</v>
      </c>
      <c r="B8313" s="55" t="n">
        <v>45381</v>
      </c>
      <c r="C8313" s="51" t="s">
        <v>73</v>
      </c>
      <c r="D8313" s="51" t="n">
        <v>0</v>
      </c>
    </row>
    <row r="8314" customFormat="false" ht="15" hidden="true" customHeight="false" outlineLevel="0" collapsed="false">
      <c r="A8314" s="51" t="s">
        <v>106</v>
      </c>
      <c r="B8314" s="55" t="n">
        <v>45381</v>
      </c>
      <c r="C8314" s="51" t="s">
        <v>73</v>
      </c>
      <c r="D8314" s="51" t="n">
        <v>0</v>
      </c>
    </row>
    <row r="8315" customFormat="false" ht="15" hidden="true" customHeight="false" outlineLevel="0" collapsed="false">
      <c r="A8315" s="51" t="s">
        <v>110</v>
      </c>
      <c r="B8315" s="55" t="n">
        <v>45381</v>
      </c>
      <c r="C8315" s="51" t="s">
        <v>73</v>
      </c>
      <c r="D8315" s="51" t="n">
        <v>0</v>
      </c>
    </row>
    <row r="8316" customFormat="false" ht="15" hidden="true" customHeight="false" outlineLevel="0" collapsed="false">
      <c r="A8316" s="51" t="s">
        <v>115</v>
      </c>
      <c r="B8316" s="55" t="n">
        <v>45381</v>
      </c>
      <c r="C8316" s="51" t="s">
        <v>73</v>
      </c>
      <c r="D8316" s="51" t="n">
        <v>0</v>
      </c>
    </row>
    <row r="8317" customFormat="false" ht="15" hidden="true" customHeight="false" outlineLevel="0" collapsed="false">
      <c r="A8317" s="51" t="s">
        <v>120</v>
      </c>
      <c r="B8317" s="55" t="n">
        <v>45381</v>
      </c>
      <c r="C8317" s="51" t="s">
        <v>73</v>
      </c>
      <c r="D8317" s="51" t="n">
        <v>0</v>
      </c>
    </row>
    <row r="8318" customFormat="false" ht="15" hidden="true" customHeight="false" outlineLevel="0" collapsed="false">
      <c r="A8318" s="51" t="s">
        <v>124</v>
      </c>
      <c r="B8318" s="55" t="n">
        <v>45381</v>
      </c>
      <c r="C8318" s="51" t="s">
        <v>73</v>
      </c>
      <c r="D8318" s="51" t="n">
        <v>0</v>
      </c>
    </row>
    <row r="8319" customFormat="false" ht="15" hidden="true" customHeight="false" outlineLevel="0" collapsed="false">
      <c r="A8319" s="51" t="s">
        <v>129</v>
      </c>
      <c r="B8319" s="55" t="n">
        <v>45381</v>
      </c>
      <c r="C8319" s="51" t="s">
        <v>73</v>
      </c>
      <c r="D8319" s="51" t="n">
        <v>0</v>
      </c>
    </row>
    <row r="8320" customFormat="false" ht="15" hidden="true" customHeight="false" outlineLevel="0" collapsed="false">
      <c r="A8320" s="51" t="s">
        <v>134</v>
      </c>
      <c r="B8320" s="55" t="n">
        <v>45381</v>
      </c>
      <c r="C8320" s="51" t="s">
        <v>73</v>
      </c>
      <c r="D8320" s="51" t="n">
        <v>0</v>
      </c>
    </row>
    <row r="8321" customFormat="false" ht="15" hidden="true" customHeight="false" outlineLevel="0" collapsed="false">
      <c r="A8321" s="51" t="s">
        <v>141</v>
      </c>
      <c r="B8321" s="55" t="n">
        <v>45381</v>
      </c>
      <c r="C8321" s="51" t="s">
        <v>73</v>
      </c>
      <c r="D8321" s="51" t="n">
        <v>0</v>
      </c>
    </row>
    <row r="8322" customFormat="false" ht="15" hidden="true" customHeight="false" outlineLevel="0" collapsed="false">
      <c r="A8322" s="51" t="s">
        <v>146</v>
      </c>
      <c r="B8322" s="55" t="n">
        <v>45381</v>
      </c>
      <c r="C8322" s="51" t="s">
        <v>73</v>
      </c>
      <c r="D8322" s="51" t="n">
        <v>0</v>
      </c>
    </row>
    <row r="8323" customFormat="false" ht="15" hidden="true" customHeight="false" outlineLevel="0" collapsed="false">
      <c r="A8323" s="51" t="s">
        <v>151</v>
      </c>
      <c r="B8323" s="55" t="n">
        <v>45381</v>
      </c>
      <c r="C8323" s="51" t="s">
        <v>73</v>
      </c>
      <c r="D8323" s="51" t="n">
        <v>0</v>
      </c>
    </row>
    <row r="8324" customFormat="false" ht="15" hidden="true" customHeight="false" outlineLevel="0" collapsed="false">
      <c r="A8324" s="51" t="s">
        <v>156</v>
      </c>
      <c r="B8324" s="55" t="n">
        <v>45381</v>
      </c>
      <c r="C8324" s="51" t="s">
        <v>73</v>
      </c>
      <c r="D8324" s="51" t="n">
        <v>0</v>
      </c>
    </row>
    <row r="8325" customFormat="false" ht="15" hidden="true" customHeight="false" outlineLevel="0" collapsed="false">
      <c r="A8325" s="51" t="s">
        <v>161</v>
      </c>
      <c r="B8325" s="55" t="n">
        <v>45381</v>
      </c>
      <c r="C8325" s="51" t="s">
        <v>73</v>
      </c>
      <c r="D8325" s="51" t="n">
        <v>0</v>
      </c>
    </row>
    <row r="8326" customFormat="false" ht="15" hidden="true" customHeight="false" outlineLevel="0" collapsed="false">
      <c r="A8326" s="51" t="s">
        <v>166</v>
      </c>
      <c r="B8326" s="55" t="n">
        <v>45381</v>
      </c>
      <c r="C8326" s="51" t="s">
        <v>73</v>
      </c>
      <c r="D8326" s="51" t="n">
        <v>0</v>
      </c>
    </row>
    <row r="8327" customFormat="false" ht="15" hidden="true" customHeight="false" outlineLevel="0" collapsed="false">
      <c r="A8327" s="51" t="s">
        <v>171</v>
      </c>
      <c r="B8327" s="55" t="n">
        <v>45381</v>
      </c>
      <c r="C8327" s="51" t="s">
        <v>73</v>
      </c>
      <c r="D8327" s="51" t="n">
        <v>0</v>
      </c>
    </row>
    <row r="8328" customFormat="false" ht="15" hidden="true" customHeight="false" outlineLevel="0" collapsed="false">
      <c r="A8328" s="51" t="s">
        <v>176</v>
      </c>
      <c r="B8328" s="55" t="n">
        <v>45381</v>
      </c>
      <c r="C8328" s="51" t="s">
        <v>73</v>
      </c>
      <c r="D8328" s="51" t="n">
        <v>0</v>
      </c>
    </row>
    <row r="8329" customFormat="false" ht="15" hidden="true" customHeight="false" outlineLevel="0" collapsed="false">
      <c r="A8329" s="51" t="s">
        <v>181</v>
      </c>
      <c r="B8329" s="55" t="n">
        <v>45381</v>
      </c>
      <c r="C8329" s="51" t="s">
        <v>73</v>
      </c>
      <c r="D8329" s="51" t="n">
        <v>0</v>
      </c>
    </row>
    <row r="8330" customFormat="false" ht="15" hidden="true" customHeight="false" outlineLevel="0" collapsed="false">
      <c r="A8330" s="51" t="s">
        <v>186</v>
      </c>
      <c r="B8330" s="55" t="n">
        <v>45381</v>
      </c>
      <c r="C8330" s="51" t="s">
        <v>73</v>
      </c>
      <c r="D8330" s="51" t="n">
        <v>0</v>
      </c>
    </row>
    <row r="8331" customFormat="false" ht="15" hidden="true" customHeight="false" outlineLevel="0" collapsed="false">
      <c r="A8331" s="51" t="s">
        <v>191</v>
      </c>
      <c r="B8331" s="55" t="n">
        <v>45381</v>
      </c>
      <c r="C8331" s="51" t="s">
        <v>73</v>
      </c>
      <c r="D8331" s="51" t="n">
        <v>0</v>
      </c>
    </row>
    <row r="8332" customFormat="false" ht="15" hidden="true" customHeight="false" outlineLevel="0" collapsed="false">
      <c r="A8332" s="51" t="s">
        <v>196</v>
      </c>
      <c r="B8332" s="55" t="n">
        <v>45381</v>
      </c>
      <c r="C8332" s="51" t="s">
        <v>73</v>
      </c>
      <c r="D8332" s="51" t="n">
        <v>0</v>
      </c>
    </row>
    <row r="8333" customFormat="false" ht="15" hidden="true" customHeight="false" outlineLevel="0" collapsed="false">
      <c r="A8333" s="51" t="s">
        <v>201</v>
      </c>
      <c r="B8333" s="55" t="n">
        <v>45381</v>
      </c>
      <c r="C8333" s="51" t="s">
        <v>73</v>
      </c>
      <c r="D8333" s="51" t="n">
        <v>0</v>
      </c>
    </row>
    <row r="8334" customFormat="false" ht="15" hidden="true" customHeight="false" outlineLevel="0" collapsed="false">
      <c r="A8334" s="51" t="s">
        <v>206</v>
      </c>
      <c r="B8334" s="55" t="n">
        <v>45381</v>
      </c>
      <c r="C8334" s="51" t="s">
        <v>73</v>
      </c>
      <c r="D8334" s="51" t="n">
        <v>0</v>
      </c>
    </row>
    <row r="8335" customFormat="false" ht="15" hidden="true" customHeight="false" outlineLevel="0" collapsed="false">
      <c r="A8335" s="51" t="s">
        <v>210</v>
      </c>
      <c r="B8335" s="55" t="n">
        <v>45381</v>
      </c>
      <c r="C8335" s="51" t="s">
        <v>73</v>
      </c>
      <c r="D8335" s="51" t="n">
        <v>0</v>
      </c>
    </row>
    <row r="8336" customFormat="false" ht="15" hidden="true" customHeight="false" outlineLevel="0" collapsed="false">
      <c r="A8336" s="51" t="s">
        <v>215</v>
      </c>
      <c r="B8336" s="55" t="n">
        <v>45381</v>
      </c>
      <c r="C8336" s="51" t="s">
        <v>73</v>
      </c>
      <c r="D8336" s="51" t="n">
        <v>0</v>
      </c>
    </row>
    <row r="8337" customFormat="false" ht="15" hidden="true" customHeight="false" outlineLevel="0" collapsed="false">
      <c r="A8337" s="51" t="s">
        <v>790</v>
      </c>
      <c r="B8337" s="55" t="n">
        <v>45381</v>
      </c>
      <c r="C8337" s="51" t="s">
        <v>73</v>
      </c>
      <c r="D8337" s="51" t="n">
        <v>0</v>
      </c>
    </row>
    <row r="8338" customFormat="false" ht="15" hidden="true" customHeight="false" outlineLevel="0" collapsed="false">
      <c r="A8338" s="51" t="s">
        <v>225</v>
      </c>
      <c r="B8338" s="55" t="n">
        <v>45381</v>
      </c>
      <c r="C8338" s="51" t="s">
        <v>73</v>
      </c>
      <c r="D8338" s="51" t="n">
        <v>0</v>
      </c>
    </row>
    <row r="8339" customFormat="false" ht="15" hidden="true" customHeight="false" outlineLevel="0" collapsed="false">
      <c r="A8339" s="51" t="s">
        <v>230</v>
      </c>
      <c r="B8339" s="55" t="n">
        <v>45381</v>
      </c>
      <c r="C8339" s="51" t="s">
        <v>73</v>
      </c>
      <c r="D8339" s="51" t="n">
        <v>85000</v>
      </c>
    </row>
    <row r="8340" customFormat="false" ht="15" hidden="true" customHeight="false" outlineLevel="0" collapsed="false">
      <c r="A8340" s="51" t="s">
        <v>235</v>
      </c>
      <c r="B8340" s="55" t="n">
        <v>45381</v>
      </c>
      <c r="C8340" s="51" t="s">
        <v>73</v>
      </c>
      <c r="D8340" s="51" t="n">
        <v>0</v>
      </c>
    </row>
    <row r="8341" customFormat="false" ht="15" hidden="true" customHeight="false" outlineLevel="0" collapsed="false">
      <c r="A8341" s="51" t="s">
        <v>240</v>
      </c>
      <c r="B8341" s="55" t="n">
        <v>45381</v>
      </c>
      <c r="C8341" s="51" t="s">
        <v>73</v>
      </c>
      <c r="D8341" s="51" t="n">
        <v>0</v>
      </c>
    </row>
    <row r="8342" customFormat="false" ht="15" hidden="true" customHeight="false" outlineLevel="0" collapsed="false">
      <c r="A8342" s="51" t="s">
        <v>246</v>
      </c>
      <c r="B8342" s="55" t="n">
        <v>45381</v>
      </c>
      <c r="C8342" s="51" t="s">
        <v>73</v>
      </c>
      <c r="D8342" s="51" t="n">
        <v>1200000</v>
      </c>
    </row>
    <row r="8343" customFormat="false" ht="15" hidden="true" customHeight="false" outlineLevel="0" collapsed="false">
      <c r="A8343" s="51" t="s">
        <v>252</v>
      </c>
      <c r="B8343" s="55" t="n">
        <v>45381</v>
      </c>
      <c r="C8343" s="51" t="s">
        <v>73</v>
      </c>
      <c r="D8343" s="51" t="n">
        <v>0</v>
      </c>
    </row>
    <row r="8344" customFormat="false" ht="15" hidden="true" customHeight="false" outlineLevel="0" collapsed="false">
      <c r="A8344" s="51" t="s">
        <v>257</v>
      </c>
      <c r="B8344" s="55" t="n">
        <v>45381</v>
      </c>
      <c r="C8344" s="51" t="s">
        <v>73</v>
      </c>
      <c r="D8344" s="51" t="n">
        <v>0</v>
      </c>
    </row>
    <row r="8345" customFormat="false" ht="15" hidden="true" customHeight="false" outlineLevel="0" collapsed="false">
      <c r="A8345" s="51" t="s">
        <v>262</v>
      </c>
      <c r="B8345" s="55" t="n">
        <v>45381</v>
      </c>
      <c r="C8345" s="51" t="s">
        <v>73</v>
      </c>
      <c r="D8345" s="51" t="n">
        <v>0</v>
      </c>
    </row>
    <row r="8346" customFormat="false" ht="15" hidden="true" customHeight="false" outlineLevel="0" collapsed="false">
      <c r="A8346" s="51" t="s">
        <v>267</v>
      </c>
      <c r="B8346" s="55" t="n">
        <v>45381</v>
      </c>
      <c r="C8346" s="51" t="s">
        <v>73</v>
      </c>
      <c r="D8346" s="51" t="n">
        <v>0</v>
      </c>
    </row>
    <row r="8347" customFormat="false" ht="15" hidden="true" customHeight="false" outlineLevel="0" collapsed="false">
      <c r="A8347" s="51" t="s">
        <v>272</v>
      </c>
      <c r="B8347" s="55" t="n">
        <v>45381</v>
      </c>
      <c r="C8347" s="51" t="s">
        <v>73</v>
      </c>
      <c r="D8347" s="51" t="n">
        <v>0</v>
      </c>
    </row>
    <row r="8348" customFormat="false" ht="15" hidden="true" customHeight="false" outlineLevel="0" collapsed="false">
      <c r="A8348" s="51" t="s">
        <v>277</v>
      </c>
      <c r="B8348" s="55" t="n">
        <v>45381</v>
      </c>
      <c r="C8348" s="51" t="s">
        <v>73</v>
      </c>
      <c r="D8348" s="51" t="n">
        <v>0</v>
      </c>
    </row>
    <row r="8349" customFormat="false" ht="15" hidden="true" customHeight="false" outlineLevel="0" collapsed="false">
      <c r="A8349" s="51" t="s">
        <v>282</v>
      </c>
      <c r="B8349" s="55" t="n">
        <v>45381</v>
      </c>
      <c r="C8349" s="51" t="s">
        <v>73</v>
      </c>
      <c r="D8349" s="51" t="n">
        <v>0</v>
      </c>
    </row>
    <row r="8350" customFormat="false" ht="15" hidden="true" customHeight="false" outlineLevel="0" collapsed="false">
      <c r="A8350" s="51" t="s">
        <v>287</v>
      </c>
      <c r="B8350" s="55" t="n">
        <v>45381</v>
      </c>
      <c r="C8350" s="51" t="s">
        <v>73</v>
      </c>
      <c r="D8350" s="51" t="n">
        <v>0</v>
      </c>
    </row>
    <row r="8351" customFormat="false" ht="15" hidden="true" customHeight="false" outlineLevel="0" collapsed="false">
      <c r="A8351" s="51" t="s">
        <v>292</v>
      </c>
      <c r="B8351" s="55" t="n">
        <v>45381</v>
      </c>
      <c r="C8351" s="51" t="s">
        <v>73</v>
      </c>
      <c r="D8351" s="51" t="n">
        <v>0</v>
      </c>
    </row>
    <row r="8352" customFormat="false" ht="15" hidden="true" customHeight="false" outlineLevel="0" collapsed="false">
      <c r="A8352" s="51" t="s">
        <v>297</v>
      </c>
      <c r="B8352" s="55" t="n">
        <v>45381</v>
      </c>
      <c r="C8352" s="51" t="s">
        <v>73</v>
      </c>
      <c r="D8352" s="51" t="n">
        <v>0</v>
      </c>
    </row>
    <row r="8353" customFormat="false" ht="15" hidden="true" customHeight="false" outlineLevel="0" collapsed="false">
      <c r="A8353" s="51" t="s">
        <v>302</v>
      </c>
      <c r="B8353" s="55" t="n">
        <v>45381</v>
      </c>
      <c r="C8353" s="51" t="s">
        <v>73</v>
      </c>
      <c r="D8353" s="51" t="n">
        <v>0</v>
      </c>
    </row>
    <row r="8354" customFormat="false" ht="15" hidden="true" customHeight="false" outlineLevel="0" collapsed="false">
      <c r="A8354" s="51" t="s">
        <v>307</v>
      </c>
      <c r="B8354" s="55" t="n">
        <v>45381</v>
      </c>
      <c r="C8354" s="51" t="s">
        <v>73</v>
      </c>
      <c r="D8354" s="51" t="n">
        <v>0</v>
      </c>
    </row>
    <row r="8355" customFormat="false" ht="15" hidden="true" customHeight="false" outlineLevel="0" collapsed="false">
      <c r="A8355" s="51" t="s">
        <v>311</v>
      </c>
      <c r="B8355" s="55" t="n">
        <v>45381</v>
      </c>
      <c r="C8355" s="51" t="s">
        <v>73</v>
      </c>
      <c r="D8355" s="51" t="n">
        <v>0</v>
      </c>
    </row>
    <row r="8356" customFormat="false" ht="15" hidden="true" customHeight="false" outlineLevel="0" collapsed="false">
      <c r="A8356" s="51" t="s">
        <v>317</v>
      </c>
      <c r="B8356" s="55" t="n">
        <v>45381</v>
      </c>
      <c r="C8356" s="51" t="s">
        <v>73</v>
      </c>
      <c r="D8356" s="51" t="n">
        <v>0</v>
      </c>
    </row>
    <row r="8357" customFormat="false" ht="15" hidden="true" customHeight="false" outlineLevel="0" collapsed="false">
      <c r="A8357" s="51" t="s">
        <v>322</v>
      </c>
      <c r="B8357" s="55" t="n">
        <v>45381</v>
      </c>
      <c r="C8357" s="51" t="s">
        <v>73</v>
      </c>
      <c r="D8357" s="51" t="n">
        <v>0</v>
      </c>
    </row>
    <row r="8358" customFormat="false" ht="15" hidden="true" customHeight="false" outlineLevel="0" collapsed="false">
      <c r="A8358" s="51" t="s">
        <v>327</v>
      </c>
      <c r="B8358" s="55" t="n">
        <v>45381</v>
      </c>
      <c r="C8358" s="51" t="s">
        <v>73</v>
      </c>
      <c r="D8358" s="51" t="n">
        <v>42000</v>
      </c>
    </row>
    <row r="8359" customFormat="false" ht="15" hidden="true" customHeight="false" outlineLevel="0" collapsed="false">
      <c r="A8359" s="51" t="s">
        <v>332</v>
      </c>
      <c r="B8359" s="55" t="n">
        <v>45381</v>
      </c>
      <c r="C8359" s="51" t="s">
        <v>73</v>
      </c>
      <c r="D8359" s="51" t="n">
        <v>200000</v>
      </c>
    </row>
    <row r="8360" customFormat="false" ht="15" hidden="true" customHeight="false" outlineLevel="0" collapsed="false">
      <c r="A8360" s="51" t="s">
        <v>339</v>
      </c>
      <c r="B8360" s="55" t="n">
        <v>45381</v>
      </c>
      <c r="C8360" s="51" t="s">
        <v>73</v>
      </c>
      <c r="D8360" s="51" t="n">
        <v>0</v>
      </c>
    </row>
    <row r="8361" customFormat="false" ht="15" hidden="true" customHeight="false" outlineLevel="0" collapsed="false">
      <c r="A8361" s="51" t="s">
        <v>344</v>
      </c>
      <c r="B8361" s="55" t="n">
        <v>45381</v>
      </c>
      <c r="C8361" s="51" t="s">
        <v>73</v>
      </c>
      <c r="D8361" s="51" t="n">
        <v>0</v>
      </c>
    </row>
    <row r="8362" customFormat="false" ht="15" hidden="true" customHeight="false" outlineLevel="0" collapsed="false">
      <c r="A8362" s="51" t="s">
        <v>349</v>
      </c>
      <c r="B8362" s="55" t="n">
        <v>45381</v>
      </c>
      <c r="C8362" s="51" t="s">
        <v>73</v>
      </c>
      <c r="D8362" s="51" t="n">
        <v>0</v>
      </c>
    </row>
    <row r="8363" customFormat="false" ht="15" hidden="true" customHeight="false" outlineLevel="0" collapsed="false">
      <c r="A8363" s="51" t="s">
        <v>354</v>
      </c>
      <c r="B8363" s="55" t="n">
        <v>45381</v>
      </c>
      <c r="C8363" s="51" t="s">
        <v>73</v>
      </c>
      <c r="D8363" s="51" t="n">
        <v>0</v>
      </c>
    </row>
    <row r="8364" customFormat="false" ht="15" hidden="true" customHeight="false" outlineLevel="0" collapsed="false">
      <c r="A8364" s="51" t="s">
        <v>359</v>
      </c>
      <c r="B8364" s="55" t="n">
        <v>45381</v>
      </c>
      <c r="C8364" s="51" t="s">
        <v>73</v>
      </c>
      <c r="D8364" s="51" t="n">
        <v>108000</v>
      </c>
    </row>
    <row r="8365" customFormat="false" ht="15" hidden="true" customHeight="false" outlineLevel="0" collapsed="false">
      <c r="A8365" s="51" t="s">
        <v>364</v>
      </c>
      <c r="B8365" s="55" t="n">
        <v>45381</v>
      </c>
      <c r="C8365" s="51" t="s">
        <v>73</v>
      </c>
      <c r="D8365" s="51" t="n">
        <v>0</v>
      </c>
    </row>
    <row r="8366" customFormat="false" ht="15" hidden="true" customHeight="false" outlineLevel="0" collapsed="false">
      <c r="A8366" s="51" t="s">
        <v>369</v>
      </c>
      <c r="B8366" s="55" t="n">
        <v>45381</v>
      </c>
      <c r="C8366" s="51" t="s">
        <v>73</v>
      </c>
      <c r="D8366" s="51" t="n">
        <v>500000</v>
      </c>
    </row>
    <row r="8367" customFormat="false" ht="15" hidden="true" customHeight="false" outlineLevel="0" collapsed="false">
      <c r="A8367" s="51" t="s">
        <v>374</v>
      </c>
      <c r="B8367" s="55" t="n">
        <v>45381</v>
      </c>
      <c r="C8367" s="51" t="s">
        <v>73</v>
      </c>
      <c r="D8367" s="51" t="n">
        <v>477445.23</v>
      </c>
    </row>
    <row r="8368" customFormat="false" ht="15" hidden="true" customHeight="false" outlineLevel="0" collapsed="false">
      <c r="A8368" s="51" t="s">
        <v>379</v>
      </c>
      <c r="B8368" s="55" t="n">
        <v>45381</v>
      </c>
      <c r="C8368" s="51" t="s">
        <v>73</v>
      </c>
      <c r="D8368" s="51" t="n">
        <v>778747.95</v>
      </c>
    </row>
    <row r="8369" customFormat="false" ht="15" hidden="true" customHeight="false" outlineLevel="0" collapsed="false">
      <c r="A8369" s="51" t="s">
        <v>384</v>
      </c>
      <c r="B8369" s="55" t="n">
        <v>45381</v>
      </c>
      <c r="C8369" s="51" t="s">
        <v>73</v>
      </c>
      <c r="D8369" s="51" t="n">
        <v>562500</v>
      </c>
    </row>
    <row r="8370" customFormat="false" ht="15" hidden="true" customHeight="false" outlineLevel="0" collapsed="false">
      <c r="A8370" s="51" t="s">
        <v>389</v>
      </c>
      <c r="B8370" s="55" t="n">
        <v>45381</v>
      </c>
      <c r="C8370" s="51" t="s">
        <v>73</v>
      </c>
      <c r="D8370" s="51" t="n">
        <v>3200000</v>
      </c>
    </row>
    <row r="8371" customFormat="false" ht="15" hidden="true" customHeight="false" outlineLevel="0" collapsed="false">
      <c r="A8371" s="51" t="s">
        <v>394</v>
      </c>
      <c r="B8371" s="55" t="n">
        <v>45381</v>
      </c>
      <c r="C8371" s="51" t="s">
        <v>73</v>
      </c>
      <c r="D8371" s="51" t="n">
        <v>1056671.22</v>
      </c>
    </row>
    <row r="8372" customFormat="false" ht="15" hidden="true" customHeight="false" outlineLevel="0" collapsed="false">
      <c r="A8372" s="51" t="s">
        <v>399</v>
      </c>
      <c r="B8372" s="55" t="n">
        <v>45381</v>
      </c>
      <c r="C8372" s="51" t="s">
        <v>73</v>
      </c>
      <c r="D8372" s="51" t="n">
        <v>0</v>
      </c>
    </row>
    <row r="8373" customFormat="false" ht="15" hidden="true" customHeight="false" outlineLevel="0" collapsed="false">
      <c r="A8373" s="51" t="s">
        <v>404</v>
      </c>
      <c r="B8373" s="55" t="n">
        <v>45381</v>
      </c>
      <c r="C8373" s="51" t="s">
        <v>73</v>
      </c>
      <c r="D8373" s="51" t="n">
        <v>350000</v>
      </c>
    </row>
    <row r="8374" customFormat="false" ht="15" hidden="true" customHeight="false" outlineLevel="0" collapsed="false">
      <c r="A8374" s="51" t="s">
        <v>409</v>
      </c>
      <c r="B8374" s="55" t="n">
        <v>45381</v>
      </c>
      <c r="C8374" s="51" t="s">
        <v>73</v>
      </c>
      <c r="D8374" s="51" t="n">
        <v>1000000</v>
      </c>
    </row>
    <row r="8375" customFormat="false" ht="15" hidden="true" customHeight="false" outlineLevel="0" collapsed="false">
      <c r="A8375" s="51" t="s">
        <v>414</v>
      </c>
      <c r="B8375" s="55" t="n">
        <v>45381</v>
      </c>
      <c r="C8375" s="51" t="s">
        <v>73</v>
      </c>
      <c r="D8375" s="51" t="n">
        <v>395239</v>
      </c>
    </row>
    <row r="8376" customFormat="false" ht="15" hidden="true" customHeight="false" outlineLevel="0" collapsed="false">
      <c r="A8376" s="51" t="s">
        <v>419</v>
      </c>
      <c r="B8376" s="55" t="n">
        <v>45381</v>
      </c>
      <c r="C8376" s="51" t="s">
        <v>73</v>
      </c>
      <c r="D8376" s="51" t="n">
        <v>700000</v>
      </c>
    </row>
    <row r="8377" customFormat="false" ht="15" hidden="true" customHeight="false" outlineLevel="0" collapsed="false">
      <c r="A8377" s="51" t="s">
        <v>424</v>
      </c>
      <c r="B8377" s="55" t="n">
        <v>45381</v>
      </c>
      <c r="C8377" s="51" t="s">
        <v>73</v>
      </c>
      <c r="D8377" s="51" t="n">
        <v>605350</v>
      </c>
    </row>
    <row r="8378" customFormat="false" ht="15" hidden="true" customHeight="false" outlineLevel="0" collapsed="false">
      <c r="A8378" s="51" t="s">
        <v>429</v>
      </c>
      <c r="B8378" s="55" t="n">
        <v>45381</v>
      </c>
      <c r="C8378" s="51" t="s">
        <v>73</v>
      </c>
      <c r="D8378" s="51" t="n">
        <v>250000</v>
      </c>
    </row>
    <row r="8379" customFormat="false" ht="15" hidden="true" customHeight="false" outlineLevel="0" collapsed="false">
      <c r="A8379" s="51" t="s">
        <v>434</v>
      </c>
      <c r="B8379" s="55" t="n">
        <v>45381</v>
      </c>
      <c r="C8379" s="51" t="s">
        <v>73</v>
      </c>
      <c r="D8379" s="51" t="n">
        <v>500000</v>
      </c>
    </row>
    <row r="8380" customFormat="false" ht="15" hidden="true" customHeight="false" outlineLevel="0" collapsed="false">
      <c r="A8380" s="51" t="s">
        <v>438</v>
      </c>
      <c r="B8380" s="55" t="n">
        <v>45381</v>
      </c>
      <c r="C8380" s="51" t="s">
        <v>73</v>
      </c>
      <c r="D8380" s="51" t="n">
        <v>500000</v>
      </c>
    </row>
    <row r="8381" customFormat="false" ht="15" hidden="true" customHeight="false" outlineLevel="0" collapsed="false">
      <c r="A8381" s="51" t="s">
        <v>443</v>
      </c>
      <c r="B8381" s="55" t="n">
        <v>45381</v>
      </c>
      <c r="C8381" s="51" t="s">
        <v>73</v>
      </c>
      <c r="D8381" s="51" t="n">
        <v>800000</v>
      </c>
    </row>
    <row r="8382" customFormat="false" ht="15" hidden="true" customHeight="false" outlineLevel="0" collapsed="false">
      <c r="A8382" s="51" t="s">
        <v>448</v>
      </c>
      <c r="B8382" s="55" t="n">
        <v>45381</v>
      </c>
      <c r="C8382" s="51" t="s">
        <v>73</v>
      </c>
      <c r="D8382" s="51" t="n">
        <v>215000</v>
      </c>
    </row>
    <row r="8383" customFormat="false" ht="15" hidden="true" customHeight="false" outlineLevel="0" collapsed="false">
      <c r="A8383" s="51" t="s">
        <v>453</v>
      </c>
      <c r="B8383" s="55" t="n">
        <v>45381</v>
      </c>
      <c r="C8383" s="51" t="s">
        <v>73</v>
      </c>
      <c r="D8383" s="51" t="n">
        <v>4000000</v>
      </c>
    </row>
    <row r="8384" customFormat="false" ht="15" hidden="true" customHeight="false" outlineLevel="0" collapsed="false">
      <c r="A8384" s="51" t="s">
        <v>458</v>
      </c>
      <c r="B8384" s="55" t="n">
        <v>45381</v>
      </c>
      <c r="C8384" s="51" t="s">
        <v>73</v>
      </c>
      <c r="D8384" s="51" t="n">
        <v>731800</v>
      </c>
    </row>
    <row r="8385" customFormat="false" ht="15" hidden="true" customHeight="false" outlineLevel="0" collapsed="false">
      <c r="A8385" s="51" t="s">
        <v>473</v>
      </c>
      <c r="B8385" s="55" t="n">
        <v>45381</v>
      </c>
      <c r="C8385" s="51" t="s">
        <v>73</v>
      </c>
      <c r="D8385" s="51" t="n">
        <v>150000</v>
      </c>
    </row>
    <row r="8386" customFormat="false" ht="15" hidden="true" customHeight="false" outlineLevel="0" collapsed="false">
      <c r="A8386" s="51" t="s">
        <v>479</v>
      </c>
      <c r="B8386" s="55" t="n">
        <v>45381</v>
      </c>
      <c r="C8386" s="51" t="s">
        <v>73</v>
      </c>
      <c r="D8386" s="51" t="n">
        <v>4000000</v>
      </c>
    </row>
    <row r="8387" customFormat="false" ht="15" hidden="true" customHeight="false" outlineLevel="0" collapsed="false">
      <c r="A8387" s="51" t="s">
        <v>484</v>
      </c>
      <c r="B8387" s="55" t="n">
        <v>45381</v>
      </c>
      <c r="C8387" s="51" t="s">
        <v>73</v>
      </c>
      <c r="D8387" s="51" t="n">
        <v>150000</v>
      </c>
    </row>
    <row r="8388" customFormat="false" ht="15" hidden="true" customHeight="false" outlineLevel="0" collapsed="false">
      <c r="A8388" s="51" t="s">
        <v>489</v>
      </c>
      <c r="B8388" s="55" t="n">
        <v>45381</v>
      </c>
      <c r="C8388" s="51" t="s">
        <v>73</v>
      </c>
      <c r="D8388" s="51" t="n">
        <v>0</v>
      </c>
    </row>
    <row r="8389" customFormat="false" ht="15" hidden="true" customHeight="false" outlineLevel="0" collapsed="false">
      <c r="A8389" s="51" t="s">
        <v>494</v>
      </c>
      <c r="B8389" s="55" t="n">
        <v>45381</v>
      </c>
      <c r="C8389" s="51" t="s">
        <v>73</v>
      </c>
      <c r="D8389" s="51" t="n">
        <v>0</v>
      </c>
    </row>
    <row r="8390" customFormat="false" ht="15" hidden="true" customHeight="false" outlineLevel="0" collapsed="false">
      <c r="A8390" s="51" t="s">
        <v>499</v>
      </c>
      <c r="B8390" s="55" t="n">
        <v>45381</v>
      </c>
      <c r="C8390" s="51" t="s">
        <v>73</v>
      </c>
      <c r="D8390" s="51" t="n">
        <v>0</v>
      </c>
    </row>
    <row r="8391" customFormat="false" ht="15" hidden="true" customHeight="false" outlineLevel="0" collapsed="false">
      <c r="A8391" s="51" t="s">
        <v>504</v>
      </c>
      <c r="B8391" s="55" t="n">
        <v>45381</v>
      </c>
      <c r="C8391" s="51" t="s">
        <v>73</v>
      </c>
      <c r="D8391" s="51" t="n">
        <v>0</v>
      </c>
    </row>
    <row r="8392" customFormat="false" ht="15" hidden="true" customHeight="false" outlineLevel="0" collapsed="false">
      <c r="A8392" s="51" t="s">
        <v>509</v>
      </c>
      <c r="B8392" s="55" t="n">
        <v>45381</v>
      </c>
      <c r="C8392" s="51" t="s">
        <v>73</v>
      </c>
      <c r="D8392" s="51" t="n">
        <v>0</v>
      </c>
    </row>
    <row r="8393" customFormat="false" ht="15" hidden="true" customHeight="false" outlineLevel="0" collapsed="false">
      <c r="A8393" s="51" t="s">
        <v>515</v>
      </c>
      <c r="B8393" s="55" t="n">
        <v>45381</v>
      </c>
      <c r="C8393" s="51" t="s">
        <v>73</v>
      </c>
      <c r="D8393" s="51" t="n">
        <v>0</v>
      </c>
    </row>
    <row r="8394" customFormat="false" ht="15" hidden="true" customHeight="false" outlineLevel="0" collapsed="false">
      <c r="A8394" s="51" t="s">
        <v>520</v>
      </c>
      <c r="B8394" s="55" t="n">
        <v>45381</v>
      </c>
      <c r="C8394" s="51" t="s">
        <v>73</v>
      </c>
      <c r="D8394" s="51" t="n">
        <v>0</v>
      </c>
    </row>
    <row r="8395" customFormat="false" ht="15" hidden="true" customHeight="false" outlineLevel="0" collapsed="false">
      <c r="A8395" s="51" t="s">
        <v>525</v>
      </c>
      <c r="B8395" s="55" t="n">
        <v>45381</v>
      </c>
      <c r="C8395" s="51" t="s">
        <v>73</v>
      </c>
      <c r="D8395" s="51" t="n">
        <v>0</v>
      </c>
    </row>
    <row r="8396" customFormat="false" ht="15" hidden="true" customHeight="false" outlineLevel="0" collapsed="false">
      <c r="A8396" s="51" t="s">
        <v>531</v>
      </c>
      <c r="B8396" s="55" t="n">
        <v>45381</v>
      </c>
      <c r="C8396" s="51" t="s">
        <v>73</v>
      </c>
      <c r="D8396" s="51" t="n">
        <v>0</v>
      </c>
    </row>
    <row r="8397" customFormat="false" ht="15" hidden="true" customHeight="false" outlineLevel="0" collapsed="false">
      <c r="A8397" s="51" t="s">
        <v>536</v>
      </c>
      <c r="B8397" s="55" t="n">
        <v>45381</v>
      </c>
      <c r="C8397" s="51" t="s">
        <v>73</v>
      </c>
      <c r="D8397" s="51" t="n">
        <v>0</v>
      </c>
    </row>
    <row r="8398" customFormat="false" ht="15" hidden="true" customHeight="false" outlineLevel="0" collapsed="false">
      <c r="A8398" s="51" t="s">
        <v>541</v>
      </c>
      <c r="B8398" s="55" t="n">
        <v>45381</v>
      </c>
      <c r="C8398" s="51" t="s">
        <v>73</v>
      </c>
      <c r="D8398" s="51" t="n">
        <v>0</v>
      </c>
    </row>
    <row r="8399" customFormat="false" ht="15" hidden="true" customHeight="false" outlineLevel="0" collapsed="false">
      <c r="A8399" s="51" t="s">
        <v>549</v>
      </c>
      <c r="B8399" s="55" t="n">
        <v>45381</v>
      </c>
      <c r="C8399" s="51" t="s">
        <v>73</v>
      </c>
      <c r="D8399" s="51" t="n">
        <v>0</v>
      </c>
    </row>
    <row r="8400" customFormat="false" ht="15" hidden="true" customHeight="false" outlineLevel="0" collapsed="false">
      <c r="A8400" s="51" t="s">
        <v>554</v>
      </c>
      <c r="B8400" s="55" t="n">
        <v>45381</v>
      </c>
      <c r="C8400" s="51" t="s">
        <v>73</v>
      </c>
      <c r="D8400" s="51" t="n">
        <v>0</v>
      </c>
    </row>
    <row r="8401" customFormat="false" ht="15" hidden="true" customHeight="false" outlineLevel="0" collapsed="false">
      <c r="A8401" s="51" t="s">
        <v>559</v>
      </c>
      <c r="B8401" s="55" t="n">
        <v>45381</v>
      </c>
      <c r="C8401" s="51" t="s">
        <v>73</v>
      </c>
      <c r="D8401" s="51" t="n">
        <v>0</v>
      </c>
    </row>
    <row r="8402" customFormat="false" ht="15" hidden="true" customHeight="false" outlineLevel="0" collapsed="false">
      <c r="A8402" s="51" t="s">
        <v>564</v>
      </c>
      <c r="B8402" s="55" t="n">
        <v>45381</v>
      </c>
      <c r="C8402" s="51" t="s">
        <v>73</v>
      </c>
      <c r="D8402" s="51" t="n">
        <v>0</v>
      </c>
    </row>
    <row r="8403" customFormat="false" ht="15" hidden="true" customHeight="false" outlineLevel="0" collapsed="false">
      <c r="A8403" s="51" t="s">
        <v>569</v>
      </c>
      <c r="B8403" s="55" t="n">
        <v>45381</v>
      </c>
      <c r="C8403" s="51" t="s">
        <v>73</v>
      </c>
      <c r="D8403" s="51" t="n">
        <v>0</v>
      </c>
    </row>
    <row r="8404" customFormat="false" ht="15" hidden="true" customHeight="false" outlineLevel="0" collapsed="false">
      <c r="A8404" s="51" t="s">
        <v>574</v>
      </c>
      <c r="B8404" s="55" t="n">
        <v>45381</v>
      </c>
      <c r="C8404" s="51" t="s">
        <v>73</v>
      </c>
      <c r="D8404" s="51" t="n">
        <v>0</v>
      </c>
    </row>
    <row r="8405" customFormat="false" ht="15" hidden="true" customHeight="false" outlineLevel="0" collapsed="false">
      <c r="A8405" s="51" t="s">
        <v>579</v>
      </c>
      <c r="B8405" s="55" t="n">
        <v>45381</v>
      </c>
      <c r="C8405" s="51" t="s">
        <v>73</v>
      </c>
      <c r="D8405" s="51" t="n">
        <v>0</v>
      </c>
    </row>
    <row r="8406" customFormat="false" ht="15" hidden="true" customHeight="false" outlineLevel="0" collapsed="false">
      <c r="A8406" s="51" t="s">
        <v>584</v>
      </c>
      <c r="B8406" s="55" t="n">
        <v>45381</v>
      </c>
      <c r="C8406" s="51" t="s">
        <v>73</v>
      </c>
      <c r="D8406" s="51" t="n">
        <v>0</v>
      </c>
    </row>
    <row r="8407" customFormat="false" ht="15" hidden="true" customHeight="false" outlineLevel="0" collapsed="false">
      <c r="A8407" s="51" t="s">
        <v>589</v>
      </c>
      <c r="B8407" s="55" t="n">
        <v>45381</v>
      </c>
      <c r="C8407" s="51" t="s">
        <v>73</v>
      </c>
      <c r="D8407" s="51" t="n">
        <v>0</v>
      </c>
    </row>
    <row r="8408" customFormat="false" ht="15" hidden="true" customHeight="false" outlineLevel="0" collapsed="false">
      <c r="A8408" s="51" t="s">
        <v>756</v>
      </c>
      <c r="B8408" s="55" t="n">
        <v>45381</v>
      </c>
      <c r="C8408" s="51" t="s">
        <v>73</v>
      </c>
      <c r="D8408" s="51" t="n">
        <v>0</v>
      </c>
    </row>
    <row r="8409" customFormat="false" ht="15" hidden="true" customHeight="false" outlineLevel="0" collapsed="false">
      <c r="A8409" s="51" t="s">
        <v>594</v>
      </c>
      <c r="B8409" s="55" t="n">
        <v>45381</v>
      </c>
      <c r="C8409" s="51" t="s">
        <v>73</v>
      </c>
      <c r="D8409" s="51" t="n">
        <v>0</v>
      </c>
    </row>
    <row r="8410" customFormat="false" ht="15" hidden="true" customHeight="false" outlineLevel="0" collapsed="false">
      <c r="A8410" s="51" t="s">
        <v>761</v>
      </c>
      <c r="B8410" s="55" t="n">
        <v>45381</v>
      </c>
      <c r="C8410" s="51" t="s">
        <v>73</v>
      </c>
      <c r="D8410" s="51" t="n">
        <v>0</v>
      </c>
    </row>
    <row r="8411" customFormat="false" ht="15" hidden="true" customHeight="false" outlineLevel="0" collapsed="false">
      <c r="A8411" s="51" t="s">
        <v>599</v>
      </c>
      <c r="B8411" s="55" t="n">
        <v>45381</v>
      </c>
      <c r="C8411" s="51" t="s">
        <v>73</v>
      </c>
      <c r="D8411" s="51" t="n">
        <v>0</v>
      </c>
    </row>
    <row r="8412" customFormat="false" ht="15" hidden="true" customHeight="false" outlineLevel="0" collapsed="false">
      <c r="A8412" s="51" t="s">
        <v>604</v>
      </c>
      <c r="B8412" s="55" t="n">
        <v>45381</v>
      </c>
      <c r="C8412" s="51" t="s">
        <v>73</v>
      </c>
      <c r="D8412" s="51" t="n">
        <v>0</v>
      </c>
    </row>
    <row r="8413" customFormat="false" ht="15" hidden="true" customHeight="false" outlineLevel="0" collapsed="false">
      <c r="A8413" s="51" t="s">
        <v>609</v>
      </c>
      <c r="B8413" s="55" t="n">
        <v>45381</v>
      </c>
      <c r="C8413" s="51" t="s">
        <v>73</v>
      </c>
      <c r="D8413" s="51" t="n">
        <v>0</v>
      </c>
    </row>
    <row r="8414" customFormat="false" ht="15" hidden="true" customHeight="false" outlineLevel="0" collapsed="false">
      <c r="A8414" s="51" t="s">
        <v>614</v>
      </c>
      <c r="B8414" s="55" t="n">
        <v>45381</v>
      </c>
      <c r="C8414" s="51" t="s">
        <v>73</v>
      </c>
      <c r="D8414" s="51" t="n">
        <v>0</v>
      </c>
    </row>
    <row r="8415" customFormat="false" ht="15" hidden="true" customHeight="false" outlineLevel="0" collapsed="false">
      <c r="A8415" s="51" t="s">
        <v>619</v>
      </c>
      <c r="B8415" s="55" t="n">
        <v>45381</v>
      </c>
      <c r="C8415" s="51" t="s">
        <v>73</v>
      </c>
      <c r="D8415" s="51" t="n">
        <v>0</v>
      </c>
    </row>
    <row r="8416" customFormat="false" ht="15" hidden="true" customHeight="false" outlineLevel="0" collapsed="false">
      <c r="A8416" s="51" t="s">
        <v>624</v>
      </c>
      <c r="B8416" s="55" t="n">
        <v>45381</v>
      </c>
      <c r="C8416" s="51" t="s">
        <v>73</v>
      </c>
      <c r="D8416" s="51" t="n">
        <v>0</v>
      </c>
    </row>
    <row r="8417" customFormat="false" ht="15" hidden="true" customHeight="false" outlineLevel="0" collapsed="false">
      <c r="A8417" s="51" t="s">
        <v>629</v>
      </c>
      <c r="B8417" s="55" t="n">
        <v>45381</v>
      </c>
      <c r="C8417" s="51" t="s">
        <v>73</v>
      </c>
      <c r="D8417" s="51" t="n">
        <v>0</v>
      </c>
    </row>
    <row r="8418" customFormat="false" ht="15" hidden="true" customHeight="false" outlineLevel="0" collapsed="false">
      <c r="A8418" s="51" t="s">
        <v>633</v>
      </c>
      <c r="B8418" s="55" t="n">
        <v>45381</v>
      </c>
      <c r="C8418" s="51" t="s">
        <v>73</v>
      </c>
      <c r="D8418" s="51" t="n">
        <v>0</v>
      </c>
    </row>
    <row r="8419" customFormat="false" ht="15" hidden="true" customHeight="false" outlineLevel="0" collapsed="false">
      <c r="A8419" s="51" t="s">
        <v>638</v>
      </c>
      <c r="B8419" s="55" t="n">
        <v>45381</v>
      </c>
      <c r="C8419" s="51" t="s">
        <v>73</v>
      </c>
      <c r="D8419" s="51" t="n">
        <v>0</v>
      </c>
    </row>
    <row r="8420" customFormat="false" ht="15" hidden="true" customHeight="false" outlineLevel="0" collapsed="false">
      <c r="A8420" s="51" t="s">
        <v>642</v>
      </c>
      <c r="B8420" s="55" t="n">
        <v>45381</v>
      </c>
      <c r="C8420" s="51" t="s">
        <v>73</v>
      </c>
      <c r="D8420" s="51" t="n">
        <v>0</v>
      </c>
    </row>
    <row r="8421" customFormat="false" ht="15" hidden="true" customHeight="false" outlineLevel="0" collapsed="false">
      <c r="A8421" s="51" t="s">
        <v>646</v>
      </c>
      <c r="B8421" s="55" t="n">
        <v>45381</v>
      </c>
      <c r="C8421" s="51" t="s">
        <v>73</v>
      </c>
      <c r="D8421" s="51" t="n">
        <v>0</v>
      </c>
    </row>
    <row r="8422" customFormat="false" ht="15" hidden="true" customHeight="false" outlineLevel="0" collapsed="false">
      <c r="A8422" s="51" t="s">
        <v>651</v>
      </c>
      <c r="B8422" s="55" t="n">
        <v>45381</v>
      </c>
      <c r="C8422" s="51" t="s">
        <v>73</v>
      </c>
      <c r="D8422" s="51" t="n">
        <v>0</v>
      </c>
    </row>
    <row r="8423" customFormat="false" ht="15" hidden="true" customHeight="false" outlineLevel="0" collapsed="false">
      <c r="A8423" s="51" t="s">
        <v>656</v>
      </c>
      <c r="B8423" s="55" t="n">
        <v>45381</v>
      </c>
      <c r="C8423" s="51" t="s">
        <v>73</v>
      </c>
      <c r="D8423" s="51" t="n">
        <v>0</v>
      </c>
    </row>
    <row r="8424" customFormat="false" ht="15" hidden="true" customHeight="false" outlineLevel="0" collapsed="false">
      <c r="A8424" s="51" t="s">
        <v>661</v>
      </c>
      <c r="B8424" s="55" t="n">
        <v>45381</v>
      </c>
      <c r="C8424" s="51" t="s">
        <v>73</v>
      </c>
      <c r="D8424" s="51" t="n">
        <v>0</v>
      </c>
    </row>
    <row r="8425" customFormat="false" ht="15" hidden="true" customHeight="false" outlineLevel="0" collapsed="false">
      <c r="A8425" s="51" t="s">
        <v>666</v>
      </c>
      <c r="B8425" s="55" t="n">
        <v>45381</v>
      </c>
      <c r="C8425" s="51" t="s">
        <v>73</v>
      </c>
      <c r="D8425" s="51" t="n">
        <v>0</v>
      </c>
    </row>
    <row r="8426" customFormat="false" ht="15" hidden="true" customHeight="false" outlineLevel="0" collapsed="false">
      <c r="A8426" s="51" t="s">
        <v>671</v>
      </c>
      <c r="B8426" s="55" t="n">
        <v>45381</v>
      </c>
      <c r="C8426" s="51" t="s">
        <v>73</v>
      </c>
      <c r="D8426" s="51" t="n">
        <v>0</v>
      </c>
    </row>
    <row r="8427" customFormat="false" ht="15" hidden="true" customHeight="false" outlineLevel="0" collapsed="false">
      <c r="A8427" s="51" t="s">
        <v>676</v>
      </c>
      <c r="B8427" s="55" t="n">
        <v>45381</v>
      </c>
      <c r="C8427" s="51" t="s">
        <v>73</v>
      </c>
      <c r="D8427" s="51" t="n">
        <v>0</v>
      </c>
    </row>
    <row r="8428" customFormat="false" ht="15" hidden="true" customHeight="false" outlineLevel="0" collapsed="false">
      <c r="A8428" s="51" t="s">
        <v>681</v>
      </c>
      <c r="B8428" s="55" t="n">
        <v>45381</v>
      </c>
      <c r="C8428" s="51" t="s">
        <v>73</v>
      </c>
      <c r="D8428" s="51" t="n">
        <v>0</v>
      </c>
    </row>
    <row r="8429" customFormat="false" ht="15" hidden="true" customHeight="false" outlineLevel="0" collapsed="false">
      <c r="A8429" s="51" t="s">
        <v>686</v>
      </c>
      <c r="B8429" s="55" t="n">
        <v>45381</v>
      </c>
      <c r="C8429" s="51" t="s">
        <v>73</v>
      </c>
      <c r="D8429" s="51" t="n">
        <v>0</v>
      </c>
    </row>
    <row r="8430" customFormat="false" ht="15" hidden="true" customHeight="false" outlineLevel="0" collapsed="false">
      <c r="A8430" s="51" t="s">
        <v>691</v>
      </c>
      <c r="B8430" s="55" t="n">
        <v>45381</v>
      </c>
      <c r="C8430" s="51" t="s">
        <v>73</v>
      </c>
      <c r="D8430" s="51" t="n">
        <v>0</v>
      </c>
    </row>
    <row r="8431" customFormat="false" ht="15" hidden="true" customHeight="false" outlineLevel="0" collapsed="false">
      <c r="A8431" s="51" t="s">
        <v>696</v>
      </c>
      <c r="B8431" s="55" t="n">
        <v>45381</v>
      </c>
      <c r="C8431" s="51" t="s">
        <v>73</v>
      </c>
      <c r="D8431" s="51" t="n">
        <v>0</v>
      </c>
    </row>
    <row r="8432" customFormat="false" ht="15" hidden="true" customHeight="false" outlineLevel="0" collapsed="false">
      <c r="A8432" s="51" t="s">
        <v>701</v>
      </c>
      <c r="B8432" s="55" t="n">
        <v>45381</v>
      </c>
      <c r="C8432" s="51" t="s">
        <v>73</v>
      </c>
      <c r="D8432" s="51" t="n">
        <v>0</v>
      </c>
    </row>
    <row r="8433" customFormat="false" ht="15" hidden="true" customHeight="false" outlineLevel="0" collapsed="false">
      <c r="A8433" s="51" t="s">
        <v>707</v>
      </c>
      <c r="B8433" s="55" t="n">
        <v>45381</v>
      </c>
      <c r="C8433" s="51" t="s">
        <v>73</v>
      </c>
      <c r="D8433" s="51" t="n">
        <v>0</v>
      </c>
    </row>
    <row r="8434" customFormat="false" ht="15" hidden="true" customHeight="false" outlineLevel="0" collapsed="false">
      <c r="A8434" s="51" t="s">
        <v>712</v>
      </c>
      <c r="B8434" s="55" t="n">
        <v>45381</v>
      </c>
      <c r="C8434" s="51" t="s">
        <v>73</v>
      </c>
      <c r="D8434" s="51" t="n">
        <v>0</v>
      </c>
    </row>
    <row r="8435" customFormat="false" ht="15" hidden="true" customHeight="false" outlineLevel="0" collapsed="false">
      <c r="A8435" s="51" t="s">
        <v>717</v>
      </c>
      <c r="B8435" s="55" t="n">
        <v>45381</v>
      </c>
      <c r="C8435" s="51" t="s">
        <v>73</v>
      </c>
      <c r="D8435" s="51" t="n">
        <v>0</v>
      </c>
    </row>
    <row r="8436" customFormat="false" ht="15" hidden="true" customHeight="false" outlineLevel="0" collapsed="false">
      <c r="A8436" s="51" t="s">
        <v>767</v>
      </c>
      <c r="B8436" s="55" t="n">
        <v>45381</v>
      </c>
      <c r="C8436" s="51" t="s">
        <v>73</v>
      </c>
      <c r="D8436" s="51" t="n">
        <v>0</v>
      </c>
    </row>
    <row r="8437" customFormat="false" ht="15" hidden="true" customHeight="false" outlineLevel="0" collapsed="false">
      <c r="A8437" s="51" t="s">
        <v>722</v>
      </c>
      <c r="B8437" s="55" t="n">
        <v>45381</v>
      </c>
      <c r="C8437" s="51" t="s">
        <v>73</v>
      </c>
      <c r="D8437" s="51" t="n">
        <v>0</v>
      </c>
    </row>
    <row r="8438" customFormat="false" ht="15" hidden="true" customHeight="false" outlineLevel="0" collapsed="false">
      <c r="A8438" s="51" t="s">
        <v>727</v>
      </c>
      <c r="B8438" s="55" t="n">
        <v>45381</v>
      </c>
      <c r="C8438" s="51" t="s">
        <v>73</v>
      </c>
      <c r="D8438" s="51" t="n">
        <v>0</v>
      </c>
    </row>
    <row r="8439" customFormat="false" ht="15" hidden="true" customHeight="false" outlineLevel="0" collapsed="false">
      <c r="A8439" s="51" t="s">
        <v>732</v>
      </c>
      <c r="B8439" s="55" t="n">
        <v>45381</v>
      </c>
      <c r="C8439" s="51" t="s">
        <v>73</v>
      </c>
      <c r="D8439" s="51" t="n">
        <v>0</v>
      </c>
    </row>
    <row r="8440" customFormat="false" ht="15" hidden="true" customHeight="false" outlineLevel="0" collapsed="false">
      <c r="A8440" s="51" t="s">
        <v>736</v>
      </c>
      <c r="B8440" s="55" t="n">
        <v>45381</v>
      </c>
      <c r="C8440" s="51" t="s">
        <v>73</v>
      </c>
      <c r="D8440" s="51" t="n">
        <v>0</v>
      </c>
    </row>
    <row r="8441" customFormat="false" ht="15" hidden="true" customHeight="false" outlineLevel="0" collapsed="false">
      <c r="A8441" s="51" t="s">
        <v>741</v>
      </c>
      <c r="B8441" s="55" t="n">
        <v>45381</v>
      </c>
      <c r="C8441" s="51" t="s">
        <v>73</v>
      </c>
      <c r="D8441" s="51" t="n">
        <v>0</v>
      </c>
    </row>
    <row r="8442" customFormat="false" ht="15" hidden="true" customHeight="false" outlineLevel="0" collapsed="false">
      <c r="A8442" s="51" t="s">
        <v>746</v>
      </c>
      <c r="B8442" s="55" t="n">
        <v>45381</v>
      </c>
      <c r="C8442" s="51" t="s">
        <v>73</v>
      </c>
      <c r="D8442" s="51" t="n">
        <v>0</v>
      </c>
    </row>
    <row r="8443" customFormat="false" ht="15" hidden="true" customHeight="false" outlineLevel="0" collapsed="false">
      <c r="A8443" s="51" t="s">
        <v>751</v>
      </c>
      <c r="B8443" s="55" t="n">
        <v>45381</v>
      </c>
      <c r="C8443" s="51" t="s">
        <v>73</v>
      </c>
      <c r="D8443" s="51" t="n">
        <v>0</v>
      </c>
    </row>
    <row r="8444" customFormat="false" ht="15" hidden="false" customHeight="false" outlineLevel="0" collapsed="false">
      <c r="A8444" s="51" t="s">
        <v>781</v>
      </c>
      <c r="B8444" s="55" t="n">
        <v>45381</v>
      </c>
      <c r="C8444" s="51" t="s">
        <v>791</v>
      </c>
      <c r="D8444" s="51" t="n">
        <v>0</v>
      </c>
    </row>
    <row r="8445" customFormat="false" ht="15" hidden="true" customHeight="false" outlineLevel="0" collapsed="false">
      <c r="A8445" s="51" t="s">
        <v>783</v>
      </c>
      <c r="B8445" s="55" t="n">
        <v>45381</v>
      </c>
      <c r="C8445" s="51" t="s">
        <v>791</v>
      </c>
      <c r="D8445" s="51" t="n">
        <v>0</v>
      </c>
    </row>
    <row r="8446" customFormat="false" ht="15" hidden="true" customHeight="false" outlineLevel="0" collapsed="false">
      <c r="A8446" s="51" t="s">
        <v>96</v>
      </c>
      <c r="B8446" s="55" t="n">
        <v>45381</v>
      </c>
      <c r="C8446" s="51" t="s">
        <v>791</v>
      </c>
      <c r="D8446" s="51" t="n">
        <v>0</v>
      </c>
    </row>
    <row r="8447" customFormat="false" ht="15" hidden="true" customHeight="false" outlineLevel="0" collapsed="false">
      <c r="A8447" s="51" t="s">
        <v>101</v>
      </c>
      <c r="B8447" s="55" t="n">
        <v>45381</v>
      </c>
      <c r="C8447" s="51" t="s">
        <v>791</v>
      </c>
      <c r="D8447" s="51" t="n">
        <v>0</v>
      </c>
    </row>
    <row r="8448" customFormat="false" ht="15" hidden="true" customHeight="false" outlineLevel="0" collapsed="false">
      <c r="A8448" s="51" t="s">
        <v>106</v>
      </c>
      <c r="B8448" s="55" t="n">
        <v>45381</v>
      </c>
      <c r="C8448" s="51" t="s">
        <v>791</v>
      </c>
      <c r="D8448" s="51" t="n">
        <v>0</v>
      </c>
    </row>
    <row r="8449" customFormat="false" ht="15" hidden="true" customHeight="false" outlineLevel="0" collapsed="false">
      <c r="A8449" s="51" t="s">
        <v>110</v>
      </c>
      <c r="B8449" s="55" t="n">
        <v>45381</v>
      </c>
      <c r="C8449" s="51" t="s">
        <v>791</v>
      </c>
      <c r="D8449" s="51" t="n">
        <v>0</v>
      </c>
    </row>
    <row r="8450" customFormat="false" ht="15" hidden="true" customHeight="false" outlineLevel="0" collapsed="false">
      <c r="A8450" s="51" t="s">
        <v>115</v>
      </c>
      <c r="B8450" s="55" t="n">
        <v>45381</v>
      </c>
      <c r="C8450" s="51" t="s">
        <v>791</v>
      </c>
      <c r="D8450" s="51" t="n">
        <v>0</v>
      </c>
    </row>
    <row r="8451" customFormat="false" ht="15" hidden="true" customHeight="false" outlineLevel="0" collapsed="false">
      <c r="A8451" s="51" t="s">
        <v>120</v>
      </c>
      <c r="B8451" s="55" t="n">
        <v>45381</v>
      </c>
      <c r="C8451" s="51" t="s">
        <v>791</v>
      </c>
      <c r="D8451" s="51" t="n">
        <v>0</v>
      </c>
    </row>
    <row r="8452" customFormat="false" ht="15" hidden="true" customHeight="false" outlineLevel="0" collapsed="false">
      <c r="A8452" s="51" t="s">
        <v>124</v>
      </c>
      <c r="B8452" s="55" t="n">
        <v>45381</v>
      </c>
      <c r="C8452" s="51" t="s">
        <v>791</v>
      </c>
      <c r="D8452" s="51" t="n">
        <v>0</v>
      </c>
    </row>
    <row r="8453" customFormat="false" ht="15" hidden="true" customHeight="false" outlineLevel="0" collapsed="false">
      <c r="A8453" s="51" t="s">
        <v>129</v>
      </c>
      <c r="B8453" s="55" t="n">
        <v>45381</v>
      </c>
      <c r="C8453" s="51" t="s">
        <v>791</v>
      </c>
      <c r="D8453" s="51" t="n">
        <v>0</v>
      </c>
    </row>
    <row r="8454" customFormat="false" ht="15" hidden="true" customHeight="false" outlineLevel="0" collapsed="false">
      <c r="A8454" s="51" t="s">
        <v>134</v>
      </c>
      <c r="B8454" s="55" t="n">
        <v>45381</v>
      </c>
      <c r="C8454" s="51" t="s">
        <v>791</v>
      </c>
      <c r="D8454" s="51" t="n">
        <v>0</v>
      </c>
    </row>
    <row r="8455" customFormat="false" ht="15" hidden="true" customHeight="false" outlineLevel="0" collapsed="false">
      <c r="A8455" s="51" t="s">
        <v>141</v>
      </c>
      <c r="B8455" s="55" t="n">
        <v>45381</v>
      </c>
      <c r="C8455" s="51" t="s">
        <v>791</v>
      </c>
      <c r="D8455" s="51" t="n">
        <v>0</v>
      </c>
    </row>
    <row r="8456" customFormat="false" ht="15" hidden="true" customHeight="false" outlineLevel="0" collapsed="false">
      <c r="A8456" s="51" t="s">
        <v>146</v>
      </c>
      <c r="B8456" s="55" t="n">
        <v>45381</v>
      </c>
      <c r="C8456" s="51" t="s">
        <v>791</v>
      </c>
      <c r="D8456" s="51" t="n">
        <v>0</v>
      </c>
    </row>
    <row r="8457" customFormat="false" ht="15" hidden="true" customHeight="false" outlineLevel="0" collapsed="false">
      <c r="A8457" s="51" t="s">
        <v>151</v>
      </c>
      <c r="B8457" s="55" t="n">
        <v>45381</v>
      </c>
      <c r="C8457" s="51" t="s">
        <v>791</v>
      </c>
      <c r="D8457" s="51" t="n">
        <v>0</v>
      </c>
    </row>
    <row r="8458" customFormat="false" ht="15" hidden="true" customHeight="false" outlineLevel="0" collapsed="false">
      <c r="A8458" s="51" t="s">
        <v>156</v>
      </c>
      <c r="B8458" s="55" t="n">
        <v>45381</v>
      </c>
      <c r="C8458" s="51" t="s">
        <v>791</v>
      </c>
      <c r="D8458" s="51" t="n">
        <v>0</v>
      </c>
    </row>
    <row r="8459" customFormat="false" ht="15" hidden="true" customHeight="false" outlineLevel="0" collapsed="false">
      <c r="A8459" s="51" t="s">
        <v>161</v>
      </c>
      <c r="B8459" s="55" t="n">
        <v>45381</v>
      </c>
      <c r="C8459" s="51" t="s">
        <v>791</v>
      </c>
      <c r="D8459" s="51" t="n">
        <v>0</v>
      </c>
    </row>
    <row r="8460" customFormat="false" ht="15" hidden="true" customHeight="false" outlineLevel="0" collapsed="false">
      <c r="A8460" s="51" t="s">
        <v>166</v>
      </c>
      <c r="B8460" s="55" t="n">
        <v>45381</v>
      </c>
      <c r="C8460" s="51" t="s">
        <v>791</v>
      </c>
      <c r="D8460" s="51" t="n">
        <v>0</v>
      </c>
    </row>
    <row r="8461" customFormat="false" ht="15" hidden="true" customHeight="false" outlineLevel="0" collapsed="false">
      <c r="A8461" s="51" t="s">
        <v>171</v>
      </c>
      <c r="B8461" s="55" t="n">
        <v>45381</v>
      </c>
      <c r="C8461" s="51" t="s">
        <v>791</v>
      </c>
      <c r="D8461" s="51" t="n">
        <v>0</v>
      </c>
    </row>
    <row r="8462" customFormat="false" ht="15" hidden="true" customHeight="false" outlineLevel="0" collapsed="false">
      <c r="A8462" s="51" t="s">
        <v>176</v>
      </c>
      <c r="B8462" s="55" t="n">
        <v>45381</v>
      </c>
      <c r="C8462" s="51" t="s">
        <v>791</v>
      </c>
      <c r="D8462" s="51" t="n">
        <v>0</v>
      </c>
    </row>
    <row r="8463" customFormat="false" ht="15" hidden="true" customHeight="false" outlineLevel="0" collapsed="false">
      <c r="A8463" s="51" t="s">
        <v>181</v>
      </c>
      <c r="B8463" s="55" t="n">
        <v>45381</v>
      </c>
      <c r="C8463" s="51" t="s">
        <v>791</v>
      </c>
      <c r="D8463" s="51" t="n">
        <v>0</v>
      </c>
    </row>
    <row r="8464" customFormat="false" ht="15" hidden="true" customHeight="false" outlineLevel="0" collapsed="false">
      <c r="A8464" s="51" t="s">
        <v>186</v>
      </c>
      <c r="B8464" s="55" t="n">
        <v>45381</v>
      </c>
      <c r="C8464" s="51" t="s">
        <v>791</v>
      </c>
      <c r="D8464" s="51" t="n">
        <v>0</v>
      </c>
    </row>
    <row r="8465" customFormat="false" ht="15" hidden="true" customHeight="false" outlineLevel="0" collapsed="false">
      <c r="A8465" s="51" t="s">
        <v>191</v>
      </c>
      <c r="B8465" s="55" t="n">
        <v>45381</v>
      </c>
      <c r="C8465" s="51" t="s">
        <v>791</v>
      </c>
      <c r="D8465" s="51" t="n">
        <v>0</v>
      </c>
    </row>
    <row r="8466" customFormat="false" ht="15" hidden="true" customHeight="false" outlineLevel="0" collapsed="false">
      <c r="A8466" s="51" t="s">
        <v>196</v>
      </c>
      <c r="B8466" s="55" t="n">
        <v>45381</v>
      </c>
      <c r="C8466" s="51" t="s">
        <v>791</v>
      </c>
      <c r="D8466" s="51" t="n">
        <v>0</v>
      </c>
    </row>
    <row r="8467" customFormat="false" ht="15" hidden="true" customHeight="false" outlineLevel="0" collapsed="false">
      <c r="A8467" s="51" t="s">
        <v>201</v>
      </c>
      <c r="B8467" s="55" t="n">
        <v>45381</v>
      </c>
      <c r="C8467" s="51" t="s">
        <v>791</v>
      </c>
      <c r="D8467" s="51" t="n">
        <v>0</v>
      </c>
    </row>
    <row r="8468" customFormat="false" ht="15" hidden="true" customHeight="false" outlineLevel="0" collapsed="false">
      <c r="A8468" s="51" t="s">
        <v>206</v>
      </c>
      <c r="B8468" s="55" t="n">
        <v>45381</v>
      </c>
      <c r="C8468" s="51" t="s">
        <v>791</v>
      </c>
      <c r="D8468" s="51" t="n">
        <v>0</v>
      </c>
    </row>
    <row r="8469" customFormat="false" ht="15" hidden="true" customHeight="false" outlineLevel="0" collapsed="false">
      <c r="A8469" s="51" t="s">
        <v>210</v>
      </c>
      <c r="B8469" s="55" t="n">
        <v>45381</v>
      </c>
      <c r="C8469" s="51" t="s">
        <v>791</v>
      </c>
      <c r="D8469" s="51" t="n">
        <v>0</v>
      </c>
    </row>
    <row r="8470" customFormat="false" ht="15" hidden="true" customHeight="false" outlineLevel="0" collapsed="false">
      <c r="A8470" s="51" t="s">
        <v>215</v>
      </c>
      <c r="B8470" s="55" t="n">
        <v>45381</v>
      </c>
      <c r="C8470" s="51" t="s">
        <v>791</v>
      </c>
      <c r="D8470" s="51" t="n">
        <v>0</v>
      </c>
    </row>
    <row r="8471" customFormat="false" ht="15" hidden="true" customHeight="false" outlineLevel="0" collapsed="false">
      <c r="A8471" s="51" t="s">
        <v>790</v>
      </c>
      <c r="B8471" s="55" t="n">
        <v>45381</v>
      </c>
      <c r="C8471" s="51" t="s">
        <v>791</v>
      </c>
      <c r="D8471" s="51" t="n">
        <v>0</v>
      </c>
    </row>
    <row r="8472" customFormat="false" ht="15" hidden="true" customHeight="false" outlineLevel="0" collapsed="false">
      <c r="A8472" s="51" t="s">
        <v>225</v>
      </c>
      <c r="B8472" s="55" t="n">
        <v>45381</v>
      </c>
      <c r="C8472" s="51" t="s">
        <v>791</v>
      </c>
      <c r="D8472" s="51" t="n">
        <v>0</v>
      </c>
    </row>
    <row r="8473" customFormat="false" ht="15" hidden="true" customHeight="false" outlineLevel="0" collapsed="false">
      <c r="A8473" s="51" t="s">
        <v>230</v>
      </c>
      <c r="B8473" s="55" t="n">
        <v>45381</v>
      </c>
      <c r="C8473" s="51" t="s">
        <v>791</v>
      </c>
      <c r="D8473" s="51" t="n">
        <v>-85000</v>
      </c>
    </row>
    <row r="8474" customFormat="false" ht="15" hidden="true" customHeight="false" outlineLevel="0" collapsed="false">
      <c r="A8474" s="51" t="s">
        <v>235</v>
      </c>
      <c r="B8474" s="55" t="n">
        <v>45381</v>
      </c>
      <c r="C8474" s="51" t="s">
        <v>791</v>
      </c>
      <c r="D8474" s="51" t="n">
        <v>0</v>
      </c>
    </row>
    <row r="8475" customFormat="false" ht="15" hidden="true" customHeight="false" outlineLevel="0" collapsed="false">
      <c r="A8475" s="51" t="s">
        <v>240</v>
      </c>
      <c r="B8475" s="55" t="n">
        <v>45381</v>
      </c>
      <c r="C8475" s="51" t="s">
        <v>791</v>
      </c>
      <c r="D8475" s="51" t="n">
        <v>0</v>
      </c>
    </row>
    <row r="8476" customFormat="false" ht="15" hidden="true" customHeight="false" outlineLevel="0" collapsed="false">
      <c r="A8476" s="51" t="s">
        <v>246</v>
      </c>
      <c r="B8476" s="55" t="n">
        <v>45381</v>
      </c>
      <c r="C8476" s="51" t="s">
        <v>791</v>
      </c>
      <c r="D8476" s="51" t="n">
        <v>-1200000</v>
      </c>
    </row>
    <row r="8477" customFormat="false" ht="15" hidden="true" customHeight="false" outlineLevel="0" collapsed="false">
      <c r="A8477" s="51" t="s">
        <v>252</v>
      </c>
      <c r="B8477" s="55" t="n">
        <v>45381</v>
      </c>
      <c r="C8477" s="51" t="s">
        <v>791</v>
      </c>
      <c r="D8477" s="51" t="n">
        <v>0</v>
      </c>
    </row>
    <row r="8478" customFormat="false" ht="15" hidden="true" customHeight="false" outlineLevel="0" collapsed="false">
      <c r="A8478" s="51" t="s">
        <v>257</v>
      </c>
      <c r="B8478" s="55" t="n">
        <v>45381</v>
      </c>
      <c r="C8478" s="51" t="s">
        <v>791</v>
      </c>
      <c r="D8478" s="51" t="n">
        <v>0</v>
      </c>
    </row>
    <row r="8479" customFormat="false" ht="15" hidden="true" customHeight="false" outlineLevel="0" collapsed="false">
      <c r="A8479" s="51" t="s">
        <v>262</v>
      </c>
      <c r="B8479" s="55" t="n">
        <v>45381</v>
      </c>
      <c r="C8479" s="51" t="s">
        <v>791</v>
      </c>
      <c r="D8479" s="51" t="n">
        <v>0</v>
      </c>
    </row>
    <row r="8480" customFormat="false" ht="15" hidden="true" customHeight="false" outlineLevel="0" collapsed="false">
      <c r="A8480" s="51" t="s">
        <v>267</v>
      </c>
      <c r="B8480" s="55" t="n">
        <v>45381</v>
      </c>
      <c r="C8480" s="51" t="s">
        <v>791</v>
      </c>
      <c r="D8480" s="51" t="n">
        <v>0</v>
      </c>
    </row>
    <row r="8481" customFormat="false" ht="15" hidden="true" customHeight="false" outlineLevel="0" collapsed="false">
      <c r="A8481" s="51" t="s">
        <v>272</v>
      </c>
      <c r="B8481" s="55" t="n">
        <v>45381</v>
      </c>
      <c r="C8481" s="51" t="s">
        <v>791</v>
      </c>
      <c r="D8481" s="51" t="n">
        <v>0</v>
      </c>
    </row>
    <row r="8482" customFormat="false" ht="15" hidden="true" customHeight="false" outlineLevel="0" collapsed="false">
      <c r="A8482" s="51" t="s">
        <v>277</v>
      </c>
      <c r="B8482" s="55" t="n">
        <v>45381</v>
      </c>
      <c r="C8482" s="51" t="s">
        <v>791</v>
      </c>
      <c r="D8482" s="51" t="n">
        <v>0</v>
      </c>
    </row>
    <row r="8483" customFormat="false" ht="15" hidden="true" customHeight="false" outlineLevel="0" collapsed="false">
      <c r="A8483" s="51" t="s">
        <v>282</v>
      </c>
      <c r="B8483" s="55" t="n">
        <v>45381</v>
      </c>
      <c r="C8483" s="51" t="s">
        <v>791</v>
      </c>
      <c r="D8483" s="51" t="n">
        <v>0</v>
      </c>
    </row>
    <row r="8484" customFormat="false" ht="15" hidden="true" customHeight="false" outlineLevel="0" collapsed="false">
      <c r="A8484" s="51" t="s">
        <v>287</v>
      </c>
      <c r="B8484" s="55" t="n">
        <v>45381</v>
      </c>
      <c r="C8484" s="51" t="s">
        <v>791</v>
      </c>
      <c r="D8484" s="51" t="n">
        <v>0</v>
      </c>
    </row>
    <row r="8485" customFormat="false" ht="15" hidden="true" customHeight="false" outlineLevel="0" collapsed="false">
      <c r="A8485" s="51" t="s">
        <v>292</v>
      </c>
      <c r="B8485" s="55" t="n">
        <v>45381</v>
      </c>
      <c r="C8485" s="51" t="s">
        <v>791</v>
      </c>
      <c r="D8485" s="51" t="n">
        <v>0</v>
      </c>
    </row>
    <row r="8486" customFormat="false" ht="15" hidden="true" customHeight="false" outlineLevel="0" collapsed="false">
      <c r="A8486" s="51" t="s">
        <v>297</v>
      </c>
      <c r="B8486" s="55" t="n">
        <v>45381</v>
      </c>
      <c r="C8486" s="51" t="s">
        <v>791</v>
      </c>
      <c r="D8486" s="51" t="n">
        <v>0</v>
      </c>
    </row>
    <row r="8487" customFormat="false" ht="15" hidden="true" customHeight="false" outlineLevel="0" collapsed="false">
      <c r="A8487" s="51" t="s">
        <v>302</v>
      </c>
      <c r="B8487" s="55" t="n">
        <v>45381</v>
      </c>
      <c r="C8487" s="51" t="s">
        <v>791</v>
      </c>
      <c r="D8487" s="51" t="n">
        <v>0</v>
      </c>
    </row>
    <row r="8488" customFormat="false" ht="15" hidden="true" customHeight="false" outlineLevel="0" collapsed="false">
      <c r="A8488" s="51" t="s">
        <v>307</v>
      </c>
      <c r="B8488" s="55" t="n">
        <v>45381</v>
      </c>
      <c r="C8488" s="51" t="s">
        <v>791</v>
      </c>
      <c r="D8488" s="51" t="n">
        <v>0</v>
      </c>
    </row>
    <row r="8489" customFormat="false" ht="15" hidden="true" customHeight="false" outlineLevel="0" collapsed="false">
      <c r="A8489" s="51" t="s">
        <v>311</v>
      </c>
      <c r="B8489" s="55" t="n">
        <v>45381</v>
      </c>
      <c r="C8489" s="51" t="s">
        <v>791</v>
      </c>
      <c r="D8489" s="51" t="n">
        <v>0</v>
      </c>
    </row>
    <row r="8490" customFormat="false" ht="15" hidden="true" customHeight="false" outlineLevel="0" collapsed="false">
      <c r="A8490" s="51" t="s">
        <v>317</v>
      </c>
      <c r="B8490" s="55" t="n">
        <v>45381</v>
      </c>
      <c r="C8490" s="51" t="s">
        <v>791</v>
      </c>
      <c r="D8490" s="51" t="n">
        <v>0</v>
      </c>
    </row>
    <row r="8491" customFormat="false" ht="15" hidden="true" customHeight="false" outlineLevel="0" collapsed="false">
      <c r="A8491" s="51" t="s">
        <v>322</v>
      </c>
      <c r="B8491" s="55" t="n">
        <v>45381</v>
      </c>
      <c r="C8491" s="51" t="s">
        <v>791</v>
      </c>
      <c r="D8491" s="51" t="n">
        <v>0</v>
      </c>
    </row>
    <row r="8492" customFormat="false" ht="15" hidden="true" customHeight="false" outlineLevel="0" collapsed="false">
      <c r="A8492" s="51" t="s">
        <v>327</v>
      </c>
      <c r="B8492" s="55" t="n">
        <v>45381</v>
      </c>
      <c r="C8492" s="51" t="s">
        <v>791</v>
      </c>
      <c r="D8492" s="51" t="n">
        <v>-42000</v>
      </c>
    </row>
    <row r="8493" customFormat="false" ht="15" hidden="true" customHeight="false" outlineLevel="0" collapsed="false">
      <c r="A8493" s="51" t="s">
        <v>332</v>
      </c>
      <c r="B8493" s="55" t="n">
        <v>45381</v>
      </c>
      <c r="C8493" s="51" t="s">
        <v>791</v>
      </c>
      <c r="D8493" s="51" t="n">
        <v>-200000</v>
      </c>
    </row>
    <row r="8494" customFormat="false" ht="15" hidden="true" customHeight="false" outlineLevel="0" collapsed="false">
      <c r="A8494" s="51" t="s">
        <v>339</v>
      </c>
      <c r="B8494" s="55" t="n">
        <v>45381</v>
      </c>
      <c r="C8494" s="51" t="s">
        <v>791</v>
      </c>
      <c r="D8494" s="51" t="n">
        <v>0</v>
      </c>
    </row>
    <row r="8495" customFormat="false" ht="15" hidden="true" customHeight="false" outlineLevel="0" collapsed="false">
      <c r="A8495" s="51" t="s">
        <v>344</v>
      </c>
      <c r="B8495" s="55" t="n">
        <v>45381</v>
      </c>
      <c r="C8495" s="51" t="s">
        <v>791</v>
      </c>
      <c r="D8495" s="51" t="n">
        <v>0</v>
      </c>
    </row>
    <row r="8496" customFormat="false" ht="15" hidden="true" customHeight="false" outlineLevel="0" collapsed="false">
      <c r="A8496" s="51" t="s">
        <v>349</v>
      </c>
      <c r="B8496" s="55" t="n">
        <v>45381</v>
      </c>
      <c r="C8496" s="51" t="s">
        <v>791</v>
      </c>
      <c r="D8496" s="51" t="n">
        <v>0</v>
      </c>
    </row>
    <row r="8497" customFormat="false" ht="15" hidden="true" customHeight="false" outlineLevel="0" collapsed="false">
      <c r="A8497" s="51" t="s">
        <v>354</v>
      </c>
      <c r="B8497" s="55" t="n">
        <v>45381</v>
      </c>
      <c r="C8497" s="51" t="s">
        <v>791</v>
      </c>
      <c r="D8497" s="51" t="n">
        <v>0</v>
      </c>
    </row>
    <row r="8498" customFormat="false" ht="15" hidden="true" customHeight="false" outlineLevel="0" collapsed="false">
      <c r="A8498" s="51" t="s">
        <v>359</v>
      </c>
      <c r="B8498" s="55" t="n">
        <v>45381</v>
      </c>
      <c r="C8498" s="51" t="s">
        <v>791</v>
      </c>
      <c r="D8498" s="51" t="n">
        <v>-108000</v>
      </c>
    </row>
    <row r="8499" customFormat="false" ht="15" hidden="true" customHeight="false" outlineLevel="0" collapsed="false">
      <c r="A8499" s="51" t="s">
        <v>364</v>
      </c>
      <c r="B8499" s="55" t="n">
        <v>45381</v>
      </c>
      <c r="C8499" s="51" t="s">
        <v>791</v>
      </c>
      <c r="D8499" s="51" t="n">
        <v>0</v>
      </c>
    </row>
    <row r="8500" customFormat="false" ht="15" hidden="true" customHeight="false" outlineLevel="0" collapsed="false">
      <c r="A8500" s="51" t="s">
        <v>369</v>
      </c>
      <c r="B8500" s="55" t="n">
        <v>45381</v>
      </c>
      <c r="C8500" s="51" t="s">
        <v>791</v>
      </c>
      <c r="D8500" s="51" t="n">
        <v>-500000</v>
      </c>
    </row>
    <row r="8501" customFormat="false" ht="15" hidden="true" customHeight="false" outlineLevel="0" collapsed="false">
      <c r="A8501" s="51" t="s">
        <v>374</v>
      </c>
      <c r="B8501" s="55" t="n">
        <v>45381</v>
      </c>
      <c r="C8501" s="51" t="s">
        <v>791</v>
      </c>
      <c r="D8501" s="51" t="n">
        <v>-477445.23</v>
      </c>
    </row>
    <row r="8502" customFormat="false" ht="15" hidden="true" customHeight="false" outlineLevel="0" collapsed="false">
      <c r="A8502" s="51" t="s">
        <v>379</v>
      </c>
      <c r="B8502" s="55" t="n">
        <v>45381</v>
      </c>
      <c r="C8502" s="51" t="s">
        <v>791</v>
      </c>
      <c r="D8502" s="51" t="n">
        <v>-778747.95</v>
      </c>
    </row>
    <row r="8503" customFormat="false" ht="15" hidden="true" customHeight="false" outlineLevel="0" collapsed="false">
      <c r="A8503" s="51" t="s">
        <v>384</v>
      </c>
      <c r="B8503" s="55" t="n">
        <v>45381</v>
      </c>
      <c r="C8503" s="51" t="s">
        <v>791</v>
      </c>
      <c r="D8503" s="51" t="n">
        <v>-562500</v>
      </c>
    </row>
    <row r="8504" customFormat="false" ht="15" hidden="true" customHeight="false" outlineLevel="0" collapsed="false">
      <c r="A8504" s="51" t="s">
        <v>389</v>
      </c>
      <c r="B8504" s="55" t="n">
        <v>45381</v>
      </c>
      <c r="C8504" s="51" t="s">
        <v>791</v>
      </c>
      <c r="D8504" s="51" t="n">
        <v>-3200000</v>
      </c>
    </row>
    <row r="8505" customFormat="false" ht="15" hidden="true" customHeight="false" outlineLevel="0" collapsed="false">
      <c r="A8505" s="51" t="s">
        <v>394</v>
      </c>
      <c r="B8505" s="55" t="n">
        <v>45381</v>
      </c>
      <c r="C8505" s="51" t="s">
        <v>791</v>
      </c>
      <c r="D8505" s="51" t="n">
        <v>-1056671.22</v>
      </c>
    </row>
    <row r="8506" customFormat="false" ht="15" hidden="true" customHeight="false" outlineLevel="0" collapsed="false">
      <c r="A8506" s="51" t="s">
        <v>399</v>
      </c>
      <c r="B8506" s="55" t="n">
        <v>45381</v>
      </c>
      <c r="C8506" s="51" t="s">
        <v>791</v>
      </c>
      <c r="D8506" s="51" t="n">
        <v>0</v>
      </c>
    </row>
    <row r="8507" customFormat="false" ht="15" hidden="true" customHeight="false" outlineLevel="0" collapsed="false">
      <c r="A8507" s="51" t="s">
        <v>404</v>
      </c>
      <c r="B8507" s="55" t="n">
        <v>45381</v>
      </c>
      <c r="C8507" s="51" t="s">
        <v>791</v>
      </c>
      <c r="D8507" s="51" t="n">
        <v>-350000</v>
      </c>
    </row>
    <row r="8508" customFormat="false" ht="15" hidden="true" customHeight="false" outlineLevel="0" collapsed="false">
      <c r="A8508" s="51" t="s">
        <v>409</v>
      </c>
      <c r="B8508" s="55" t="n">
        <v>45381</v>
      </c>
      <c r="C8508" s="51" t="s">
        <v>791</v>
      </c>
      <c r="D8508" s="51" t="n">
        <v>-1000000</v>
      </c>
    </row>
    <row r="8509" customFormat="false" ht="15" hidden="true" customHeight="false" outlineLevel="0" collapsed="false">
      <c r="A8509" s="51" t="s">
        <v>414</v>
      </c>
      <c r="B8509" s="55" t="n">
        <v>45381</v>
      </c>
      <c r="C8509" s="51" t="s">
        <v>791</v>
      </c>
      <c r="D8509" s="51" t="n">
        <v>-395239</v>
      </c>
    </row>
    <row r="8510" customFormat="false" ht="15" hidden="true" customHeight="false" outlineLevel="0" collapsed="false">
      <c r="A8510" s="51" t="s">
        <v>419</v>
      </c>
      <c r="B8510" s="55" t="n">
        <v>45381</v>
      </c>
      <c r="C8510" s="51" t="s">
        <v>791</v>
      </c>
      <c r="D8510" s="51" t="n">
        <v>-700000</v>
      </c>
    </row>
    <row r="8511" customFormat="false" ht="15" hidden="true" customHeight="false" outlineLevel="0" collapsed="false">
      <c r="A8511" s="51" t="s">
        <v>424</v>
      </c>
      <c r="B8511" s="55" t="n">
        <v>45381</v>
      </c>
      <c r="C8511" s="51" t="s">
        <v>791</v>
      </c>
      <c r="D8511" s="51" t="n">
        <v>-605350</v>
      </c>
    </row>
    <row r="8512" customFormat="false" ht="15" hidden="true" customHeight="false" outlineLevel="0" collapsed="false">
      <c r="A8512" s="51" t="s">
        <v>429</v>
      </c>
      <c r="B8512" s="55" t="n">
        <v>45381</v>
      </c>
      <c r="C8512" s="51" t="s">
        <v>791</v>
      </c>
      <c r="D8512" s="51" t="n">
        <v>-250000</v>
      </c>
    </row>
    <row r="8513" customFormat="false" ht="15" hidden="true" customHeight="false" outlineLevel="0" collapsed="false">
      <c r="A8513" s="51" t="s">
        <v>434</v>
      </c>
      <c r="B8513" s="55" t="n">
        <v>45381</v>
      </c>
      <c r="C8513" s="51" t="s">
        <v>791</v>
      </c>
      <c r="D8513" s="51" t="n">
        <v>-500000</v>
      </c>
    </row>
    <row r="8514" customFormat="false" ht="15" hidden="true" customHeight="false" outlineLevel="0" collapsed="false">
      <c r="A8514" s="51" t="s">
        <v>438</v>
      </c>
      <c r="B8514" s="55" t="n">
        <v>45381</v>
      </c>
      <c r="C8514" s="51" t="s">
        <v>791</v>
      </c>
      <c r="D8514" s="51" t="n">
        <v>-500000</v>
      </c>
    </row>
    <row r="8515" customFormat="false" ht="15" hidden="true" customHeight="false" outlineLevel="0" collapsed="false">
      <c r="A8515" s="51" t="s">
        <v>443</v>
      </c>
      <c r="B8515" s="55" t="n">
        <v>45381</v>
      </c>
      <c r="C8515" s="51" t="s">
        <v>791</v>
      </c>
      <c r="D8515" s="51" t="n">
        <v>-800000</v>
      </c>
    </row>
    <row r="8516" customFormat="false" ht="15" hidden="true" customHeight="false" outlineLevel="0" collapsed="false">
      <c r="A8516" s="51" t="s">
        <v>448</v>
      </c>
      <c r="B8516" s="55" t="n">
        <v>45381</v>
      </c>
      <c r="C8516" s="51" t="s">
        <v>791</v>
      </c>
      <c r="D8516" s="51" t="n">
        <v>-215000</v>
      </c>
    </row>
    <row r="8517" customFormat="false" ht="15" hidden="true" customHeight="false" outlineLevel="0" collapsed="false">
      <c r="A8517" s="51" t="s">
        <v>453</v>
      </c>
      <c r="B8517" s="55" t="n">
        <v>45381</v>
      </c>
      <c r="C8517" s="51" t="s">
        <v>791</v>
      </c>
      <c r="D8517" s="51" t="n">
        <v>-4000000</v>
      </c>
    </row>
    <row r="8518" customFormat="false" ht="15" hidden="true" customHeight="false" outlineLevel="0" collapsed="false">
      <c r="A8518" s="51" t="s">
        <v>458</v>
      </c>
      <c r="B8518" s="55" t="n">
        <v>45381</v>
      </c>
      <c r="C8518" s="51" t="s">
        <v>791</v>
      </c>
      <c r="D8518" s="51" t="n">
        <v>-731800</v>
      </c>
    </row>
    <row r="8519" customFormat="false" ht="15" hidden="true" customHeight="false" outlineLevel="0" collapsed="false">
      <c r="A8519" s="51" t="s">
        <v>473</v>
      </c>
      <c r="B8519" s="55" t="n">
        <v>45381</v>
      </c>
      <c r="C8519" s="51" t="s">
        <v>791</v>
      </c>
      <c r="D8519" s="51" t="n">
        <v>-150000</v>
      </c>
    </row>
    <row r="8520" customFormat="false" ht="15" hidden="true" customHeight="false" outlineLevel="0" collapsed="false">
      <c r="A8520" s="51" t="s">
        <v>479</v>
      </c>
      <c r="B8520" s="55" t="n">
        <v>45381</v>
      </c>
      <c r="C8520" s="51" t="s">
        <v>791</v>
      </c>
      <c r="D8520" s="51" t="n">
        <v>-4000000</v>
      </c>
    </row>
    <row r="8521" customFormat="false" ht="15" hidden="true" customHeight="false" outlineLevel="0" collapsed="false">
      <c r="A8521" s="51" t="s">
        <v>484</v>
      </c>
      <c r="B8521" s="55" t="n">
        <v>45381</v>
      </c>
      <c r="C8521" s="51" t="s">
        <v>791</v>
      </c>
      <c r="D8521" s="51" t="n">
        <v>-150000</v>
      </c>
    </row>
    <row r="8522" customFormat="false" ht="15" hidden="true" customHeight="false" outlineLevel="0" collapsed="false">
      <c r="A8522" s="51" t="s">
        <v>489</v>
      </c>
      <c r="B8522" s="55" t="n">
        <v>45381</v>
      </c>
      <c r="C8522" s="51" t="s">
        <v>791</v>
      </c>
      <c r="D8522" s="51" t="n">
        <v>275000</v>
      </c>
    </row>
    <row r="8523" customFormat="false" ht="15" hidden="true" customHeight="false" outlineLevel="0" collapsed="false">
      <c r="A8523" s="51" t="s">
        <v>494</v>
      </c>
      <c r="B8523" s="55" t="n">
        <v>45381</v>
      </c>
      <c r="C8523" s="51" t="s">
        <v>791</v>
      </c>
      <c r="D8523" s="51" t="n">
        <v>635343</v>
      </c>
    </row>
    <row r="8524" customFormat="false" ht="15" hidden="true" customHeight="false" outlineLevel="0" collapsed="false">
      <c r="A8524" s="51" t="s">
        <v>499</v>
      </c>
      <c r="B8524" s="55" t="n">
        <v>45381</v>
      </c>
      <c r="C8524" s="51" t="s">
        <v>791</v>
      </c>
      <c r="D8524" s="51" t="n">
        <v>840310</v>
      </c>
    </row>
    <row r="8525" customFormat="false" ht="15" hidden="true" customHeight="false" outlineLevel="0" collapsed="false">
      <c r="A8525" s="51" t="s">
        <v>504</v>
      </c>
      <c r="B8525" s="55" t="n">
        <v>45381</v>
      </c>
      <c r="C8525" s="51" t="s">
        <v>791</v>
      </c>
      <c r="D8525" s="51" t="n">
        <v>425000</v>
      </c>
    </row>
    <row r="8526" customFormat="false" ht="15" hidden="true" customHeight="false" outlineLevel="0" collapsed="false">
      <c r="A8526" s="51" t="s">
        <v>509</v>
      </c>
      <c r="B8526" s="55" t="n">
        <v>45381</v>
      </c>
      <c r="C8526" s="51" t="s">
        <v>791</v>
      </c>
      <c r="D8526" s="51" t="n">
        <v>1290373.28</v>
      </c>
    </row>
    <row r="8527" customFormat="false" ht="15" hidden="true" customHeight="false" outlineLevel="0" collapsed="false">
      <c r="A8527" s="51" t="s">
        <v>515</v>
      </c>
      <c r="B8527" s="55" t="n">
        <v>45381</v>
      </c>
      <c r="C8527" s="51" t="s">
        <v>791</v>
      </c>
      <c r="D8527" s="51" t="n">
        <v>1644300</v>
      </c>
    </row>
    <row r="8528" customFormat="false" ht="15" hidden="true" customHeight="false" outlineLevel="0" collapsed="false">
      <c r="A8528" s="51" t="s">
        <v>520</v>
      </c>
      <c r="B8528" s="55" t="n">
        <v>45381</v>
      </c>
      <c r="C8528" s="51" t="s">
        <v>791</v>
      </c>
      <c r="D8528" s="51" t="n">
        <v>1000000</v>
      </c>
    </row>
    <row r="8529" customFormat="false" ht="15" hidden="true" customHeight="false" outlineLevel="0" collapsed="false">
      <c r="A8529" s="51" t="s">
        <v>525</v>
      </c>
      <c r="B8529" s="55" t="n">
        <v>45381</v>
      </c>
      <c r="C8529" s="51" t="s">
        <v>791</v>
      </c>
      <c r="D8529" s="51" t="n">
        <v>0</v>
      </c>
    </row>
    <row r="8530" customFormat="false" ht="15" hidden="true" customHeight="false" outlineLevel="0" collapsed="false">
      <c r="A8530" s="51" t="s">
        <v>531</v>
      </c>
      <c r="B8530" s="55" t="n">
        <v>45381</v>
      </c>
      <c r="C8530" s="51" t="s">
        <v>791</v>
      </c>
      <c r="D8530" s="51" t="n">
        <v>0</v>
      </c>
    </row>
    <row r="8531" customFormat="false" ht="15" hidden="true" customHeight="false" outlineLevel="0" collapsed="false">
      <c r="A8531" s="51" t="s">
        <v>536</v>
      </c>
      <c r="B8531" s="55" t="n">
        <v>45381</v>
      </c>
      <c r="C8531" s="51" t="s">
        <v>791</v>
      </c>
      <c r="D8531" s="51" t="n">
        <v>0</v>
      </c>
    </row>
    <row r="8532" customFormat="false" ht="15" hidden="true" customHeight="false" outlineLevel="0" collapsed="false">
      <c r="A8532" s="51" t="s">
        <v>541</v>
      </c>
      <c r="B8532" s="55" t="n">
        <v>45381</v>
      </c>
      <c r="C8532" s="51" t="s">
        <v>791</v>
      </c>
      <c r="D8532" s="51" t="n">
        <v>0</v>
      </c>
    </row>
    <row r="8533" customFormat="false" ht="15" hidden="true" customHeight="false" outlineLevel="0" collapsed="false">
      <c r="A8533" s="51" t="s">
        <v>549</v>
      </c>
      <c r="B8533" s="55" t="n">
        <v>45381</v>
      </c>
      <c r="C8533" s="51" t="s">
        <v>791</v>
      </c>
      <c r="D8533" s="51" t="n">
        <v>0</v>
      </c>
    </row>
    <row r="8534" customFormat="false" ht="15" hidden="true" customHeight="false" outlineLevel="0" collapsed="false">
      <c r="A8534" s="51" t="s">
        <v>554</v>
      </c>
      <c r="B8534" s="55" t="n">
        <v>45381</v>
      </c>
      <c r="C8534" s="51" t="s">
        <v>791</v>
      </c>
      <c r="D8534" s="51" t="n">
        <v>0</v>
      </c>
    </row>
    <row r="8535" customFormat="false" ht="15" hidden="true" customHeight="false" outlineLevel="0" collapsed="false">
      <c r="A8535" s="51" t="s">
        <v>559</v>
      </c>
      <c r="B8535" s="55" t="n">
        <v>45381</v>
      </c>
      <c r="C8535" s="51" t="s">
        <v>791</v>
      </c>
      <c r="D8535" s="51" t="n">
        <v>0</v>
      </c>
    </row>
    <row r="8536" customFormat="false" ht="15" hidden="true" customHeight="false" outlineLevel="0" collapsed="false">
      <c r="A8536" s="51" t="s">
        <v>564</v>
      </c>
      <c r="B8536" s="55" t="n">
        <v>45381</v>
      </c>
      <c r="C8536" s="51" t="s">
        <v>791</v>
      </c>
      <c r="D8536" s="51" t="n">
        <v>0</v>
      </c>
    </row>
    <row r="8537" customFormat="false" ht="15" hidden="true" customHeight="false" outlineLevel="0" collapsed="false">
      <c r="A8537" s="51" t="s">
        <v>569</v>
      </c>
      <c r="B8537" s="55" t="n">
        <v>45381</v>
      </c>
      <c r="C8537" s="51" t="s">
        <v>791</v>
      </c>
      <c r="D8537" s="51" t="n">
        <v>0</v>
      </c>
    </row>
    <row r="8538" customFormat="false" ht="15" hidden="true" customHeight="false" outlineLevel="0" collapsed="false">
      <c r="A8538" s="51" t="s">
        <v>574</v>
      </c>
      <c r="B8538" s="55" t="n">
        <v>45381</v>
      </c>
      <c r="C8538" s="51" t="s">
        <v>791</v>
      </c>
      <c r="D8538" s="51" t="n">
        <v>0</v>
      </c>
    </row>
    <row r="8539" customFormat="false" ht="15" hidden="true" customHeight="false" outlineLevel="0" collapsed="false">
      <c r="A8539" s="51" t="s">
        <v>579</v>
      </c>
      <c r="B8539" s="55" t="n">
        <v>45381</v>
      </c>
      <c r="C8539" s="51" t="s">
        <v>791</v>
      </c>
      <c r="D8539" s="51" t="n">
        <v>0</v>
      </c>
    </row>
    <row r="8540" customFormat="false" ht="15" hidden="true" customHeight="false" outlineLevel="0" collapsed="false">
      <c r="A8540" s="51" t="s">
        <v>584</v>
      </c>
      <c r="B8540" s="55" t="n">
        <v>45381</v>
      </c>
      <c r="C8540" s="51" t="s">
        <v>791</v>
      </c>
      <c r="D8540" s="51" t="n">
        <v>0</v>
      </c>
    </row>
    <row r="8541" customFormat="false" ht="15" hidden="true" customHeight="false" outlineLevel="0" collapsed="false">
      <c r="A8541" s="51" t="s">
        <v>589</v>
      </c>
      <c r="B8541" s="55" t="n">
        <v>45381</v>
      </c>
      <c r="C8541" s="51" t="s">
        <v>791</v>
      </c>
      <c r="D8541" s="51" t="n">
        <v>0</v>
      </c>
    </row>
    <row r="8542" customFormat="false" ht="15" hidden="true" customHeight="false" outlineLevel="0" collapsed="false">
      <c r="A8542" s="51" t="s">
        <v>756</v>
      </c>
      <c r="B8542" s="55" t="n">
        <v>45381</v>
      </c>
      <c r="C8542" s="51" t="s">
        <v>791</v>
      </c>
      <c r="D8542" s="51" t="n">
        <v>0</v>
      </c>
    </row>
    <row r="8543" customFormat="false" ht="15" hidden="true" customHeight="false" outlineLevel="0" collapsed="false">
      <c r="A8543" s="51" t="s">
        <v>594</v>
      </c>
      <c r="B8543" s="55" t="n">
        <v>45381</v>
      </c>
      <c r="C8543" s="51" t="s">
        <v>791</v>
      </c>
      <c r="D8543" s="51" t="n">
        <v>0</v>
      </c>
    </row>
    <row r="8544" customFormat="false" ht="15" hidden="true" customHeight="false" outlineLevel="0" collapsed="false">
      <c r="A8544" s="51" t="s">
        <v>761</v>
      </c>
      <c r="B8544" s="55" t="n">
        <v>45381</v>
      </c>
      <c r="C8544" s="51" t="s">
        <v>791</v>
      </c>
      <c r="D8544" s="51" t="n">
        <v>0</v>
      </c>
    </row>
    <row r="8545" customFormat="false" ht="15" hidden="true" customHeight="false" outlineLevel="0" collapsed="false">
      <c r="A8545" s="51" t="s">
        <v>599</v>
      </c>
      <c r="B8545" s="55" t="n">
        <v>45381</v>
      </c>
      <c r="C8545" s="51" t="s">
        <v>791</v>
      </c>
      <c r="D8545" s="51" t="n">
        <v>0</v>
      </c>
    </row>
    <row r="8546" customFormat="false" ht="15" hidden="true" customHeight="false" outlineLevel="0" collapsed="false">
      <c r="A8546" s="51" t="s">
        <v>604</v>
      </c>
      <c r="B8546" s="55" t="n">
        <v>45381</v>
      </c>
      <c r="C8546" s="51" t="s">
        <v>791</v>
      </c>
      <c r="D8546" s="51" t="n">
        <v>0</v>
      </c>
    </row>
    <row r="8547" customFormat="false" ht="15" hidden="true" customHeight="false" outlineLevel="0" collapsed="false">
      <c r="A8547" s="51" t="s">
        <v>609</v>
      </c>
      <c r="B8547" s="55" t="n">
        <v>45381</v>
      </c>
      <c r="C8547" s="51" t="s">
        <v>791</v>
      </c>
      <c r="D8547" s="51" t="n">
        <v>0</v>
      </c>
    </row>
    <row r="8548" customFormat="false" ht="15" hidden="true" customHeight="false" outlineLevel="0" collapsed="false">
      <c r="A8548" s="51" t="s">
        <v>614</v>
      </c>
      <c r="B8548" s="55" t="n">
        <v>45381</v>
      </c>
      <c r="C8548" s="51" t="s">
        <v>791</v>
      </c>
      <c r="D8548" s="51" t="n">
        <v>0</v>
      </c>
    </row>
    <row r="8549" customFormat="false" ht="15" hidden="true" customHeight="false" outlineLevel="0" collapsed="false">
      <c r="A8549" s="51" t="s">
        <v>619</v>
      </c>
      <c r="B8549" s="55" t="n">
        <v>45381</v>
      </c>
      <c r="C8549" s="51" t="s">
        <v>791</v>
      </c>
      <c r="D8549" s="51" t="n">
        <v>0</v>
      </c>
    </row>
    <row r="8550" customFormat="false" ht="15" hidden="true" customHeight="false" outlineLevel="0" collapsed="false">
      <c r="A8550" s="51" t="s">
        <v>624</v>
      </c>
      <c r="B8550" s="55" t="n">
        <v>45381</v>
      </c>
      <c r="C8550" s="51" t="s">
        <v>791</v>
      </c>
      <c r="D8550" s="51" t="n">
        <v>0</v>
      </c>
    </row>
    <row r="8551" customFormat="false" ht="15" hidden="true" customHeight="false" outlineLevel="0" collapsed="false">
      <c r="A8551" s="51" t="s">
        <v>629</v>
      </c>
      <c r="B8551" s="55" t="n">
        <v>45381</v>
      </c>
      <c r="C8551" s="51" t="s">
        <v>791</v>
      </c>
      <c r="D8551" s="51" t="n">
        <v>0</v>
      </c>
    </row>
    <row r="8552" customFormat="false" ht="15" hidden="true" customHeight="false" outlineLevel="0" collapsed="false">
      <c r="A8552" s="51" t="s">
        <v>633</v>
      </c>
      <c r="B8552" s="55" t="n">
        <v>45381</v>
      </c>
      <c r="C8552" s="51" t="s">
        <v>791</v>
      </c>
      <c r="D8552" s="51" t="n">
        <v>0</v>
      </c>
    </row>
    <row r="8553" customFormat="false" ht="15" hidden="true" customHeight="false" outlineLevel="0" collapsed="false">
      <c r="A8553" s="51" t="s">
        <v>638</v>
      </c>
      <c r="B8553" s="55" t="n">
        <v>45381</v>
      </c>
      <c r="C8553" s="51" t="s">
        <v>791</v>
      </c>
      <c r="D8553" s="51" t="n">
        <v>0</v>
      </c>
    </row>
    <row r="8554" customFormat="false" ht="15" hidden="true" customHeight="false" outlineLevel="0" collapsed="false">
      <c r="A8554" s="51" t="s">
        <v>642</v>
      </c>
      <c r="B8554" s="55" t="n">
        <v>45381</v>
      </c>
      <c r="C8554" s="51" t="s">
        <v>791</v>
      </c>
      <c r="D8554" s="51" t="n">
        <v>0</v>
      </c>
    </row>
    <row r="8555" customFormat="false" ht="15" hidden="true" customHeight="false" outlineLevel="0" collapsed="false">
      <c r="A8555" s="51" t="s">
        <v>646</v>
      </c>
      <c r="B8555" s="55" t="n">
        <v>45381</v>
      </c>
      <c r="C8555" s="51" t="s">
        <v>791</v>
      </c>
      <c r="D8555" s="51" t="n">
        <v>0</v>
      </c>
    </row>
    <row r="8556" customFormat="false" ht="15" hidden="true" customHeight="false" outlineLevel="0" collapsed="false">
      <c r="A8556" s="51" t="s">
        <v>651</v>
      </c>
      <c r="B8556" s="55" t="n">
        <v>45381</v>
      </c>
      <c r="C8556" s="51" t="s">
        <v>791</v>
      </c>
      <c r="D8556" s="51" t="n">
        <v>0</v>
      </c>
    </row>
    <row r="8557" customFormat="false" ht="15" hidden="true" customHeight="false" outlineLevel="0" collapsed="false">
      <c r="A8557" s="51" t="s">
        <v>656</v>
      </c>
      <c r="B8557" s="55" t="n">
        <v>45381</v>
      </c>
      <c r="C8557" s="51" t="s">
        <v>791</v>
      </c>
      <c r="D8557" s="51" t="n">
        <v>0</v>
      </c>
    </row>
    <row r="8558" customFormat="false" ht="15" hidden="true" customHeight="false" outlineLevel="0" collapsed="false">
      <c r="A8558" s="51" t="s">
        <v>661</v>
      </c>
      <c r="B8558" s="55" t="n">
        <v>45381</v>
      </c>
      <c r="C8558" s="51" t="s">
        <v>791</v>
      </c>
      <c r="D8558" s="51" t="n">
        <v>0</v>
      </c>
    </row>
    <row r="8559" customFormat="false" ht="15" hidden="true" customHeight="false" outlineLevel="0" collapsed="false">
      <c r="A8559" s="51" t="s">
        <v>666</v>
      </c>
      <c r="B8559" s="55" t="n">
        <v>45381</v>
      </c>
      <c r="C8559" s="51" t="s">
        <v>791</v>
      </c>
      <c r="D8559" s="51" t="n">
        <v>0</v>
      </c>
    </row>
    <row r="8560" customFormat="false" ht="15" hidden="true" customHeight="false" outlineLevel="0" collapsed="false">
      <c r="A8560" s="51" t="s">
        <v>671</v>
      </c>
      <c r="B8560" s="55" t="n">
        <v>45381</v>
      </c>
      <c r="C8560" s="51" t="s">
        <v>791</v>
      </c>
      <c r="D8560" s="51" t="n">
        <v>0</v>
      </c>
    </row>
    <row r="8561" customFormat="false" ht="15" hidden="true" customHeight="false" outlineLevel="0" collapsed="false">
      <c r="A8561" s="51" t="s">
        <v>676</v>
      </c>
      <c r="B8561" s="55" t="n">
        <v>45381</v>
      </c>
      <c r="C8561" s="51" t="s">
        <v>791</v>
      </c>
      <c r="D8561" s="51" t="n">
        <v>0</v>
      </c>
    </row>
    <row r="8562" customFormat="false" ht="15" hidden="true" customHeight="false" outlineLevel="0" collapsed="false">
      <c r="A8562" s="51" t="s">
        <v>681</v>
      </c>
      <c r="B8562" s="55" t="n">
        <v>45381</v>
      </c>
      <c r="C8562" s="51" t="s">
        <v>791</v>
      </c>
      <c r="D8562" s="51" t="n">
        <v>0</v>
      </c>
    </row>
    <row r="8563" customFormat="false" ht="15" hidden="true" customHeight="false" outlineLevel="0" collapsed="false">
      <c r="A8563" s="51" t="s">
        <v>686</v>
      </c>
      <c r="B8563" s="55" t="n">
        <v>45381</v>
      </c>
      <c r="C8563" s="51" t="s">
        <v>791</v>
      </c>
      <c r="D8563" s="51" t="n">
        <v>0</v>
      </c>
    </row>
    <row r="8564" customFormat="false" ht="15" hidden="true" customHeight="false" outlineLevel="0" collapsed="false">
      <c r="A8564" s="51" t="s">
        <v>691</v>
      </c>
      <c r="B8564" s="55" t="n">
        <v>45381</v>
      </c>
      <c r="C8564" s="51" t="s">
        <v>791</v>
      </c>
      <c r="D8564" s="51" t="n">
        <v>0</v>
      </c>
    </row>
    <row r="8565" customFormat="false" ht="15" hidden="true" customHeight="false" outlineLevel="0" collapsed="false">
      <c r="A8565" s="51" t="s">
        <v>696</v>
      </c>
      <c r="B8565" s="55" t="n">
        <v>45381</v>
      </c>
      <c r="C8565" s="51" t="s">
        <v>791</v>
      </c>
      <c r="D8565" s="51" t="n">
        <v>0</v>
      </c>
    </row>
    <row r="8566" customFormat="false" ht="15" hidden="true" customHeight="false" outlineLevel="0" collapsed="false">
      <c r="A8566" s="51" t="s">
        <v>701</v>
      </c>
      <c r="B8566" s="55" t="n">
        <v>45381</v>
      </c>
      <c r="C8566" s="51" t="s">
        <v>791</v>
      </c>
      <c r="D8566" s="51" t="n">
        <v>0</v>
      </c>
    </row>
    <row r="8567" customFormat="false" ht="15" hidden="true" customHeight="false" outlineLevel="0" collapsed="false">
      <c r="A8567" s="51" t="s">
        <v>707</v>
      </c>
      <c r="B8567" s="55" t="n">
        <v>45381</v>
      </c>
      <c r="C8567" s="51" t="s">
        <v>791</v>
      </c>
      <c r="D8567" s="51" t="n">
        <v>0</v>
      </c>
    </row>
    <row r="8568" customFormat="false" ht="15" hidden="true" customHeight="false" outlineLevel="0" collapsed="false">
      <c r="A8568" s="51" t="s">
        <v>712</v>
      </c>
      <c r="B8568" s="55" t="n">
        <v>45381</v>
      </c>
      <c r="C8568" s="51" t="s">
        <v>791</v>
      </c>
      <c r="D8568" s="51" t="n">
        <v>0</v>
      </c>
    </row>
    <row r="8569" customFormat="false" ht="15" hidden="true" customHeight="false" outlineLevel="0" collapsed="false">
      <c r="A8569" s="51" t="s">
        <v>717</v>
      </c>
      <c r="B8569" s="55" t="n">
        <v>45381</v>
      </c>
      <c r="C8569" s="51" t="s">
        <v>791</v>
      </c>
      <c r="D8569" s="51" t="n">
        <v>0</v>
      </c>
    </row>
    <row r="8570" customFormat="false" ht="15" hidden="true" customHeight="false" outlineLevel="0" collapsed="false">
      <c r="A8570" s="51" t="s">
        <v>767</v>
      </c>
      <c r="B8570" s="55" t="n">
        <v>45381</v>
      </c>
      <c r="C8570" s="51" t="s">
        <v>791</v>
      </c>
      <c r="D8570" s="51" t="n">
        <v>0</v>
      </c>
    </row>
    <row r="8571" customFormat="false" ht="15" hidden="true" customHeight="false" outlineLevel="0" collapsed="false">
      <c r="A8571" s="51" t="s">
        <v>722</v>
      </c>
      <c r="B8571" s="55" t="n">
        <v>45381</v>
      </c>
      <c r="C8571" s="51" t="s">
        <v>791</v>
      </c>
      <c r="D8571" s="51" t="n">
        <v>0</v>
      </c>
    </row>
    <row r="8572" customFormat="false" ht="15" hidden="true" customHeight="false" outlineLevel="0" collapsed="false">
      <c r="A8572" s="51" t="s">
        <v>727</v>
      </c>
      <c r="B8572" s="55" t="n">
        <v>45381</v>
      </c>
      <c r="C8572" s="51" t="s">
        <v>791</v>
      </c>
      <c r="D8572" s="51" t="n">
        <v>0</v>
      </c>
    </row>
    <row r="8573" customFormat="false" ht="15" hidden="true" customHeight="false" outlineLevel="0" collapsed="false">
      <c r="A8573" s="51" t="s">
        <v>732</v>
      </c>
      <c r="B8573" s="55" t="n">
        <v>45381</v>
      </c>
      <c r="C8573" s="51" t="s">
        <v>791</v>
      </c>
      <c r="D8573" s="51" t="n">
        <v>0</v>
      </c>
    </row>
    <row r="8574" customFormat="false" ht="15" hidden="true" customHeight="false" outlineLevel="0" collapsed="false">
      <c r="A8574" s="51" t="s">
        <v>736</v>
      </c>
      <c r="B8574" s="55" t="n">
        <v>45381</v>
      </c>
      <c r="C8574" s="51" t="s">
        <v>791</v>
      </c>
      <c r="D8574" s="51" t="n">
        <v>0</v>
      </c>
    </row>
    <row r="8575" customFormat="false" ht="15" hidden="true" customHeight="false" outlineLevel="0" collapsed="false">
      <c r="A8575" s="51" t="s">
        <v>741</v>
      </c>
      <c r="B8575" s="55" t="n">
        <v>45381</v>
      </c>
      <c r="C8575" s="51" t="s">
        <v>791</v>
      </c>
      <c r="D8575" s="51" t="n">
        <v>0</v>
      </c>
    </row>
    <row r="8576" customFormat="false" ht="15" hidden="true" customHeight="false" outlineLevel="0" collapsed="false">
      <c r="A8576" s="51" t="s">
        <v>746</v>
      </c>
      <c r="B8576" s="55" t="n">
        <v>45381</v>
      </c>
      <c r="C8576" s="51" t="s">
        <v>791</v>
      </c>
      <c r="D8576" s="51" t="n">
        <v>0</v>
      </c>
    </row>
    <row r="8577" customFormat="false" ht="15" hidden="true" customHeight="false" outlineLevel="0" collapsed="false">
      <c r="A8577" s="51" t="s">
        <v>751</v>
      </c>
      <c r="B8577" s="55" t="n">
        <v>45381</v>
      </c>
      <c r="C8577" s="51" t="s">
        <v>791</v>
      </c>
      <c r="D8577" s="51" t="n">
        <v>0</v>
      </c>
    </row>
    <row r="8578" customFormat="false" ht="15" hidden="false" customHeight="false" outlineLevel="0" collapsed="false">
      <c r="A8578" s="51" t="s">
        <v>781</v>
      </c>
      <c r="B8578" s="55" t="n">
        <v>45473</v>
      </c>
      <c r="C8578" s="51" t="s">
        <v>782</v>
      </c>
      <c r="D8578" s="51" t="n">
        <v>0</v>
      </c>
    </row>
    <row r="8579" customFormat="false" ht="15" hidden="true" customHeight="false" outlineLevel="0" collapsed="false">
      <c r="A8579" s="51" t="s">
        <v>783</v>
      </c>
      <c r="B8579" s="55" t="n">
        <v>45473</v>
      </c>
      <c r="C8579" s="51" t="s">
        <v>782</v>
      </c>
      <c r="D8579" s="51" t="n">
        <v>0</v>
      </c>
    </row>
    <row r="8580" customFormat="false" ht="15" hidden="true" customHeight="false" outlineLevel="0" collapsed="false">
      <c r="A8580" s="51" t="s">
        <v>96</v>
      </c>
      <c r="B8580" s="55" t="n">
        <v>45473</v>
      </c>
      <c r="C8580" s="51" t="s">
        <v>782</v>
      </c>
      <c r="D8580" s="51" t="n">
        <v>0</v>
      </c>
    </row>
    <row r="8581" customFormat="false" ht="15" hidden="true" customHeight="false" outlineLevel="0" collapsed="false">
      <c r="A8581" s="51" t="s">
        <v>101</v>
      </c>
      <c r="B8581" s="55" t="n">
        <v>45473</v>
      </c>
      <c r="C8581" s="51" t="s">
        <v>782</v>
      </c>
      <c r="D8581" s="51" t="n">
        <v>0</v>
      </c>
    </row>
    <row r="8582" customFormat="false" ht="15" hidden="true" customHeight="false" outlineLevel="0" collapsed="false">
      <c r="A8582" s="51" t="s">
        <v>106</v>
      </c>
      <c r="B8582" s="55" t="n">
        <v>45473</v>
      </c>
      <c r="C8582" s="51" t="s">
        <v>782</v>
      </c>
      <c r="D8582" s="51" t="n">
        <v>0</v>
      </c>
    </row>
    <row r="8583" customFormat="false" ht="15" hidden="true" customHeight="false" outlineLevel="0" collapsed="false">
      <c r="A8583" s="51" t="s">
        <v>110</v>
      </c>
      <c r="B8583" s="55" t="n">
        <v>45473</v>
      </c>
      <c r="C8583" s="51" t="s">
        <v>782</v>
      </c>
      <c r="D8583" s="51" t="n">
        <v>0</v>
      </c>
    </row>
    <row r="8584" customFormat="false" ht="15" hidden="true" customHeight="false" outlineLevel="0" collapsed="false">
      <c r="A8584" s="51" t="s">
        <v>115</v>
      </c>
      <c r="B8584" s="55" t="n">
        <v>45473</v>
      </c>
      <c r="C8584" s="51" t="s">
        <v>782</v>
      </c>
      <c r="D8584" s="51" t="n">
        <v>0</v>
      </c>
    </row>
    <row r="8585" customFormat="false" ht="15" hidden="true" customHeight="false" outlineLevel="0" collapsed="false">
      <c r="A8585" s="51" t="s">
        <v>120</v>
      </c>
      <c r="B8585" s="55" t="n">
        <v>45473</v>
      </c>
      <c r="C8585" s="51" t="s">
        <v>782</v>
      </c>
      <c r="D8585" s="51" t="n">
        <v>0</v>
      </c>
    </row>
    <row r="8586" customFormat="false" ht="15" hidden="true" customHeight="false" outlineLevel="0" collapsed="false">
      <c r="A8586" s="51" t="s">
        <v>124</v>
      </c>
      <c r="B8586" s="55" t="n">
        <v>45473</v>
      </c>
      <c r="C8586" s="51" t="s">
        <v>782</v>
      </c>
      <c r="D8586" s="51" t="n">
        <v>0</v>
      </c>
    </row>
    <row r="8587" customFormat="false" ht="15" hidden="true" customHeight="false" outlineLevel="0" collapsed="false">
      <c r="A8587" s="51" t="s">
        <v>129</v>
      </c>
      <c r="B8587" s="55" t="n">
        <v>45473</v>
      </c>
      <c r="C8587" s="51" t="s">
        <v>782</v>
      </c>
      <c r="D8587" s="51" t="n">
        <v>0</v>
      </c>
    </row>
    <row r="8588" customFormat="false" ht="15" hidden="true" customHeight="false" outlineLevel="0" collapsed="false">
      <c r="A8588" s="51" t="s">
        <v>134</v>
      </c>
      <c r="B8588" s="55" t="n">
        <v>45473</v>
      </c>
      <c r="C8588" s="51" t="s">
        <v>782</v>
      </c>
      <c r="D8588" s="51" t="n">
        <v>0</v>
      </c>
    </row>
    <row r="8589" customFormat="false" ht="15" hidden="true" customHeight="false" outlineLevel="0" collapsed="false">
      <c r="A8589" s="51" t="s">
        <v>141</v>
      </c>
      <c r="B8589" s="55" t="n">
        <v>45473</v>
      </c>
      <c r="C8589" s="51" t="s">
        <v>782</v>
      </c>
      <c r="D8589" s="51" t="n">
        <v>0</v>
      </c>
    </row>
    <row r="8590" customFormat="false" ht="15" hidden="true" customHeight="false" outlineLevel="0" collapsed="false">
      <c r="A8590" s="51" t="s">
        <v>146</v>
      </c>
      <c r="B8590" s="55" t="n">
        <v>45473</v>
      </c>
      <c r="C8590" s="51" t="s">
        <v>782</v>
      </c>
      <c r="D8590" s="51" t="n">
        <v>0</v>
      </c>
    </row>
    <row r="8591" customFormat="false" ht="15" hidden="true" customHeight="false" outlineLevel="0" collapsed="false">
      <c r="A8591" s="51" t="s">
        <v>151</v>
      </c>
      <c r="B8591" s="55" t="n">
        <v>45473</v>
      </c>
      <c r="C8591" s="51" t="s">
        <v>782</v>
      </c>
      <c r="D8591" s="51" t="n">
        <v>0</v>
      </c>
    </row>
    <row r="8592" customFormat="false" ht="15" hidden="true" customHeight="false" outlineLevel="0" collapsed="false">
      <c r="A8592" s="51" t="s">
        <v>156</v>
      </c>
      <c r="B8592" s="55" t="n">
        <v>45473</v>
      </c>
      <c r="C8592" s="51" t="s">
        <v>782</v>
      </c>
      <c r="D8592" s="51" t="n">
        <v>0</v>
      </c>
    </row>
    <row r="8593" customFormat="false" ht="15" hidden="true" customHeight="false" outlineLevel="0" collapsed="false">
      <c r="A8593" s="51" t="s">
        <v>161</v>
      </c>
      <c r="B8593" s="55" t="n">
        <v>45473</v>
      </c>
      <c r="C8593" s="51" t="s">
        <v>782</v>
      </c>
      <c r="D8593" s="51" t="n">
        <v>0</v>
      </c>
    </row>
    <row r="8594" customFormat="false" ht="15" hidden="true" customHeight="false" outlineLevel="0" collapsed="false">
      <c r="A8594" s="51" t="s">
        <v>166</v>
      </c>
      <c r="B8594" s="55" t="n">
        <v>45473</v>
      </c>
      <c r="C8594" s="51" t="s">
        <v>782</v>
      </c>
      <c r="D8594" s="51" t="n">
        <v>0</v>
      </c>
    </row>
    <row r="8595" customFormat="false" ht="15" hidden="true" customHeight="false" outlineLevel="0" collapsed="false">
      <c r="A8595" s="51" t="s">
        <v>171</v>
      </c>
      <c r="B8595" s="55" t="n">
        <v>45473</v>
      </c>
      <c r="C8595" s="51" t="s">
        <v>782</v>
      </c>
      <c r="D8595" s="51" t="n">
        <v>0</v>
      </c>
    </row>
    <row r="8596" customFormat="false" ht="15" hidden="true" customHeight="false" outlineLevel="0" collapsed="false">
      <c r="A8596" s="51" t="s">
        <v>176</v>
      </c>
      <c r="B8596" s="55" t="n">
        <v>45473</v>
      </c>
      <c r="C8596" s="51" t="s">
        <v>782</v>
      </c>
      <c r="D8596" s="51" t="n">
        <v>0</v>
      </c>
    </row>
    <row r="8597" customFormat="false" ht="15" hidden="true" customHeight="false" outlineLevel="0" collapsed="false">
      <c r="A8597" s="51" t="s">
        <v>181</v>
      </c>
      <c r="B8597" s="55" t="n">
        <v>45473</v>
      </c>
      <c r="C8597" s="51" t="s">
        <v>782</v>
      </c>
      <c r="D8597" s="51" t="n">
        <v>0</v>
      </c>
    </row>
    <row r="8598" customFormat="false" ht="15" hidden="true" customHeight="false" outlineLevel="0" collapsed="false">
      <c r="A8598" s="51" t="s">
        <v>186</v>
      </c>
      <c r="B8598" s="55" t="n">
        <v>45473</v>
      </c>
      <c r="C8598" s="51" t="s">
        <v>782</v>
      </c>
      <c r="D8598" s="51" t="n">
        <v>0</v>
      </c>
    </row>
    <row r="8599" customFormat="false" ht="15" hidden="true" customHeight="false" outlineLevel="0" collapsed="false">
      <c r="A8599" s="51" t="s">
        <v>191</v>
      </c>
      <c r="B8599" s="55" t="n">
        <v>45473</v>
      </c>
      <c r="C8599" s="51" t="s">
        <v>782</v>
      </c>
      <c r="D8599" s="51" t="n">
        <v>0</v>
      </c>
    </row>
    <row r="8600" customFormat="false" ht="15" hidden="true" customHeight="false" outlineLevel="0" collapsed="false">
      <c r="A8600" s="51" t="s">
        <v>196</v>
      </c>
      <c r="B8600" s="55" t="n">
        <v>45473</v>
      </c>
      <c r="C8600" s="51" t="s">
        <v>782</v>
      </c>
      <c r="D8600" s="51" t="n">
        <v>0</v>
      </c>
    </row>
    <row r="8601" customFormat="false" ht="15" hidden="true" customHeight="false" outlineLevel="0" collapsed="false">
      <c r="A8601" s="51" t="s">
        <v>201</v>
      </c>
      <c r="B8601" s="55" t="n">
        <v>45473</v>
      </c>
      <c r="C8601" s="51" t="s">
        <v>782</v>
      </c>
      <c r="D8601" s="51" t="n">
        <v>0</v>
      </c>
    </row>
    <row r="8602" customFormat="false" ht="15" hidden="true" customHeight="false" outlineLevel="0" collapsed="false">
      <c r="A8602" s="51" t="s">
        <v>206</v>
      </c>
      <c r="B8602" s="55" t="n">
        <v>45473</v>
      </c>
      <c r="C8602" s="51" t="s">
        <v>782</v>
      </c>
      <c r="D8602" s="51" t="n">
        <v>0</v>
      </c>
    </row>
    <row r="8603" customFormat="false" ht="15" hidden="true" customHeight="false" outlineLevel="0" collapsed="false">
      <c r="A8603" s="51" t="s">
        <v>210</v>
      </c>
      <c r="B8603" s="55" t="n">
        <v>45473</v>
      </c>
      <c r="C8603" s="51" t="s">
        <v>782</v>
      </c>
      <c r="D8603" s="51" t="n">
        <v>0</v>
      </c>
    </row>
    <row r="8604" customFormat="false" ht="15" hidden="true" customHeight="false" outlineLevel="0" collapsed="false">
      <c r="A8604" s="51" t="s">
        <v>215</v>
      </c>
      <c r="B8604" s="55" t="n">
        <v>45473</v>
      </c>
      <c r="C8604" s="51" t="s">
        <v>782</v>
      </c>
      <c r="D8604" s="51" t="n">
        <v>0</v>
      </c>
    </row>
    <row r="8605" customFormat="false" ht="15" hidden="true" customHeight="false" outlineLevel="0" collapsed="false">
      <c r="A8605" s="51" t="s">
        <v>790</v>
      </c>
      <c r="B8605" s="55" t="n">
        <v>45473</v>
      </c>
      <c r="C8605" s="51" t="s">
        <v>782</v>
      </c>
      <c r="D8605" s="51" t="n">
        <v>0</v>
      </c>
    </row>
    <row r="8606" customFormat="false" ht="15" hidden="true" customHeight="false" outlineLevel="0" collapsed="false">
      <c r="A8606" s="51" t="s">
        <v>225</v>
      </c>
      <c r="B8606" s="55" t="n">
        <v>45473</v>
      </c>
      <c r="C8606" s="51" t="s">
        <v>782</v>
      </c>
      <c r="D8606" s="51" t="n">
        <v>0</v>
      </c>
    </row>
    <row r="8607" customFormat="false" ht="15" hidden="true" customHeight="false" outlineLevel="0" collapsed="false">
      <c r="A8607" s="51" t="s">
        <v>230</v>
      </c>
      <c r="B8607" s="55" t="n">
        <v>45473</v>
      </c>
      <c r="C8607" s="51" t="s">
        <v>782</v>
      </c>
      <c r="D8607" s="51" t="n">
        <v>0</v>
      </c>
    </row>
    <row r="8608" customFormat="false" ht="15" hidden="true" customHeight="false" outlineLevel="0" collapsed="false">
      <c r="A8608" s="51" t="s">
        <v>235</v>
      </c>
      <c r="B8608" s="55" t="n">
        <v>45473</v>
      </c>
      <c r="C8608" s="51" t="s">
        <v>782</v>
      </c>
      <c r="D8608" s="51" t="n">
        <v>0</v>
      </c>
    </row>
    <row r="8609" customFormat="false" ht="15" hidden="true" customHeight="false" outlineLevel="0" collapsed="false">
      <c r="A8609" s="51" t="s">
        <v>240</v>
      </c>
      <c r="B8609" s="55" t="n">
        <v>45473</v>
      </c>
      <c r="C8609" s="51" t="s">
        <v>782</v>
      </c>
      <c r="D8609" s="51" t="n">
        <v>0</v>
      </c>
    </row>
    <row r="8610" customFormat="false" ht="15" hidden="true" customHeight="false" outlineLevel="0" collapsed="false">
      <c r="A8610" s="51" t="s">
        <v>246</v>
      </c>
      <c r="B8610" s="55" t="n">
        <v>45473</v>
      </c>
      <c r="C8610" s="51" t="s">
        <v>782</v>
      </c>
      <c r="D8610" s="51" t="n">
        <v>0</v>
      </c>
    </row>
    <row r="8611" customFormat="false" ht="15" hidden="true" customHeight="false" outlineLevel="0" collapsed="false">
      <c r="A8611" s="51" t="s">
        <v>252</v>
      </c>
      <c r="B8611" s="55" t="n">
        <v>45473</v>
      </c>
      <c r="C8611" s="51" t="s">
        <v>782</v>
      </c>
      <c r="D8611" s="51" t="n">
        <v>0</v>
      </c>
    </row>
    <row r="8612" customFormat="false" ht="15" hidden="true" customHeight="false" outlineLevel="0" collapsed="false">
      <c r="A8612" s="51" t="s">
        <v>257</v>
      </c>
      <c r="B8612" s="55" t="n">
        <v>45473</v>
      </c>
      <c r="C8612" s="51" t="s">
        <v>782</v>
      </c>
      <c r="D8612" s="51" t="n">
        <v>0</v>
      </c>
    </row>
    <row r="8613" customFormat="false" ht="15" hidden="true" customHeight="false" outlineLevel="0" collapsed="false">
      <c r="A8613" s="51" t="s">
        <v>262</v>
      </c>
      <c r="B8613" s="55" t="n">
        <v>45473</v>
      </c>
      <c r="C8613" s="51" t="s">
        <v>782</v>
      </c>
      <c r="D8613" s="51" t="n">
        <v>0</v>
      </c>
    </row>
    <row r="8614" customFormat="false" ht="15" hidden="true" customHeight="false" outlineLevel="0" collapsed="false">
      <c r="A8614" s="51" t="s">
        <v>267</v>
      </c>
      <c r="B8614" s="55" t="n">
        <v>45473</v>
      </c>
      <c r="C8614" s="51" t="s">
        <v>782</v>
      </c>
      <c r="D8614" s="51" t="n">
        <v>0</v>
      </c>
    </row>
    <row r="8615" customFormat="false" ht="15" hidden="true" customHeight="false" outlineLevel="0" collapsed="false">
      <c r="A8615" s="51" t="s">
        <v>272</v>
      </c>
      <c r="B8615" s="55" t="n">
        <v>45473</v>
      </c>
      <c r="C8615" s="51" t="s">
        <v>782</v>
      </c>
      <c r="D8615" s="51" t="n">
        <v>0</v>
      </c>
    </row>
    <row r="8616" customFormat="false" ht="15" hidden="true" customHeight="false" outlineLevel="0" collapsed="false">
      <c r="A8616" s="51" t="s">
        <v>277</v>
      </c>
      <c r="B8616" s="55" t="n">
        <v>45473</v>
      </c>
      <c r="C8616" s="51" t="s">
        <v>782</v>
      </c>
      <c r="D8616" s="51" t="n">
        <v>0</v>
      </c>
    </row>
    <row r="8617" customFormat="false" ht="15" hidden="true" customHeight="false" outlineLevel="0" collapsed="false">
      <c r="A8617" s="51" t="s">
        <v>282</v>
      </c>
      <c r="B8617" s="55" t="n">
        <v>45473</v>
      </c>
      <c r="C8617" s="51" t="s">
        <v>782</v>
      </c>
      <c r="D8617" s="51" t="n">
        <v>0</v>
      </c>
    </row>
    <row r="8618" customFormat="false" ht="15" hidden="true" customHeight="false" outlineLevel="0" collapsed="false">
      <c r="A8618" s="51" t="s">
        <v>287</v>
      </c>
      <c r="B8618" s="55" t="n">
        <v>45473</v>
      </c>
      <c r="C8618" s="51" t="s">
        <v>782</v>
      </c>
      <c r="D8618" s="51" t="n">
        <v>0</v>
      </c>
    </row>
    <row r="8619" customFormat="false" ht="15" hidden="true" customHeight="false" outlineLevel="0" collapsed="false">
      <c r="A8619" s="51" t="s">
        <v>292</v>
      </c>
      <c r="B8619" s="55" t="n">
        <v>45473</v>
      </c>
      <c r="C8619" s="51" t="s">
        <v>782</v>
      </c>
      <c r="D8619" s="51" t="n">
        <v>0</v>
      </c>
    </row>
    <row r="8620" customFormat="false" ht="15" hidden="true" customHeight="false" outlineLevel="0" collapsed="false">
      <c r="A8620" s="51" t="s">
        <v>297</v>
      </c>
      <c r="B8620" s="55" t="n">
        <v>45473</v>
      </c>
      <c r="C8620" s="51" t="s">
        <v>782</v>
      </c>
      <c r="D8620" s="51" t="n">
        <v>0</v>
      </c>
    </row>
    <row r="8621" customFormat="false" ht="15" hidden="true" customHeight="false" outlineLevel="0" collapsed="false">
      <c r="A8621" s="51" t="s">
        <v>302</v>
      </c>
      <c r="B8621" s="55" t="n">
        <v>45473</v>
      </c>
      <c r="C8621" s="51" t="s">
        <v>782</v>
      </c>
      <c r="D8621" s="51" t="n">
        <v>0</v>
      </c>
    </row>
    <row r="8622" customFormat="false" ht="15" hidden="true" customHeight="false" outlineLevel="0" collapsed="false">
      <c r="A8622" s="51" t="s">
        <v>307</v>
      </c>
      <c r="B8622" s="55" t="n">
        <v>45473</v>
      </c>
      <c r="C8622" s="51" t="s">
        <v>782</v>
      </c>
      <c r="D8622" s="51" t="n">
        <v>0</v>
      </c>
    </row>
    <row r="8623" customFormat="false" ht="15" hidden="true" customHeight="false" outlineLevel="0" collapsed="false">
      <c r="A8623" s="51" t="s">
        <v>311</v>
      </c>
      <c r="B8623" s="55" t="n">
        <v>45473</v>
      </c>
      <c r="C8623" s="51" t="s">
        <v>782</v>
      </c>
      <c r="D8623" s="51" t="n">
        <v>0</v>
      </c>
    </row>
    <row r="8624" customFormat="false" ht="15" hidden="true" customHeight="false" outlineLevel="0" collapsed="false">
      <c r="A8624" s="51" t="s">
        <v>317</v>
      </c>
      <c r="B8624" s="55" t="n">
        <v>45473</v>
      </c>
      <c r="C8624" s="51" t="s">
        <v>782</v>
      </c>
      <c r="D8624" s="51" t="n">
        <v>0</v>
      </c>
    </row>
    <row r="8625" customFormat="false" ht="15" hidden="true" customHeight="false" outlineLevel="0" collapsed="false">
      <c r="A8625" s="51" t="s">
        <v>322</v>
      </c>
      <c r="B8625" s="55" t="n">
        <v>45473</v>
      </c>
      <c r="C8625" s="51" t="s">
        <v>782</v>
      </c>
      <c r="D8625" s="51" t="n">
        <v>0</v>
      </c>
    </row>
    <row r="8626" customFormat="false" ht="15" hidden="true" customHeight="false" outlineLevel="0" collapsed="false">
      <c r="A8626" s="51" t="s">
        <v>327</v>
      </c>
      <c r="B8626" s="55" t="n">
        <v>45473</v>
      </c>
      <c r="C8626" s="51" t="s">
        <v>782</v>
      </c>
      <c r="D8626" s="51" t="n">
        <v>0</v>
      </c>
    </row>
    <row r="8627" customFormat="false" ht="15" hidden="true" customHeight="false" outlineLevel="0" collapsed="false">
      <c r="A8627" s="51" t="s">
        <v>332</v>
      </c>
      <c r="B8627" s="55" t="n">
        <v>45473</v>
      </c>
      <c r="C8627" s="51" t="s">
        <v>782</v>
      </c>
      <c r="D8627" s="51" t="n">
        <v>0</v>
      </c>
    </row>
    <row r="8628" customFormat="false" ht="15" hidden="true" customHeight="false" outlineLevel="0" collapsed="false">
      <c r="A8628" s="51" t="s">
        <v>339</v>
      </c>
      <c r="B8628" s="55" t="n">
        <v>45473</v>
      </c>
      <c r="C8628" s="51" t="s">
        <v>782</v>
      </c>
      <c r="D8628" s="51" t="n">
        <v>0</v>
      </c>
    </row>
    <row r="8629" customFormat="false" ht="15" hidden="true" customHeight="false" outlineLevel="0" collapsed="false">
      <c r="A8629" s="51" t="s">
        <v>344</v>
      </c>
      <c r="B8629" s="55" t="n">
        <v>45473</v>
      </c>
      <c r="C8629" s="51" t="s">
        <v>782</v>
      </c>
      <c r="D8629" s="51" t="n">
        <v>0</v>
      </c>
    </row>
    <row r="8630" customFormat="false" ht="15" hidden="true" customHeight="false" outlineLevel="0" collapsed="false">
      <c r="A8630" s="51" t="s">
        <v>349</v>
      </c>
      <c r="B8630" s="55" t="n">
        <v>45473</v>
      </c>
      <c r="C8630" s="51" t="s">
        <v>782</v>
      </c>
      <c r="D8630" s="51" t="n">
        <v>0</v>
      </c>
    </row>
    <row r="8631" customFormat="false" ht="15" hidden="true" customHeight="false" outlineLevel="0" collapsed="false">
      <c r="A8631" s="51" t="s">
        <v>354</v>
      </c>
      <c r="B8631" s="55" t="n">
        <v>45473</v>
      </c>
      <c r="C8631" s="51" t="s">
        <v>782</v>
      </c>
      <c r="D8631" s="51" t="n">
        <v>0</v>
      </c>
    </row>
    <row r="8632" customFormat="false" ht="15" hidden="true" customHeight="false" outlineLevel="0" collapsed="false">
      <c r="A8632" s="51" t="s">
        <v>359</v>
      </c>
      <c r="B8632" s="55" t="n">
        <v>45473</v>
      </c>
      <c r="C8632" s="51" t="s">
        <v>782</v>
      </c>
      <c r="D8632" s="51" t="n">
        <v>0</v>
      </c>
    </row>
    <row r="8633" customFormat="false" ht="15" hidden="true" customHeight="false" outlineLevel="0" collapsed="false">
      <c r="A8633" s="51" t="s">
        <v>364</v>
      </c>
      <c r="B8633" s="55" t="n">
        <v>45473</v>
      </c>
      <c r="C8633" s="51" t="s">
        <v>782</v>
      </c>
      <c r="D8633" s="51" t="n">
        <v>0</v>
      </c>
    </row>
    <row r="8634" customFormat="false" ht="15" hidden="true" customHeight="false" outlineLevel="0" collapsed="false">
      <c r="A8634" s="51" t="s">
        <v>369</v>
      </c>
      <c r="B8634" s="55" t="n">
        <v>45473</v>
      </c>
      <c r="C8634" s="51" t="s">
        <v>782</v>
      </c>
      <c r="D8634" s="51" t="n">
        <v>0</v>
      </c>
    </row>
    <row r="8635" customFormat="false" ht="15" hidden="true" customHeight="false" outlineLevel="0" collapsed="false">
      <c r="A8635" s="51" t="s">
        <v>374</v>
      </c>
      <c r="B8635" s="55" t="n">
        <v>45473</v>
      </c>
      <c r="C8635" s="51" t="s">
        <v>782</v>
      </c>
      <c r="D8635" s="51" t="n">
        <v>0</v>
      </c>
    </row>
    <row r="8636" customFormat="false" ht="15" hidden="true" customHeight="false" outlineLevel="0" collapsed="false">
      <c r="A8636" s="51" t="s">
        <v>379</v>
      </c>
      <c r="B8636" s="55" t="n">
        <v>45473</v>
      </c>
      <c r="C8636" s="51" t="s">
        <v>782</v>
      </c>
      <c r="D8636" s="51" t="n">
        <v>0</v>
      </c>
    </row>
    <row r="8637" customFormat="false" ht="15" hidden="true" customHeight="false" outlineLevel="0" collapsed="false">
      <c r="A8637" s="51" t="s">
        <v>384</v>
      </c>
      <c r="B8637" s="55" t="n">
        <v>45473</v>
      </c>
      <c r="C8637" s="51" t="s">
        <v>782</v>
      </c>
      <c r="D8637" s="51" t="n">
        <v>0</v>
      </c>
    </row>
    <row r="8638" customFormat="false" ht="15" hidden="true" customHeight="false" outlineLevel="0" collapsed="false">
      <c r="A8638" s="51" t="s">
        <v>389</v>
      </c>
      <c r="B8638" s="55" t="n">
        <v>45473</v>
      </c>
      <c r="C8638" s="51" t="s">
        <v>782</v>
      </c>
      <c r="D8638" s="51" t="n">
        <v>0</v>
      </c>
    </row>
    <row r="8639" customFormat="false" ht="15" hidden="true" customHeight="false" outlineLevel="0" collapsed="false">
      <c r="A8639" s="51" t="s">
        <v>394</v>
      </c>
      <c r="B8639" s="55" t="n">
        <v>45473</v>
      </c>
      <c r="C8639" s="51" t="s">
        <v>782</v>
      </c>
      <c r="D8639" s="51" t="n">
        <v>0</v>
      </c>
    </row>
    <row r="8640" customFormat="false" ht="15" hidden="true" customHeight="false" outlineLevel="0" collapsed="false">
      <c r="A8640" s="51" t="s">
        <v>399</v>
      </c>
      <c r="B8640" s="55" t="n">
        <v>45473</v>
      </c>
      <c r="C8640" s="51" t="s">
        <v>782</v>
      </c>
      <c r="D8640" s="51" t="n">
        <v>0</v>
      </c>
    </row>
    <row r="8641" customFormat="false" ht="15" hidden="true" customHeight="false" outlineLevel="0" collapsed="false">
      <c r="A8641" s="51" t="s">
        <v>404</v>
      </c>
      <c r="B8641" s="55" t="n">
        <v>45473</v>
      </c>
      <c r="C8641" s="51" t="s">
        <v>782</v>
      </c>
      <c r="D8641" s="51" t="n">
        <v>0</v>
      </c>
    </row>
    <row r="8642" customFormat="false" ht="15" hidden="true" customHeight="false" outlineLevel="0" collapsed="false">
      <c r="A8642" s="51" t="s">
        <v>409</v>
      </c>
      <c r="B8642" s="55" t="n">
        <v>45473</v>
      </c>
      <c r="C8642" s="51" t="s">
        <v>782</v>
      </c>
      <c r="D8642" s="51" t="n">
        <v>0</v>
      </c>
    </row>
    <row r="8643" customFormat="false" ht="15" hidden="true" customHeight="false" outlineLevel="0" collapsed="false">
      <c r="A8643" s="51" t="s">
        <v>414</v>
      </c>
      <c r="B8643" s="55" t="n">
        <v>45473</v>
      </c>
      <c r="C8643" s="51" t="s">
        <v>782</v>
      </c>
      <c r="D8643" s="51" t="n">
        <v>0</v>
      </c>
    </row>
    <row r="8644" customFormat="false" ht="15" hidden="true" customHeight="false" outlineLevel="0" collapsed="false">
      <c r="A8644" s="51" t="s">
        <v>419</v>
      </c>
      <c r="B8644" s="55" t="n">
        <v>45473</v>
      </c>
      <c r="C8644" s="51" t="s">
        <v>782</v>
      </c>
      <c r="D8644" s="51" t="n">
        <v>0</v>
      </c>
    </row>
    <row r="8645" customFormat="false" ht="15" hidden="true" customHeight="false" outlineLevel="0" collapsed="false">
      <c r="A8645" s="51" t="s">
        <v>424</v>
      </c>
      <c r="B8645" s="55" t="n">
        <v>45473</v>
      </c>
      <c r="C8645" s="51" t="s">
        <v>782</v>
      </c>
      <c r="D8645" s="51" t="n">
        <v>0</v>
      </c>
    </row>
    <row r="8646" customFormat="false" ht="15" hidden="true" customHeight="false" outlineLevel="0" collapsed="false">
      <c r="A8646" s="51" t="s">
        <v>429</v>
      </c>
      <c r="B8646" s="55" t="n">
        <v>45473</v>
      </c>
      <c r="C8646" s="51" t="s">
        <v>782</v>
      </c>
      <c r="D8646" s="51" t="n">
        <v>0</v>
      </c>
    </row>
    <row r="8647" customFormat="false" ht="15" hidden="true" customHeight="false" outlineLevel="0" collapsed="false">
      <c r="A8647" s="51" t="s">
        <v>434</v>
      </c>
      <c r="B8647" s="55" t="n">
        <v>45473</v>
      </c>
      <c r="C8647" s="51" t="s">
        <v>782</v>
      </c>
      <c r="D8647" s="51" t="n">
        <v>0</v>
      </c>
    </row>
    <row r="8648" customFormat="false" ht="15" hidden="true" customHeight="false" outlineLevel="0" collapsed="false">
      <c r="A8648" s="51" t="s">
        <v>438</v>
      </c>
      <c r="B8648" s="55" t="n">
        <v>45473</v>
      </c>
      <c r="C8648" s="51" t="s">
        <v>782</v>
      </c>
      <c r="D8648" s="51" t="n">
        <v>0</v>
      </c>
    </row>
    <row r="8649" customFormat="false" ht="15" hidden="true" customHeight="false" outlineLevel="0" collapsed="false">
      <c r="A8649" s="51" t="s">
        <v>443</v>
      </c>
      <c r="B8649" s="55" t="n">
        <v>45473</v>
      </c>
      <c r="C8649" s="51" t="s">
        <v>782</v>
      </c>
      <c r="D8649" s="51" t="n">
        <v>0</v>
      </c>
    </row>
    <row r="8650" customFormat="false" ht="15" hidden="true" customHeight="false" outlineLevel="0" collapsed="false">
      <c r="A8650" s="51" t="s">
        <v>448</v>
      </c>
      <c r="B8650" s="55" t="n">
        <v>45473</v>
      </c>
      <c r="C8650" s="51" t="s">
        <v>782</v>
      </c>
      <c r="D8650" s="51" t="n">
        <v>0</v>
      </c>
    </row>
    <row r="8651" customFormat="false" ht="15" hidden="true" customHeight="false" outlineLevel="0" collapsed="false">
      <c r="A8651" s="51" t="s">
        <v>453</v>
      </c>
      <c r="B8651" s="55" t="n">
        <v>45473</v>
      </c>
      <c r="C8651" s="51" t="s">
        <v>782</v>
      </c>
      <c r="D8651" s="51" t="n">
        <v>0</v>
      </c>
    </row>
    <row r="8652" customFormat="false" ht="15" hidden="true" customHeight="false" outlineLevel="0" collapsed="false">
      <c r="A8652" s="51" t="s">
        <v>458</v>
      </c>
      <c r="B8652" s="55" t="n">
        <v>45473</v>
      </c>
      <c r="C8652" s="51" t="s">
        <v>782</v>
      </c>
      <c r="D8652" s="51" t="n">
        <v>0</v>
      </c>
    </row>
    <row r="8653" customFormat="false" ht="15" hidden="true" customHeight="false" outlineLevel="0" collapsed="false">
      <c r="A8653" s="51" t="s">
        <v>473</v>
      </c>
      <c r="B8653" s="55" t="n">
        <v>45473</v>
      </c>
      <c r="C8653" s="51" t="s">
        <v>782</v>
      </c>
      <c r="D8653" s="51" t="n">
        <v>0</v>
      </c>
    </row>
    <row r="8654" customFormat="false" ht="15" hidden="true" customHeight="false" outlineLevel="0" collapsed="false">
      <c r="A8654" s="51" t="s">
        <v>479</v>
      </c>
      <c r="B8654" s="55" t="n">
        <v>45473</v>
      </c>
      <c r="C8654" s="51" t="s">
        <v>782</v>
      </c>
      <c r="D8654" s="51" t="n">
        <v>0</v>
      </c>
    </row>
    <row r="8655" customFormat="false" ht="15" hidden="true" customHeight="false" outlineLevel="0" collapsed="false">
      <c r="A8655" s="51" t="s">
        <v>484</v>
      </c>
      <c r="B8655" s="55" t="n">
        <v>45473</v>
      </c>
      <c r="C8655" s="51" t="s">
        <v>782</v>
      </c>
      <c r="D8655" s="51" t="n">
        <v>0</v>
      </c>
    </row>
    <row r="8656" customFormat="false" ht="15" hidden="true" customHeight="false" outlineLevel="0" collapsed="false">
      <c r="A8656" s="51" t="s">
        <v>489</v>
      </c>
      <c r="B8656" s="55" t="n">
        <v>45473</v>
      </c>
      <c r="C8656" s="51" t="s">
        <v>782</v>
      </c>
      <c r="D8656" s="51" t="n">
        <v>0</v>
      </c>
    </row>
    <row r="8657" customFormat="false" ht="15" hidden="true" customHeight="false" outlineLevel="0" collapsed="false">
      <c r="A8657" s="51" t="s">
        <v>494</v>
      </c>
      <c r="B8657" s="55" t="n">
        <v>45473</v>
      </c>
      <c r="C8657" s="51" t="s">
        <v>782</v>
      </c>
      <c r="D8657" s="51" t="n">
        <v>0</v>
      </c>
    </row>
    <row r="8658" customFormat="false" ht="15" hidden="true" customHeight="false" outlineLevel="0" collapsed="false">
      <c r="A8658" s="51" t="s">
        <v>499</v>
      </c>
      <c r="B8658" s="55" t="n">
        <v>45473</v>
      </c>
      <c r="C8658" s="51" t="s">
        <v>782</v>
      </c>
      <c r="D8658" s="51" t="n">
        <v>0</v>
      </c>
    </row>
    <row r="8659" customFormat="false" ht="15" hidden="true" customHeight="false" outlineLevel="0" collapsed="false">
      <c r="A8659" s="51" t="s">
        <v>504</v>
      </c>
      <c r="B8659" s="55" t="n">
        <v>45473</v>
      </c>
      <c r="C8659" s="51" t="s">
        <v>782</v>
      </c>
      <c r="D8659" s="51" t="n">
        <v>0</v>
      </c>
    </row>
    <row r="8660" customFormat="false" ht="15" hidden="true" customHeight="false" outlineLevel="0" collapsed="false">
      <c r="A8660" s="51" t="s">
        <v>509</v>
      </c>
      <c r="B8660" s="55" t="n">
        <v>45473</v>
      </c>
      <c r="C8660" s="51" t="s">
        <v>782</v>
      </c>
      <c r="D8660" s="51" t="n">
        <v>0</v>
      </c>
    </row>
    <row r="8661" customFormat="false" ht="15" hidden="true" customHeight="false" outlineLevel="0" collapsed="false">
      <c r="A8661" s="51" t="s">
        <v>515</v>
      </c>
      <c r="B8661" s="55" t="n">
        <v>45473</v>
      </c>
      <c r="C8661" s="51" t="s">
        <v>782</v>
      </c>
      <c r="D8661" s="51" t="n">
        <v>0</v>
      </c>
    </row>
    <row r="8662" customFormat="false" ht="15" hidden="true" customHeight="false" outlineLevel="0" collapsed="false">
      <c r="A8662" s="51" t="s">
        <v>520</v>
      </c>
      <c r="B8662" s="55" t="n">
        <v>45473</v>
      </c>
      <c r="C8662" s="51" t="s">
        <v>782</v>
      </c>
      <c r="D8662" s="51" t="n">
        <v>0</v>
      </c>
    </row>
    <row r="8663" customFormat="false" ht="15" hidden="true" customHeight="false" outlineLevel="0" collapsed="false">
      <c r="A8663" s="51" t="s">
        <v>525</v>
      </c>
      <c r="B8663" s="55" t="n">
        <v>45473</v>
      </c>
      <c r="C8663" s="51" t="s">
        <v>782</v>
      </c>
      <c r="D8663" s="51" t="n">
        <v>500000</v>
      </c>
    </row>
    <row r="8664" customFormat="false" ht="15" hidden="true" customHeight="false" outlineLevel="0" collapsed="false">
      <c r="A8664" s="51" t="s">
        <v>531</v>
      </c>
      <c r="B8664" s="55" t="n">
        <v>45473</v>
      </c>
      <c r="C8664" s="51" t="s">
        <v>782</v>
      </c>
      <c r="D8664" s="51" t="n">
        <v>1000000</v>
      </c>
    </row>
    <row r="8665" customFormat="false" ht="15" hidden="true" customHeight="false" outlineLevel="0" collapsed="false">
      <c r="A8665" s="51" t="s">
        <v>536</v>
      </c>
      <c r="B8665" s="55" t="n">
        <v>45473</v>
      </c>
      <c r="C8665" s="51" t="s">
        <v>782</v>
      </c>
      <c r="D8665" s="51" t="n">
        <v>500000</v>
      </c>
    </row>
    <row r="8666" customFormat="false" ht="15" hidden="true" customHeight="false" outlineLevel="0" collapsed="false">
      <c r="A8666" s="51" t="s">
        <v>541</v>
      </c>
      <c r="B8666" s="55" t="n">
        <v>45473</v>
      </c>
      <c r="C8666" s="51" t="s">
        <v>782</v>
      </c>
      <c r="D8666" s="51" t="n">
        <v>1260076</v>
      </c>
    </row>
    <row r="8667" customFormat="false" ht="15" hidden="true" customHeight="false" outlineLevel="0" collapsed="false">
      <c r="A8667" s="51" t="s">
        <v>549</v>
      </c>
      <c r="B8667" s="55" t="n">
        <v>45473</v>
      </c>
      <c r="C8667" s="51" t="s">
        <v>782</v>
      </c>
      <c r="D8667" s="51" t="n">
        <v>2894210.47</v>
      </c>
    </row>
    <row r="8668" customFormat="false" ht="15" hidden="true" customHeight="false" outlineLevel="0" collapsed="false">
      <c r="A8668" s="51" t="s">
        <v>554</v>
      </c>
      <c r="B8668" s="55" t="n">
        <v>45473</v>
      </c>
      <c r="C8668" s="51" t="s">
        <v>782</v>
      </c>
      <c r="D8668" s="51" t="n">
        <v>1620801.75</v>
      </c>
    </row>
    <row r="8669" customFormat="false" ht="15" hidden="true" customHeight="false" outlineLevel="0" collapsed="false">
      <c r="A8669" s="51" t="s">
        <v>559</v>
      </c>
      <c r="B8669" s="55" t="n">
        <v>45473</v>
      </c>
      <c r="C8669" s="51" t="s">
        <v>782</v>
      </c>
      <c r="D8669" s="51" t="n">
        <v>0</v>
      </c>
    </row>
    <row r="8670" customFormat="false" ht="15" hidden="true" customHeight="false" outlineLevel="0" collapsed="false">
      <c r="A8670" s="51" t="s">
        <v>564</v>
      </c>
      <c r="B8670" s="55" t="n">
        <v>45473</v>
      </c>
      <c r="C8670" s="51" t="s">
        <v>782</v>
      </c>
      <c r="D8670" s="51" t="n">
        <v>0</v>
      </c>
    </row>
    <row r="8671" customFormat="false" ht="15" hidden="true" customHeight="false" outlineLevel="0" collapsed="false">
      <c r="A8671" s="51" t="s">
        <v>569</v>
      </c>
      <c r="B8671" s="55" t="n">
        <v>45473</v>
      </c>
      <c r="C8671" s="51" t="s">
        <v>782</v>
      </c>
      <c r="D8671" s="51" t="n">
        <v>0</v>
      </c>
    </row>
    <row r="8672" customFormat="false" ht="15" hidden="true" customHeight="false" outlineLevel="0" collapsed="false">
      <c r="A8672" s="51" t="s">
        <v>574</v>
      </c>
      <c r="B8672" s="55" t="n">
        <v>45473</v>
      </c>
      <c r="C8672" s="51" t="s">
        <v>782</v>
      </c>
      <c r="D8672" s="51" t="n">
        <v>0</v>
      </c>
    </row>
    <row r="8673" customFormat="false" ht="15" hidden="true" customHeight="false" outlineLevel="0" collapsed="false">
      <c r="A8673" s="51" t="s">
        <v>579</v>
      </c>
      <c r="B8673" s="55" t="n">
        <v>45473</v>
      </c>
      <c r="C8673" s="51" t="s">
        <v>782</v>
      </c>
      <c r="D8673" s="51" t="n">
        <v>0</v>
      </c>
    </row>
    <row r="8674" customFormat="false" ht="15" hidden="true" customHeight="false" outlineLevel="0" collapsed="false">
      <c r="A8674" s="51" t="s">
        <v>584</v>
      </c>
      <c r="B8674" s="55" t="n">
        <v>45473</v>
      </c>
      <c r="C8674" s="51" t="s">
        <v>782</v>
      </c>
      <c r="D8674" s="51" t="n">
        <v>0</v>
      </c>
    </row>
    <row r="8675" customFormat="false" ht="15" hidden="true" customHeight="false" outlineLevel="0" collapsed="false">
      <c r="A8675" s="51" t="s">
        <v>589</v>
      </c>
      <c r="B8675" s="55" t="n">
        <v>45473</v>
      </c>
      <c r="C8675" s="51" t="s">
        <v>782</v>
      </c>
      <c r="D8675" s="51" t="n">
        <v>0</v>
      </c>
    </row>
    <row r="8676" customFormat="false" ht="15" hidden="true" customHeight="false" outlineLevel="0" collapsed="false">
      <c r="A8676" s="51" t="s">
        <v>756</v>
      </c>
      <c r="B8676" s="55" t="n">
        <v>45473</v>
      </c>
      <c r="C8676" s="51" t="s">
        <v>782</v>
      </c>
      <c r="D8676" s="51" t="n">
        <v>0</v>
      </c>
    </row>
    <row r="8677" customFormat="false" ht="15" hidden="true" customHeight="false" outlineLevel="0" collapsed="false">
      <c r="A8677" s="51" t="s">
        <v>594</v>
      </c>
      <c r="B8677" s="55" t="n">
        <v>45473</v>
      </c>
      <c r="C8677" s="51" t="s">
        <v>782</v>
      </c>
      <c r="D8677" s="51" t="n">
        <v>0</v>
      </c>
    </row>
    <row r="8678" customFormat="false" ht="15" hidden="true" customHeight="false" outlineLevel="0" collapsed="false">
      <c r="A8678" s="51" t="s">
        <v>761</v>
      </c>
      <c r="B8678" s="55" t="n">
        <v>45473</v>
      </c>
      <c r="C8678" s="51" t="s">
        <v>782</v>
      </c>
      <c r="D8678" s="51" t="n">
        <v>0</v>
      </c>
    </row>
    <row r="8679" customFormat="false" ht="15" hidden="true" customHeight="false" outlineLevel="0" collapsed="false">
      <c r="A8679" s="51" t="s">
        <v>599</v>
      </c>
      <c r="B8679" s="55" t="n">
        <v>45473</v>
      </c>
      <c r="C8679" s="51" t="s">
        <v>782</v>
      </c>
      <c r="D8679" s="51" t="n">
        <v>0</v>
      </c>
    </row>
    <row r="8680" customFormat="false" ht="15" hidden="true" customHeight="false" outlineLevel="0" collapsed="false">
      <c r="A8680" s="51" t="s">
        <v>604</v>
      </c>
      <c r="B8680" s="55" t="n">
        <v>45473</v>
      </c>
      <c r="C8680" s="51" t="s">
        <v>782</v>
      </c>
      <c r="D8680" s="51" t="n">
        <v>0</v>
      </c>
    </row>
    <row r="8681" customFormat="false" ht="15" hidden="true" customHeight="false" outlineLevel="0" collapsed="false">
      <c r="A8681" s="51" t="s">
        <v>609</v>
      </c>
      <c r="B8681" s="55" t="n">
        <v>45473</v>
      </c>
      <c r="C8681" s="51" t="s">
        <v>782</v>
      </c>
      <c r="D8681" s="51" t="n">
        <v>0</v>
      </c>
    </row>
    <row r="8682" customFormat="false" ht="15" hidden="true" customHeight="false" outlineLevel="0" collapsed="false">
      <c r="A8682" s="51" t="s">
        <v>614</v>
      </c>
      <c r="B8682" s="55" t="n">
        <v>45473</v>
      </c>
      <c r="C8682" s="51" t="s">
        <v>782</v>
      </c>
      <c r="D8682" s="51" t="n">
        <v>0</v>
      </c>
    </row>
    <row r="8683" customFormat="false" ht="15" hidden="true" customHeight="false" outlineLevel="0" collapsed="false">
      <c r="A8683" s="51" t="s">
        <v>619</v>
      </c>
      <c r="B8683" s="55" t="n">
        <v>45473</v>
      </c>
      <c r="C8683" s="51" t="s">
        <v>782</v>
      </c>
      <c r="D8683" s="51" t="n">
        <v>0</v>
      </c>
    </row>
    <row r="8684" customFormat="false" ht="15" hidden="true" customHeight="false" outlineLevel="0" collapsed="false">
      <c r="A8684" s="51" t="s">
        <v>624</v>
      </c>
      <c r="B8684" s="55" t="n">
        <v>45473</v>
      </c>
      <c r="C8684" s="51" t="s">
        <v>782</v>
      </c>
      <c r="D8684" s="51" t="n">
        <v>0</v>
      </c>
    </row>
    <row r="8685" customFormat="false" ht="15" hidden="true" customHeight="false" outlineLevel="0" collapsed="false">
      <c r="A8685" s="51" t="s">
        <v>629</v>
      </c>
      <c r="B8685" s="55" t="n">
        <v>45473</v>
      </c>
      <c r="C8685" s="51" t="s">
        <v>782</v>
      </c>
      <c r="D8685" s="51" t="n">
        <v>0</v>
      </c>
    </row>
    <row r="8686" customFormat="false" ht="15" hidden="true" customHeight="false" outlineLevel="0" collapsed="false">
      <c r="A8686" s="51" t="s">
        <v>633</v>
      </c>
      <c r="B8686" s="55" t="n">
        <v>45473</v>
      </c>
      <c r="C8686" s="51" t="s">
        <v>782</v>
      </c>
      <c r="D8686" s="51" t="n">
        <v>0</v>
      </c>
    </row>
    <row r="8687" customFormat="false" ht="15" hidden="true" customHeight="false" outlineLevel="0" collapsed="false">
      <c r="A8687" s="51" t="s">
        <v>638</v>
      </c>
      <c r="B8687" s="55" t="n">
        <v>45473</v>
      </c>
      <c r="C8687" s="51" t="s">
        <v>782</v>
      </c>
      <c r="D8687" s="51" t="n">
        <v>0</v>
      </c>
    </row>
    <row r="8688" customFormat="false" ht="15" hidden="true" customHeight="false" outlineLevel="0" collapsed="false">
      <c r="A8688" s="51" t="s">
        <v>642</v>
      </c>
      <c r="B8688" s="55" t="n">
        <v>45473</v>
      </c>
      <c r="C8688" s="51" t="s">
        <v>782</v>
      </c>
      <c r="D8688" s="51" t="n">
        <v>0</v>
      </c>
    </row>
    <row r="8689" customFormat="false" ht="15" hidden="true" customHeight="false" outlineLevel="0" collapsed="false">
      <c r="A8689" s="51" t="s">
        <v>646</v>
      </c>
      <c r="B8689" s="55" t="n">
        <v>45473</v>
      </c>
      <c r="C8689" s="51" t="s">
        <v>782</v>
      </c>
      <c r="D8689" s="51" t="n">
        <v>0</v>
      </c>
    </row>
    <row r="8690" customFormat="false" ht="15" hidden="true" customHeight="false" outlineLevel="0" collapsed="false">
      <c r="A8690" s="51" t="s">
        <v>651</v>
      </c>
      <c r="B8690" s="55" t="n">
        <v>45473</v>
      </c>
      <c r="C8690" s="51" t="s">
        <v>782</v>
      </c>
      <c r="D8690" s="51" t="n">
        <v>0</v>
      </c>
    </row>
    <row r="8691" customFormat="false" ht="15" hidden="true" customHeight="false" outlineLevel="0" collapsed="false">
      <c r="A8691" s="51" t="s">
        <v>656</v>
      </c>
      <c r="B8691" s="55" t="n">
        <v>45473</v>
      </c>
      <c r="C8691" s="51" t="s">
        <v>782</v>
      </c>
      <c r="D8691" s="51" t="n">
        <v>0</v>
      </c>
    </row>
    <row r="8692" customFormat="false" ht="15" hidden="true" customHeight="false" outlineLevel="0" collapsed="false">
      <c r="A8692" s="51" t="s">
        <v>661</v>
      </c>
      <c r="B8692" s="55" t="n">
        <v>45473</v>
      </c>
      <c r="C8692" s="51" t="s">
        <v>782</v>
      </c>
      <c r="D8692" s="51" t="n">
        <v>0</v>
      </c>
    </row>
    <row r="8693" customFormat="false" ht="15" hidden="true" customHeight="false" outlineLevel="0" collapsed="false">
      <c r="A8693" s="51" t="s">
        <v>666</v>
      </c>
      <c r="B8693" s="55" t="n">
        <v>45473</v>
      </c>
      <c r="C8693" s="51" t="s">
        <v>782</v>
      </c>
      <c r="D8693" s="51" t="n">
        <v>0</v>
      </c>
    </row>
    <row r="8694" customFormat="false" ht="15" hidden="true" customHeight="false" outlineLevel="0" collapsed="false">
      <c r="A8694" s="51" t="s">
        <v>671</v>
      </c>
      <c r="B8694" s="55" t="n">
        <v>45473</v>
      </c>
      <c r="C8694" s="51" t="s">
        <v>782</v>
      </c>
      <c r="D8694" s="51" t="n">
        <v>0</v>
      </c>
    </row>
    <row r="8695" customFormat="false" ht="15" hidden="true" customHeight="false" outlineLevel="0" collapsed="false">
      <c r="A8695" s="51" t="s">
        <v>676</v>
      </c>
      <c r="B8695" s="55" t="n">
        <v>45473</v>
      </c>
      <c r="C8695" s="51" t="s">
        <v>782</v>
      </c>
      <c r="D8695" s="51" t="n">
        <v>0</v>
      </c>
    </row>
    <row r="8696" customFormat="false" ht="15" hidden="true" customHeight="false" outlineLevel="0" collapsed="false">
      <c r="A8696" s="51" t="s">
        <v>681</v>
      </c>
      <c r="B8696" s="55" t="n">
        <v>45473</v>
      </c>
      <c r="C8696" s="51" t="s">
        <v>782</v>
      </c>
      <c r="D8696" s="51" t="n">
        <v>0</v>
      </c>
    </row>
    <row r="8697" customFormat="false" ht="15" hidden="true" customHeight="false" outlineLevel="0" collapsed="false">
      <c r="A8697" s="51" t="s">
        <v>686</v>
      </c>
      <c r="B8697" s="55" t="n">
        <v>45473</v>
      </c>
      <c r="C8697" s="51" t="s">
        <v>782</v>
      </c>
      <c r="D8697" s="51" t="n">
        <v>0</v>
      </c>
    </row>
    <row r="8698" customFormat="false" ht="15" hidden="true" customHeight="false" outlineLevel="0" collapsed="false">
      <c r="A8698" s="51" t="s">
        <v>691</v>
      </c>
      <c r="B8698" s="55" t="n">
        <v>45473</v>
      </c>
      <c r="C8698" s="51" t="s">
        <v>782</v>
      </c>
      <c r="D8698" s="51" t="n">
        <v>0</v>
      </c>
    </row>
    <row r="8699" customFormat="false" ht="15" hidden="true" customHeight="false" outlineLevel="0" collapsed="false">
      <c r="A8699" s="51" t="s">
        <v>696</v>
      </c>
      <c r="B8699" s="55" t="n">
        <v>45473</v>
      </c>
      <c r="C8699" s="51" t="s">
        <v>782</v>
      </c>
      <c r="D8699" s="51" t="n">
        <v>0</v>
      </c>
    </row>
    <row r="8700" customFormat="false" ht="15" hidden="true" customHeight="false" outlineLevel="0" collapsed="false">
      <c r="A8700" s="51" t="s">
        <v>701</v>
      </c>
      <c r="B8700" s="55" t="n">
        <v>45473</v>
      </c>
      <c r="C8700" s="51" t="s">
        <v>782</v>
      </c>
      <c r="D8700" s="51" t="n">
        <v>0</v>
      </c>
    </row>
    <row r="8701" customFormat="false" ht="15" hidden="true" customHeight="false" outlineLevel="0" collapsed="false">
      <c r="A8701" s="51" t="s">
        <v>707</v>
      </c>
      <c r="B8701" s="55" t="n">
        <v>45473</v>
      </c>
      <c r="C8701" s="51" t="s">
        <v>782</v>
      </c>
      <c r="D8701" s="51" t="n">
        <v>0</v>
      </c>
    </row>
    <row r="8702" customFormat="false" ht="15" hidden="true" customHeight="false" outlineLevel="0" collapsed="false">
      <c r="A8702" s="51" t="s">
        <v>712</v>
      </c>
      <c r="B8702" s="55" t="n">
        <v>45473</v>
      </c>
      <c r="C8702" s="51" t="s">
        <v>782</v>
      </c>
      <c r="D8702" s="51" t="n">
        <v>0</v>
      </c>
    </row>
    <row r="8703" customFormat="false" ht="15" hidden="true" customHeight="false" outlineLevel="0" collapsed="false">
      <c r="A8703" s="51" t="s">
        <v>717</v>
      </c>
      <c r="B8703" s="55" t="n">
        <v>45473</v>
      </c>
      <c r="C8703" s="51" t="s">
        <v>782</v>
      </c>
      <c r="D8703" s="51" t="n">
        <v>0</v>
      </c>
    </row>
    <row r="8704" customFormat="false" ht="15" hidden="true" customHeight="false" outlineLevel="0" collapsed="false">
      <c r="A8704" s="51" t="s">
        <v>767</v>
      </c>
      <c r="B8704" s="55" t="n">
        <v>45473</v>
      </c>
      <c r="C8704" s="51" t="s">
        <v>782</v>
      </c>
      <c r="D8704" s="51" t="n">
        <v>0</v>
      </c>
    </row>
    <row r="8705" customFormat="false" ht="15" hidden="true" customHeight="false" outlineLevel="0" collapsed="false">
      <c r="A8705" s="51" t="s">
        <v>722</v>
      </c>
      <c r="B8705" s="55" t="n">
        <v>45473</v>
      </c>
      <c r="C8705" s="51" t="s">
        <v>782</v>
      </c>
      <c r="D8705" s="51" t="n">
        <v>0</v>
      </c>
    </row>
    <row r="8706" customFormat="false" ht="15" hidden="true" customHeight="false" outlineLevel="0" collapsed="false">
      <c r="A8706" s="51" t="s">
        <v>727</v>
      </c>
      <c r="B8706" s="55" t="n">
        <v>45473</v>
      </c>
      <c r="C8706" s="51" t="s">
        <v>782</v>
      </c>
      <c r="D8706" s="51" t="n">
        <v>0</v>
      </c>
    </row>
    <row r="8707" customFormat="false" ht="15" hidden="true" customHeight="false" outlineLevel="0" collapsed="false">
      <c r="A8707" s="51" t="s">
        <v>732</v>
      </c>
      <c r="B8707" s="55" t="n">
        <v>45473</v>
      </c>
      <c r="C8707" s="51" t="s">
        <v>782</v>
      </c>
      <c r="D8707" s="51" t="n">
        <v>0</v>
      </c>
    </row>
    <row r="8708" customFormat="false" ht="15" hidden="true" customHeight="false" outlineLevel="0" collapsed="false">
      <c r="A8708" s="51" t="s">
        <v>736</v>
      </c>
      <c r="B8708" s="55" t="n">
        <v>45473</v>
      </c>
      <c r="C8708" s="51" t="s">
        <v>782</v>
      </c>
      <c r="D8708" s="51" t="n">
        <v>0</v>
      </c>
    </row>
    <row r="8709" customFormat="false" ht="15" hidden="true" customHeight="false" outlineLevel="0" collapsed="false">
      <c r="A8709" s="51" t="s">
        <v>741</v>
      </c>
      <c r="B8709" s="55" t="n">
        <v>45473</v>
      </c>
      <c r="C8709" s="51" t="s">
        <v>782</v>
      </c>
      <c r="D8709" s="51" t="n">
        <v>0</v>
      </c>
    </row>
    <row r="8710" customFormat="false" ht="15" hidden="true" customHeight="false" outlineLevel="0" collapsed="false">
      <c r="A8710" s="51" t="s">
        <v>746</v>
      </c>
      <c r="B8710" s="55" t="n">
        <v>45473</v>
      </c>
      <c r="C8710" s="51" t="s">
        <v>782</v>
      </c>
      <c r="D8710" s="51" t="n">
        <v>0</v>
      </c>
    </row>
    <row r="8711" customFormat="false" ht="15" hidden="true" customHeight="false" outlineLevel="0" collapsed="false">
      <c r="A8711" s="51" t="s">
        <v>751</v>
      </c>
      <c r="B8711" s="55" t="n">
        <v>45473</v>
      </c>
      <c r="C8711" s="51" t="s">
        <v>782</v>
      </c>
      <c r="D8711" s="51" t="n">
        <v>0</v>
      </c>
    </row>
    <row r="8712" customFormat="false" ht="15" hidden="false" customHeight="false" outlineLevel="0" collapsed="false">
      <c r="A8712" s="51" t="s">
        <v>781</v>
      </c>
      <c r="B8712" s="55" t="n">
        <v>45473</v>
      </c>
      <c r="C8712" s="51" t="s">
        <v>82</v>
      </c>
      <c r="D8712" s="51" t="n">
        <v>0</v>
      </c>
    </row>
    <row r="8713" customFormat="false" ht="15" hidden="true" customHeight="false" outlineLevel="0" collapsed="false">
      <c r="A8713" s="51" t="s">
        <v>783</v>
      </c>
      <c r="B8713" s="55" t="n">
        <v>45473</v>
      </c>
      <c r="C8713" s="51" t="s">
        <v>82</v>
      </c>
      <c r="D8713" s="51" t="n">
        <v>0</v>
      </c>
    </row>
    <row r="8714" customFormat="false" ht="15" hidden="true" customHeight="false" outlineLevel="0" collapsed="false">
      <c r="A8714" s="51" t="s">
        <v>96</v>
      </c>
      <c r="B8714" s="55" t="n">
        <v>45473</v>
      </c>
      <c r="C8714" s="51" t="s">
        <v>82</v>
      </c>
      <c r="D8714" s="51" t="n">
        <v>0</v>
      </c>
    </row>
    <row r="8715" customFormat="false" ht="15" hidden="true" customHeight="false" outlineLevel="0" collapsed="false">
      <c r="A8715" s="51" t="s">
        <v>101</v>
      </c>
      <c r="B8715" s="55" t="n">
        <v>45473</v>
      </c>
      <c r="C8715" s="51" t="s">
        <v>82</v>
      </c>
      <c r="D8715" s="51" t="n">
        <v>0</v>
      </c>
    </row>
    <row r="8716" customFormat="false" ht="15" hidden="true" customHeight="false" outlineLevel="0" collapsed="false">
      <c r="A8716" s="51" t="s">
        <v>106</v>
      </c>
      <c r="B8716" s="55" t="n">
        <v>45473</v>
      </c>
      <c r="C8716" s="51" t="s">
        <v>82</v>
      </c>
      <c r="D8716" s="51" t="n">
        <v>0</v>
      </c>
    </row>
    <row r="8717" customFormat="false" ht="15" hidden="true" customHeight="false" outlineLevel="0" collapsed="false">
      <c r="A8717" s="51" t="s">
        <v>110</v>
      </c>
      <c r="B8717" s="55" t="n">
        <v>45473</v>
      </c>
      <c r="C8717" s="51" t="s">
        <v>82</v>
      </c>
      <c r="D8717" s="51" t="n">
        <v>0</v>
      </c>
    </row>
    <row r="8718" customFormat="false" ht="15" hidden="true" customHeight="false" outlineLevel="0" collapsed="false">
      <c r="A8718" s="51" t="s">
        <v>115</v>
      </c>
      <c r="B8718" s="55" t="n">
        <v>45473</v>
      </c>
      <c r="C8718" s="51" t="s">
        <v>82</v>
      </c>
      <c r="D8718" s="51" t="n">
        <v>0</v>
      </c>
    </row>
    <row r="8719" customFormat="false" ht="15" hidden="true" customHeight="false" outlineLevel="0" collapsed="false">
      <c r="A8719" s="51" t="s">
        <v>120</v>
      </c>
      <c r="B8719" s="55" t="n">
        <v>45473</v>
      </c>
      <c r="C8719" s="51" t="s">
        <v>82</v>
      </c>
      <c r="D8719" s="51" t="n">
        <v>0</v>
      </c>
    </row>
    <row r="8720" customFormat="false" ht="15" hidden="true" customHeight="false" outlineLevel="0" collapsed="false">
      <c r="A8720" s="51" t="s">
        <v>124</v>
      </c>
      <c r="B8720" s="55" t="n">
        <v>45473</v>
      </c>
      <c r="C8720" s="51" t="s">
        <v>82</v>
      </c>
      <c r="D8720" s="51" t="n">
        <v>0</v>
      </c>
    </row>
    <row r="8721" customFormat="false" ht="15" hidden="true" customHeight="false" outlineLevel="0" collapsed="false">
      <c r="A8721" s="51" t="s">
        <v>129</v>
      </c>
      <c r="B8721" s="55" t="n">
        <v>45473</v>
      </c>
      <c r="C8721" s="51" t="s">
        <v>82</v>
      </c>
      <c r="D8721" s="51" t="n">
        <v>0</v>
      </c>
    </row>
    <row r="8722" customFormat="false" ht="15" hidden="true" customHeight="false" outlineLevel="0" collapsed="false">
      <c r="A8722" s="51" t="s">
        <v>134</v>
      </c>
      <c r="B8722" s="55" t="n">
        <v>45473</v>
      </c>
      <c r="C8722" s="51" t="s">
        <v>82</v>
      </c>
      <c r="D8722" s="51" t="n">
        <v>0</v>
      </c>
    </row>
    <row r="8723" customFormat="false" ht="15" hidden="true" customHeight="false" outlineLevel="0" collapsed="false">
      <c r="A8723" s="51" t="s">
        <v>141</v>
      </c>
      <c r="B8723" s="55" t="n">
        <v>45473</v>
      </c>
      <c r="C8723" s="51" t="s">
        <v>82</v>
      </c>
      <c r="D8723" s="51" t="n">
        <v>0</v>
      </c>
    </row>
    <row r="8724" customFormat="false" ht="15" hidden="true" customHeight="false" outlineLevel="0" collapsed="false">
      <c r="A8724" s="51" t="s">
        <v>146</v>
      </c>
      <c r="B8724" s="55" t="n">
        <v>45473</v>
      </c>
      <c r="C8724" s="51" t="s">
        <v>82</v>
      </c>
      <c r="D8724" s="51" t="n">
        <v>0</v>
      </c>
    </row>
    <row r="8725" customFormat="false" ht="15" hidden="true" customHeight="false" outlineLevel="0" collapsed="false">
      <c r="A8725" s="51" t="s">
        <v>151</v>
      </c>
      <c r="B8725" s="55" t="n">
        <v>45473</v>
      </c>
      <c r="C8725" s="51" t="s">
        <v>82</v>
      </c>
      <c r="D8725" s="51" t="n">
        <v>0</v>
      </c>
    </row>
    <row r="8726" customFormat="false" ht="15" hidden="true" customHeight="false" outlineLevel="0" collapsed="false">
      <c r="A8726" s="51" t="s">
        <v>156</v>
      </c>
      <c r="B8726" s="55" t="n">
        <v>45473</v>
      </c>
      <c r="C8726" s="51" t="s">
        <v>82</v>
      </c>
      <c r="D8726" s="51" t="n">
        <v>0</v>
      </c>
    </row>
    <row r="8727" customFormat="false" ht="15" hidden="true" customHeight="false" outlineLevel="0" collapsed="false">
      <c r="A8727" s="51" t="s">
        <v>161</v>
      </c>
      <c r="B8727" s="55" t="n">
        <v>45473</v>
      </c>
      <c r="C8727" s="51" t="s">
        <v>82</v>
      </c>
      <c r="D8727" s="51" t="n">
        <v>0</v>
      </c>
    </row>
    <row r="8728" customFormat="false" ht="15" hidden="true" customHeight="false" outlineLevel="0" collapsed="false">
      <c r="A8728" s="51" t="s">
        <v>166</v>
      </c>
      <c r="B8728" s="55" t="n">
        <v>45473</v>
      </c>
      <c r="C8728" s="51" t="s">
        <v>82</v>
      </c>
      <c r="D8728" s="51" t="n">
        <v>0</v>
      </c>
    </row>
    <row r="8729" customFormat="false" ht="15" hidden="true" customHeight="false" outlineLevel="0" collapsed="false">
      <c r="A8729" s="51" t="s">
        <v>171</v>
      </c>
      <c r="B8729" s="55" t="n">
        <v>45473</v>
      </c>
      <c r="C8729" s="51" t="s">
        <v>82</v>
      </c>
      <c r="D8729" s="51" t="n">
        <v>0</v>
      </c>
    </row>
    <row r="8730" customFormat="false" ht="15" hidden="true" customHeight="false" outlineLevel="0" collapsed="false">
      <c r="A8730" s="51" t="s">
        <v>176</v>
      </c>
      <c r="B8730" s="55" t="n">
        <v>45473</v>
      </c>
      <c r="C8730" s="51" t="s">
        <v>82</v>
      </c>
      <c r="D8730" s="51" t="n">
        <v>0</v>
      </c>
    </row>
    <row r="8731" customFormat="false" ht="15" hidden="true" customHeight="false" outlineLevel="0" collapsed="false">
      <c r="A8731" s="51" t="s">
        <v>181</v>
      </c>
      <c r="B8731" s="55" t="n">
        <v>45473</v>
      </c>
      <c r="C8731" s="51" t="s">
        <v>82</v>
      </c>
      <c r="D8731" s="51" t="n">
        <v>0</v>
      </c>
    </row>
    <row r="8732" customFormat="false" ht="15" hidden="true" customHeight="false" outlineLevel="0" collapsed="false">
      <c r="A8732" s="51" t="s">
        <v>186</v>
      </c>
      <c r="B8732" s="55" t="n">
        <v>45473</v>
      </c>
      <c r="C8732" s="51" t="s">
        <v>82</v>
      </c>
      <c r="D8732" s="51" t="n">
        <v>0</v>
      </c>
    </row>
    <row r="8733" customFormat="false" ht="15" hidden="true" customHeight="false" outlineLevel="0" collapsed="false">
      <c r="A8733" s="51" t="s">
        <v>191</v>
      </c>
      <c r="B8733" s="55" t="n">
        <v>45473</v>
      </c>
      <c r="C8733" s="51" t="s">
        <v>82</v>
      </c>
      <c r="D8733" s="51" t="n">
        <v>0</v>
      </c>
    </row>
    <row r="8734" customFormat="false" ht="15" hidden="true" customHeight="false" outlineLevel="0" collapsed="false">
      <c r="A8734" s="51" t="s">
        <v>196</v>
      </c>
      <c r="B8734" s="55" t="n">
        <v>45473</v>
      </c>
      <c r="C8734" s="51" t="s">
        <v>82</v>
      </c>
      <c r="D8734" s="51" t="n">
        <v>0</v>
      </c>
    </row>
    <row r="8735" customFormat="false" ht="15" hidden="true" customHeight="false" outlineLevel="0" collapsed="false">
      <c r="A8735" s="51" t="s">
        <v>201</v>
      </c>
      <c r="B8735" s="55" t="n">
        <v>45473</v>
      </c>
      <c r="C8735" s="51" t="s">
        <v>82</v>
      </c>
      <c r="D8735" s="51" t="n">
        <v>0</v>
      </c>
    </row>
    <row r="8736" customFormat="false" ht="15" hidden="true" customHeight="false" outlineLevel="0" collapsed="false">
      <c r="A8736" s="51" t="s">
        <v>206</v>
      </c>
      <c r="B8736" s="55" t="n">
        <v>45473</v>
      </c>
      <c r="C8736" s="51" t="s">
        <v>82</v>
      </c>
      <c r="D8736" s="51" t="n">
        <v>0</v>
      </c>
    </row>
    <row r="8737" customFormat="false" ht="15" hidden="true" customHeight="false" outlineLevel="0" collapsed="false">
      <c r="A8737" s="51" t="s">
        <v>210</v>
      </c>
      <c r="B8737" s="55" t="n">
        <v>45473</v>
      </c>
      <c r="C8737" s="51" t="s">
        <v>82</v>
      </c>
      <c r="D8737" s="51" t="n">
        <v>0</v>
      </c>
    </row>
    <row r="8738" customFormat="false" ht="15" hidden="true" customHeight="false" outlineLevel="0" collapsed="false">
      <c r="A8738" s="51" t="s">
        <v>215</v>
      </c>
      <c r="B8738" s="55" t="n">
        <v>45473</v>
      </c>
      <c r="C8738" s="51" t="s">
        <v>82</v>
      </c>
      <c r="D8738" s="51" t="n">
        <v>0</v>
      </c>
    </row>
    <row r="8739" customFormat="false" ht="15" hidden="true" customHeight="false" outlineLevel="0" collapsed="false">
      <c r="A8739" s="51" t="s">
        <v>790</v>
      </c>
      <c r="B8739" s="55" t="n">
        <v>45473</v>
      </c>
      <c r="C8739" s="51" t="s">
        <v>82</v>
      </c>
      <c r="D8739" s="51" t="n">
        <v>0</v>
      </c>
    </row>
    <row r="8740" customFormat="false" ht="15" hidden="true" customHeight="false" outlineLevel="0" collapsed="false">
      <c r="A8740" s="51" t="s">
        <v>225</v>
      </c>
      <c r="B8740" s="55" t="n">
        <v>45473</v>
      </c>
      <c r="C8740" s="51" t="s">
        <v>82</v>
      </c>
      <c r="D8740" s="51" t="n">
        <v>0</v>
      </c>
    </row>
    <row r="8741" customFormat="false" ht="15" hidden="true" customHeight="false" outlineLevel="0" collapsed="false">
      <c r="A8741" s="51" t="s">
        <v>230</v>
      </c>
      <c r="B8741" s="55" t="n">
        <v>45473</v>
      </c>
      <c r="C8741" s="51" t="s">
        <v>82</v>
      </c>
      <c r="D8741" s="51" t="n">
        <v>0</v>
      </c>
    </row>
    <row r="8742" customFormat="false" ht="15" hidden="true" customHeight="false" outlineLevel="0" collapsed="false">
      <c r="A8742" s="51" t="s">
        <v>235</v>
      </c>
      <c r="B8742" s="55" t="n">
        <v>45473</v>
      </c>
      <c r="C8742" s="51" t="s">
        <v>82</v>
      </c>
      <c r="D8742" s="51" t="n">
        <v>0</v>
      </c>
    </row>
    <row r="8743" customFormat="false" ht="15" hidden="true" customHeight="false" outlineLevel="0" collapsed="false">
      <c r="A8743" s="51" t="s">
        <v>240</v>
      </c>
      <c r="B8743" s="55" t="n">
        <v>45473</v>
      </c>
      <c r="C8743" s="51" t="s">
        <v>82</v>
      </c>
      <c r="D8743" s="51" t="n">
        <v>0</v>
      </c>
    </row>
    <row r="8744" customFormat="false" ht="15" hidden="true" customHeight="false" outlineLevel="0" collapsed="false">
      <c r="A8744" s="51" t="s">
        <v>246</v>
      </c>
      <c r="B8744" s="55" t="n">
        <v>45473</v>
      </c>
      <c r="C8744" s="51" t="s">
        <v>82</v>
      </c>
      <c r="D8744" s="51" t="n">
        <v>0</v>
      </c>
    </row>
    <row r="8745" customFormat="false" ht="15" hidden="true" customHeight="false" outlineLevel="0" collapsed="false">
      <c r="A8745" s="51" t="s">
        <v>252</v>
      </c>
      <c r="B8745" s="55" t="n">
        <v>45473</v>
      </c>
      <c r="C8745" s="51" t="s">
        <v>82</v>
      </c>
      <c r="D8745" s="51" t="n">
        <v>0</v>
      </c>
    </row>
    <row r="8746" customFormat="false" ht="15" hidden="true" customHeight="false" outlineLevel="0" collapsed="false">
      <c r="A8746" s="51" t="s">
        <v>257</v>
      </c>
      <c r="B8746" s="55" t="n">
        <v>45473</v>
      </c>
      <c r="C8746" s="51" t="s">
        <v>82</v>
      </c>
      <c r="D8746" s="51" t="n">
        <v>0</v>
      </c>
    </row>
    <row r="8747" customFormat="false" ht="15" hidden="true" customHeight="false" outlineLevel="0" collapsed="false">
      <c r="A8747" s="51" t="s">
        <v>262</v>
      </c>
      <c r="B8747" s="55" t="n">
        <v>45473</v>
      </c>
      <c r="C8747" s="51" t="s">
        <v>82</v>
      </c>
      <c r="D8747" s="51" t="n">
        <v>0</v>
      </c>
    </row>
    <row r="8748" customFormat="false" ht="15" hidden="true" customHeight="false" outlineLevel="0" collapsed="false">
      <c r="A8748" s="51" t="s">
        <v>267</v>
      </c>
      <c r="B8748" s="55" t="n">
        <v>45473</v>
      </c>
      <c r="C8748" s="51" t="s">
        <v>82</v>
      </c>
      <c r="D8748" s="51" t="n">
        <v>0</v>
      </c>
    </row>
    <row r="8749" customFormat="false" ht="15" hidden="true" customHeight="false" outlineLevel="0" collapsed="false">
      <c r="A8749" s="51" t="s">
        <v>272</v>
      </c>
      <c r="B8749" s="55" t="n">
        <v>45473</v>
      </c>
      <c r="C8749" s="51" t="s">
        <v>82</v>
      </c>
      <c r="D8749" s="51" t="n">
        <v>0</v>
      </c>
    </row>
    <row r="8750" customFormat="false" ht="15" hidden="true" customHeight="false" outlineLevel="0" collapsed="false">
      <c r="A8750" s="51" t="s">
        <v>277</v>
      </c>
      <c r="B8750" s="55" t="n">
        <v>45473</v>
      </c>
      <c r="C8750" s="51" t="s">
        <v>82</v>
      </c>
      <c r="D8750" s="51" t="n">
        <v>0</v>
      </c>
    </row>
    <row r="8751" customFormat="false" ht="15" hidden="true" customHeight="false" outlineLevel="0" collapsed="false">
      <c r="A8751" s="51" t="s">
        <v>282</v>
      </c>
      <c r="B8751" s="55" t="n">
        <v>45473</v>
      </c>
      <c r="C8751" s="51" t="s">
        <v>82</v>
      </c>
      <c r="D8751" s="51" t="n">
        <v>0</v>
      </c>
    </row>
    <row r="8752" customFormat="false" ht="15" hidden="true" customHeight="false" outlineLevel="0" collapsed="false">
      <c r="A8752" s="51" t="s">
        <v>287</v>
      </c>
      <c r="B8752" s="55" t="n">
        <v>45473</v>
      </c>
      <c r="C8752" s="51" t="s">
        <v>82</v>
      </c>
      <c r="D8752" s="51" t="n">
        <v>0</v>
      </c>
    </row>
    <row r="8753" customFormat="false" ht="15" hidden="true" customHeight="false" outlineLevel="0" collapsed="false">
      <c r="A8753" s="51" t="s">
        <v>292</v>
      </c>
      <c r="B8753" s="55" t="n">
        <v>45473</v>
      </c>
      <c r="C8753" s="51" t="s">
        <v>82</v>
      </c>
      <c r="D8753" s="51" t="n">
        <v>0</v>
      </c>
    </row>
    <row r="8754" customFormat="false" ht="15" hidden="true" customHeight="false" outlineLevel="0" collapsed="false">
      <c r="A8754" s="51" t="s">
        <v>297</v>
      </c>
      <c r="B8754" s="55" t="n">
        <v>45473</v>
      </c>
      <c r="C8754" s="51" t="s">
        <v>82</v>
      </c>
      <c r="D8754" s="51" t="n">
        <v>0</v>
      </c>
    </row>
    <row r="8755" customFormat="false" ht="15" hidden="true" customHeight="false" outlineLevel="0" collapsed="false">
      <c r="A8755" s="51" t="s">
        <v>302</v>
      </c>
      <c r="B8755" s="55" t="n">
        <v>45473</v>
      </c>
      <c r="C8755" s="51" t="s">
        <v>82</v>
      </c>
      <c r="D8755" s="51" t="n">
        <v>0</v>
      </c>
    </row>
    <row r="8756" customFormat="false" ht="15" hidden="true" customHeight="false" outlineLevel="0" collapsed="false">
      <c r="A8756" s="51" t="s">
        <v>307</v>
      </c>
      <c r="B8756" s="55" t="n">
        <v>45473</v>
      </c>
      <c r="C8756" s="51" t="s">
        <v>82</v>
      </c>
      <c r="D8756" s="51" t="n">
        <v>0</v>
      </c>
    </row>
    <row r="8757" customFormat="false" ht="15" hidden="true" customHeight="false" outlineLevel="0" collapsed="false">
      <c r="A8757" s="51" t="s">
        <v>311</v>
      </c>
      <c r="B8757" s="55" t="n">
        <v>45473</v>
      </c>
      <c r="C8757" s="51" t="s">
        <v>82</v>
      </c>
      <c r="D8757" s="51" t="n">
        <v>0</v>
      </c>
    </row>
    <row r="8758" customFormat="false" ht="15" hidden="true" customHeight="false" outlineLevel="0" collapsed="false">
      <c r="A8758" s="51" t="s">
        <v>317</v>
      </c>
      <c r="B8758" s="55" t="n">
        <v>45473</v>
      </c>
      <c r="C8758" s="51" t="s">
        <v>82</v>
      </c>
      <c r="D8758" s="51" t="n">
        <v>0</v>
      </c>
    </row>
    <row r="8759" customFormat="false" ht="15" hidden="true" customHeight="false" outlineLevel="0" collapsed="false">
      <c r="A8759" s="51" t="s">
        <v>322</v>
      </c>
      <c r="B8759" s="55" t="n">
        <v>45473</v>
      </c>
      <c r="C8759" s="51" t="s">
        <v>82</v>
      </c>
      <c r="D8759" s="51" t="n">
        <v>0</v>
      </c>
    </row>
    <row r="8760" customFormat="false" ht="15" hidden="true" customHeight="false" outlineLevel="0" collapsed="false">
      <c r="A8760" s="51" t="s">
        <v>327</v>
      </c>
      <c r="B8760" s="55" t="n">
        <v>45473</v>
      </c>
      <c r="C8760" s="51" t="s">
        <v>82</v>
      </c>
      <c r="D8760" s="51" t="n">
        <v>0</v>
      </c>
    </row>
    <row r="8761" customFormat="false" ht="15" hidden="true" customHeight="false" outlineLevel="0" collapsed="false">
      <c r="A8761" s="51" t="s">
        <v>332</v>
      </c>
      <c r="B8761" s="55" t="n">
        <v>45473</v>
      </c>
      <c r="C8761" s="51" t="s">
        <v>82</v>
      </c>
      <c r="D8761" s="51" t="n">
        <v>0</v>
      </c>
    </row>
    <row r="8762" customFormat="false" ht="15" hidden="true" customHeight="false" outlineLevel="0" collapsed="false">
      <c r="A8762" s="51" t="s">
        <v>339</v>
      </c>
      <c r="B8762" s="55" t="n">
        <v>45473</v>
      </c>
      <c r="C8762" s="51" t="s">
        <v>82</v>
      </c>
      <c r="D8762" s="51" t="n">
        <v>0</v>
      </c>
    </row>
    <row r="8763" customFormat="false" ht="15" hidden="true" customHeight="false" outlineLevel="0" collapsed="false">
      <c r="A8763" s="51" t="s">
        <v>344</v>
      </c>
      <c r="B8763" s="55" t="n">
        <v>45473</v>
      </c>
      <c r="C8763" s="51" t="s">
        <v>82</v>
      </c>
      <c r="D8763" s="51" t="n">
        <v>0</v>
      </c>
    </row>
    <row r="8764" customFormat="false" ht="15" hidden="true" customHeight="false" outlineLevel="0" collapsed="false">
      <c r="A8764" s="51" t="s">
        <v>349</v>
      </c>
      <c r="B8764" s="55" t="n">
        <v>45473</v>
      </c>
      <c r="C8764" s="51" t="s">
        <v>82</v>
      </c>
      <c r="D8764" s="51" t="n">
        <v>0</v>
      </c>
    </row>
    <row r="8765" customFormat="false" ht="15" hidden="true" customHeight="false" outlineLevel="0" collapsed="false">
      <c r="A8765" s="51" t="s">
        <v>354</v>
      </c>
      <c r="B8765" s="55" t="n">
        <v>45473</v>
      </c>
      <c r="C8765" s="51" t="s">
        <v>82</v>
      </c>
      <c r="D8765" s="51" t="n">
        <v>0</v>
      </c>
    </row>
    <row r="8766" customFormat="false" ht="15" hidden="true" customHeight="false" outlineLevel="0" collapsed="false">
      <c r="A8766" s="51" t="s">
        <v>359</v>
      </c>
      <c r="B8766" s="55" t="n">
        <v>45473</v>
      </c>
      <c r="C8766" s="51" t="s">
        <v>82</v>
      </c>
      <c r="D8766" s="51" t="n">
        <v>0</v>
      </c>
    </row>
    <row r="8767" customFormat="false" ht="15" hidden="true" customHeight="false" outlineLevel="0" collapsed="false">
      <c r="A8767" s="51" t="s">
        <v>364</v>
      </c>
      <c r="B8767" s="55" t="n">
        <v>45473</v>
      </c>
      <c r="C8767" s="51" t="s">
        <v>82</v>
      </c>
      <c r="D8767" s="51" t="n">
        <v>0</v>
      </c>
    </row>
    <row r="8768" customFormat="false" ht="15" hidden="true" customHeight="false" outlineLevel="0" collapsed="false">
      <c r="A8768" s="51" t="s">
        <v>369</v>
      </c>
      <c r="B8768" s="55" t="n">
        <v>45473</v>
      </c>
      <c r="C8768" s="51" t="s">
        <v>82</v>
      </c>
      <c r="D8768" s="51" t="n">
        <v>0</v>
      </c>
    </row>
    <row r="8769" customFormat="false" ht="15" hidden="true" customHeight="false" outlineLevel="0" collapsed="false">
      <c r="A8769" s="51" t="s">
        <v>374</v>
      </c>
      <c r="B8769" s="55" t="n">
        <v>45473</v>
      </c>
      <c r="C8769" s="51" t="s">
        <v>82</v>
      </c>
      <c r="D8769" s="51" t="n">
        <v>0</v>
      </c>
    </row>
    <row r="8770" customFormat="false" ht="15" hidden="true" customHeight="false" outlineLevel="0" collapsed="false">
      <c r="A8770" s="51" t="s">
        <v>379</v>
      </c>
      <c r="B8770" s="55" t="n">
        <v>45473</v>
      </c>
      <c r="C8770" s="51" t="s">
        <v>82</v>
      </c>
      <c r="D8770" s="51" t="n">
        <v>0</v>
      </c>
    </row>
    <row r="8771" customFormat="false" ht="15" hidden="true" customHeight="false" outlineLevel="0" collapsed="false">
      <c r="A8771" s="51" t="s">
        <v>384</v>
      </c>
      <c r="B8771" s="55" t="n">
        <v>45473</v>
      </c>
      <c r="C8771" s="51" t="s">
        <v>82</v>
      </c>
      <c r="D8771" s="51" t="n">
        <v>0</v>
      </c>
    </row>
    <row r="8772" customFormat="false" ht="15" hidden="true" customHeight="false" outlineLevel="0" collapsed="false">
      <c r="A8772" s="51" t="s">
        <v>389</v>
      </c>
      <c r="B8772" s="55" t="n">
        <v>45473</v>
      </c>
      <c r="C8772" s="51" t="s">
        <v>82</v>
      </c>
      <c r="D8772" s="51" t="n">
        <v>0</v>
      </c>
    </row>
    <row r="8773" customFormat="false" ht="15" hidden="true" customHeight="false" outlineLevel="0" collapsed="false">
      <c r="A8773" s="51" t="s">
        <v>394</v>
      </c>
      <c r="B8773" s="55" t="n">
        <v>45473</v>
      </c>
      <c r="C8773" s="51" t="s">
        <v>82</v>
      </c>
      <c r="D8773" s="51" t="n">
        <v>0</v>
      </c>
    </row>
    <row r="8774" customFormat="false" ht="15" hidden="true" customHeight="false" outlineLevel="0" collapsed="false">
      <c r="A8774" s="51" t="s">
        <v>399</v>
      </c>
      <c r="B8774" s="55" t="n">
        <v>45473</v>
      </c>
      <c r="C8774" s="51" t="s">
        <v>82</v>
      </c>
      <c r="D8774" s="51" t="n">
        <v>0</v>
      </c>
    </row>
    <row r="8775" customFormat="false" ht="15" hidden="true" customHeight="false" outlineLevel="0" collapsed="false">
      <c r="A8775" s="51" t="s">
        <v>404</v>
      </c>
      <c r="B8775" s="55" t="n">
        <v>45473</v>
      </c>
      <c r="C8775" s="51" t="s">
        <v>82</v>
      </c>
      <c r="D8775" s="51" t="n">
        <v>0</v>
      </c>
    </row>
    <row r="8776" customFormat="false" ht="15" hidden="true" customHeight="false" outlineLevel="0" collapsed="false">
      <c r="A8776" s="51" t="s">
        <v>409</v>
      </c>
      <c r="B8776" s="55" t="n">
        <v>45473</v>
      </c>
      <c r="C8776" s="51" t="s">
        <v>82</v>
      </c>
      <c r="D8776" s="51" t="n">
        <v>0</v>
      </c>
    </row>
    <row r="8777" customFormat="false" ht="15" hidden="true" customHeight="false" outlineLevel="0" collapsed="false">
      <c r="A8777" s="51" t="s">
        <v>414</v>
      </c>
      <c r="B8777" s="55" t="n">
        <v>45473</v>
      </c>
      <c r="C8777" s="51" t="s">
        <v>82</v>
      </c>
      <c r="D8777" s="51" t="n">
        <v>0</v>
      </c>
    </row>
    <row r="8778" customFormat="false" ht="15" hidden="true" customHeight="false" outlineLevel="0" collapsed="false">
      <c r="A8778" s="51" t="s">
        <v>419</v>
      </c>
      <c r="B8778" s="55" t="n">
        <v>45473</v>
      </c>
      <c r="C8778" s="51" t="s">
        <v>82</v>
      </c>
      <c r="D8778" s="51" t="n">
        <v>0</v>
      </c>
    </row>
    <row r="8779" customFormat="false" ht="15" hidden="true" customHeight="false" outlineLevel="0" collapsed="false">
      <c r="A8779" s="51" t="s">
        <v>424</v>
      </c>
      <c r="B8779" s="55" t="n">
        <v>45473</v>
      </c>
      <c r="C8779" s="51" t="s">
        <v>82</v>
      </c>
      <c r="D8779" s="51" t="n">
        <v>0</v>
      </c>
    </row>
    <row r="8780" customFormat="false" ht="15" hidden="true" customHeight="false" outlineLevel="0" collapsed="false">
      <c r="A8780" s="51" t="s">
        <v>429</v>
      </c>
      <c r="B8780" s="55" t="n">
        <v>45473</v>
      </c>
      <c r="C8780" s="51" t="s">
        <v>82</v>
      </c>
      <c r="D8780" s="51" t="n">
        <v>0</v>
      </c>
    </row>
    <row r="8781" customFormat="false" ht="15" hidden="true" customHeight="false" outlineLevel="0" collapsed="false">
      <c r="A8781" s="51" t="s">
        <v>434</v>
      </c>
      <c r="B8781" s="55" t="n">
        <v>45473</v>
      </c>
      <c r="C8781" s="51" t="s">
        <v>82</v>
      </c>
      <c r="D8781" s="51" t="n">
        <v>0</v>
      </c>
    </row>
    <row r="8782" customFormat="false" ht="15" hidden="true" customHeight="false" outlineLevel="0" collapsed="false">
      <c r="A8782" s="51" t="s">
        <v>438</v>
      </c>
      <c r="B8782" s="55" t="n">
        <v>45473</v>
      </c>
      <c r="C8782" s="51" t="s">
        <v>82</v>
      </c>
      <c r="D8782" s="51" t="n">
        <v>0</v>
      </c>
    </row>
    <row r="8783" customFormat="false" ht="15" hidden="true" customHeight="false" outlineLevel="0" collapsed="false">
      <c r="A8783" s="51" t="s">
        <v>443</v>
      </c>
      <c r="B8783" s="55" t="n">
        <v>45473</v>
      </c>
      <c r="C8783" s="51" t="s">
        <v>82</v>
      </c>
      <c r="D8783" s="51" t="n">
        <v>0</v>
      </c>
    </row>
    <row r="8784" customFormat="false" ht="15" hidden="true" customHeight="false" outlineLevel="0" collapsed="false">
      <c r="A8784" s="51" t="s">
        <v>448</v>
      </c>
      <c r="B8784" s="55" t="n">
        <v>45473</v>
      </c>
      <c r="C8784" s="51" t="s">
        <v>82</v>
      </c>
      <c r="D8784" s="51" t="n">
        <v>0</v>
      </c>
    </row>
    <row r="8785" customFormat="false" ht="15" hidden="true" customHeight="false" outlineLevel="0" collapsed="false">
      <c r="A8785" s="51" t="s">
        <v>453</v>
      </c>
      <c r="B8785" s="55" t="n">
        <v>45473</v>
      </c>
      <c r="C8785" s="51" t="s">
        <v>82</v>
      </c>
      <c r="D8785" s="51" t="n">
        <v>0</v>
      </c>
    </row>
    <row r="8786" customFormat="false" ht="15" hidden="true" customHeight="false" outlineLevel="0" collapsed="false">
      <c r="A8786" s="51" t="s">
        <v>458</v>
      </c>
      <c r="B8786" s="55" t="n">
        <v>45473</v>
      </c>
      <c r="C8786" s="51" t="s">
        <v>82</v>
      </c>
      <c r="D8786" s="51" t="n">
        <v>0</v>
      </c>
    </row>
    <row r="8787" customFormat="false" ht="15" hidden="true" customHeight="false" outlineLevel="0" collapsed="false">
      <c r="A8787" s="51" t="s">
        <v>473</v>
      </c>
      <c r="B8787" s="55" t="n">
        <v>45473</v>
      </c>
      <c r="C8787" s="51" t="s">
        <v>82</v>
      </c>
      <c r="D8787" s="51" t="n">
        <v>0</v>
      </c>
    </row>
    <row r="8788" customFormat="false" ht="15" hidden="true" customHeight="false" outlineLevel="0" collapsed="false">
      <c r="A8788" s="51" t="s">
        <v>479</v>
      </c>
      <c r="B8788" s="55" t="n">
        <v>45473</v>
      </c>
      <c r="C8788" s="51" t="s">
        <v>82</v>
      </c>
      <c r="D8788" s="51" t="n">
        <v>0</v>
      </c>
    </row>
    <row r="8789" customFormat="false" ht="15" hidden="true" customHeight="false" outlineLevel="0" collapsed="false">
      <c r="A8789" s="51" t="s">
        <v>484</v>
      </c>
      <c r="B8789" s="55" t="n">
        <v>45473</v>
      </c>
      <c r="C8789" s="51" t="s">
        <v>82</v>
      </c>
      <c r="D8789" s="51" t="n">
        <v>0</v>
      </c>
    </row>
    <row r="8790" customFormat="false" ht="15" hidden="true" customHeight="false" outlineLevel="0" collapsed="false">
      <c r="A8790" s="51" t="s">
        <v>489</v>
      </c>
      <c r="B8790" s="55" t="n">
        <v>45473</v>
      </c>
      <c r="C8790" s="51" t="s">
        <v>82</v>
      </c>
      <c r="D8790" s="51" t="n">
        <v>0</v>
      </c>
    </row>
    <row r="8791" customFormat="false" ht="15" hidden="true" customHeight="false" outlineLevel="0" collapsed="false">
      <c r="A8791" s="51" t="s">
        <v>494</v>
      </c>
      <c r="B8791" s="55" t="n">
        <v>45473</v>
      </c>
      <c r="C8791" s="51" t="s">
        <v>82</v>
      </c>
      <c r="D8791" s="51" t="n">
        <v>0</v>
      </c>
    </row>
    <row r="8792" customFormat="false" ht="15" hidden="true" customHeight="false" outlineLevel="0" collapsed="false">
      <c r="A8792" s="51" t="s">
        <v>499</v>
      </c>
      <c r="B8792" s="55" t="n">
        <v>45473</v>
      </c>
      <c r="C8792" s="51" t="s">
        <v>82</v>
      </c>
      <c r="D8792" s="51" t="n">
        <v>0</v>
      </c>
    </row>
    <row r="8793" customFormat="false" ht="15" hidden="true" customHeight="false" outlineLevel="0" collapsed="false">
      <c r="A8793" s="51" t="s">
        <v>504</v>
      </c>
      <c r="B8793" s="55" t="n">
        <v>45473</v>
      </c>
      <c r="C8793" s="51" t="s">
        <v>82</v>
      </c>
      <c r="D8793" s="51" t="n">
        <v>0</v>
      </c>
    </row>
    <row r="8794" customFormat="false" ht="15" hidden="true" customHeight="false" outlineLevel="0" collapsed="false">
      <c r="A8794" s="51" t="s">
        <v>509</v>
      </c>
      <c r="B8794" s="55" t="n">
        <v>45473</v>
      </c>
      <c r="C8794" s="51" t="s">
        <v>82</v>
      </c>
      <c r="D8794" s="51" t="n">
        <v>0</v>
      </c>
    </row>
    <row r="8795" customFormat="false" ht="15" hidden="true" customHeight="false" outlineLevel="0" collapsed="false">
      <c r="A8795" s="51" t="s">
        <v>515</v>
      </c>
      <c r="B8795" s="55" t="n">
        <v>45473</v>
      </c>
      <c r="C8795" s="51" t="s">
        <v>82</v>
      </c>
      <c r="D8795" s="51" t="n">
        <v>0</v>
      </c>
    </row>
    <row r="8796" customFormat="false" ht="15" hidden="true" customHeight="false" outlineLevel="0" collapsed="false">
      <c r="A8796" s="51" t="s">
        <v>520</v>
      </c>
      <c r="B8796" s="55" t="n">
        <v>45473</v>
      </c>
      <c r="C8796" s="51" t="s">
        <v>82</v>
      </c>
      <c r="D8796" s="51" t="n">
        <v>0</v>
      </c>
    </row>
    <row r="8797" customFormat="false" ht="15" hidden="true" customHeight="false" outlineLevel="0" collapsed="false">
      <c r="A8797" s="51" t="s">
        <v>525</v>
      </c>
      <c r="B8797" s="55" t="n">
        <v>45473</v>
      </c>
      <c r="C8797" s="51" t="s">
        <v>82</v>
      </c>
      <c r="D8797" s="51" t="n">
        <v>500000</v>
      </c>
    </row>
    <row r="8798" customFormat="false" ht="15" hidden="true" customHeight="false" outlineLevel="0" collapsed="false">
      <c r="A8798" s="51" t="s">
        <v>531</v>
      </c>
      <c r="B8798" s="55" t="n">
        <v>45473</v>
      </c>
      <c r="C8798" s="51" t="s">
        <v>82</v>
      </c>
      <c r="D8798" s="51" t="n">
        <v>1000000</v>
      </c>
    </row>
    <row r="8799" customFormat="false" ht="15" hidden="true" customHeight="false" outlineLevel="0" collapsed="false">
      <c r="A8799" s="51" t="s">
        <v>536</v>
      </c>
      <c r="B8799" s="55" t="n">
        <v>45473</v>
      </c>
      <c r="C8799" s="51" t="s">
        <v>82</v>
      </c>
      <c r="D8799" s="51" t="n">
        <v>500000</v>
      </c>
    </row>
    <row r="8800" customFormat="false" ht="15" hidden="true" customHeight="false" outlineLevel="0" collapsed="false">
      <c r="A8800" s="51" t="s">
        <v>541</v>
      </c>
      <c r="B8800" s="55" t="n">
        <v>45473</v>
      </c>
      <c r="C8800" s="51" t="s">
        <v>82</v>
      </c>
      <c r="D8800" s="51" t="n">
        <v>1260076</v>
      </c>
    </row>
    <row r="8801" customFormat="false" ht="15" hidden="true" customHeight="false" outlineLevel="0" collapsed="false">
      <c r="A8801" s="51" t="s">
        <v>549</v>
      </c>
      <c r="B8801" s="55" t="n">
        <v>45473</v>
      </c>
      <c r="C8801" s="51" t="s">
        <v>82</v>
      </c>
      <c r="D8801" s="51" t="n">
        <v>2894210.47</v>
      </c>
    </row>
    <row r="8802" customFormat="false" ht="15" hidden="true" customHeight="false" outlineLevel="0" collapsed="false">
      <c r="A8802" s="51" t="s">
        <v>554</v>
      </c>
      <c r="B8802" s="55" t="n">
        <v>45473</v>
      </c>
      <c r="C8802" s="51" t="s">
        <v>82</v>
      </c>
      <c r="D8802" s="51" t="n">
        <v>1620801.75</v>
      </c>
    </row>
    <row r="8803" customFormat="false" ht="15" hidden="true" customHeight="false" outlineLevel="0" collapsed="false">
      <c r="A8803" s="51" t="s">
        <v>559</v>
      </c>
      <c r="B8803" s="55" t="n">
        <v>45473</v>
      </c>
      <c r="C8803" s="51" t="s">
        <v>82</v>
      </c>
      <c r="D8803" s="51" t="n">
        <v>0</v>
      </c>
    </row>
    <row r="8804" customFormat="false" ht="15" hidden="true" customHeight="false" outlineLevel="0" collapsed="false">
      <c r="A8804" s="51" t="s">
        <v>564</v>
      </c>
      <c r="B8804" s="55" t="n">
        <v>45473</v>
      </c>
      <c r="C8804" s="51" t="s">
        <v>82</v>
      </c>
      <c r="D8804" s="51" t="n">
        <v>0</v>
      </c>
    </row>
    <row r="8805" customFormat="false" ht="15" hidden="true" customHeight="false" outlineLevel="0" collapsed="false">
      <c r="A8805" s="51" t="s">
        <v>569</v>
      </c>
      <c r="B8805" s="55" t="n">
        <v>45473</v>
      </c>
      <c r="C8805" s="51" t="s">
        <v>82</v>
      </c>
      <c r="D8805" s="51" t="n">
        <v>0</v>
      </c>
    </row>
    <row r="8806" customFormat="false" ht="15" hidden="true" customHeight="false" outlineLevel="0" collapsed="false">
      <c r="A8806" s="51" t="s">
        <v>574</v>
      </c>
      <c r="B8806" s="55" t="n">
        <v>45473</v>
      </c>
      <c r="C8806" s="51" t="s">
        <v>82</v>
      </c>
      <c r="D8806" s="51" t="n">
        <v>0</v>
      </c>
    </row>
    <row r="8807" customFormat="false" ht="15" hidden="true" customHeight="false" outlineLevel="0" collapsed="false">
      <c r="A8807" s="51" t="s">
        <v>579</v>
      </c>
      <c r="B8807" s="55" t="n">
        <v>45473</v>
      </c>
      <c r="C8807" s="51" t="s">
        <v>82</v>
      </c>
      <c r="D8807" s="51" t="n">
        <v>0</v>
      </c>
    </row>
    <row r="8808" customFormat="false" ht="15" hidden="true" customHeight="false" outlineLevel="0" collapsed="false">
      <c r="A8808" s="51" t="s">
        <v>584</v>
      </c>
      <c r="B8808" s="55" t="n">
        <v>45473</v>
      </c>
      <c r="C8808" s="51" t="s">
        <v>82</v>
      </c>
      <c r="D8808" s="51" t="n">
        <v>0</v>
      </c>
    </row>
    <row r="8809" customFormat="false" ht="15" hidden="true" customHeight="false" outlineLevel="0" collapsed="false">
      <c r="A8809" s="51" t="s">
        <v>589</v>
      </c>
      <c r="B8809" s="55" t="n">
        <v>45473</v>
      </c>
      <c r="C8809" s="51" t="s">
        <v>82</v>
      </c>
      <c r="D8809" s="51" t="n">
        <v>0</v>
      </c>
    </row>
    <row r="8810" customFormat="false" ht="15" hidden="true" customHeight="false" outlineLevel="0" collapsed="false">
      <c r="A8810" s="51" t="s">
        <v>756</v>
      </c>
      <c r="B8810" s="55" t="n">
        <v>45473</v>
      </c>
      <c r="C8810" s="51" t="s">
        <v>82</v>
      </c>
      <c r="D8810" s="51" t="n">
        <v>0</v>
      </c>
    </row>
    <row r="8811" customFormat="false" ht="15" hidden="true" customHeight="false" outlineLevel="0" collapsed="false">
      <c r="A8811" s="51" t="s">
        <v>594</v>
      </c>
      <c r="B8811" s="55" t="n">
        <v>45473</v>
      </c>
      <c r="C8811" s="51" t="s">
        <v>82</v>
      </c>
      <c r="D8811" s="51" t="n">
        <v>0</v>
      </c>
    </row>
    <row r="8812" customFormat="false" ht="15" hidden="true" customHeight="false" outlineLevel="0" collapsed="false">
      <c r="A8812" s="51" t="s">
        <v>761</v>
      </c>
      <c r="B8812" s="55" t="n">
        <v>45473</v>
      </c>
      <c r="C8812" s="51" t="s">
        <v>82</v>
      </c>
      <c r="D8812" s="51" t="n">
        <v>0</v>
      </c>
    </row>
    <row r="8813" customFormat="false" ht="15" hidden="true" customHeight="false" outlineLevel="0" collapsed="false">
      <c r="A8813" s="51" t="s">
        <v>599</v>
      </c>
      <c r="B8813" s="55" t="n">
        <v>45473</v>
      </c>
      <c r="C8813" s="51" t="s">
        <v>82</v>
      </c>
      <c r="D8813" s="51" t="n">
        <v>0</v>
      </c>
    </row>
    <row r="8814" customFormat="false" ht="15" hidden="true" customHeight="false" outlineLevel="0" collapsed="false">
      <c r="A8814" s="51" t="s">
        <v>604</v>
      </c>
      <c r="B8814" s="55" t="n">
        <v>45473</v>
      </c>
      <c r="C8814" s="51" t="s">
        <v>82</v>
      </c>
      <c r="D8814" s="51" t="n">
        <v>0</v>
      </c>
    </row>
    <row r="8815" customFormat="false" ht="15" hidden="true" customHeight="false" outlineLevel="0" collapsed="false">
      <c r="A8815" s="51" t="s">
        <v>609</v>
      </c>
      <c r="B8815" s="55" t="n">
        <v>45473</v>
      </c>
      <c r="C8815" s="51" t="s">
        <v>82</v>
      </c>
      <c r="D8815" s="51" t="n">
        <v>0</v>
      </c>
    </row>
    <row r="8816" customFormat="false" ht="15" hidden="true" customHeight="false" outlineLevel="0" collapsed="false">
      <c r="A8816" s="51" t="s">
        <v>614</v>
      </c>
      <c r="B8816" s="55" t="n">
        <v>45473</v>
      </c>
      <c r="C8816" s="51" t="s">
        <v>82</v>
      </c>
      <c r="D8816" s="51" t="n">
        <v>0</v>
      </c>
    </row>
    <row r="8817" customFormat="false" ht="15" hidden="true" customHeight="false" outlineLevel="0" collapsed="false">
      <c r="A8817" s="51" t="s">
        <v>619</v>
      </c>
      <c r="B8817" s="55" t="n">
        <v>45473</v>
      </c>
      <c r="C8817" s="51" t="s">
        <v>82</v>
      </c>
      <c r="D8817" s="51" t="n">
        <v>0</v>
      </c>
    </row>
    <row r="8818" customFormat="false" ht="15" hidden="true" customHeight="false" outlineLevel="0" collapsed="false">
      <c r="A8818" s="51" t="s">
        <v>624</v>
      </c>
      <c r="B8818" s="55" t="n">
        <v>45473</v>
      </c>
      <c r="C8818" s="51" t="s">
        <v>82</v>
      </c>
      <c r="D8818" s="51" t="n">
        <v>0</v>
      </c>
    </row>
    <row r="8819" customFormat="false" ht="15" hidden="true" customHeight="false" outlineLevel="0" collapsed="false">
      <c r="A8819" s="51" t="s">
        <v>629</v>
      </c>
      <c r="B8819" s="55" t="n">
        <v>45473</v>
      </c>
      <c r="C8819" s="51" t="s">
        <v>82</v>
      </c>
      <c r="D8819" s="51" t="n">
        <v>0</v>
      </c>
    </row>
    <row r="8820" customFormat="false" ht="15" hidden="true" customHeight="false" outlineLevel="0" collapsed="false">
      <c r="A8820" s="51" t="s">
        <v>633</v>
      </c>
      <c r="B8820" s="55" t="n">
        <v>45473</v>
      </c>
      <c r="C8820" s="51" t="s">
        <v>82</v>
      </c>
      <c r="D8820" s="51" t="n">
        <v>0</v>
      </c>
    </row>
    <row r="8821" customFormat="false" ht="15" hidden="true" customHeight="false" outlineLevel="0" collapsed="false">
      <c r="A8821" s="51" t="s">
        <v>638</v>
      </c>
      <c r="B8821" s="55" t="n">
        <v>45473</v>
      </c>
      <c r="C8821" s="51" t="s">
        <v>82</v>
      </c>
      <c r="D8821" s="51" t="n">
        <v>0</v>
      </c>
    </row>
    <row r="8822" customFormat="false" ht="15" hidden="true" customHeight="false" outlineLevel="0" collapsed="false">
      <c r="A8822" s="51" t="s">
        <v>642</v>
      </c>
      <c r="B8822" s="55" t="n">
        <v>45473</v>
      </c>
      <c r="C8822" s="51" t="s">
        <v>82</v>
      </c>
      <c r="D8822" s="51" t="n">
        <v>0</v>
      </c>
    </row>
    <row r="8823" customFormat="false" ht="15" hidden="true" customHeight="false" outlineLevel="0" collapsed="false">
      <c r="A8823" s="51" t="s">
        <v>646</v>
      </c>
      <c r="B8823" s="55" t="n">
        <v>45473</v>
      </c>
      <c r="C8823" s="51" t="s">
        <v>82</v>
      </c>
      <c r="D8823" s="51" t="n">
        <v>0</v>
      </c>
    </row>
    <row r="8824" customFormat="false" ht="15" hidden="true" customHeight="false" outlineLevel="0" collapsed="false">
      <c r="A8824" s="51" t="s">
        <v>651</v>
      </c>
      <c r="B8824" s="55" t="n">
        <v>45473</v>
      </c>
      <c r="C8824" s="51" t="s">
        <v>82</v>
      </c>
      <c r="D8824" s="51" t="n">
        <v>0</v>
      </c>
    </row>
    <row r="8825" customFormat="false" ht="15" hidden="true" customHeight="false" outlineLevel="0" collapsed="false">
      <c r="A8825" s="51" t="s">
        <v>656</v>
      </c>
      <c r="B8825" s="55" t="n">
        <v>45473</v>
      </c>
      <c r="C8825" s="51" t="s">
        <v>82</v>
      </c>
      <c r="D8825" s="51" t="n">
        <v>0</v>
      </c>
    </row>
    <row r="8826" customFormat="false" ht="15" hidden="true" customHeight="false" outlineLevel="0" collapsed="false">
      <c r="A8826" s="51" t="s">
        <v>661</v>
      </c>
      <c r="B8826" s="55" t="n">
        <v>45473</v>
      </c>
      <c r="C8826" s="51" t="s">
        <v>82</v>
      </c>
      <c r="D8826" s="51" t="n">
        <v>0</v>
      </c>
    </row>
    <row r="8827" customFormat="false" ht="15" hidden="true" customHeight="false" outlineLevel="0" collapsed="false">
      <c r="A8827" s="51" t="s">
        <v>666</v>
      </c>
      <c r="B8827" s="55" t="n">
        <v>45473</v>
      </c>
      <c r="C8827" s="51" t="s">
        <v>82</v>
      </c>
      <c r="D8827" s="51" t="n">
        <v>0</v>
      </c>
    </row>
    <row r="8828" customFormat="false" ht="15" hidden="true" customHeight="false" outlineLevel="0" collapsed="false">
      <c r="A8828" s="51" t="s">
        <v>671</v>
      </c>
      <c r="B8828" s="55" t="n">
        <v>45473</v>
      </c>
      <c r="C8828" s="51" t="s">
        <v>82</v>
      </c>
      <c r="D8828" s="51" t="n">
        <v>0</v>
      </c>
    </row>
    <row r="8829" customFormat="false" ht="15" hidden="true" customHeight="false" outlineLevel="0" collapsed="false">
      <c r="A8829" s="51" t="s">
        <v>676</v>
      </c>
      <c r="B8829" s="55" t="n">
        <v>45473</v>
      </c>
      <c r="C8829" s="51" t="s">
        <v>82</v>
      </c>
      <c r="D8829" s="51" t="n">
        <v>0</v>
      </c>
    </row>
    <row r="8830" customFormat="false" ht="15" hidden="true" customHeight="false" outlineLevel="0" collapsed="false">
      <c r="A8830" s="51" t="s">
        <v>681</v>
      </c>
      <c r="B8830" s="55" t="n">
        <v>45473</v>
      </c>
      <c r="C8830" s="51" t="s">
        <v>82</v>
      </c>
      <c r="D8830" s="51" t="n">
        <v>0</v>
      </c>
    </row>
    <row r="8831" customFormat="false" ht="15" hidden="true" customHeight="false" outlineLevel="0" collapsed="false">
      <c r="A8831" s="51" t="s">
        <v>686</v>
      </c>
      <c r="B8831" s="55" t="n">
        <v>45473</v>
      </c>
      <c r="C8831" s="51" t="s">
        <v>82</v>
      </c>
      <c r="D8831" s="51" t="n">
        <v>0</v>
      </c>
    </row>
    <row r="8832" customFormat="false" ht="15" hidden="true" customHeight="false" outlineLevel="0" collapsed="false">
      <c r="A8832" s="51" t="s">
        <v>691</v>
      </c>
      <c r="B8832" s="55" t="n">
        <v>45473</v>
      </c>
      <c r="C8832" s="51" t="s">
        <v>82</v>
      </c>
      <c r="D8832" s="51" t="n">
        <v>0</v>
      </c>
    </row>
    <row r="8833" customFormat="false" ht="15" hidden="true" customHeight="false" outlineLevel="0" collapsed="false">
      <c r="A8833" s="51" t="s">
        <v>696</v>
      </c>
      <c r="B8833" s="55" t="n">
        <v>45473</v>
      </c>
      <c r="C8833" s="51" t="s">
        <v>82</v>
      </c>
      <c r="D8833" s="51" t="n">
        <v>0</v>
      </c>
    </row>
    <row r="8834" customFormat="false" ht="15" hidden="true" customHeight="false" outlineLevel="0" collapsed="false">
      <c r="A8834" s="51" t="s">
        <v>701</v>
      </c>
      <c r="B8834" s="55" t="n">
        <v>45473</v>
      </c>
      <c r="C8834" s="51" t="s">
        <v>82</v>
      </c>
      <c r="D8834" s="51" t="n">
        <v>0</v>
      </c>
    </row>
    <row r="8835" customFormat="false" ht="15" hidden="true" customHeight="false" outlineLevel="0" collapsed="false">
      <c r="A8835" s="51" t="s">
        <v>707</v>
      </c>
      <c r="B8835" s="55" t="n">
        <v>45473</v>
      </c>
      <c r="C8835" s="51" t="s">
        <v>82</v>
      </c>
      <c r="D8835" s="51" t="n">
        <v>0</v>
      </c>
    </row>
    <row r="8836" customFormat="false" ht="15" hidden="true" customHeight="false" outlineLevel="0" collapsed="false">
      <c r="A8836" s="51" t="s">
        <v>712</v>
      </c>
      <c r="B8836" s="55" t="n">
        <v>45473</v>
      </c>
      <c r="C8836" s="51" t="s">
        <v>82</v>
      </c>
      <c r="D8836" s="51" t="n">
        <v>0</v>
      </c>
    </row>
    <row r="8837" customFormat="false" ht="15" hidden="true" customHeight="false" outlineLevel="0" collapsed="false">
      <c r="A8837" s="51" t="s">
        <v>717</v>
      </c>
      <c r="B8837" s="55" t="n">
        <v>45473</v>
      </c>
      <c r="C8837" s="51" t="s">
        <v>82</v>
      </c>
      <c r="D8837" s="51" t="n">
        <v>0</v>
      </c>
    </row>
    <row r="8838" customFormat="false" ht="15" hidden="true" customHeight="false" outlineLevel="0" collapsed="false">
      <c r="A8838" s="51" t="s">
        <v>767</v>
      </c>
      <c r="B8838" s="55" t="n">
        <v>45473</v>
      </c>
      <c r="C8838" s="51" t="s">
        <v>82</v>
      </c>
      <c r="D8838" s="51" t="n">
        <v>0</v>
      </c>
    </row>
    <row r="8839" customFormat="false" ht="15" hidden="true" customHeight="false" outlineLevel="0" collapsed="false">
      <c r="A8839" s="51" t="s">
        <v>722</v>
      </c>
      <c r="B8839" s="55" t="n">
        <v>45473</v>
      </c>
      <c r="C8839" s="51" t="s">
        <v>82</v>
      </c>
      <c r="D8839" s="51" t="n">
        <v>0</v>
      </c>
    </row>
    <row r="8840" customFormat="false" ht="15" hidden="true" customHeight="false" outlineLevel="0" collapsed="false">
      <c r="A8840" s="51" t="s">
        <v>727</v>
      </c>
      <c r="B8840" s="55" t="n">
        <v>45473</v>
      </c>
      <c r="C8840" s="51" t="s">
        <v>82</v>
      </c>
      <c r="D8840" s="51" t="n">
        <v>0</v>
      </c>
    </row>
    <row r="8841" customFormat="false" ht="15" hidden="true" customHeight="false" outlineLevel="0" collapsed="false">
      <c r="A8841" s="51" t="s">
        <v>732</v>
      </c>
      <c r="B8841" s="55" t="n">
        <v>45473</v>
      </c>
      <c r="C8841" s="51" t="s">
        <v>82</v>
      </c>
      <c r="D8841" s="51" t="n">
        <v>0</v>
      </c>
    </row>
    <row r="8842" customFormat="false" ht="15" hidden="true" customHeight="false" outlineLevel="0" collapsed="false">
      <c r="A8842" s="51" t="s">
        <v>736</v>
      </c>
      <c r="B8842" s="55" t="n">
        <v>45473</v>
      </c>
      <c r="C8842" s="51" t="s">
        <v>82</v>
      </c>
      <c r="D8842" s="51" t="n">
        <v>0</v>
      </c>
    </row>
    <row r="8843" customFormat="false" ht="15" hidden="true" customHeight="false" outlineLevel="0" collapsed="false">
      <c r="A8843" s="51" t="s">
        <v>741</v>
      </c>
      <c r="B8843" s="55" t="n">
        <v>45473</v>
      </c>
      <c r="C8843" s="51" t="s">
        <v>82</v>
      </c>
      <c r="D8843" s="51" t="n">
        <v>0</v>
      </c>
    </row>
    <row r="8844" customFormat="false" ht="15" hidden="true" customHeight="false" outlineLevel="0" collapsed="false">
      <c r="A8844" s="51" t="s">
        <v>746</v>
      </c>
      <c r="B8844" s="55" t="n">
        <v>45473</v>
      </c>
      <c r="C8844" s="51" t="s">
        <v>82</v>
      </c>
      <c r="D8844" s="51" t="n">
        <v>0</v>
      </c>
    </row>
    <row r="8845" customFormat="false" ht="15" hidden="true" customHeight="false" outlineLevel="0" collapsed="false">
      <c r="A8845" s="51" t="s">
        <v>751</v>
      </c>
      <c r="B8845" s="55" t="n">
        <v>45473</v>
      </c>
      <c r="C8845" s="51" t="s">
        <v>82</v>
      </c>
      <c r="D8845" s="51" t="n">
        <v>0</v>
      </c>
    </row>
    <row r="8846" customFormat="false" ht="15" hidden="false" customHeight="false" outlineLevel="0" collapsed="false">
      <c r="A8846" s="51" t="s">
        <v>781</v>
      </c>
      <c r="B8846" s="55" t="n">
        <v>45473</v>
      </c>
      <c r="C8846" s="51" t="s">
        <v>73</v>
      </c>
      <c r="D8846" s="51" t="n">
        <v>0</v>
      </c>
    </row>
    <row r="8847" customFormat="false" ht="15" hidden="true" customHeight="false" outlineLevel="0" collapsed="false">
      <c r="A8847" s="51" t="s">
        <v>783</v>
      </c>
      <c r="B8847" s="55" t="n">
        <v>45473</v>
      </c>
      <c r="C8847" s="51" t="s">
        <v>73</v>
      </c>
      <c r="D8847" s="51" t="n">
        <v>0</v>
      </c>
    </row>
    <row r="8848" customFormat="false" ht="15" hidden="true" customHeight="false" outlineLevel="0" collapsed="false">
      <c r="A8848" s="51" t="s">
        <v>96</v>
      </c>
      <c r="B8848" s="55" t="n">
        <v>45473</v>
      </c>
      <c r="C8848" s="51" t="s">
        <v>73</v>
      </c>
      <c r="D8848" s="51" t="n">
        <v>0</v>
      </c>
    </row>
    <row r="8849" customFormat="false" ht="15" hidden="true" customHeight="false" outlineLevel="0" collapsed="false">
      <c r="A8849" s="51" t="s">
        <v>101</v>
      </c>
      <c r="B8849" s="55" t="n">
        <v>45473</v>
      </c>
      <c r="C8849" s="51" t="s">
        <v>73</v>
      </c>
      <c r="D8849" s="51" t="n">
        <v>0</v>
      </c>
    </row>
    <row r="8850" customFormat="false" ht="15" hidden="true" customHeight="false" outlineLevel="0" collapsed="false">
      <c r="A8850" s="51" t="s">
        <v>106</v>
      </c>
      <c r="B8850" s="55" t="n">
        <v>45473</v>
      </c>
      <c r="C8850" s="51" t="s">
        <v>73</v>
      </c>
      <c r="D8850" s="51" t="n">
        <v>0</v>
      </c>
    </row>
    <row r="8851" customFormat="false" ht="15" hidden="true" customHeight="false" outlineLevel="0" collapsed="false">
      <c r="A8851" s="51" t="s">
        <v>110</v>
      </c>
      <c r="B8851" s="55" t="n">
        <v>45473</v>
      </c>
      <c r="C8851" s="51" t="s">
        <v>73</v>
      </c>
      <c r="D8851" s="51" t="n">
        <v>0</v>
      </c>
    </row>
    <row r="8852" customFormat="false" ht="15" hidden="true" customHeight="false" outlineLevel="0" collapsed="false">
      <c r="A8852" s="51" t="s">
        <v>115</v>
      </c>
      <c r="B8852" s="55" t="n">
        <v>45473</v>
      </c>
      <c r="C8852" s="51" t="s">
        <v>73</v>
      </c>
      <c r="D8852" s="51" t="n">
        <v>0</v>
      </c>
    </row>
    <row r="8853" customFormat="false" ht="15" hidden="true" customHeight="false" outlineLevel="0" collapsed="false">
      <c r="A8853" s="51" t="s">
        <v>120</v>
      </c>
      <c r="B8853" s="55" t="n">
        <v>45473</v>
      </c>
      <c r="C8853" s="51" t="s">
        <v>73</v>
      </c>
      <c r="D8853" s="51" t="n">
        <v>0</v>
      </c>
    </row>
    <row r="8854" customFormat="false" ht="15" hidden="true" customHeight="false" outlineLevel="0" collapsed="false">
      <c r="A8854" s="51" t="s">
        <v>124</v>
      </c>
      <c r="B8854" s="55" t="n">
        <v>45473</v>
      </c>
      <c r="C8854" s="51" t="s">
        <v>73</v>
      </c>
      <c r="D8854" s="51" t="n">
        <v>0</v>
      </c>
    </row>
    <row r="8855" customFormat="false" ht="15" hidden="true" customHeight="false" outlineLevel="0" collapsed="false">
      <c r="A8855" s="51" t="s">
        <v>129</v>
      </c>
      <c r="B8855" s="55" t="n">
        <v>45473</v>
      </c>
      <c r="C8855" s="51" t="s">
        <v>73</v>
      </c>
      <c r="D8855" s="51" t="n">
        <v>0</v>
      </c>
    </row>
    <row r="8856" customFormat="false" ht="15" hidden="true" customHeight="false" outlineLevel="0" collapsed="false">
      <c r="A8856" s="51" t="s">
        <v>134</v>
      </c>
      <c r="B8856" s="55" t="n">
        <v>45473</v>
      </c>
      <c r="C8856" s="51" t="s">
        <v>73</v>
      </c>
      <c r="D8856" s="51" t="n">
        <v>0</v>
      </c>
    </row>
    <row r="8857" customFormat="false" ht="15" hidden="true" customHeight="false" outlineLevel="0" collapsed="false">
      <c r="A8857" s="51" t="s">
        <v>141</v>
      </c>
      <c r="B8857" s="55" t="n">
        <v>45473</v>
      </c>
      <c r="C8857" s="51" t="s">
        <v>73</v>
      </c>
      <c r="D8857" s="51" t="n">
        <v>0</v>
      </c>
    </row>
    <row r="8858" customFormat="false" ht="15" hidden="true" customHeight="false" outlineLevel="0" collapsed="false">
      <c r="A8858" s="51" t="s">
        <v>146</v>
      </c>
      <c r="B8858" s="55" t="n">
        <v>45473</v>
      </c>
      <c r="C8858" s="51" t="s">
        <v>73</v>
      </c>
      <c r="D8858" s="51" t="n">
        <v>0</v>
      </c>
    </row>
    <row r="8859" customFormat="false" ht="15" hidden="true" customHeight="false" outlineLevel="0" collapsed="false">
      <c r="A8859" s="51" t="s">
        <v>151</v>
      </c>
      <c r="B8859" s="55" t="n">
        <v>45473</v>
      </c>
      <c r="C8859" s="51" t="s">
        <v>73</v>
      </c>
      <c r="D8859" s="51" t="n">
        <v>0</v>
      </c>
    </row>
    <row r="8860" customFormat="false" ht="15" hidden="true" customHeight="false" outlineLevel="0" collapsed="false">
      <c r="A8860" s="51" t="s">
        <v>156</v>
      </c>
      <c r="B8860" s="55" t="n">
        <v>45473</v>
      </c>
      <c r="C8860" s="51" t="s">
        <v>73</v>
      </c>
      <c r="D8860" s="51" t="n">
        <v>0</v>
      </c>
    </row>
    <row r="8861" customFormat="false" ht="15" hidden="true" customHeight="false" outlineLevel="0" collapsed="false">
      <c r="A8861" s="51" t="s">
        <v>161</v>
      </c>
      <c r="B8861" s="55" t="n">
        <v>45473</v>
      </c>
      <c r="C8861" s="51" t="s">
        <v>73</v>
      </c>
      <c r="D8861" s="51" t="n">
        <v>0</v>
      </c>
    </row>
    <row r="8862" customFormat="false" ht="15" hidden="true" customHeight="false" outlineLevel="0" collapsed="false">
      <c r="A8862" s="51" t="s">
        <v>166</v>
      </c>
      <c r="B8862" s="55" t="n">
        <v>45473</v>
      </c>
      <c r="C8862" s="51" t="s">
        <v>73</v>
      </c>
      <c r="D8862" s="51" t="n">
        <v>0</v>
      </c>
    </row>
    <row r="8863" customFormat="false" ht="15" hidden="true" customHeight="false" outlineLevel="0" collapsed="false">
      <c r="A8863" s="51" t="s">
        <v>171</v>
      </c>
      <c r="B8863" s="55" t="n">
        <v>45473</v>
      </c>
      <c r="C8863" s="51" t="s">
        <v>73</v>
      </c>
      <c r="D8863" s="51" t="n">
        <v>0</v>
      </c>
    </row>
    <row r="8864" customFormat="false" ht="15" hidden="true" customHeight="false" outlineLevel="0" collapsed="false">
      <c r="A8864" s="51" t="s">
        <v>176</v>
      </c>
      <c r="B8864" s="55" t="n">
        <v>45473</v>
      </c>
      <c r="C8864" s="51" t="s">
        <v>73</v>
      </c>
      <c r="D8864" s="51" t="n">
        <v>0</v>
      </c>
    </row>
    <row r="8865" customFormat="false" ht="15" hidden="true" customHeight="false" outlineLevel="0" collapsed="false">
      <c r="A8865" s="51" t="s">
        <v>181</v>
      </c>
      <c r="B8865" s="55" t="n">
        <v>45473</v>
      </c>
      <c r="C8865" s="51" t="s">
        <v>73</v>
      </c>
      <c r="D8865" s="51" t="n">
        <v>0</v>
      </c>
    </row>
    <row r="8866" customFormat="false" ht="15" hidden="true" customHeight="false" outlineLevel="0" collapsed="false">
      <c r="A8866" s="51" t="s">
        <v>186</v>
      </c>
      <c r="B8866" s="55" t="n">
        <v>45473</v>
      </c>
      <c r="C8866" s="51" t="s">
        <v>73</v>
      </c>
      <c r="D8866" s="51" t="n">
        <v>0</v>
      </c>
    </row>
    <row r="8867" customFormat="false" ht="15" hidden="true" customHeight="false" outlineLevel="0" collapsed="false">
      <c r="A8867" s="51" t="s">
        <v>191</v>
      </c>
      <c r="B8867" s="55" t="n">
        <v>45473</v>
      </c>
      <c r="C8867" s="51" t="s">
        <v>73</v>
      </c>
      <c r="D8867" s="51" t="n">
        <v>0</v>
      </c>
    </row>
    <row r="8868" customFormat="false" ht="15" hidden="true" customHeight="false" outlineLevel="0" collapsed="false">
      <c r="A8868" s="51" t="s">
        <v>196</v>
      </c>
      <c r="B8868" s="55" t="n">
        <v>45473</v>
      </c>
      <c r="C8868" s="51" t="s">
        <v>73</v>
      </c>
      <c r="D8868" s="51" t="n">
        <v>0</v>
      </c>
    </row>
    <row r="8869" customFormat="false" ht="15" hidden="true" customHeight="false" outlineLevel="0" collapsed="false">
      <c r="A8869" s="51" t="s">
        <v>201</v>
      </c>
      <c r="B8869" s="55" t="n">
        <v>45473</v>
      </c>
      <c r="C8869" s="51" t="s">
        <v>73</v>
      </c>
      <c r="D8869" s="51" t="n">
        <v>0</v>
      </c>
    </row>
    <row r="8870" customFormat="false" ht="15" hidden="true" customHeight="false" outlineLevel="0" collapsed="false">
      <c r="A8870" s="51" t="s">
        <v>206</v>
      </c>
      <c r="B8870" s="55" t="n">
        <v>45473</v>
      </c>
      <c r="C8870" s="51" t="s">
        <v>73</v>
      </c>
      <c r="D8870" s="51" t="n">
        <v>0</v>
      </c>
    </row>
    <row r="8871" customFormat="false" ht="15" hidden="true" customHeight="false" outlineLevel="0" collapsed="false">
      <c r="A8871" s="51" t="s">
        <v>210</v>
      </c>
      <c r="B8871" s="55" t="n">
        <v>45473</v>
      </c>
      <c r="C8871" s="51" t="s">
        <v>73</v>
      </c>
      <c r="D8871" s="51" t="n">
        <v>0</v>
      </c>
    </row>
    <row r="8872" customFormat="false" ht="15" hidden="true" customHeight="false" outlineLevel="0" collapsed="false">
      <c r="A8872" s="51" t="s">
        <v>215</v>
      </c>
      <c r="B8872" s="55" t="n">
        <v>45473</v>
      </c>
      <c r="C8872" s="51" t="s">
        <v>73</v>
      </c>
      <c r="D8872" s="51" t="n">
        <v>0</v>
      </c>
    </row>
    <row r="8873" customFormat="false" ht="15" hidden="true" customHeight="false" outlineLevel="0" collapsed="false">
      <c r="A8873" s="51" t="s">
        <v>790</v>
      </c>
      <c r="B8873" s="55" t="n">
        <v>45473</v>
      </c>
      <c r="C8873" s="51" t="s">
        <v>73</v>
      </c>
      <c r="D8873" s="51" t="n">
        <v>0</v>
      </c>
    </row>
    <row r="8874" customFormat="false" ht="15" hidden="true" customHeight="false" outlineLevel="0" collapsed="false">
      <c r="A8874" s="51" t="s">
        <v>225</v>
      </c>
      <c r="B8874" s="55" t="n">
        <v>45473</v>
      </c>
      <c r="C8874" s="51" t="s">
        <v>73</v>
      </c>
      <c r="D8874" s="51" t="n">
        <v>0</v>
      </c>
    </row>
    <row r="8875" customFormat="false" ht="15" hidden="true" customHeight="false" outlineLevel="0" collapsed="false">
      <c r="A8875" s="51" t="s">
        <v>230</v>
      </c>
      <c r="B8875" s="55" t="n">
        <v>45473</v>
      </c>
      <c r="C8875" s="51" t="s">
        <v>73</v>
      </c>
      <c r="D8875" s="51" t="n">
        <v>0</v>
      </c>
    </row>
    <row r="8876" customFormat="false" ht="15" hidden="true" customHeight="false" outlineLevel="0" collapsed="false">
      <c r="A8876" s="51" t="s">
        <v>235</v>
      </c>
      <c r="B8876" s="55" t="n">
        <v>45473</v>
      </c>
      <c r="C8876" s="51" t="s">
        <v>73</v>
      </c>
      <c r="D8876" s="51" t="n">
        <v>0</v>
      </c>
    </row>
    <row r="8877" customFormat="false" ht="15" hidden="true" customHeight="false" outlineLevel="0" collapsed="false">
      <c r="A8877" s="51" t="s">
        <v>240</v>
      </c>
      <c r="B8877" s="55" t="n">
        <v>45473</v>
      </c>
      <c r="C8877" s="51" t="s">
        <v>73</v>
      </c>
      <c r="D8877" s="51" t="n">
        <v>0</v>
      </c>
    </row>
    <row r="8878" customFormat="false" ht="15" hidden="true" customHeight="false" outlineLevel="0" collapsed="false">
      <c r="A8878" s="51" t="s">
        <v>246</v>
      </c>
      <c r="B8878" s="55" t="n">
        <v>45473</v>
      </c>
      <c r="C8878" s="51" t="s">
        <v>73</v>
      </c>
      <c r="D8878" s="51" t="n">
        <v>300000</v>
      </c>
    </row>
    <row r="8879" customFormat="false" ht="15" hidden="true" customHeight="false" outlineLevel="0" collapsed="false">
      <c r="A8879" s="51" t="s">
        <v>252</v>
      </c>
      <c r="B8879" s="55" t="n">
        <v>45473</v>
      </c>
      <c r="C8879" s="51" t="s">
        <v>73</v>
      </c>
      <c r="D8879" s="51" t="n">
        <v>0</v>
      </c>
    </row>
    <row r="8880" customFormat="false" ht="15" hidden="true" customHeight="false" outlineLevel="0" collapsed="false">
      <c r="A8880" s="51" t="s">
        <v>257</v>
      </c>
      <c r="B8880" s="55" t="n">
        <v>45473</v>
      </c>
      <c r="C8880" s="51" t="s">
        <v>73</v>
      </c>
      <c r="D8880" s="51" t="n">
        <v>0</v>
      </c>
    </row>
    <row r="8881" customFormat="false" ht="15" hidden="true" customHeight="false" outlineLevel="0" collapsed="false">
      <c r="A8881" s="51" t="s">
        <v>262</v>
      </c>
      <c r="B8881" s="55" t="n">
        <v>45473</v>
      </c>
      <c r="C8881" s="51" t="s">
        <v>73</v>
      </c>
      <c r="D8881" s="51" t="n">
        <v>0</v>
      </c>
    </row>
    <row r="8882" customFormat="false" ht="15" hidden="true" customHeight="false" outlineLevel="0" collapsed="false">
      <c r="A8882" s="51" t="s">
        <v>267</v>
      </c>
      <c r="B8882" s="55" t="n">
        <v>45473</v>
      </c>
      <c r="C8882" s="51" t="s">
        <v>73</v>
      </c>
      <c r="D8882" s="51" t="n">
        <v>0</v>
      </c>
    </row>
    <row r="8883" customFormat="false" ht="15" hidden="true" customHeight="false" outlineLevel="0" collapsed="false">
      <c r="A8883" s="51" t="s">
        <v>272</v>
      </c>
      <c r="B8883" s="55" t="n">
        <v>45473</v>
      </c>
      <c r="C8883" s="51" t="s">
        <v>73</v>
      </c>
      <c r="D8883" s="51" t="n">
        <v>0</v>
      </c>
    </row>
    <row r="8884" customFormat="false" ht="15" hidden="true" customHeight="false" outlineLevel="0" collapsed="false">
      <c r="A8884" s="51" t="s">
        <v>277</v>
      </c>
      <c r="B8884" s="55" t="n">
        <v>45473</v>
      </c>
      <c r="C8884" s="51" t="s">
        <v>73</v>
      </c>
      <c r="D8884" s="51" t="n">
        <v>0</v>
      </c>
    </row>
    <row r="8885" customFormat="false" ht="15" hidden="true" customHeight="false" outlineLevel="0" collapsed="false">
      <c r="A8885" s="51" t="s">
        <v>282</v>
      </c>
      <c r="B8885" s="55" t="n">
        <v>45473</v>
      </c>
      <c r="C8885" s="51" t="s">
        <v>73</v>
      </c>
      <c r="D8885" s="51" t="n">
        <v>0</v>
      </c>
    </row>
    <row r="8886" customFormat="false" ht="15" hidden="true" customHeight="false" outlineLevel="0" collapsed="false">
      <c r="A8886" s="51" t="s">
        <v>287</v>
      </c>
      <c r="B8886" s="55" t="n">
        <v>45473</v>
      </c>
      <c r="C8886" s="51" t="s">
        <v>73</v>
      </c>
      <c r="D8886" s="51" t="n">
        <v>0</v>
      </c>
    </row>
    <row r="8887" customFormat="false" ht="15" hidden="true" customHeight="false" outlineLevel="0" collapsed="false">
      <c r="A8887" s="51" t="s">
        <v>292</v>
      </c>
      <c r="B8887" s="55" t="n">
        <v>45473</v>
      </c>
      <c r="C8887" s="51" t="s">
        <v>73</v>
      </c>
      <c r="D8887" s="51" t="n">
        <v>0</v>
      </c>
    </row>
    <row r="8888" customFormat="false" ht="15" hidden="true" customHeight="false" outlineLevel="0" collapsed="false">
      <c r="A8888" s="51" t="s">
        <v>297</v>
      </c>
      <c r="B8888" s="55" t="n">
        <v>45473</v>
      </c>
      <c r="C8888" s="51" t="s">
        <v>73</v>
      </c>
      <c r="D8888" s="51" t="n">
        <v>0</v>
      </c>
    </row>
    <row r="8889" customFormat="false" ht="15" hidden="true" customHeight="false" outlineLevel="0" collapsed="false">
      <c r="A8889" s="51" t="s">
        <v>302</v>
      </c>
      <c r="B8889" s="55" t="n">
        <v>45473</v>
      </c>
      <c r="C8889" s="51" t="s">
        <v>73</v>
      </c>
      <c r="D8889" s="51" t="n">
        <v>0</v>
      </c>
    </row>
    <row r="8890" customFormat="false" ht="15" hidden="true" customHeight="false" outlineLevel="0" collapsed="false">
      <c r="A8890" s="51" t="s">
        <v>307</v>
      </c>
      <c r="B8890" s="55" t="n">
        <v>45473</v>
      </c>
      <c r="C8890" s="51" t="s">
        <v>73</v>
      </c>
      <c r="D8890" s="51" t="n">
        <v>0</v>
      </c>
    </row>
    <row r="8891" customFormat="false" ht="15" hidden="true" customHeight="false" outlineLevel="0" collapsed="false">
      <c r="A8891" s="51" t="s">
        <v>311</v>
      </c>
      <c r="B8891" s="55" t="n">
        <v>45473</v>
      </c>
      <c r="C8891" s="51" t="s">
        <v>73</v>
      </c>
      <c r="D8891" s="51" t="n">
        <v>0</v>
      </c>
    </row>
    <row r="8892" customFormat="false" ht="15" hidden="true" customHeight="false" outlineLevel="0" collapsed="false">
      <c r="A8892" s="51" t="s">
        <v>317</v>
      </c>
      <c r="B8892" s="55" t="n">
        <v>45473</v>
      </c>
      <c r="C8892" s="51" t="s">
        <v>73</v>
      </c>
      <c r="D8892" s="51" t="n">
        <v>0</v>
      </c>
    </row>
    <row r="8893" customFormat="false" ht="15" hidden="true" customHeight="false" outlineLevel="0" collapsed="false">
      <c r="A8893" s="51" t="s">
        <v>322</v>
      </c>
      <c r="B8893" s="55" t="n">
        <v>45473</v>
      </c>
      <c r="C8893" s="51" t="s">
        <v>73</v>
      </c>
      <c r="D8893" s="51" t="n">
        <v>0</v>
      </c>
    </row>
    <row r="8894" customFormat="false" ht="15" hidden="true" customHeight="false" outlineLevel="0" collapsed="false">
      <c r="A8894" s="51" t="s">
        <v>327</v>
      </c>
      <c r="B8894" s="55" t="n">
        <v>45473</v>
      </c>
      <c r="C8894" s="51" t="s">
        <v>73</v>
      </c>
      <c r="D8894" s="51" t="n">
        <v>0</v>
      </c>
    </row>
    <row r="8895" customFormat="false" ht="15" hidden="true" customHeight="false" outlineLevel="0" collapsed="false">
      <c r="A8895" s="51" t="s">
        <v>332</v>
      </c>
      <c r="B8895" s="55" t="n">
        <v>45473</v>
      </c>
      <c r="C8895" s="51" t="s">
        <v>73</v>
      </c>
      <c r="D8895" s="51" t="n">
        <v>0</v>
      </c>
    </row>
    <row r="8896" customFormat="false" ht="15" hidden="true" customHeight="false" outlineLevel="0" collapsed="false">
      <c r="A8896" s="51" t="s">
        <v>339</v>
      </c>
      <c r="B8896" s="55" t="n">
        <v>45473</v>
      </c>
      <c r="C8896" s="51" t="s">
        <v>73</v>
      </c>
      <c r="D8896" s="51" t="n">
        <v>0</v>
      </c>
    </row>
    <row r="8897" customFormat="false" ht="15" hidden="true" customHeight="false" outlineLevel="0" collapsed="false">
      <c r="A8897" s="51" t="s">
        <v>344</v>
      </c>
      <c r="B8897" s="55" t="n">
        <v>45473</v>
      </c>
      <c r="C8897" s="51" t="s">
        <v>73</v>
      </c>
      <c r="D8897" s="51" t="n">
        <v>0</v>
      </c>
    </row>
    <row r="8898" customFormat="false" ht="15" hidden="true" customHeight="false" outlineLevel="0" collapsed="false">
      <c r="A8898" s="51" t="s">
        <v>349</v>
      </c>
      <c r="B8898" s="55" t="n">
        <v>45473</v>
      </c>
      <c r="C8898" s="51" t="s">
        <v>73</v>
      </c>
      <c r="D8898" s="51" t="n">
        <v>0</v>
      </c>
    </row>
    <row r="8899" customFormat="false" ht="15" hidden="true" customHeight="false" outlineLevel="0" collapsed="false">
      <c r="A8899" s="51" t="s">
        <v>354</v>
      </c>
      <c r="B8899" s="55" t="n">
        <v>45473</v>
      </c>
      <c r="C8899" s="51" t="s">
        <v>73</v>
      </c>
      <c r="D8899" s="51" t="n">
        <v>0</v>
      </c>
    </row>
    <row r="8900" customFormat="false" ht="15" hidden="true" customHeight="false" outlineLevel="0" collapsed="false">
      <c r="A8900" s="51" t="s">
        <v>359</v>
      </c>
      <c r="B8900" s="55" t="n">
        <v>45473</v>
      </c>
      <c r="C8900" s="51" t="s">
        <v>73</v>
      </c>
      <c r="D8900" s="51" t="n">
        <v>0</v>
      </c>
    </row>
    <row r="8901" customFormat="false" ht="15" hidden="true" customHeight="false" outlineLevel="0" collapsed="false">
      <c r="A8901" s="51" t="s">
        <v>364</v>
      </c>
      <c r="B8901" s="55" t="n">
        <v>45473</v>
      </c>
      <c r="C8901" s="51" t="s">
        <v>73</v>
      </c>
      <c r="D8901" s="51" t="n">
        <v>0</v>
      </c>
    </row>
    <row r="8902" customFormat="false" ht="15" hidden="true" customHeight="false" outlineLevel="0" collapsed="false">
      <c r="A8902" s="51" t="s">
        <v>369</v>
      </c>
      <c r="B8902" s="55" t="n">
        <v>45473</v>
      </c>
      <c r="C8902" s="51" t="s">
        <v>73</v>
      </c>
      <c r="D8902" s="51" t="n">
        <v>120000</v>
      </c>
    </row>
    <row r="8903" customFormat="false" ht="15" hidden="true" customHeight="false" outlineLevel="0" collapsed="false">
      <c r="A8903" s="51" t="s">
        <v>374</v>
      </c>
      <c r="B8903" s="55" t="n">
        <v>45473</v>
      </c>
      <c r="C8903" s="51" t="s">
        <v>73</v>
      </c>
      <c r="D8903" s="51" t="n">
        <v>0</v>
      </c>
    </row>
    <row r="8904" customFormat="false" ht="15" hidden="true" customHeight="false" outlineLevel="0" collapsed="false">
      <c r="A8904" s="51" t="s">
        <v>379</v>
      </c>
      <c r="B8904" s="55" t="n">
        <v>45473</v>
      </c>
      <c r="C8904" s="51" t="s">
        <v>73</v>
      </c>
      <c r="D8904" s="51" t="n">
        <v>100000</v>
      </c>
    </row>
    <row r="8905" customFormat="false" ht="15" hidden="true" customHeight="false" outlineLevel="0" collapsed="false">
      <c r="A8905" s="51" t="s">
        <v>384</v>
      </c>
      <c r="B8905" s="55" t="n">
        <v>45473</v>
      </c>
      <c r="C8905" s="51" t="s">
        <v>73</v>
      </c>
      <c r="D8905" s="51" t="n">
        <v>0</v>
      </c>
    </row>
    <row r="8906" customFormat="false" ht="15" hidden="true" customHeight="false" outlineLevel="0" collapsed="false">
      <c r="A8906" s="51" t="s">
        <v>389</v>
      </c>
      <c r="B8906" s="55" t="n">
        <v>45473</v>
      </c>
      <c r="C8906" s="51" t="s">
        <v>73</v>
      </c>
      <c r="D8906" s="51" t="n">
        <v>0</v>
      </c>
    </row>
    <row r="8907" customFormat="false" ht="15" hidden="true" customHeight="false" outlineLevel="0" collapsed="false">
      <c r="A8907" s="51" t="s">
        <v>394</v>
      </c>
      <c r="B8907" s="55" t="n">
        <v>45473</v>
      </c>
      <c r="C8907" s="51" t="s">
        <v>73</v>
      </c>
      <c r="D8907" s="51" t="n">
        <v>1800000</v>
      </c>
    </row>
    <row r="8908" customFormat="false" ht="15" hidden="true" customHeight="false" outlineLevel="0" collapsed="false">
      <c r="A8908" s="51" t="s">
        <v>399</v>
      </c>
      <c r="B8908" s="55" t="n">
        <v>45473</v>
      </c>
      <c r="C8908" s="51" t="s">
        <v>73</v>
      </c>
      <c r="D8908" s="51" t="n">
        <v>0</v>
      </c>
    </row>
    <row r="8909" customFormat="false" ht="15" hidden="true" customHeight="false" outlineLevel="0" collapsed="false">
      <c r="A8909" s="51" t="s">
        <v>404</v>
      </c>
      <c r="B8909" s="55" t="n">
        <v>45473</v>
      </c>
      <c r="C8909" s="51" t="s">
        <v>73</v>
      </c>
      <c r="D8909" s="51" t="n">
        <v>100000</v>
      </c>
    </row>
    <row r="8910" customFormat="false" ht="15" hidden="true" customHeight="false" outlineLevel="0" collapsed="false">
      <c r="A8910" s="51" t="s">
        <v>409</v>
      </c>
      <c r="B8910" s="55" t="n">
        <v>45473</v>
      </c>
      <c r="C8910" s="51" t="s">
        <v>73</v>
      </c>
      <c r="D8910" s="51" t="n">
        <v>0</v>
      </c>
    </row>
    <row r="8911" customFormat="false" ht="15" hidden="true" customHeight="false" outlineLevel="0" collapsed="false">
      <c r="A8911" s="51" t="s">
        <v>414</v>
      </c>
      <c r="B8911" s="55" t="n">
        <v>45473</v>
      </c>
      <c r="C8911" s="51" t="s">
        <v>73</v>
      </c>
      <c r="D8911" s="51" t="n">
        <v>0</v>
      </c>
    </row>
    <row r="8912" customFormat="false" ht="15" hidden="true" customHeight="false" outlineLevel="0" collapsed="false">
      <c r="A8912" s="51" t="s">
        <v>419</v>
      </c>
      <c r="B8912" s="55" t="n">
        <v>45473</v>
      </c>
      <c r="C8912" s="51" t="s">
        <v>73</v>
      </c>
      <c r="D8912" s="51" t="n">
        <v>0</v>
      </c>
    </row>
    <row r="8913" customFormat="false" ht="15" hidden="true" customHeight="false" outlineLevel="0" collapsed="false">
      <c r="A8913" s="51" t="s">
        <v>424</v>
      </c>
      <c r="B8913" s="55" t="n">
        <v>45473</v>
      </c>
      <c r="C8913" s="51" t="s">
        <v>73</v>
      </c>
      <c r="D8913" s="51" t="n">
        <v>669650</v>
      </c>
    </row>
    <row r="8914" customFormat="false" ht="15" hidden="true" customHeight="false" outlineLevel="0" collapsed="false">
      <c r="A8914" s="51" t="s">
        <v>429</v>
      </c>
      <c r="B8914" s="55" t="n">
        <v>45473</v>
      </c>
      <c r="C8914" s="51" t="s">
        <v>73</v>
      </c>
      <c r="D8914" s="51" t="n">
        <v>0</v>
      </c>
    </row>
    <row r="8915" customFormat="false" ht="15" hidden="true" customHeight="false" outlineLevel="0" collapsed="false">
      <c r="A8915" s="51" t="s">
        <v>434</v>
      </c>
      <c r="B8915" s="55" t="n">
        <v>45473</v>
      </c>
      <c r="C8915" s="51" t="s">
        <v>73</v>
      </c>
      <c r="D8915" s="51" t="n">
        <v>0</v>
      </c>
    </row>
    <row r="8916" customFormat="false" ht="15" hidden="true" customHeight="false" outlineLevel="0" collapsed="false">
      <c r="A8916" s="51" t="s">
        <v>438</v>
      </c>
      <c r="B8916" s="55" t="n">
        <v>45473</v>
      </c>
      <c r="C8916" s="51" t="s">
        <v>73</v>
      </c>
      <c r="D8916" s="51" t="n">
        <v>500000</v>
      </c>
    </row>
    <row r="8917" customFormat="false" ht="15" hidden="true" customHeight="false" outlineLevel="0" collapsed="false">
      <c r="A8917" s="51" t="s">
        <v>443</v>
      </c>
      <c r="B8917" s="55" t="n">
        <v>45473</v>
      </c>
      <c r="C8917" s="51" t="s">
        <v>73</v>
      </c>
      <c r="D8917" s="51" t="n">
        <v>434250</v>
      </c>
    </row>
    <row r="8918" customFormat="false" ht="15" hidden="true" customHeight="false" outlineLevel="0" collapsed="false">
      <c r="A8918" s="51" t="s">
        <v>448</v>
      </c>
      <c r="B8918" s="55" t="n">
        <v>45473</v>
      </c>
      <c r="C8918" s="51" t="s">
        <v>73</v>
      </c>
      <c r="D8918" s="51" t="n">
        <v>0</v>
      </c>
    </row>
    <row r="8919" customFormat="false" ht="15" hidden="true" customHeight="false" outlineLevel="0" collapsed="false">
      <c r="A8919" s="51" t="s">
        <v>453</v>
      </c>
      <c r="B8919" s="55" t="n">
        <v>45473</v>
      </c>
      <c r="C8919" s="51" t="s">
        <v>73</v>
      </c>
      <c r="D8919" s="51" t="n">
        <v>0</v>
      </c>
    </row>
    <row r="8920" customFormat="false" ht="15" hidden="true" customHeight="false" outlineLevel="0" collapsed="false">
      <c r="A8920" s="51" t="s">
        <v>458</v>
      </c>
      <c r="B8920" s="55" t="n">
        <v>45473</v>
      </c>
      <c r="C8920" s="51" t="s">
        <v>73</v>
      </c>
      <c r="D8920" s="51" t="n">
        <v>400000</v>
      </c>
    </row>
    <row r="8921" customFormat="false" ht="15" hidden="true" customHeight="false" outlineLevel="0" collapsed="false">
      <c r="A8921" s="51" t="s">
        <v>473</v>
      </c>
      <c r="B8921" s="55" t="n">
        <v>45473</v>
      </c>
      <c r="C8921" s="51" t="s">
        <v>73</v>
      </c>
      <c r="D8921" s="51" t="n">
        <v>100000</v>
      </c>
    </row>
    <row r="8922" customFormat="false" ht="15" hidden="true" customHeight="false" outlineLevel="0" collapsed="false">
      <c r="A8922" s="51" t="s">
        <v>479</v>
      </c>
      <c r="B8922" s="55" t="n">
        <v>45473</v>
      </c>
      <c r="C8922" s="51" t="s">
        <v>73</v>
      </c>
      <c r="D8922" s="51" t="n">
        <v>1500000</v>
      </c>
    </row>
    <row r="8923" customFormat="false" ht="15" hidden="true" customHeight="false" outlineLevel="0" collapsed="false">
      <c r="A8923" s="51" t="s">
        <v>484</v>
      </c>
      <c r="B8923" s="55" t="n">
        <v>45473</v>
      </c>
      <c r="C8923" s="51" t="s">
        <v>73</v>
      </c>
      <c r="D8923" s="51" t="n">
        <v>50000</v>
      </c>
    </row>
    <row r="8924" customFormat="false" ht="15" hidden="true" customHeight="false" outlineLevel="0" collapsed="false">
      <c r="A8924" s="51" t="s">
        <v>489</v>
      </c>
      <c r="B8924" s="55" t="n">
        <v>45473</v>
      </c>
      <c r="C8924" s="51" t="s">
        <v>73</v>
      </c>
      <c r="D8924" s="51" t="n">
        <v>102550.37</v>
      </c>
    </row>
    <row r="8925" customFormat="false" ht="15" hidden="true" customHeight="false" outlineLevel="0" collapsed="false">
      <c r="A8925" s="51" t="s">
        <v>494</v>
      </c>
      <c r="B8925" s="55" t="n">
        <v>45473</v>
      </c>
      <c r="C8925" s="51" t="s">
        <v>73</v>
      </c>
      <c r="D8925" s="51" t="n">
        <v>154004.15</v>
      </c>
    </row>
    <row r="8926" customFormat="false" ht="15" hidden="true" customHeight="false" outlineLevel="0" collapsed="false">
      <c r="A8926" s="51" t="s">
        <v>499</v>
      </c>
      <c r="B8926" s="55" t="n">
        <v>45473</v>
      </c>
      <c r="C8926" s="51" t="s">
        <v>73</v>
      </c>
      <c r="D8926" s="51" t="n">
        <v>0</v>
      </c>
    </row>
    <row r="8927" customFormat="false" ht="15" hidden="true" customHeight="false" outlineLevel="0" collapsed="false">
      <c r="A8927" s="51" t="s">
        <v>504</v>
      </c>
      <c r="B8927" s="55" t="n">
        <v>45473</v>
      </c>
      <c r="C8927" s="51" t="s">
        <v>73</v>
      </c>
      <c r="D8927" s="51" t="n">
        <v>400000</v>
      </c>
    </row>
    <row r="8928" customFormat="false" ht="15" hidden="true" customHeight="false" outlineLevel="0" collapsed="false">
      <c r="A8928" s="51" t="s">
        <v>509</v>
      </c>
      <c r="B8928" s="55" t="n">
        <v>45473</v>
      </c>
      <c r="C8928" s="51" t="s">
        <v>73</v>
      </c>
      <c r="D8928" s="51" t="n">
        <v>775073.28</v>
      </c>
    </row>
    <row r="8929" customFormat="false" ht="15" hidden="true" customHeight="false" outlineLevel="0" collapsed="false">
      <c r="A8929" s="51" t="s">
        <v>515</v>
      </c>
      <c r="B8929" s="55" t="n">
        <v>45473</v>
      </c>
      <c r="C8929" s="51" t="s">
        <v>73</v>
      </c>
      <c r="D8929" s="51" t="n">
        <v>30000</v>
      </c>
    </row>
    <row r="8930" customFormat="false" ht="15" hidden="true" customHeight="false" outlineLevel="0" collapsed="false">
      <c r="A8930" s="51" t="s">
        <v>520</v>
      </c>
      <c r="B8930" s="55" t="n">
        <v>45473</v>
      </c>
      <c r="C8930" s="51" t="s">
        <v>73</v>
      </c>
      <c r="D8930" s="51" t="n">
        <v>0</v>
      </c>
    </row>
    <row r="8931" customFormat="false" ht="15" hidden="true" customHeight="false" outlineLevel="0" collapsed="false">
      <c r="A8931" s="51" t="s">
        <v>525</v>
      </c>
      <c r="B8931" s="55" t="n">
        <v>45473</v>
      </c>
      <c r="C8931" s="51" t="s">
        <v>73</v>
      </c>
      <c r="D8931" s="51" t="n">
        <v>0</v>
      </c>
    </row>
    <row r="8932" customFormat="false" ht="15" hidden="true" customHeight="false" outlineLevel="0" collapsed="false">
      <c r="A8932" s="51" t="s">
        <v>531</v>
      </c>
      <c r="B8932" s="55" t="n">
        <v>45473</v>
      </c>
      <c r="C8932" s="51" t="s">
        <v>73</v>
      </c>
      <c r="D8932" s="51" t="n">
        <v>0</v>
      </c>
    </row>
    <row r="8933" customFormat="false" ht="15" hidden="true" customHeight="false" outlineLevel="0" collapsed="false">
      <c r="A8933" s="51" t="s">
        <v>536</v>
      </c>
      <c r="B8933" s="55" t="n">
        <v>45473</v>
      </c>
      <c r="C8933" s="51" t="s">
        <v>73</v>
      </c>
      <c r="D8933" s="51" t="n">
        <v>0</v>
      </c>
    </row>
    <row r="8934" customFormat="false" ht="15" hidden="true" customHeight="false" outlineLevel="0" collapsed="false">
      <c r="A8934" s="51" t="s">
        <v>541</v>
      </c>
      <c r="B8934" s="55" t="n">
        <v>45473</v>
      </c>
      <c r="C8934" s="51" t="s">
        <v>73</v>
      </c>
      <c r="D8934" s="51" t="n">
        <v>0</v>
      </c>
    </row>
    <row r="8935" customFormat="false" ht="15" hidden="true" customHeight="false" outlineLevel="0" collapsed="false">
      <c r="A8935" s="51" t="s">
        <v>549</v>
      </c>
      <c r="B8935" s="55" t="n">
        <v>45473</v>
      </c>
      <c r="C8935" s="51" t="s">
        <v>73</v>
      </c>
      <c r="D8935" s="51" t="n">
        <v>0</v>
      </c>
    </row>
    <row r="8936" customFormat="false" ht="15" hidden="true" customHeight="false" outlineLevel="0" collapsed="false">
      <c r="A8936" s="51" t="s">
        <v>554</v>
      </c>
      <c r="B8936" s="55" t="n">
        <v>45473</v>
      </c>
      <c r="C8936" s="51" t="s">
        <v>73</v>
      </c>
      <c r="D8936" s="51" t="n">
        <v>0</v>
      </c>
    </row>
    <row r="8937" customFormat="false" ht="15" hidden="true" customHeight="false" outlineLevel="0" collapsed="false">
      <c r="A8937" s="51" t="s">
        <v>559</v>
      </c>
      <c r="B8937" s="55" t="n">
        <v>45473</v>
      </c>
      <c r="C8937" s="51" t="s">
        <v>73</v>
      </c>
      <c r="D8937" s="51" t="n">
        <v>0</v>
      </c>
    </row>
    <row r="8938" customFormat="false" ht="15" hidden="true" customHeight="false" outlineLevel="0" collapsed="false">
      <c r="A8938" s="51" t="s">
        <v>564</v>
      </c>
      <c r="B8938" s="55" t="n">
        <v>45473</v>
      </c>
      <c r="C8938" s="51" t="s">
        <v>73</v>
      </c>
      <c r="D8938" s="51" t="n">
        <v>0</v>
      </c>
    </row>
    <row r="8939" customFormat="false" ht="15" hidden="true" customHeight="false" outlineLevel="0" collapsed="false">
      <c r="A8939" s="51" t="s">
        <v>569</v>
      </c>
      <c r="B8939" s="55" t="n">
        <v>45473</v>
      </c>
      <c r="C8939" s="51" t="s">
        <v>73</v>
      </c>
      <c r="D8939" s="51" t="n">
        <v>0</v>
      </c>
    </row>
    <row r="8940" customFormat="false" ht="15" hidden="true" customHeight="false" outlineLevel="0" collapsed="false">
      <c r="A8940" s="51" t="s">
        <v>574</v>
      </c>
      <c r="B8940" s="55" t="n">
        <v>45473</v>
      </c>
      <c r="C8940" s="51" t="s">
        <v>73</v>
      </c>
      <c r="D8940" s="51" t="n">
        <v>0</v>
      </c>
    </row>
    <row r="8941" customFormat="false" ht="15" hidden="true" customHeight="false" outlineLevel="0" collapsed="false">
      <c r="A8941" s="51" t="s">
        <v>579</v>
      </c>
      <c r="B8941" s="55" t="n">
        <v>45473</v>
      </c>
      <c r="C8941" s="51" t="s">
        <v>73</v>
      </c>
      <c r="D8941" s="51" t="n">
        <v>0</v>
      </c>
    </row>
    <row r="8942" customFormat="false" ht="15" hidden="true" customHeight="false" outlineLevel="0" collapsed="false">
      <c r="A8942" s="51" t="s">
        <v>584</v>
      </c>
      <c r="B8942" s="55" t="n">
        <v>45473</v>
      </c>
      <c r="C8942" s="51" t="s">
        <v>73</v>
      </c>
      <c r="D8942" s="51" t="n">
        <v>0</v>
      </c>
    </row>
    <row r="8943" customFormat="false" ht="15" hidden="true" customHeight="false" outlineLevel="0" collapsed="false">
      <c r="A8943" s="51" t="s">
        <v>589</v>
      </c>
      <c r="B8943" s="55" t="n">
        <v>45473</v>
      </c>
      <c r="C8943" s="51" t="s">
        <v>73</v>
      </c>
      <c r="D8943" s="51" t="n">
        <v>0</v>
      </c>
    </row>
    <row r="8944" customFormat="false" ht="15" hidden="true" customHeight="false" outlineLevel="0" collapsed="false">
      <c r="A8944" s="51" t="s">
        <v>756</v>
      </c>
      <c r="B8944" s="55" t="n">
        <v>45473</v>
      </c>
      <c r="C8944" s="51" t="s">
        <v>73</v>
      </c>
      <c r="D8944" s="51" t="n">
        <v>0</v>
      </c>
    </row>
    <row r="8945" customFormat="false" ht="15" hidden="true" customHeight="false" outlineLevel="0" collapsed="false">
      <c r="A8945" s="51" t="s">
        <v>594</v>
      </c>
      <c r="B8945" s="55" t="n">
        <v>45473</v>
      </c>
      <c r="C8945" s="51" t="s">
        <v>73</v>
      </c>
      <c r="D8945" s="51" t="n">
        <v>0</v>
      </c>
    </row>
    <row r="8946" customFormat="false" ht="15" hidden="true" customHeight="false" outlineLevel="0" collapsed="false">
      <c r="A8946" s="51" t="s">
        <v>761</v>
      </c>
      <c r="B8946" s="55" t="n">
        <v>45473</v>
      </c>
      <c r="C8946" s="51" t="s">
        <v>73</v>
      </c>
      <c r="D8946" s="51" t="n">
        <v>0</v>
      </c>
    </row>
    <row r="8947" customFormat="false" ht="15" hidden="true" customHeight="false" outlineLevel="0" collapsed="false">
      <c r="A8947" s="51" t="s">
        <v>599</v>
      </c>
      <c r="B8947" s="55" t="n">
        <v>45473</v>
      </c>
      <c r="C8947" s="51" t="s">
        <v>73</v>
      </c>
      <c r="D8947" s="51" t="n">
        <v>0</v>
      </c>
    </row>
    <row r="8948" customFormat="false" ht="15" hidden="true" customHeight="false" outlineLevel="0" collapsed="false">
      <c r="A8948" s="51" t="s">
        <v>604</v>
      </c>
      <c r="B8948" s="55" t="n">
        <v>45473</v>
      </c>
      <c r="C8948" s="51" t="s">
        <v>73</v>
      </c>
      <c r="D8948" s="51" t="n">
        <v>0</v>
      </c>
    </row>
    <row r="8949" customFormat="false" ht="15" hidden="true" customHeight="false" outlineLevel="0" collapsed="false">
      <c r="A8949" s="51" t="s">
        <v>609</v>
      </c>
      <c r="B8949" s="55" t="n">
        <v>45473</v>
      </c>
      <c r="C8949" s="51" t="s">
        <v>73</v>
      </c>
      <c r="D8949" s="51" t="n">
        <v>0</v>
      </c>
    </row>
    <row r="8950" customFormat="false" ht="15" hidden="true" customHeight="false" outlineLevel="0" collapsed="false">
      <c r="A8950" s="51" t="s">
        <v>614</v>
      </c>
      <c r="B8950" s="55" t="n">
        <v>45473</v>
      </c>
      <c r="C8950" s="51" t="s">
        <v>73</v>
      </c>
      <c r="D8950" s="51" t="n">
        <v>0</v>
      </c>
    </row>
    <row r="8951" customFormat="false" ht="15" hidden="true" customHeight="false" outlineLevel="0" collapsed="false">
      <c r="A8951" s="51" t="s">
        <v>619</v>
      </c>
      <c r="B8951" s="55" t="n">
        <v>45473</v>
      </c>
      <c r="C8951" s="51" t="s">
        <v>73</v>
      </c>
      <c r="D8951" s="51" t="n">
        <v>0</v>
      </c>
    </row>
    <row r="8952" customFormat="false" ht="15" hidden="true" customHeight="false" outlineLevel="0" collapsed="false">
      <c r="A8952" s="51" t="s">
        <v>624</v>
      </c>
      <c r="B8952" s="55" t="n">
        <v>45473</v>
      </c>
      <c r="C8952" s="51" t="s">
        <v>73</v>
      </c>
      <c r="D8952" s="51" t="n">
        <v>0</v>
      </c>
    </row>
    <row r="8953" customFormat="false" ht="15" hidden="true" customHeight="false" outlineLevel="0" collapsed="false">
      <c r="A8953" s="51" t="s">
        <v>629</v>
      </c>
      <c r="B8953" s="55" t="n">
        <v>45473</v>
      </c>
      <c r="C8953" s="51" t="s">
        <v>73</v>
      </c>
      <c r="D8953" s="51" t="n">
        <v>0</v>
      </c>
    </row>
    <row r="8954" customFormat="false" ht="15" hidden="true" customHeight="false" outlineLevel="0" collapsed="false">
      <c r="A8954" s="51" t="s">
        <v>633</v>
      </c>
      <c r="B8954" s="55" t="n">
        <v>45473</v>
      </c>
      <c r="C8954" s="51" t="s">
        <v>73</v>
      </c>
      <c r="D8954" s="51" t="n">
        <v>0</v>
      </c>
    </row>
    <row r="8955" customFormat="false" ht="15" hidden="true" customHeight="false" outlineLevel="0" collapsed="false">
      <c r="A8955" s="51" t="s">
        <v>638</v>
      </c>
      <c r="B8955" s="55" t="n">
        <v>45473</v>
      </c>
      <c r="C8955" s="51" t="s">
        <v>73</v>
      </c>
      <c r="D8955" s="51" t="n">
        <v>0</v>
      </c>
    </row>
    <row r="8956" customFormat="false" ht="15" hidden="true" customHeight="false" outlineLevel="0" collapsed="false">
      <c r="A8956" s="51" t="s">
        <v>642</v>
      </c>
      <c r="B8956" s="55" t="n">
        <v>45473</v>
      </c>
      <c r="C8956" s="51" t="s">
        <v>73</v>
      </c>
      <c r="D8956" s="51" t="n">
        <v>0</v>
      </c>
    </row>
    <row r="8957" customFormat="false" ht="15" hidden="true" customHeight="false" outlineLevel="0" collapsed="false">
      <c r="A8957" s="51" t="s">
        <v>646</v>
      </c>
      <c r="B8957" s="55" t="n">
        <v>45473</v>
      </c>
      <c r="C8957" s="51" t="s">
        <v>73</v>
      </c>
      <c r="D8957" s="51" t="n">
        <v>0</v>
      </c>
    </row>
    <row r="8958" customFormat="false" ht="15" hidden="true" customHeight="false" outlineLevel="0" collapsed="false">
      <c r="A8958" s="51" t="s">
        <v>651</v>
      </c>
      <c r="B8958" s="55" t="n">
        <v>45473</v>
      </c>
      <c r="C8958" s="51" t="s">
        <v>73</v>
      </c>
      <c r="D8958" s="51" t="n">
        <v>0</v>
      </c>
    </row>
    <row r="8959" customFormat="false" ht="15" hidden="true" customHeight="false" outlineLevel="0" collapsed="false">
      <c r="A8959" s="51" t="s">
        <v>656</v>
      </c>
      <c r="B8959" s="55" t="n">
        <v>45473</v>
      </c>
      <c r="C8959" s="51" t="s">
        <v>73</v>
      </c>
      <c r="D8959" s="51" t="n">
        <v>0</v>
      </c>
    </row>
    <row r="8960" customFormat="false" ht="15" hidden="true" customHeight="false" outlineLevel="0" collapsed="false">
      <c r="A8960" s="51" t="s">
        <v>661</v>
      </c>
      <c r="B8960" s="55" t="n">
        <v>45473</v>
      </c>
      <c r="C8960" s="51" t="s">
        <v>73</v>
      </c>
      <c r="D8960" s="51" t="n">
        <v>0</v>
      </c>
    </row>
    <row r="8961" customFormat="false" ht="15" hidden="true" customHeight="false" outlineLevel="0" collapsed="false">
      <c r="A8961" s="51" t="s">
        <v>666</v>
      </c>
      <c r="B8961" s="55" t="n">
        <v>45473</v>
      </c>
      <c r="C8961" s="51" t="s">
        <v>73</v>
      </c>
      <c r="D8961" s="51" t="n">
        <v>0</v>
      </c>
    </row>
    <row r="8962" customFormat="false" ht="15" hidden="true" customHeight="false" outlineLevel="0" collapsed="false">
      <c r="A8962" s="51" t="s">
        <v>671</v>
      </c>
      <c r="B8962" s="55" t="n">
        <v>45473</v>
      </c>
      <c r="C8962" s="51" t="s">
        <v>73</v>
      </c>
      <c r="D8962" s="51" t="n">
        <v>0</v>
      </c>
    </row>
    <row r="8963" customFormat="false" ht="15" hidden="true" customHeight="false" outlineLevel="0" collapsed="false">
      <c r="A8963" s="51" t="s">
        <v>676</v>
      </c>
      <c r="B8963" s="55" t="n">
        <v>45473</v>
      </c>
      <c r="C8963" s="51" t="s">
        <v>73</v>
      </c>
      <c r="D8963" s="51" t="n">
        <v>0</v>
      </c>
    </row>
    <row r="8964" customFormat="false" ht="15" hidden="true" customHeight="false" outlineLevel="0" collapsed="false">
      <c r="A8964" s="51" t="s">
        <v>681</v>
      </c>
      <c r="B8964" s="55" t="n">
        <v>45473</v>
      </c>
      <c r="C8964" s="51" t="s">
        <v>73</v>
      </c>
      <c r="D8964" s="51" t="n">
        <v>0</v>
      </c>
    </row>
    <row r="8965" customFormat="false" ht="15" hidden="true" customHeight="false" outlineLevel="0" collapsed="false">
      <c r="A8965" s="51" t="s">
        <v>686</v>
      </c>
      <c r="B8965" s="55" t="n">
        <v>45473</v>
      </c>
      <c r="C8965" s="51" t="s">
        <v>73</v>
      </c>
      <c r="D8965" s="51" t="n">
        <v>0</v>
      </c>
    </row>
    <row r="8966" customFormat="false" ht="15" hidden="true" customHeight="false" outlineLevel="0" collapsed="false">
      <c r="A8966" s="51" t="s">
        <v>691</v>
      </c>
      <c r="B8966" s="55" t="n">
        <v>45473</v>
      </c>
      <c r="C8966" s="51" t="s">
        <v>73</v>
      </c>
      <c r="D8966" s="51" t="n">
        <v>0</v>
      </c>
    </row>
    <row r="8967" customFormat="false" ht="15" hidden="true" customHeight="false" outlineLevel="0" collapsed="false">
      <c r="A8967" s="51" t="s">
        <v>696</v>
      </c>
      <c r="B8967" s="55" t="n">
        <v>45473</v>
      </c>
      <c r="C8967" s="51" t="s">
        <v>73</v>
      </c>
      <c r="D8967" s="51" t="n">
        <v>0</v>
      </c>
    </row>
    <row r="8968" customFormat="false" ht="15" hidden="true" customHeight="false" outlineLevel="0" collapsed="false">
      <c r="A8968" s="51" t="s">
        <v>701</v>
      </c>
      <c r="B8968" s="55" t="n">
        <v>45473</v>
      </c>
      <c r="C8968" s="51" t="s">
        <v>73</v>
      </c>
      <c r="D8968" s="51" t="n">
        <v>0</v>
      </c>
    </row>
    <row r="8969" customFormat="false" ht="15" hidden="true" customHeight="false" outlineLevel="0" collapsed="false">
      <c r="A8969" s="51" t="s">
        <v>707</v>
      </c>
      <c r="B8969" s="55" t="n">
        <v>45473</v>
      </c>
      <c r="C8969" s="51" t="s">
        <v>73</v>
      </c>
      <c r="D8969" s="51" t="n">
        <v>0</v>
      </c>
    </row>
    <row r="8970" customFormat="false" ht="15" hidden="true" customHeight="false" outlineLevel="0" collapsed="false">
      <c r="A8970" s="51" t="s">
        <v>712</v>
      </c>
      <c r="B8970" s="55" t="n">
        <v>45473</v>
      </c>
      <c r="C8970" s="51" t="s">
        <v>73</v>
      </c>
      <c r="D8970" s="51" t="n">
        <v>0</v>
      </c>
    </row>
    <row r="8971" customFormat="false" ht="15" hidden="true" customHeight="false" outlineLevel="0" collapsed="false">
      <c r="A8971" s="51" t="s">
        <v>717</v>
      </c>
      <c r="B8971" s="55" t="n">
        <v>45473</v>
      </c>
      <c r="C8971" s="51" t="s">
        <v>73</v>
      </c>
      <c r="D8971" s="51" t="n">
        <v>0</v>
      </c>
    </row>
    <row r="8972" customFormat="false" ht="15" hidden="true" customHeight="false" outlineLevel="0" collapsed="false">
      <c r="A8972" s="51" t="s">
        <v>767</v>
      </c>
      <c r="B8972" s="55" t="n">
        <v>45473</v>
      </c>
      <c r="C8972" s="51" t="s">
        <v>73</v>
      </c>
      <c r="D8972" s="51" t="n">
        <v>0</v>
      </c>
    </row>
    <row r="8973" customFormat="false" ht="15" hidden="true" customHeight="false" outlineLevel="0" collapsed="false">
      <c r="A8973" s="51" t="s">
        <v>722</v>
      </c>
      <c r="B8973" s="55" t="n">
        <v>45473</v>
      </c>
      <c r="C8973" s="51" t="s">
        <v>73</v>
      </c>
      <c r="D8973" s="51" t="n">
        <v>0</v>
      </c>
    </row>
    <row r="8974" customFormat="false" ht="15" hidden="true" customHeight="false" outlineLevel="0" collapsed="false">
      <c r="A8974" s="51" t="s">
        <v>727</v>
      </c>
      <c r="B8974" s="55" t="n">
        <v>45473</v>
      </c>
      <c r="C8974" s="51" t="s">
        <v>73</v>
      </c>
      <c r="D8974" s="51" t="n">
        <v>0</v>
      </c>
    </row>
    <row r="8975" customFormat="false" ht="15" hidden="true" customHeight="false" outlineLevel="0" collapsed="false">
      <c r="A8975" s="51" t="s">
        <v>732</v>
      </c>
      <c r="B8975" s="55" t="n">
        <v>45473</v>
      </c>
      <c r="C8975" s="51" t="s">
        <v>73</v>
      </c>
      <c r="D8975" s="51" t="n">
        <v>0</v>
      </c>
    </row>
    <row r="8976" customFormat="false" ht="15" hidden="true" customHeight="false" outlineLevel="0" collapsed="false">
      <c r="A8976" s="51" t="s">
        <v>736</v>
      </c>
      <c r="B8976" s="55" t="n">
        <v>45473</v>
      </c>
      <c r="C8976" s="51" t="s">
        <v>73</v>
      </c>
      <c r="D8976" s="51" t="n">
        <v>0</v>
      </c>
    </row>
    <row r="8977" customFormat="false" ht="15" hidden="true" customHeight="false" outlineLevel="0" collapsed="false">
      <c r="A8977" s="51" t="s">
        <v>741</v>
      </c>
      <c r="B8977" s="55" t="n">
        <v>45473</v>
      </c>
      <c r="C8977" s="51" t="s">
        <v>73</v>
      </c>
      <c r="D8977" s="51" t="n">
        <v>0</v>
      </c>
    </row>
    <row r="8978" customFormat="false" ht="15" hidden="true" customHeight="false" outlineLevel="0" collapsed="false">
      <c r="A8978" s="51" t="s">
        <v>746</v>
      </c>
      <c r="B8978" s="55" t="n">
        <v>45473</v>
      </c>
      <c r="C8978" s="51" t="s">
        <v>73</v>
      </c>
      <c r="D8978" s="51" t="n">
        <v>0</v>
      </c>
    </row>
    <row r="8979" customFormat="false" ht="15" hidden="true" customHeight="false" outlineLevel="0" collapsed="false">
      <c r="A8979" s="51" t="s">
        <v>751</v>
      </c>
      <c r="B8979" s="55" t="n">
        <v>45473</v>
      </c>
      <c r="C8979" s="51" t="s">
        <v>73</v>
      </c>
      <c r="D8979" s="51" t="n">
        <v>0</v>
      </c>
    </row>
    <row r="8980" customFormat="false" ht="15" hidden="false" customHeight="false" outlineLevel="0" collapsed="false">
      <c r="A8980" s="51" t="s">
        <v>781</v>
      </c>
      <c r="B8980" s="55" t="n">
        <v>45473</v>
      </c>
      <c r="C8980" s="51" t="s">
        <v>791</v>
      </c>
      <c r="D8980" s="51" t="n">
        <v>0</v>
      </c>
    </row>
    <row r="8981" customFormat="false" ht="15" hidden="true" customHeight="false" outlineLevel="0" collapsed="false">
      <c r="A8981" s="51" t="s">
        <v>783</v>
      </c>
      <c r="B8981" s="55" t="n">
        <v>45473</v>
      </c>
      <c r="C8981" s="51" t="s">
        <v>791</v>
      </c>
      <c r="D8981" s="51" t="n">
        <v>0</v>
      </c>
    </row>
    <row r="8982" customFormat="false" ht="15" hidden="true" customHeight="false" outlineLevel="0" collapsed="false">
      <c r="A8982" s="51" t="s">
        <v>96</v>
      </c>
      <c r="B8982" s="55" t="n">
        <v>45473</v>
      </c>
      <c r="C8982" s="51" t="s">
        <v>791</v>
      </c>
      <c r="D8982" s="51" t="n">
        <v>0</v>
      </c>
    </row>
    <row r="8983" customFormat="false" ht="15" hidden="true" customHeight="false" outlineLevel="0" collapsed="false">
      <c r="A8983" s="51" t="s">
        <v>101</v>
      </c>
      <c r="B8983" s="55" t="n">
        <v>45473</v>
      </c>
      <c r="C8983" s="51" t="s">
        <v>791</v>
      </c>
      <c r="D8983" s="51" t="n">
        <v>0</v>
      </c>
    </row>
    <row r="8984" customFormat="false" ht="15" hidden="true" customHeight="false" outlineLevel="0" collapsed="false">
      <c r="A8984" s="51" t="s">
        <v>106</v>
      </c>
      <c r="B8984" s="55" t="n">
        <v>45473</v>
      </c>
      <c r="C8984" s="51" t="s">
        <v>791</v>
      </c>
      <c r="D8984" s="51" t="n">
        <v>0</v>
      </c>
    </row>
    <row r="8985" customFormat="false" ht="15" hidden="true" customHeight="false" outlineLevel="0" collapsed="false">
      <c r="A8985" s="51" t="s">
        <v>110</v>
      </c>
      <c r="B8985" s="55" t="n">
        <v>45473</v>
      </c>
      <c r="C8985" s="51" t="s">
        <v>791</v>
      </c>
      <c r="D8985" s="51" t="n">
        <v>0</v>
      </c>
    </row>
    <row r="8986" customFormat="false" ht="15" hidden="true" customHeight="false" outlineLevel="0" collapsed="false">
      <c r="A8986" s="51" t="s">
        <v>115</v>
      </c>
      <c r="B8986" s="55" t="n">
        <v>45473</v>
      </c>
      <c r="C8986" s="51" t="s">
        <v>791</v>
      </c>
      <c r="D8986" s="51" t="n">
        <v>0</v>
      </c>
    </row>
    <row r="8987" customFormat="false" ht="15" hidden="true" customHeight="false" outlineLevel="0" collapsed="false">
      <c r="A8987" s="51" t="s">
        <v>120</v>
      </c>
      <c r="B8987" s="55" t="n">
        <v>45473</v>
      </c>
      <c r="C8987" s="51" t="s">
        <v>791</v>
      </c>
      <c r="D8987" s="51" t="n">
        <v>0</v>
      </c>
    </row>
    <row r="8988" customFormat="false" ht="15" hidden="true" customHeight="false" outlineLevel="0" collapsed="false">
      <c r="A8988" s="51" t="s">
        <v>124</v>
      </c>
      <c r="B8988" s="55" t="n">
        <v>45473</v>
      </c>
      <c r="C8988" s="51" t="s">
        <v>791</v>
      </c>
      <c r="D8988" s="51" t="n">
        <v>0</v>
      </c>
    </row>
    <row r="8989" customFormat="false" ht="15" hidden="true" customHeight="false" outlineLevel="0" collapsed="false">
      <c r="A8989" s="51" t="s">
        <v>129</v>
      </c>
      <c r="B8989" s="55" t="n">
        <v>45473</v>
      </c>
      <c r="C8989" s="51" t="s">
        <v>791</v>
      </c>
      <c r="D8989" s="51" t="n">
        <v>0</v>
      </c>
    </row>
    <row r="8990" customFormat="false" ht="15" hidden="true" customHeight="false" outlineLevel="0" collapsed="false">
      <c r="A8990" s="51" t="s">
        <v>134</v>
      </c>
      <c r="B8990" s="55" t="n">
        <v>45473</v>
      </c>
      <c r="C8990" s="51" t="s">
        <v>791</v>
      </c>
      <c r="D8990" s="51" t="n">
        <v>0</v>
      </c>
    </row>
    <row r="8991" customFormat="false" ht="15" hidden="true" customHeight="false" outlineLevel="0" collapsed="false">
      <c r="A8991" s="51" t="s">
        <v>141</v>
      </c>
      <c r="B8991" s="55" t="n">
        <v>45473</v>
      </c>
      <c r="C8991" s="51" t="s">
        <v>791</v>
      </c>
      <c r="D8991" s="51" t="n">
        <v>0</v>
      </c>
    </row>
    <row r="8992" customFormat="false" ht="15" hidden="true" customHeight="false" outlineLevel="0" collapsed="false">
      <c r="A8992" s="51" t="s">
        <v>146</v>
      </c>
      <c r="B8992" s="55" t="n">
        <v>45473</v>
      </c>
      <c r="C8992" s="51" t="s">
        <v>791</v>
      </c>
      <c r="D8992" s="51" t="n">
        <v>0</v>
      </c>
    </row>
    <row r="8993" customFormat="false" ht="15" hidden="true" customHeight="false" outlineLevel="0" collapsed="false">
      <c r="A8993" s="51" t="s">
        <v>151</v>
      </c>
      <c r="B8993" s="55" t="n">
        <v>45473</v>
      </c>
      <c r="C8993" s="51" t="s">
        <v>791</v>
      </c>
      <c r="D8993" s="51" t="n">
        <v>0</v>
      </c>
    </row>
    <row r="8994" customFormat="false" ht="15" hidden="true" customHeight="false" outlineLevel="0" collapsed="false">
      <c r="A8994" s="51" t="s">
        <v>156</v>
      </c>
      <c r="B8994" s="55" t="n">
        <v>45473</v>
      </c>
      <c r="C8994" s="51" t="s">
        <v>791</v>
      </c>
      <c r="D8994" s="51" t="n">
        <v>0</v>
      </c>
    </row>
    <row r="8995" customFormat="false" ht="15" hidden="true" customHeight="false" outlineLevel="0" collapsed="false">
      <c r="A8995" s="51" t="s">
        <v>161</v>
      </c>
      <c r="B8995" s="55" t="n">
        <v>45473</v>
      </c>
      <c r="C8995" s="51" t="s">
        <v>791</v>
      </c>
      <c r="D8995" s="51" t="n">
        <v>0</v>
      </c>
    </row>
    <row r="8996" customFormat="false" ht="15" hidden="true" customHeight="false" outlineLevel="0" collapsed="false">
      <c r="A8996" s="51" t="s">
        <v>166</v>
      </c>
      <c r="B8996" s="55" t="n">
        <v>45473</v>
      </c>
      <c r="C8996" s="51" t="s">
        <v>791</v>
      </c>
      <c r="D8996" s="51" t="n">
        <v>0</v>
      </c>
    </row>
    <row r="8997" customFormat="false" ht="15" hidden="true" customHeight="false" outlineLevel="0" collapsed="false">
      <c r="A8997" s="51" t="s">
        <v>171</v>
      </c>
      <c r="B8997" s="55" t="n">
        <v>45473</v>
      </c>
      <c r="C8997" s="51" t="s">
        <v>791</v>
      </c>
      <c r="D8997" s="51" t="n">
        <v>0</v>
      </c>
    </row>
    <row r="8998" customFormat="false" ht="15" hidden="true" customHeight="false" outlineLevel="0" collapsed="false">
      <c r="A8998" s="51" t="s">
        <v>176</v>
      </c>
      <c r="B8998" s="55" t="n">
        <v>45473</v>
      </c>
      <c r="C8998" s="51" t="s">
        <v>791</v>
      </c>
      <c r="D8998" s="51" t="n">
        <v>0</v>
      </c>
    </row>
    <row r="8999" customFormat="false" ht="15" hidden="true" customHeight="false" outlineLevel="0" collapsed="false">
      <c r="A8999" s="51" t="s">
        <v>181</v>
      </c>
      <c r="B8999" s="55" t="n">
        <v>45473</v>
      </c>
      <c r="C8999" s="51" t="s">
        <v>791</v>
      </c>
      <c r="D8999" s="51" t="n">
        <v>0</v>
      </c>
    </row>
    <row r="9000" customFormat="false" ht="15" hidden="true" customHeight="false" outlineLevel="0" collapsed="false">
      <c r="A9000" s="51" t="s">
        <v>186</v>
      </c>
      <c r="B9000" s="55" t="n">
        <v>45473</v>
      </c>
      <c r="C9000" s="51" t="s">
        <v>791</v>
      </c>
      <c r="D9000" s="51" t="n">
        <v>0</v>
      </c>
    </row>
    <row r="9001" customFormat="false" ht="15" hidden="true" customHeight="false" outlineLevel="0" collapsed="false">
      <c r="A9001" s="51" t="s">
        <v>191</v>
      </c>
      <c r="B9001" s="55" t="n">
        <v>45473</v>
      </c>
      <c r="C9001" s="51" t="s">
        <v>791</v>
      </c>
      <c r="D9001" s="51" t="n">
        <v>0</v>
      </c>
    </row>
    <row r="9002" customFormat="false" ht="15" hidden="true" customHeight="false" outlineLevel="0" collapsed="false">
      <c r="A9002" s="51" t="s">
        <v>196</v>
      </c>
      <c r="B9002" s="55" t="n">
        <v>45473</v>
      </c>
      <c r="C9002" s="51" t="s">
        <v>791</v>
      </c>
      <c r="D9002" s="51" t="n">
        <v>0</v>
      </c>
    </row>
    <row r="9003" customFormat="false" ht="15" hidden="true" customHeight="false" outlineLevel="0" collapsed="false">
      <c r="A9003" s="51" t="s">
        <v>201</v>
      </c>
      <c r="B9003" s="55" t="n">
        <v>45473</v>
      </c>
      <c r="C9003" s="51" t="s">
        <v>791</v>
      </c>
      <c r="D9003" s="51" t="n">
        <v>0</v>
      </c>
    </row>
    <row r="9004" customFormat="false" ht="15" hidden="true" customHeight="false" outlineLevel="0" collapsed="false">
      <c r="A9004" s="51" t="s">
        <v>206</v>
      </c>
      <c r="B9004" s="55" t="n">
        <v>45473</v>
      </c>
      <c r="C9004" s="51" t="s">
        <v>791</v>
      </c>
      <c r="D9004" s="51" t="n">
        <v>0</v>
      </c>
    </row>
    <row r="9005" customFormat="false" ht="15" hidden="true" customHeight="false" outlineLevel="0" collapsed="false">
      <c r="A9005" s="51" t="s">
        <v>210</v>
      </c>
      <c r="B9005" s="55" t="n">
        <v>45473</v>
      </c>
      <c r="C9005" s="51" t="s">
        <v>791</v>
      </c>
      <c r="D9005" s="51" t="n">
        <v>0</v>
      </c>
    </row>
    <row r="9006" customFormat="false" ht="15" hidden="true" customHeight="false" outlineLevel="0" collapsed="false">
      <c r="A9006" s="51" t="s">
        <v>215</v>
      </c>
      <c r="B9006" s="55" t="n">
        <v>45473</v>
      </c>
      <c r="C9006" s="51" t="s">
        <v>791</v>
      </c>
      <c r="D9006" s="51" t="n">
        <v>0</v>
      </c>
    </row>
    <row r="9007" customFormat="false" ht="15" hidden="true" customHeight="false" outlineLevel="0" collapsed="false">
      <c r="A9007" s="51" t="s">
        <v>790</v>
      </c>
      <c r="B9007" s="55" t="n">
        <v>45473</v>
      </c>
      <c r="C9007" s="51" t="s">
        <v>791</v>
      </c>
      <c r="D9007" s="51" t="n">
        <v>0</v>
      </c>
    </row>
    <row r="9008" customFormat="false" ht="15" hidden="true" customHeight="false" outlineLevel="0" collapsed="false">
      <c r="A9008" s="51" t="s">
        <v>225</v>
      </c>
      <c r="B9008" s="55" t="n">
        <v>45473</v>
      </c>
      <c r="C9008" s="51" t="s">
        <v>791</v>
      </c>
      <c r="D9008" s="51" t="n">
        <v>0</v>
      </c>
    </row>
    <row r="9009" customFormat="false" ht="15" hidden="true" customHeight="false" outlineLevel="0" collapsed="false">
      <c r="A9009" s="51" t="s">
        <v>230</v>
      </c>
      <c r="B9009" s="55" t="n">
        <v>45473</v>
      </c>
      <c r="C9009" s="51" t="s">
        <v>791</v>
      </c>
      <c r="D9009" s="51" t="n">
        <v>0</v>
      </c>
    </row>
    <row r="9010" customFormat="false" ht="15" hidden="true" customHeight="false" outlineLevel="0" collapsed="false">
      <c r="A9010" s="51" t="s">
        <v>235</v>
      </c>
      <c r="B9010" s="55" t="n">
        <v>45473</v>
      </c>
      <c r="C9010" s="51" t="s">
        <v>791</v>
      </c>
      <c r="D9010" s="51" t="n">
        <v>0</v>
      </c>
    </row>
    <row r="9011" customFormat="false" ht="15" hidden="true" customHeight="false" outlineLevel="0" collapsed="false">
      <c r="A9011" s="51" t="s">
        <v>240</v>
      </c>
      <c r="B9011" s="55" t="n">
        <v>45473</v>
      </c>
      <c r="C9011" s="51" t="s">
        <v>791</v>
      </c>
      <c r="D9011" s="51" t="n">
        <v>0</v>
      </c>
    </row>
    <row r="9012" customFormat="false" ht="15" hidden="true" customHeight="false" outlineLevel="0" collapsed="false">
      <c r="A9012" s="51" t="s">
        <v>246</v>
      </c>
      <c r="B9012" s="55" t="n">
        <v>45473</v>
      </c>
      <c r="C9012" s="51" t="s">
        <v>791</v>
      </c>
      <c r="D9012" s="51" t="n">
        <v>-300000</v>
      </c>
    </row>
    <row r="9013" customFormat="false" ht="15" hidden="true" customHeight="false" outlineLevel="0" collapsed="false">
      <c r="A9013" s="51" t="s">
        <v>252</v>
      </c>
      <c r="B9013" s="55" t="n">
        <v>45473</v>
      </c>
      <c r="C9013" s="51" t="s">
        <v>791</v>
      </c>
      <c r="D9013" s="51" t="n">
        <v>0</v>
      </c>
    </row>
    <row r="9014" customFormat="false" ht="15" hidden="true" customHeight="false" outlineLevel="0" collapsed="false">
      <c r="A9014" s="51" t="s">
        <v>257</v>
      </c>
      <c r="B9014" s="55" t="n">
        <v>45473</v>
      </c>
      <c r="C9014" s="51" t="s">
        <v>791</v>
      </c>
      <c r="D9014" s="51" t="n">
        <v>0</v>
      </c>
    </row>
    <row r="9015" customFormat="false" ht="15" hidden="true" customHeight="false" outlineLevel="0" collapsed="false">
      <c r="A9015" s="51" t="s">
        <v>262</v>
      </c>
      <c r="B9015" s="55" t="n">
        <v>45473</v>
      </c>
      <c r="C9015" s="51" t="s">
        <v>791</v>
      </c>
      <c r="D9015" s="51" t="n">
        <v>0</v>
      </c>
    </row>
    <row r="9016" customFormat="false" ht="15" hidden="true" customHeight="false" outlineLevel="0" collapsed="false">
      <c r="A9016" s="51" t="s">
        <v>267</v>
      </c>
      <c r="B9016" s="55" t="n">
        <v>45473</v>
      </c>
      <c r="C9016" s="51" t="s">
        <v>791</v>
      </c>
      <c r="D9016" s="51" t="n">
        <v>0</v>
      </c>
    </row>
    <row r="9017" customFormat="false" ht="15" hidden="true" customHeight="false" outlineLevel="0" collapsed="false">
      <c r="A9017" s="51" t="s">
        <v>272</v>
      </c>
      <c r="B9017" s="55" t="n">
        <v>45473</v>
      </c>
      <c r="C9017" s="51" t="s">
        <v>791</v>
      </c>
      <c r="D9017" s="51" t="n">
        <v>0</v>
      </c>
    </row>
    <row r="9018" customFormat="false" ht="15" hidden="true" customHeight="false" outlineLevel="0" collapsed="false">
      <c r="A9018" s="51" t="s">
        <v>277</v>
      </c>
      <c r="B9018" s="55" t="n">
        <v>45473</v>
      </c>
      <c r="C9018" s="51" t="s">
        <v>791</v>
      </c>
      <c r="D9018" s="51" t="n">
        <v>0</v>
      </c>
    </row>
    <row r="9019" customFormat="false" ht="15" hidden="true" customHeight="false" outlineLevel="0" collapsed="false">
      <c r="A9019" s="51" t="s">
        <v>282</v>
      </c>
      <c r="B9019" s="55" t="n">
        <v>45473</v>
      </c>
      <c r="C9019" s="51" t="s">
        <v>791</v>
      </c>
      <c r="D9019" s="51" t="n">
        <v>0</v>
      </c>
    </row>
    <row r="9020" customFormat="false" ht="15" hidden="true" customHeight="false" outlineLevel="0" collapsed="false">
      <c r="A9020" s="51" t="s">
        <v>287</v>
      </c>
      <c r="B9020" s="55" t="n">
        <v>45473</v>
      </c>
      <c r="C9020" s="51" t="s">
        <v>791</v>
      </c>
      <c r="D9020" s="51" t="n">
        <v>0</v>
      </c>
    </row>
    <row r="9021" customFormat="false" ht="15" hidden="true" customHeight="false" outlineLevel="0" collapsed="false">
      <c r="A9021" s="51" t="s">
        <v>292</v>
      </c>
      <c r="B9021" s="55" t="n">
        <v>45473</v>
      </c>
      <c r="C9021" s="51" t="s">
        <v>791</v>
      </c>
      <c r="D9021" s="51" t="n">
        <v>0</v>
      </c>
    </row>
    <row r="9022" customFormat="false" ht="15" hidden="true" customHeight="false" outlineLevel="0" collapsed="false">
      <c r="A9022" s="51" t="s">
        <v>297</v>
      </c>
      <c r="B9022" s="55" t="n">
        <v>45473</v>
      </c>
      <c r="C9022" s="51" t="s">
        <v>791</v>
      </c>
      <c r="D9022" s="51" t="n">
        <v>0</v>
      </c>
    </row>
    <row r="9023" customFormat="false" ht="15" hidden="true" customHeight="false" outlineLevel="0" collapsed="false">
      <c r="A9023" s="51" t="s">
        <v>302</v>
      </c>
      <c r="B9023" s="55" t="n">
        <v>45473</v>
      </c>
      <c r="C9023" s="51" t="s">
        <v>791</v>
      </c>
      <c r="D9023" s="51" t="n">
        <v>0</v>
      </c>
    </row>
    <row r="9024" customFormat="false" ht="15" hidden="true" customHeight="false" outlineLevel="0" collapsed="false">
      <c r="A9024" s="51" t="s">
        <v>307</v>
      </c>
      <c r="B9024" s="55" t="n">
        <v>45473</v>
      </c>
      <c r="C9024" s="51" t="s">
        <v>791</v>
      </c>
      <c r="D9024" s="51" t="n">
        <v>0</v>
      </c>
    </row>
    <row r="9025" customFormat="false" ht="15" hidden="true" customHeight="false" outlineLevel="0" collapsed="false">
      <c r="A9025" s="51" t="s">
        <v>311</v>
      </c>
      <c r="B9025" s="55" t="n">
        <v>45473</v>
      </c>
      <c r="C9025" s="51" t="s">
        <v>791</v>
      </c>
      <c r="D9025" s="51" t="n">
        <v>0</v>
      </c>
    </row>
    <row r="9026" customFormat="false" ht="15" hidden="true" customHeight="false" outlineLevel="0" collapsed="false">
      <c r="A9026" s="51" t="s">
        <v>317</v>
      </c>
      <c r="B9026" s="55" t="n">
        <v>45473</v>
      </c>
      <c r="C9026" s="51" t="s">
        <v>791</v>
      </c>
      <c r="D9026" s="51" t="n">
        <v>0</v>
      </c>
    </row>
    <row r="9027" customFormat="false" ht="15" hidden="true" customHeight="false" outlineLevel="0" collapsed="false">
      <c r="A9027" s="51" t="s">
        <v>322</v>
      </c>
      <c r="B9027" s="55" t="n">
        <v>45473</v>
      </c>
      <c r="C9027" s="51" t="s">
        <v>791</v>
      </c>
      <c r="D9027" s="51" t="n">
        <v>0</v>
      </c>
    </row>
    <row r="9028" customFormat="false" ht="15" hidden="true" customHeight="false" outlineLevel="0" collapsed="false">
      <c r="A9028" s="51" t="s">
        <v>327</v>
      </c>
      <c r="B9028" s="55" t="n">
        <v>45473</v>
      </c>
      <c r="C9028" s="51" t="s">
        <v>791</v>
      </c>
      <c r="D9028" s="51" t="n">
        <v>0</v>
      </c>
    </row>
    <row r="9029" customFormat="false" ht="15" hidden="true" customHeight="false" outlineLevel="0" collapsed="false">
      <c r="A9029" s="51" t="s">
        <v>332</v>
      </c>
      <c r="B9029" s="55" t="n">
        <v>45473</v>
      </c>
      <c r="C9029" s="51" t="s">
        <v>791</v>
      </c>
      <c r="D9029" s="51" t="n">
        <v>0</v>
      </c>
    </row>
    <row r="9030" customFormat="false" ht="15" hidden="true" customHeight="false" outlineLevel="0" collapsed="false">
      <c r="A9030" s="51" t="s">
        <v>339</v>
      </c>
      <c r="B9030" s="55" t="n">
        <v>45473</v>
      </c>
      <c r="C9030" s="51" t="s">
        <v>791</v>
      </c>
      <c r="D9030" s="51" t="n">
        <v>0</v>
      </c>
    </row>
    <row r="9031" customFormat="false" ht="15" hidden="true" customHeight="false" outlineLevel="0" collapsed="false">
      <c r="A9031" s="51" t="s">
        <v>344</v>
      </c>
      <c r="B9031" s="55" t="n">
        <v>45473</v>
      </c>
      <c r="C9031" s="51" t="s">
        <v>791</v>
      </c>
      <c r="D9031" s="51" t="n">
        <v>0</v>
      </c>
    </row>
    <row r="9032" customFormat="false" ht="15" hidden="true" customHeight="false" outlineLevel="0" collapsed="false">
      <c r="A9032" s="51" t="s">
        <v>349</v>
      </c>
      <c r="B9032" s="55" t="n">
        <v>45473</v>
      </c>
      <c r="C9032" s="51" t="s">
        <v>791</v>
      </c>
      <c r="D9032" s="51" t="n">
        <v>0</v>
      </c>
    </row>
    <row r="9033" customFormat="false" ht="15" hidden="true" customHeight="false" outlineLevel="0" collapsed="false">
      <c r="A9033" s="51" t="s">
        <v>354</v>
      </c>
      <c r="B9033" s="55" t="n">
        <v>45473</v>
      </c>
      <c r="C9033" s="51" t="s">
        <v>791</v>
      </c>
      <c r="D9033" s="51" t="n">
        <v>0</v>
      </c>
    </row>
    <row r="9034" customFormat="false" ht="15" hidden="true" customHeight="false" outlineLevel="0" collapsed="false">
      <c r="A9034" s="51" t="s">
        <v>359</v>
      </c>
      <c r="B9034" s="55" t="n">
        <v>45473</v>
      </c>
      <c r="C9034" s="51" t="s">
        <v>791</v>
      </c>
      <c r="D9034" s="51" t="n">
        <v>0</v>
      </c>
    </row>
    <row r="9035" customFormat="false" ht="15" hidden="true" customHeight="false" outlineLevel="0" collapsed="false">
      <c r="A9035" s="51" t="s">
        <v>364</v>
      </c>
      <c r="B9035" s="55" t="n">
        <v>45473</v>
      </c>
      <c r="C9035" s="51" t="s">
        <v>791</v>
      </c>
      <c r="D9035" s="51" t="n">
        <v>0</v>
      </c>
    </row>
    <row r="9036" customFormat="false" ht="15" hidden="true" customHeight="false" outlineLevel="0" collapsed="false">
      <c r="A9036" s="51" t="s">
        <v>369</v>
      </c>
      <c r="B9036" s="55" t="n">
        <v>45473</v>
      </c>
      <c r="C9036" s="51" t="s">
        <v>791</v>
      </c>
      <c r="D9036" s="51" t="n">
        <v>-120000</v>
      </c>
    </row>
    <row r="9037" customFormat="false" ht="15" hidden="true" customHeight="false" outlineLevel="0" collapsed="false">
      <c r="A9037" s="51" t="s">
        <v>374</v>
      </c>
      <c r="B9037" s="55" t="n">
        <v>45473</v>
      </c>
      <c r="C9037" s="51" t="s">
        <v>791</v>
      </c>
      <c r="D9037" s="51" t="n">
        <v>0</v>
      </c>
    </row>
    <row r="9038" customFormat="false" ht="15" hidden="true" customHeight="false" outlineLevel="0" collapsed="false">
      <c r="A9038" s="51" t="s">
        <v>379</v>
      </c>
      <c r="B9038" s="55" t="n">
        <v>45473</v>
      </c>
      <c r="C9038" s="51" t="s">
        <v>791</v>
      </c>
      <c r="D9038" s="51" t="n">
        <v>-100000</v>
      </c>
    </row>
    <row r="9039" customFormat="false" ht="15" hidden="true" customHeight="false" outlineLevel="0" collapsed="false">
      <c r="A9039" s="51" t="s">
        <v>384</v>
      </c>
      <c r="B9039" s="55" t="n">
        <v>45473</v>
      </c>
      <c r="C9039" s="51" t="s">
        <v>791</v>
      </c>
      <c r="D9039" s="51" t="n">
        <v>0</v>
      </c>
    </row>
    <row r="9040" customFormat="false" ht="15" hidden="true" customHeight="false" outlineLevel="0" collapsed="false">
      <c r="A9040" s="51" t="s">
        <v>389</v>
      </c>
      <c r="B9040" s="55" t="n">
        <v>45473</v>
      </c>
      <c r="C9040" s="51" t="s">
        <v>791</v>
      </c>
      <c r="D9040" s="51" t="n">
        <v>0</v>
      </c>
    </row>
    <row r="9041" customFormat="false" ht="15" hidden="true" customHeight="false" outlineLevel="0" collapsed="false">
      <c r="A9041" s="51" t="s">
        <v>394</v>
      </c>
      <c r="B9041" s="55" t="n">
        <v>45473</v>
      </c>
      <c r="C9041" s="51" t="s">
        <v>791</v>
      </c>
      <c r="D9041" s="51" t="n">
        <v>-1800000</v>
      </c>
    </row>
    <row r="9042" customFormat="false" ht="15" hidden="true" customHeight="false" outlineLevel="0" collapsed="false">
      <c r="A9042" s="51" t="s">
        <v>399</v>
      </c>
      <c r="B9042" s="55" t="n">
        <v>45473</v>
      </c>
      <c r="C9042" s="51" t="s">
        <v>791</v>
      </c>
      <c r="D9042" s="51" t="n">
        <v>0</v>
      </c>
    </row>
    <row r="9043" customFormat="false" ht="15" hidden="true" customHeight="false" outlineLevel="0" collapsed="false">
      <c r="A9043" s="51" t="s">
        <v>404</v>
      </c>
      <c r="B9043" s="55" t="n">
        <v>45473</v>
      </c>
      <c r="C9043" s="51" t="s">
        <v>791</v>
      </c>
      <c r="D9043" s="51" t="n">
        <v>-100000</v>
      </c>
    </row>
    <row r="9044" customFormat="false" ht="15" hidden="true" customHeight="false" outlineLevel="0" collapsed="false">
      <c r="A9044" s="51" t="s">
        <v>409</v>
      </c>
      <c r="B9044" s="55" t="n">
        <v>45473</v>
      </c>
      <c r="C9044" s="51" t="s">
        <v>791</v>
      </c>
      <c r="D9044" s="51" t="n">
        <v>0</v>
      </c>
    </row>
    <row r="9045" customFormat="false" ht="15" hidden="true" customHeight="false" outlineLevel="0" collapsed="false">
      <c r="A9045" s="51" t="s">
        <v>414</v>
      </c>
      <c r="B9045" s="55" t="n">
        <v>45473</v>
      </c>
      <c r="C9045" s="51" t="s">
        <v>791</v>
      </c>
      <c r="D9045" s="51" t="n">
        <v>0</v>
      </c>
    </row>
    <row r="9046" customFormat="false" ht="15" hidden="true" customHeight="false" outlineLevel="0" collapsed="false">
      <c r="A9046" s="51" t="s">
        <v>419</v>
      </c>
      <c r="B9046" s="55" t="n">
        <v>45473</v>
      </c>
      <c r="C9046" s="51" t="s">
        <v>791</v>
      </c>
      <c r="D9046" s="51" t="n">
        <v>0</v>
      </c>
    </row>
    <row r="9047" customFormat="false" ht="15" hidden="true" customHeight="false" outlineLevel="0" collapsed="false">
      <c r="A9047" s="51" t="s">
        <v>424</v>
      </c>
      <c r="B9047" s="55" t="n">
        <v>45473</v>
      </c>
      <c r="C9047" s="51" t="s">
        <v>791</v>
      </c>
      <c r="D9047" s="51" t="n">
        <v>-669650</v>
      </c>
    </row>
    <row r="9048" customFormat="false" ht="15" hidden="true" customHeight="false" outlineLevel="0" collapsed="false">
      <c r="A9048" s="51" t="s">
        <v>429</v>
      </c>
      <c r="B9048" s="55" t="n">
        <v>45473</v>
      </c>
      <c r="C9048" s="51" t="s">
        <v>791</v>
      </c>
      <c r="D9048" s="51" t="n">
        <v>0</v>
      </c>
    </row>
    <row r="9049" customFormat="false" ht="15" hidden="true" customHeight="false" outlineLevel="0" collapsed="false">
      <c r="A9049" s="51" t="s">
        <v>434</v>
      </c>
      <c r="B9049" s="55" t="n">
        <v>45473</v>
      </c>
      <c r="C9049" s="51" t="s">
        <v>791</v>
      </c>
      <c r="D9049" s="51" t="n">
        <v>0</v>
      </c>
    </row>
    <row r="9050" customFormat="false" ht="15" hidden="true" customHeight="false" outlineLevel="0" collapsed="false">
      <c r="A9050" s="51" t="s">
        <v>438</v>
      </c>
      <c r="B9050" s="55" t="n">
        <v>45473</v>
      </c>
      <c r="C9050" s="51" t="s">
        <v>791</v>
      </c>
      <c r="D9050" s="51" t="n">
        <v>-500000</v>
      </c>
    </row>
    <row r="9051" customFormat="false" ht="15" hidden="true" customHeight="false" outlineLevel="0" collapsed="false">
      <c r="A9051" s="51" t="s">
        <v>443</v>
      </c>
      <c r="B9051" s="55" t="n">
        <v>45473</v>
      </c>
      <c r="C9051" s="51" t="s">
        <v>791</v>
      </c>
      <c r="D9051" s="51" t="n">
        <v>-434250</v>
      </c>
    </row>
    <row r="9052" customFormat="false" ht="15" hidden="true" customHeight="false" outlineLevel="0" collapsed="false">
      <c r="A9052" s="51" t="s">
        <v>448</v>
      </c>
      <c r="B9052" s="55" t="n">
        <v>45473</v>
      </c>
      <c r="C9052" s="51" t="s">
        <v>791</v>
      </c>
      <c r="D9052" s="51" t="n">
        <v>0</v>
      </c>
    </row>
    <row r="9053" customFormat="false" ht="15" hidden="true" customHeight="false" outlineLevel="0" collapsed="false">
      <c r="A9053" s="51" t="s">
        <v>453</v>
      </c>
      <c r="B9053" s="55" t="n">
        <v>45473</v>
      </c>
      <c r="C9053" s="51" t="s">
        <v>791</v>
      </c>
      <c r="D9053" s="51" t="n">
        <v>0</v>
      </c>
    </row>
    <row r="9054" customFormat="false" ht="15" hidden="true" customHeight="false" outlineLevel="0" collapsed="false">
      <c r="A9054" s="51" t="s">
        <v>458</v>
      </c>
      <c r="B9054" s="55" t="n">
        <v>45473</v>
      </c>
      <c r="C9054" s="51" t="s">
        <v>791</v>
      </c>
      <c r="D9054" s="51" t="n">
        <v>-400000</v>
      </c>
    </row>
    <row r="9055" customFormat="false" ht="15" hidden="true" customHeight="false" outlineLevel="0" collapsed="false">
      <c r="A9055" s="51" t="s">
        <v>473</v>
      </c>
      <c r="B9055" s="55" t="n">
        <v>45473</v>
      </c>
      <c r="C9055" s="51" t="s">
        <v>791</v>
      </c>
      <c r="D9055" s="51" t="n">
        <v>-100000</v>
      </c>
    </row>
    <row r="9056" customFormat="false" ht="15" hidden="true" customHeight="false" outlineLevel="0" collapsed="false">
      <c r="A9056" s="51" t="s">
        <v>479</v>
      </c>
      <c r="B9056" s="55" t="n">
        <v>45473</v>
      </c>
      <c r="C9056" s="51" t="s">
        <v>791</v>
      </c>
      <c r="D9056" s="51" t="n">
        <v>-1500000</v>
      </c>
    </row>
    <row r="9057" customFormat="false" ht="15" hidden="true" customHeight="false" outlineLevel="0" collapsed="false">
      <c r="A9057" s="51" t="s">
        <v>484</v>
      </c>
      <c r="B9057" s="55" t="n">
        <v>45473</v>
      </c>
      <c r="C9057" s="51" t="s">
        <v>791</v>
      </c>
      <c r="D9057" s="51" t="n">
        <v>-50000</v>
      </c>
    </row>
    <row r="9058" customFormat="false" ht="15" hidden="true" customHeight="false" outlineLevel="0" collapsed="false">
      <c r="A9058" s="51" t="s">
        <v>489</v>
      </c>
      <c r="B9058" s="55" t="n">
        <v>45473</v>
      </c>
      <c r="C9058" s="51" t="s">
        <v>791</v>
      </c>
      <c r="D9058" s="51" t="n">
        <v>-102550.37</v>
      </c>
    </row>
    <row r="9059" customFormat="false" ht="15" hidden="true" customHeight="false" outlineLevel="0" collapsed="false">
      <c r="A9059" s="51" t="s">
        <v>494</v>
      </c>
      <c r="B9059" s="55" t="n">
        <v>45473</v>
      </c>
      <c r="C9059" s="51" t="s">
        <v>791</v>
      </c>
      <c r="D9059" s="51" t="n">
        <v>-154004.15</v>
      </c>
    </row>
    <row r="9060" customFormat="false" ht="15" hidden="true" customHeight="false" outlineLevel="0" collapsed="false">
      <c r="A9060" s="51" t="s">
        <v>499</v>
      </c>
      <c r="B9060" s="55" t="n">
        <v>45473</v>
      </c>
      <c r="C9060" s="51" t="s">
        <v>791</v>
      </c>
      <c r="D9060" s="51" t="n">
        <v>0</v>
      </c>
    </row>
    <row r="9061" customFormat="false" ht="15" hidden="true" customHeight="false" outlineLevel="0" collapsed="false">
      <c r="A9061" s="51" t="s">
        <v>504</v>
      </c>
      <c r="B9061" s="55" t="n">
        <v>45473</v>
      </c>
      <c r="C9061" s="51" t="s">
        <v>791</v>
      </c>
      <c r="D9061" s="51" t="n">
        <v>-400000</v>
      </c>
    </row>
    <row r="9062" customFormat="false" ht="15" hidden="true" customHeight="false" outlineLevel="0" collapsed="false">
      <c r="A9062" s="51" t="s">
        <v>509</v>
      </c>
      <c r="B9062" s="55" t="n">
        <v>45473</v>
      </c>
      <c r="C9062" s="51" t="s">
        <v>791</v>
      </c>
      <c r="D9062" s="51" t="n">
        <v>-775073.28</v>
      </c>
    </row>
    <row r="9063" customFormat="false" ht="15" hidden="true" customHeight="false" outlineLevel="0" collapsed="false">
      <c r="A9063" s="51" t="s">
        <v>515</v>
      </c>
      <c r="B9063" s="55" t="n">
        <v>45473</v>
      </c>
      <c r="C9063" s="51" t="s">
        <v>791</v>
      </c>
      <c r="D9063" s="51" t="n">
        <v>-30000</v>
      </c>
    </row>
    <row r="9064" customFormat="false" ht="15" hidden="true" customHeight="false" outlineLevel="0" collapsed="false">
      <c r="A9064" s="51" t="s">
        <v>520</v>
      </c>
      <c r="B9064" s="55" t="n">
        <v>45473</v>
      </c>
      <c r="C9064" s="51" t="s">
        <v>791</v>
      </c>
      <c r="D9064" s="51" t="n">
        <v>0</v>
      </c>
    </row>
    <row r="9065" customFormat="false" ht="15" hidden="true" customHeight="false" outlineLevel="0" collapsed="false">
      <c r="A9065" s="51" t="s">
        <v>525</v>
      </c>
      <c r="B9065" s="55" t="n">
        <v>45473</v>
      </c>
      <c r="C9065" s="51" t="s">
        <v>791</v>
      </c>
      <c r="D9065" s="51" t="n">
        <v>500000</v>
      </c>
    </row>
    <row r="9066" customFormat="false" ht="15" hidden="true" customHeight="false" outlineLevel="0" collapsed="false">
      <c r="A9066" s="51" t="s">
        <v>531</v>
      </c>
      <c r="B9066" s="55" t="n">
        <v>45473</v>
      </c>
      <c r="C9066" s="51" t="s">
        <v>791</v>
      </c>
      <c r="D9066" s="51" t="n">
        <v>1000000</v>
      </c>
    </row>
    <row r="9067" customFormat="false" ht="15" hidden="true" customHeight="false" outlineLevel="0" collapsed="false">
      <c r="A9067" s="51" t="s">
        <v>536</v>
      </c>
      <c r="B9067" s="55" t="n">
        <v>45473</v>
      </c>
      <c r="C9067" s="51" t="s">
        <v>791</v>
      </c>
      <c r="D9067" s="51" t="n">
        <v>500000</v>
      </c>
    </row>
    <row r="9068" customFormat="false" ht="15" hidden="true" customHeight="false" outlineLevel="0" collapsed="false">
      <c r="A9068" s="51" t="s">
        <v>541</v>
      </c>
      <c r="B9068" s="55" t="n">
        <v>45473</v>
      </c>
      <c r="C9068" s="51" t="s">
        <v>791</v>
      </c>
      <c r="D9068" s="51" t="n">
        <v>1260076</v>
      </c>
    </row>
    <row r="9069" customFormat="false" ht="15" hidden="true" customHeight="false" outlineLevel="0" collapsed="false">
      <c r="A9069" s="51" t="s">
        <v>549</v>
      </c>
      <c r="B9069" s="55" t="n">
        <v>45473</v>
      </c>
      <c r="C9069" s="51" t="s">
        <v>791</v>
      </c>
      <c r="D9069" s="51" t="n">
        <v>2894210.47</v>
      </c>
    </row>
    <row r="9070" customFormat="false" ht="15" hidden="true" customHeight="false" outlineLevel="0" collapsed="false">
      <c r="A9070" s="51" t="s">
        <v>554</v>
      </c>
      <c r="B9070" s="55" t="n">
        <v>45473</v>
      </c>
      <c r="C9070" s="51" t="s">
        <v>791</v>
      </c>
      <c r="D9070" s="51" t="n">
        <v>1620801.75</v>
      </c>
    </row>
    <row r="9071" customFormat="false" ht="15" hidden="true" customHeight="false" outlineLevel="0" collapsed="false">
      <c r="A9071" s="51" t="s">
        <v>559</v>
      </c>
      <c r="B9071" s="55" t="n">
        <v>45473</v>
      </c>
      <c r="C9071" s="51" t="s">
        <v>791</v>
      </c>
      <c r="D9071" s="51" t="n">
        <v>0</v>
      </c>
    </row>
    <row r="9072" customFormat="false" ht="15" hidden="true" customHeight="false" outlineLevel="0" collapsed="false">
      <c r="A9072" s="51" t="s">
        <v>564</v>
      </c>
      <c r="B9072" s="55" t="n">
        <v>45473</v>
      </c>
      <c r="C9072" s="51" t="s">
        <v>791</v>
      </c>
      <c r="D9072" s="51" t="n">
        <v>0</v>
      </c>
    </row>
    <row r="9073" customFormat="false" ht="15" hidden="true" customHeight="false" outlineLevel="0" collapsed="false">
      <c r="A9073" s="51" t="s">
        <v>569</v>
      </c>
      <c r="B9073" s="55" t="n">
        <v>45473</v>
      </c>
      <c r="C9073" s="51" t="s">
        <v>791</v>
      </c>
      <c r="D9073" s="51" t="n">
        <v>0</v>
      </c>
    </row>
    <row r="9074" customFormat="false" ht="15" hidden="true" customHeight="false" outlineLevel="0" collapsed="false">
      <c r="A9074" s="51" t="s">
        <v>574</v>
      </c>
      <c r="B9074" s="55" t="n">
        <v>45473</v>
      </c>
      <c r="C9074" s="51" t="s">
        <v>791</v>
      </c>
      <c r="D9074" s="51" t="n">
        <v>0</v>
      </c>
    </row>
    <row r="9075" customFormat="false" ht="15" hidden="true" customHeight="false" outlineLevel="0" collapsed="false">
      <c r="A9075" s="51" t="s">
        <v>579</v>
      </c>
      <c r="B9075" s="55" t="n">
        <v>45473</v>
      </c>
      <c r="C9075" s="51" t="s">
        <v>791</v>
      </c>
      <c r="D9075" s="51" t="n">
        <v>0</v>
      </c>
    </row>
    <row r="9076" customFormat="false" ht="15" hidden="true" customHeight="false" outlineLevel="0" collapsed="false">
      <c r="A9076" s="51" t="s">
        <v>584</v>
      </c>
      <c r="B9076" s="55" t="n">
        <v>45473</v>
      </c>
      <c r="C9076" s="51" t="s">
        <v>791</v>
      </c>
      <c r="D9076" s="51" t="n">
        <v>0</v>
      </c>
    </row>
    <row r="9077" customFormat="false" ht="15" hidden="true" customHeight="false" outlineLevel="0" collapsed="false">
      <c r="A9077" s="51" t="s">
        <v>589</v>
      </c>
      <c r="B9077" s="55" t="n">
        <v>45473</v>
      </c>
      <c r="C9077" s="51" t="s">
        <v>791</v>
      </c>
      <c r="D9077" s="51" t="n">
        <v>0</v>
      </c>
    </row>
    <row r="9078" customFormat="false" ht="15" hidden="true" customHeight="false" outlineLevel="0" collapsed="false">
      <c r="A9078" s="51" t="s">
        <v>756</v>
      </c>
      <c r="B9078" s="55" t="n">
        <v>45473</v>
      </c>
      <c r="C9078" s="51" t="s">
        <v>791</v>
      </c>
      <c r="D9078" s="51" t="n">
        <v>0</v>
      </c>
    </row>
    <row r="9079" customFormat="false" ht="15" hidden="true" customHeight="false" outlineLevel="0" collapsed="false">
      <c r="A9079" s="51" t="s">
        <v>594</v>
      </c>
      <c r="B9079" s="55" t="n">
        <v>45473</v>
      </c>
      <c r="C9079" s="51" t="s">
        <v>791</v>
      </c>
      <c r="D9079" s="51" t="n">
        <v>0</v>
      </c>
    </row>
    <row r="9080" customFormat="false" ht="15" hidden="true" customHeight="false" outlineLevel="0" collapsed="false">
      <c r="A9080" s="51" t="s">
        <v>761</v>
      </c>
      <c r="B9080" s="55" t="n">
        <v>45473</v>
      </c>
      <c r="C9080" s="51" t="s">
        <v>791</v>
      </c>
      <c r="D9080" s="51" t="n">
        <v>0</v>
      </c>
    </row>
    <row r="9081" customFormat="false" ht="15" hidden="true" customHeight="false" outlineLevel="0" collapsed="false">
      <c r="A9081" s="51" t="s">
        <v>599</v>
      </c>
      <c r="B9081" s="55" t="n">
        <v>45473</v>
      </c>
      <c r="C9081" s="51" t="s">
        <v>791</v>
      </c>
      <c r="D9081" s="51" t="n">
        <v>0</v>
      </c>
    </row>
    <row r="9082" customFormat="false" ht="15" hidden="true" customHeight="false" outlineLevel="0" collapsed="false">
      <c r="A9082" s="51" t="s">
        <v>604</v>
      </c>
      <c r="B9082" s="55" t="n">
        <v>45473</v>
      </c>
      <c r="C9082" s="51" t="s">
        <v>791</v>
      </c>
      <c r="D9082" s="51" t="n">
        <v>0</v>
      </c>
    </row>
    <row r="9083" customFormat="false" ht="15" hidden="true" customHeight="false" outlineLevel="0" collapsed="false">
      <c r="A9083" s="51" t="s">
        <v>609</v>
      </c>
      <c r="B9083" s="55" t="n">
        <v>45473</v>
      </c>
      <c r="C9083" s="51" t="s">
        <v>791</v>
      </c>
      <c r="D9083" s="51" t="n">
        <v>0</v>
      </c>
    </row>
    <row r="9084" customFormat="false" ht="15" hidden="true" customHeight="false" outlineLevel="0" collapsed="false">
      <c r="A9084" s="51" t="s">
        <v>614</v>
      </c>
      <c r="B9084" s="55" t="n">
        <v>45473</v>
      </c>
      <c r="C9084" s="51" t="s">
        <v>791</v>
      </c>
      <c r="D9084" s="51" t="n">
        <v>0</v>
      </c>
    </row>
    <row r="9085" customFormat="false" ht="15" hidden="true" customHeight="false" outlineLevel="0" collapsed="false">
      <c r="A9085" s="51" t="s">
        <v>619</v>
      </c>
      <c r="B9085" s="55" t="n">
        <v>45473</v>
      </c>
      <c r="C9085" s="51" t="s">
        <v>791</v>
      </c>
      <c r="D9085" s="51" t="n">
        <v>0</v>
      </c>
    </row>
    <row r="9086" customFormat="false" ht="15" hidden="true" customHeight="false" outlineLevel="0" collapsed="false">
      <c r="A9086" s="51" t="s">
        <v>624</v>
      </c>
      <c r="B9086" s="55" t="n">
        <v>45473</v>
      </c>
      <c r="C9086" s="51" t="s">
        <v>791</v>
      </c>
      <c r="D9086" s="51" t="n">
        <v>0</v>
      </c>
    </row>
    <row r="9087" customFormat="false" ht="15" hidden="true" customHeight="false" outlineLevel="0" collapsed="false">
      <c r="A9087" s="51" t="s">
        <v>629</v>
      </c>
      <c r="B9087" s="55" t="n">
        <v>45473</v>
      </c>
      <c r="C9087" s="51" t="s">
        <v>791</v>
      </c>
      <c r="D9087" s="51" t="n">
        <v>0</v>
      </c>
    </row>
    <row r="9088" customFormat="false" ht="15" hidden="true" customHeight="false" outlineLevel="0" collapsed="false">
      <c r="A9088" s="51" t="s">
        <v>633</v>
      </c>
      <c r="B9088" s="55" t="n">
        <v>45473</v>
      </c>
      <c r="C9088" s="51" t="s">
        <v>791</v>
      </c>
      <c r="D9088" s="51" t="n">
        <v>0</v>
      </c>
    </row>
    <row r="9089" customFormat="false" ht="15" hidden="true" customHeight="false" outlineLevel="0" collapsed="false">
      <c r="A9089" s="51" t="s">
        <v>638</v>
      </c>
      <c r="B9089" s="55" t="n">
        <v>45473</v>
      </c>
      <c r="C9089" s="51" t="s">
        <v>791</v>
      </c>
      <c r="D9089" s="51" t="n">
        <v>0</v>
      </c>
    </row>
    <row r="9090" customFormat="false" ht="15" hidden="true" customHeight="false" outlineLevel="0" collapsed="false">
      <c r="A9090" s="51" t="s">
        <v>642</v>
      </c>
      <c r="B9090" s="55" t="n">
        <v>45473</v>
      </c>
      <c r="C9090" s="51" t="s">
        <v>791</v>
      </c>
      <c r="D9090" s="51" t="n">
        <v>0</v>
      </c>
    </row>
    <row r="9091" customFormat="false" ht="15" hidden="true" customHeight="false" outlineLevel="0" collapsed="false">
      <c r="A9091" s="51" t="s">
        <v>646</v>
      </c>
      <c r="B9091" s="55" t="n">
        <v>45473</v>
      </c>
      <c r="C9091" s="51" t="s">
        <v>791</v>
      </c>
      <c r="D9091" s="51" t="n">
        <v>0</v>
      </c>
    </row>
    <row r="9092" customFormat="false" ht="15" hidden="true" customHeight="false" outlineLevel="0" collapsed="false">
      <c r="A9092" s="51" t="s">
        <v>651</v>
      </c>
      <c r="B9092" s="55" t="n">
        <v>45473</v>
      </c>
      <c r="C9092" s="51" t="s">
        <v>791</v>
      </c>
      <c r="D9092" s="51" t="n">
        <v>0</v>
      </c>
    </row>
    <row r="9093" customFormat="false" ht="15" hidden="true" customHeight="false" outlineLevel="0" collapsed="false">
      <c r="A9093" s="51" t="s">
        <v>656</v>
      </c>
      <c r="B9093" s="55" t="n">
        <v>45473</v>
      </c>
      <c r="C9093" s="51" t="s">
        <v>791</v>
      </c>
      <c r="D9093" s="51" t="n">
        <v>0</v>
      </c>
    </row>
    <row r="9094" customFormat="false" ht="15" hidden="true" customHeight="false" outlineLevel="0" collapsed="false">
      <c r="A9094" s="51" t="s">
        <v>661</v>
      </c>
      <c r="B9094" s="55" t="n">
        <v>45473</v>
      </c>
      <c r="C9094" s="51" t="s">
        <v>791</v>
      </c>
      <c r="D9094" s="51" t="n">
        <v>0</v>
      </c>
    </row>
    <row r="9095" customFormat="false" ht="15" hidden="true" customHeight="false" outlineLevel="0" collapsed="false">
      <c r="A9095" s="51" t="s">
        <v>666</v>
      </c>
      <c r="B9095" s="55" t="n">
        <v>45473</v>
      </c>
      <c r="C9095" s="51" t="s">
        <v>791</v>
      </c>
      <c r="D9095" s="51" t="n">
        <v>0</v>
      </c>
    </row>
    <row r="9096" customFormat="false" ht="15" hidden="true" customHeight="false" outlineLevel="0" collapsed="false">
      <c r="A9096" s="51" t="s">
        <v>671</v>
      </c>
      <c r="B9096" s="55" t="n">
        <v>45473</v>
      </c>
      <c r="C9096" s="51" t="s">
        <v>791</v>
      </c>
      <c r="D9096" s="51" t="n">
        <v>0</v>
      </c>
    </row>
    <row r="9097" customFormat="false" ht="15" hidden="true" customHeight="false" outlineLevel="0" collapsed="false">
      <c r="A9097" s="51" t="s">
        <v>676</v>
      </c>
      <c r="B9097" s="55" t="n">
        <v>45473</v>
      </c>
      <c r="C9097" s="51" t="s">
        <v>791</v>
      </c>
      <c r="D9097" s="51" t="n">
        <v>0</v>
      </c>
    </row>
    <row r="9098" customFormat="false" ht="15" hidden="true" customHeight="false" outlineLevel="0" collapsed="false">
      <c r="A9098" s="51" t="s">
        <v>681</v>
      </c>
      <c r="B9098" s="55" t="n">
        <v>45473</v>
      </c>
      <c r="C9098" s="51" t="s">
        <v>791</v>
      </c>
      <c r="D9098" s="51" t="n">
        <v>0</v>
      </c>
    </row>
    <row r="9099" customFormat="false" ht="15" hidden="true" customHeight="false" outlineLevel="0" collapsed="false">
      <c r="A9099" s="51" t="s">
        <v>686</v>
      </c>
      <c r="B9099" s="55" t="n">
        <v>45473</v>
      </c>
      <c r="C9099" s="51" t="s">
        <v>791</v>
      </c>
      <c r="D9099" s="51" t="n">
        <v>0</v>
      </c>
    </row>
    <row r="9100" customFormat="false" ht="15" hidden="true" customHeight="false" outlineLevel="0" collapsed="false">
      <c r="A9100" s="51" t="s">
        <v>691</v>
      </c>
      <c r="B9100" s="55" t="n">
        <v>45473</v>
      </c>
      <c r="C9100" s="51" t="s">
        <v>791</v>
      </c>
      <c r="D9100" s="51" t="n">
        <v>0</v>
      </c>
    </row>
    <row r="9101" customFormat="false" ht="15" hidden="true" customHeight="false" outlineLevel="0" collapsed="false">
      <c r="A9101" s="51" t="s">
        <v>696</v>
      </c>
      <c r="B9101" s="55" t="n">
        <v>45473</v>
      </c>
      <c r="C9101" s="51" t="s">
        <v>791</v>
      </c>
      <c r="D9101" s="51" t="n">
        <v>0</v>
      </c>
    </row>
    <row r="9102" customFormat="false" ht="15" hidden="true" customHeight="false" outlineLevel="0" collapsed="false">
      <c r="A9102" s="51" t="s">
        <v>701</v>
      </c>
      <c r="B9102" s="55" t="n">
        <v>45473</v>
      </c>
      <c r="C9102" s="51" t="s">
        <v>791</v>
      </c>
      <c r="D9102" s="51" t="n">
        <v>0</v>
      </c>
    </row>
    <row r="9103" customFormat="false" ht="15" hidden="true" customHeight="false" outlineLevel="0" collapsed="false">
      <c r="A9103" s="51" t="s">
        <v>707</v>
      </c>
      <c r="B9103" s="55" t="n">
        <v>45473</v>
      </c>
      <c r="C9103" s="51" t="s">
        <v>791</v>
      </c>
      <c r="D9103" s="51" t="n">
        <v>0</v>
      </c>
    </row>
    <row r="9104" customFormat="false" ht="15" hidden="true" customHeight="false" outlineLevel="0" collapsed="false">
      <c r="A9104" s="51" t="s">
        <v>712</v>
      </c>
      <c r="B9104" s="55" t="n">
        <v>45473</v>
      </c>
      <c r="C9104" s="51" t="s">
        <v>791</v>
      </c>
      <c r="D9104" s="51" t="n">
        <v>0</v>
      </c>
    </row>
    <row r="9105" customFormat="false" ht="15" hidden="true" customHeight="false" outlineLevel="0" collapsed="false">
      <c r="A9105" s="51" t="s">
        <v>717</v>
      </c>
      <c r="B9105" s="55" t="n">
        <v>45473</v>
      </c>
      <c r="C9105" s="51" t="s">
        <v>791</v>
      </c>
      <c r="D9105" s="51" t="n">
        <v>0</v>
      </c>
    </row>
    <row r="9106" customFormat="false" ht="15" hidden="true" customHeight="false" outlineLevel="0" collapsed="false">
      <c r="A9106" s="51" t="s">
        <v>767</v>
      </c>
      <c r="B9106" s="55" t="n">
        <v>45473</v>
      </c>
      <c r="C9106" s="51" t="s">
        <v>791</v>
      </c>
      <c r="D9106" s="51" t="n">
        <v>0</v>
      </c>
    </row>
    <row r="9107" customFormat="false" ht="15" hidden="true" customHeight="false" outlineLevel="0" collapsed="false">
      <c r="A9107" s="51" t="s">
        <v>722</v>
      </c>
      <c r="B9107" s="55" t="n">
        <v>45473</v>
      </c>
      <c r="C9107" s="51" t="s">
        <v>791</v>
      </c>
      <c r="D9107" s="51" t="n">
        <v>0</v>
      </c>
    </row>
    <row r="9108" customFormat="false" ht="15" hidden="true" customHeight="false" outlineLevel="0" collapsed="false">
      <c r="A9108" s="51" t="s">
        <v>727</v>
      </c>
      <c r="B9108" s="55" t="n">
        <v>45473</v>
      </c>
      <c r="C9108" s="51" t="s">
        <v>791</v>
      </c>
      <c r="D9108" s="51" t="n">
        <v>0</v>
      </c>
    </row>
    <row r="9109" customFormat="false" ht="15" hidden="true" customHeight="false" outlineLevel="0" collapsed="false">
      <c r="A9109" s="51" t="s">
        <v>732</v>
      </c>
      <c r="B9109" s="55" t="n">
        <v>45473</v>
      </c>
      <c r="C9109" s="51" t="s">
        <v>791</v>
      </c>
      <c r="D9109" s="51" t="n">
        <v>0</v>
      </c>
    </row>
    <row r="9110" customFormat="false" ht="15" hidden="true" customHeight="false" outlineLevel="0" collapsed="false">
      <c r="A9110" s="51" t="s">
        <v>736</v>
      </c>
      <c r="B9110" s="55" t="n">
        <v>45473</v>
      </c>
      <c r="C9110" s="51" t="s">
        <v>791</v>
      </c>
      <c r="D9110" s="51" t="n">
        <v>0</v>
      </c>
    </row>
    <row r="9111" customFormat="false" ht="15" hidden="true" customHeight="false" outlineLevel="0" collapsed="false">
      <c r="A9111" s="51" t="s">
        <v>741</v>
      </c>
      <c r="B9111" s="55" t="n">
        <v>45473</v>
      </c>
      <c r="C9111" s="51" t="s">
        <v>791</v>
      </c>
      <c r="D9111" s="51" t="n">
        <v>0</v>
      </c>
    </row>
    <row r="9112" customFormat="false" ht="15" hidden="true" customHeight="false" outlineLevel="0" collapsed="false">
      <c r="A9112" s="51" t="s">
        <v>746</v>
      </c>
      <c r="B9112" s="55" t="n">
        <v>45473</v>
      </c>
      <c r="C9112" s="51" t="s">
        <v>791</v>
      </c>
      <c r="D9112" s="51" t="n">
        <v>0</v>
      </c>
    </row>
    <row r="9113" customFormat="false" ht="15" hidden="true" customHeight="false" outlineLevel="0" collapsed="false">
      <c r="A9113" s="51" t="s">
        <v>751</v>
      </c>
      <c r="B9113" s="55" t="n">
        <v>45473</v>
      </c>
      <c r="C9113" s="51" t="s">
        <v>791</v>
      </c>
      <c r="D9113" s="51" t="n">
        <v>0</v>
      </c>
    </row>
    <row r="9114" customFormat="false" ht="15" hidden="false" customHeight="false" outlineLevel="0" collapsed="false">
      <c r="A9114" s="51" t="s">
        <v>781</v>
      </c>
      <c r="B9114" s="55" t="n">
        <v>45565</v>
      </c>
      <c r="C9114" s="51" t="s">
        <v>782</v>
      </c>
      <c r="D9114" s="51" t="n">
        <v>0</v>
      </c>
    </row>
    <row r="9115" customFormat="false" ht="15" hidden="true" customHeight="false" outlineLevel="0" collapsed="false">
      <c r="A9115" s="51" t="s">
        <v>783</v>
      </c>
      <c r="B9115" s="55" t="n">
        <v>45565</v>
      </c>
      <c r="C9115" s="51" t="s">
        <v>782</v>
      </c>
      <c r="D9115" s="51" t="n">
        <v>0</v>
      </c>
    </row>
    <row r="9116" customFormat="false" ht="15" hidden="true" customHeight="false" outlineLevel="0" collapsed="false">
      <c r="A9116" s="51" t="s">
        <v>96</v>
      </c>
      <c r="B9116" s="55" t="n">
        <v>45565</v>
      </c>
      <c r="C9116" s="51" t="s">
        <v>782</v>
      </c>
      <c r="D9116" s="51" t="n">
        <v>0</v>
      </c>
    </row>
    <row r="9117" customFormat="false" ht="15" hidden="true" customHeight="false" outlineLevel="0" collapsed="false">
      <c r="A9117" s="51" t="s">
        <v>101</v>
      </c>
      <c r="B9117" s="55" t="n">
        <v>45565</v>
      </c>
      <c r="C9117" s="51" t="s">
        <v>782</v>
      </c>
      <c r="D9117" s="51" t="n">
        <v>0</v>
      </c>
    </row>
    <row r="9118" customFormat="false" ht="15" hidden="true" customHeight="false" outlineLevel="0" collapsed="false">
      <c r="A9118" s="51" t="s">
        <v>106</v>
      </c>
      <c r="B9118" s="55" t="n">
        <v>45565</v>
      </c>
      <c r="C9118" s="51" t="s">
        <v>782</v>
      </c>
      <c r="D9118" s="51" t="n">
        <v>0</v>
      </c>
    </row>
    <row r="9119" customFormat="false" ht="15" hidden="true" customHeight="false" outlineLevel="0" collapsed="false">
      <c r="A9119" s="51" t="s">
        <v>110</v>
      </c>
      <c r="B9119" s="55" t="n">
        <v>45565</v>
      </c>
      <c r="C9119" s="51" t="s">
        <v>782</v>
      </c>
      <c r="D9119" s="51" t="n">
        <v>0</v>
      </c>
    </row>
    <row r="9120" customFormat="false" ht="15" hidden="true" customHeight="false" outlineLevel="0" collapsed="false">
      <c r="A9120" s="51" t="s">
        <v>115</v>
      </c>
      <c r="B9120" s="55" t="n">
        <v>45565</v>
      </c>
      <c r="C9120" s="51" t="s">
        <v>782</v>
      </c>
      <c r="D9120" s="51" t="n">
        <v>0</v>
      </c>
    </row>
    <row r="9121" customFormat="false" ht="15" hidden="true" customHeight="false" outlineLevel="0" collapsed="false">
      <c r="A9121" s="51" t="s">
        <v>120</v>
      </c>
      <c r="B9121" s="55" t="n">
        <v>45565</v>
      </c>
      <c r="C9121" s="51" t="s">
        <v>782</v>
      </c>
      <c r="D9121" s="51" t="n">
        <v>0</v>
      </c>
    </row>
    <row r="9122" customFormat="false" ht="15" hidden="true" customHeight="false" outlineLevel="0" collapsed="false">
      <c r="A9122" s="51" t="s">
        <v>124</v>
      </c>
      <c r="B9122" s="55" t="n">
        <v>45565</v>
      </c>
      <c r="C9122" s="51" t="s">
        <v>782</v>
      </c>
      <c r="D9122" s="51" t="n">
        <v>0</v>
      </c>
    </row>
    <row r="9123" customFormat="false" ht="15" hidden="true" customHeight="false" outlineLevel="0" collapsed="false">
      <c r="A9123" s="51" t="s">
        <v>129</v>
      </c>
      <c r="B9123" s="55" t="n">
        <v>45565</v>
      </c>
      <c r="C9123" s="51" t="s">
        <v>782</v>
      </c>
      <c r="D9123" s="51" t="n">
        <v>0</v>
      </c>
    </row>
    <row r="9124" customFormat="false" ht="15" hidden="true" customHeight="false" outlineLevel="0" collapsed="false">
      <c r="A9124" s="51" t="s">
        <v>134</v>
      </c>
      <c r="B9124" s="55" t="n">
        <v>45565</v>
      </c>
      <c r="C9124" s="51" t="s">
        <v>782</v>
      </c>
      <c r="D9124" s="51" t="n">
        <v>0</v>
      </c>
    </row>
    <row r="9125" customFormat="false" ht="15" hidden="true" customHeight="false" outlineLevel="0" collapsed="false">
      <c r="A9125" s="51" t="s">
        <v>141</v>
      </c>
      <c r="B9125" s="55" t="n">
        <v>45565</v>
      </c>
      <c r="C9125" s="51" t="s">
        <v>782</v>
      </c>
      <c r="D9125" s="51" t="n">
        <v>0</v>
      </c>
    </row>
    <row r="9126" customFormat="false" ht="15" hidden="true" customHeight="false" outlineLevel="0" collapsed="false">
      <c r="A9126" s="51" t="s">
        <v>146</v>
      </c>
      <c r="B9126" s="55" t="n">
        <v>45565</v>
      </c>
      <c r="C9126" s="51" t="s">
        <v>782</v>
      </c>
      <c r="D9126" s="51" t="n">
        <v>0</v>
      </c>
    </row>
    <row r="9127" customFormat="false" ht="15" hidden="true" customHeight="false" outlineLevel="0" collapsed="false">
      <c r="A9127" s="51" t="s">
        <v>151</v>
      </c>
      <c r="B9127" s="55" t="n">
        <v>45565</v>
      </c>
      <c r="C9127" s="51" t="s">
        <v>782</v>
      </c>
      <c r="D9127" s="51" t="n">
        <v>0</v>
      </c>
    </row>
    <row r="9128" customFormat="false" ht="15" hidden="true" customHeight="false" outlineLevel="0" collapsed="false">
      <c r="A9128" s="51" t="s">
        <v>156</v>
      </c>
      <c r="B9128" s="55" t="n">
        <v>45565</v>
      </c>
      <c r="C9128" s="51" t="s">
        <v>782</v>
      </c>
      <c r="D9128" s="51" t="n">
        <v>0</v>
      </c>
    </row>
    <row r="9129" customFormat="false" ht="15" hidden="true" customHeight="false" outlineLevel="0" collapsed="false">
      <c r="A9129" s="51" t="s">
        <v>161</v>
      </c>
      <c r="B9129" s="55" t="n">
        <v>45565</v>
      </c>
      <c r="C9129" s="51" t="s">
        <v>782</v>
      </c>
      <c r="D9129" s="51" t="n">
        <v>0</v>
      </c>
    </row>
    <row r="9130" customFormat="false" ht="15" hidden="true" customHeight="false" outlineLevel="0" collapsed="false">
      <c r="A9130" s="51" t="s">
        <v>166</v>
      </c>
      <c r="B9130" s="55" t="n">
        <v>45565</v>
      </c>
      <c r="C9130" s="51" t="s">
        <v>782</v>
      </c>
      <c r="D9130" s="51" t="n">
        <v>0</v>
      </c>
    </row>
    <row r="9131" customFormat="false" ht="15" hidden="true" customHeight="false" outlineLevel="0" collapsed="false">
      <c r="A9131" s="51" t="s">
        <v>171</v>
      </c>
      <c r="B9131" s="55" t="n">
        <v>45565</v>
      </c>
      <c r="C9131" s="51" t="s">
        <v>782</v>
      </c>
      <c r="D9131" s="51" t="n">
        <v>0</v>
      </c>
    </row>
    <row r="9132" customFormat="false" ht="15" hidden="true" customHeight="false" outlineLevel="0" collapsed="false">
      <c r="A9132" s="51" t="s">
        <v>176</v>
      </c>
      <c r="B9132" s="55" t="n">
        <v>45565</v>
      </c>
      <c r="C9132" s="51" t="s">
        <v>782</v>
      </c>
      <c r="D9132" s="51" t="n">
        <v>0</v>
      </c>
    </row>
    <row r="9133" customFormat="false" ht="15" hidden="true" customHeight="false" outlineLevel="0" collapsed="false">
      <c r="A9133" s="51" t="s">
        <v>181</v>
      </c>
      <c r="B9133" s="55" t="n">
        <v>45565</v>
      </c>
      <c r="C9133" s="51" t="s">
        <v>782</v>
      </c>
      <c r="D9133" s="51" t="n">
        <v>0</v>
      </c>
    </row>
    <row r="9134" customFormat="false" ht="15" hidden="true" customHeight="false" outlineLevel="0" collapsed="false">
      <c r="A9134" s="51" t="s">
        <v>186</v>
      </c>
      <c r="B9134" s="55" t="n">
        <v>45565</v>
      </c>
      <c r="C9134" s="51" t="s">
        <v>782</v>
      </c>
      <c r="D9134" s="51" t="n">
        <v>0</v>
      </c>
    </row>
    <row r="9135" customFormat="false" ht="15" hidden="true" customHeight="false" outlineLevel="0" collapsed="false">
      <c r="A9135" s="51" t="s">
        <v>191</v>
      </c>
      <c r="B9135" s="55" t="n">
        <v>45565</v>
      </c>
      <c r="C9135" s="51" t="s">
        <v>782</v>
      </c>
      <c r="D9135" s="51" t="n">
        <v>0</v>
      </c>
    </row>
    <row r="9136" customFormat="false" ht="15" hidden="true" customHeight="false" outlineLevel="0" collapsed="false">
      <c r="A9136" s="51" t="s">
        <v>196</v>
      </c>
      <c r="B9136" s="55" t="n">
        <v>45565</v>
      </c>
      <c r="C9136" s="51" t="s">
        <v>782</v>
      </c>
      <c r="D9136" s="51" t="n">
        <v>0</v>
      </c>
    </row>
    <row r="9137" customFormat="false" ht="15" hidden="true" customHeight="false" outlineLevel="0" collapsed="false">
      <c r="A9137" s="51" t="s">
        <v>201</v>
      </c>
      <c r="B9137" s="55" t="n">
        <v>45565</v>
      </c>
      <c r="C9137" s="51" t="s">
        <v>782</v>
      </c>
      <c r="D9137" s="51" t="n">
        <v>0</v>
      </c>
    </row>
    <row r="9138" customFormat="false" ht="15" hidden="true" customHeight="false" outlineLevel="0" collapsed="false">
      <c r="A9138" s="51" t="s">
        <v>206</v>
      </c>
      <c r="B9138" s="55" t="n">
        <v>45565</v>
      </c>
      <c r="C9138" s="51" t="s">
        <v>782</v>
      </c>
      <c r="D9138" s="51" t="n">
        <v>0</v>
      </c>
    </row>
    <row r="9139" customFormat="false" ht="15" hidden="true" customHeight="false" outlineLevel="0" collapsed="false">
      <c r="A9139" s="51" t="s">
        <v>210</v>
      </c>
      <c r="B9139" s="55" t="n">
        <v>45565</v>
      </c>
      <c r="C9139" s="51" t="s">
        <v>782</v>
      </c>
      <c r="D9139" s="51" t="n">
        <v>0</v>
      </c>
    </row>
    <row r="9140" customFormat="false" ht="15" hidden="true" customHeight="false" outlineLevel="0" collapsed="false">
      <c r="A9140" s="51" t="s">
        <v>215</v>
      </c>
      <c r="B9140" s="55" t="n">
        <v>45565</v>
      </c>
      <c r="C9140" s="51" t="s">
        <v>782</v>
      </c>
      <c r="D9140" s="51" t="n">
        <v>0</v>
      </c>
    </row>
    <row r="9141" customFormat="false" ht="15" hidden="true" customHeight="false" outlineLevel="0" collapsed="false">
      <c r="A9141" s="51" t="s">
        <v>790</v>
      </c>
      <c r="B9141" s="55" t="n">
        <v>45565</v>
      </c>
      <c r="C9141" s="51" t="s">
        <v>782</v>
      </c>
      <c r="D9141" s="51" t="n">
        <v>0</v>
      </c>
    </row>
    <row r="9142" customFormat="false" ht="15" hidden="true" customHeight="false" outlineLevel="0" collapsed="false">
      <c r="A9142" s="51" t="s">
        <v>225</v>
      </c>
      <c r="B9142" s="55" t="n">
        <v>45565</v>
      </c>
      <c r="C9142" s="51" t="s">
        <v>782</v>
      </c>
      <c r="D9142" s="51" t="n">
        <v>0</v>
      </c>
    </row>
    <row r="9143" customFormat="false" ht="15" hidden="true" customHeight="false" outlineLevel="0" collapsed="false">
      <c r="A9143" s="51" t="s">
        <v>230</v>
      </c>
      <c r="B9143" s="55" t="n">
        <v>45565</v>
      </c>
      <c r="C9143" s="51" t="s">
        <v>782</v>
      </c>
      <c r="D9143" s="51" t="n">
        <v>0</v>
      </c>
    </row>
    <row r="9144" customFormat="false" ht="15" hidden="true" customHeight="false" outlineLevel="0" collapsed="false">
      <c r="A9144" s="51" t="s">
        <v>235</v>
      </c>
      <c r="B9144" s="55" t="n">
        <v>45565</v>
      </c>
      <c r="C9144" s="51" t="s">
        <v>782</v>
      </c>
      <c r="D9144" s="51" t="n">
        <v>0</v>
      </c>
    </row>
    <row r="9145" customFormat="false" ht="15" hidden="true" customHeight="false" outlineLevel="0" collapsed="false">
      <c r="A9145" s="51" t="s">
        <v>240</v>
      </c>
      <c r="B9145" s="55" t="n">
        <v>45565</v>
      </c>
      <c r="C9145" s="51" t="s">
        <v>782</v>
      </c>
      <c r="D9145" s="51" t="n">
        <v>0</v>
      </c>
    </row>
    <row r="9146" customFormat="false" ht="15" hidden="true" customHeight="false" outlineLevel="0" collapsed="false">
      <c r="A9146" s="51" t="s">
        <v>246</v>
      </c>
      <c r="B9146" s="55" t="n">
        <v>45565</v>
      </c>
      <c r="C9146" s="51" t="s">
        <v>782</v>
      </c>
      <c r="D9146" s="51" t="n">
        <v>0</v>
      </c>
    </row>
    <row r="9147" customFormat="false" ht="15" hidden="true" customHeight="false" outlineLevel="0" collapsed="false">
      <c r="A9147" s="51" t="s">
        <v>252</v>
      </c>
      <c r="B9147" s="55" t="n">
        <v>45565</v>
      </c>
      <c r="C9147" s="51" t="s">
        <v>782</v>
      </c>
      <c r="D9147" s="51" t="n">
        <v>0</v>
      </c>
    </row>
    <row r="9148" customFormat="false" ht="15" hidden="true" customHeight="false" outlineLevel="0" collapsed="false">
      <c r="A9148" s="51" t="s">
        <v>257</v>
      </c>
      <c r="B9148" s="55" t="n">
        <v>45565</v>
      </c>
      <c r="C9148" s="51" t="s">
        <v>782</v>
      </c>
      <c r="D9148" s="51" t="n">
        <v>0</v>
      </c>
    </row>
    <row r="9149" customFormat="false" ht="15" hidden="true" customHeight="false" outlineLevel="0" collapsed="false">
      <c r="A9149" s="51" t="s">
        <v>262</v>
      </c>
      <c r="B9149" s="55" t="n">
        <v>45565</v>
      </c>
      <c r="C9149" s="51" t="s">
        <v>782</v>
      </c>
      <c r="D9149" s="51" t="n">
        <v>0</v>
      </c>
    </row>
    <row r="9150" customFormat="false" ht="15" hidden="true" customHeight="false" outlineLevel="0" collapsed="false">
      <c r="A9150" s="51" t="s">
        <v>267</v>
      </c>
      <c r="B9150" s="55" t="n">
        <v>45565</v>
      </c>
      <c r="C9150" s="51" t="s">
        <v>782</v>
      </c>
      <c r="D9150" s="51" t="n">
        <v>0</v>
      </c>
    </row>
    <row r="9151" customFormat="false" ht="15" hidden="true" customHeight="false" outlineLevel="0" collapsed="false">
      <c r="A9151" s="51" t="s">
        <v>272</v>
      </c>
      <c r="B9151" s="55" t="n">
        <v>45565</v>
      </c>
      <c r="C9151" s="51" t="s">
        <v>782</v>
      </c>
      <c r="D9151" s="51" t="n">
        <v>0</v>
      </c>
    </row>
    <row r="9152" customFormat="false" ht="15" hidden="true" customHeight="false" outlineLevel="0" collapsed="false">
      <c r="A9152" s="51" t="s">
        <v>277</v>
      </c>
      <c r="B9152" s="55" t="n">
        <v>45565</v>
      </c>
      <c r="C9152" s="51" t="s">
        <v>782</v>
      </c>
      <c r="D9152" s="51" t="n">
        <v>0</v>
      </c>
    </row>
    <row r="9153" customFormat="false" ht="15" hidden="true" customHeight="false" outlineLevel="0" collapsed="false">
      <c r="A9153" s="51" t="s">
        <v>282</v>
      </c>
      <c r="B9153" s="55" t="n">
        <v>45565</v>
      </c>
      <c r="C9153" s="51" t="s">
        <v>782</v>
      </c>
      <c r="D9153" s="51" t="n">
        <v>0</v>
      </c>
    </row>
    <row r="9154" customFormat="false" ht="15" hidden="true" customHeight="false" outlineLevel="0" collapsed="false">
      <c r="A9154" s="51" t="s">
        <v>287</v>
      </c>
      <c r="B9154" s="55" t="n">
        <v>45565</v>
      </c>
      <c r="C9154" s="51" t="s">
        <v>782</v>
      </c>
      <c r="D9154" s="51" t="n">
        <v>0</v>
      </c>
    </row>
    <row r="9155" customFormat="false" ht="15" hidden="true" customHeight="false" outlineLevel="0" collapsed="false">
      <c r="A9155" s="51" t="s">
        <v>292</v>
      </c>
      <c r="B9155" s="55" t="n">
        <v>45565</v>
      </c>
      <c r="C9155" s="51" t="s">
        <v>782</v>
      </c>
      <c r="D9155" s="51" t="n">
        <v>0</v>
      </c>
    </row>
    <row r="9156" customFormat="false" ht="15" hidden="true" customHeight="false" outlineLevel="0" collapsed="false">
      <c r="A9156" s="51" t="s">
        <v>297</v>
      </c>
      <c r="B9156" s="55" t="n">
        <v>45565</v>
      </c>
      <c r="C9156" s="51" t="s">
        <v>782</v>
      </c>
      <c r="D9156" s="51" t="n">
        <v>0</v>
      </c>
    </row>
    <row r="9157" customFormat="false" ht="15" hidden="true" customHeight="false" outlineLevel="0" collapsed="false">
      <c r="A9157" s="51" t="s">
        <v>302</v>
      </c>
      <c r="B9157" s="55" t="n">
        <v>45565</v>
      </c>
      <c r="C9157" s="51" t="s">
        <v>782</v>
      </c>
      <c r="D9157" s="51" t="n">
        <v>0</v>
      </c>
    </row>
    <row r="9158" customFormat="false" ht="15" hidden="true" customHeight="false" outlineLevel="0" collapsed="false">
      <c r="A9158" s="51" t="s">
        <v>307</v>
      </c>
      <c r="B9158" s="55" t="n">
        <v>45565</v>
      </c>
      <c r="C9158" s="51" t="s">
        <v>782</v>
      </c>
      <c r="D9158" s="51" t="n">
        <v>0</v>
      </c>
    </row>
    <row r="9159" customFormat="false" ht="15" hidden="true" customHeight="false" outlineLevel="0" collapsed="false">
      <c r="A9159" s="51" t="s">
        <v>311</v>
      </c>
      <c r="B9159" s="55" t="n">
        <v>45565</v>
      </c>
      <c r="C9159" s="51" t="s">
        <v>782</v>
      </c>
      <c r="D9159" s="51" t="n">
        <v>0</v>
      </c>
    </row>
    <row r="9160" customFormat="false" ht="15" hidden="true" customHeight="false" outlineLevel="0" collapsed="false">
      <c r="A9160" s="51" t="s">
        <v>317</v>
      </c>
      <c r="B9160" s="55" t="n">
        <v>45565</v>
      </c>
      <c r="C9160" s="51" t="s">
        <v>782</v>
      </c>
      <c r="D9160" s="51" t="n">
        <v>0</v>
      </c>
    </row>
    <row r="9161" customFormat="false" ht="15" hidden="true" customHeight="false" outlineLevel="0" collapsed="false">
      <c r="A9161" s="51" t="s">
        <v>322</v>
      </c>
      <c r="B9161" s="55" t="n">
        <v>45565</v>
      </c>
      <c r="C9161" s="51" t="s">
        <v>782</v>
      </c>
      <c r="D9161" s="51" t="n">
        <v>0</v>
      </c>
    </row>
    <row r="9162" customFormat="false" ht="15" hidden="true" customHeight="false" outlineLevel="0" collapsed="false">
      <c r="A9162" s="51" t="s">
        <v>327</v>
      </c>
      <c r="B9162" s="55" t="n">
        <v>45565</v>
      </c>
      <c r="C9162" s="51" t="s">
        <v>782</v>
      </c>
      <c r="D9162" s="51" t="n">
        <v>0</v>
      </c>
    </row>
    <row r="9163" customFormat="false" ht="15" hidden="true" customHeight="false" outlineLevel="0" collapsed="false">
      <c r="A9163" s="51" t="s">
        <v>332</v>
      </c>
      <c r="B9163" s="55" t="n">
        <v>45565</v>
      </c>
      <c r="C9163" s="51" t="s">
        <v>782</v>
      </c>
      <c r="D9163" s="51" t="n">
        <v>0</v>
      </c>
    </row>
    <row r="9164" customFormat="false" ht="15" hidden="true" customHeight="false" outlineLevel="0" collapsed="false">
      <c r="A9164" s="51" t="s">
        <v>339</v>
      </c>
      <c r="B9164" s="55" t="n">
        <v>45565</v>
      </c>
      <c r="C9164" s="51" t="s">
        <v>782</v>
      </c>
      <c r="D9164" s="51" t="n">
        <v>0</v>
      </c>
    </row>
    <row r="9165" customFormat="false" ht="15" hidden="true" customHeight="false" outlineLevel="0" collapsed="false">
      <c r="A9165" s="51" t="s">
        <v>344</v>
      </c>
      <c r="B9165" s="55" t="n">
        <v>45565</v>
      </c>
      <c r="C9165" s="51" t="s">
        <v>782</v>
      </c>
      <c r="D9165" s="51" t="n">
        <v>0</v>
      </c>
    </row>
    <row r="9166" customFormat="false" ht="15" hidden="true" customHeight="false" outlineLevel="0" collapsed="false">
      <c r="A9166" s="51" t="s">
        <v>349</v>
      </c>
      <c r="B9166" s="55" t="n">
        <v>45565</v>
      </c>
      <c r="C9166" s="51" t="s">
        <v>782</v>
      </c>
      <c r="D9166" s="51" t="n">
        <v>0</v>
      </c>
    </row>
    <row r="9167" customFormat="false" ht="15" hidden="true" customHeight="false" outlineLevel="0" collapsed="false">
      <c r="A9167" s="51" t="s">
        <v>354</v>
      </c>
      <c r="B9167" s="55" t="n">
        <v>45565</v>
      </c>
      <c r="C9167" s="51" t="s">
        <v>782</v>
      </c>
      <c r="D9167" s="51" t="n">
        <v>0</v>
      </c>
    </row>
    <row r="9168" customFormat="false" ht="15" hidden="true" customHeight="false" outlineLevel="0" collapsed="false">
      <c r="A9168" s="51" t="s">
        <v>359</v>
      </c>
      <c r="B9168" s="55" t="n">
        <v>45565</v>
      </c>
      <c r="C9168" s="51" t="s">
        <v>782</v>
      </c>
      <c r="D9168" s="51" t="n">
        <v>0</v>
      </c>
    </row>
    <row r="9169" customFormat="false" ht="15" hidden="true" customHeight="false" outlineLevel="0" collapsed="false">
      <c r="A9169" s="51" t="s">
        <v>364</v>
      </c>
      <c r="B9169" s="55" t="n">
        <v>45565</v>
      </c>
      <c r="C9169" s="51" t="s">
        <v>782</v>
      </c>
      <c r="D9169" s="51" t="n">
        <v>0</v>
      </c>
    </row>
    <row r="9170" customFormat="false" ht="15" hidden="true" customHeight="false" outlineLevel="0" collapsed="false">
      <c r="A9170" s="51" t="s">
        <v>369</v>
      </c>
      <c r="B9170" s="55" t="n">
        <v>45565</v>
      </c>
      <c r="C9170" s="51" t="s">
        <v>782</v>
      </c>
      <c r="D9170" s="51" t="n">
        <v>0</v>
      </c>
    </row>
    <row r="9171" customFormat="false" ht="15" hidden="true" customHeight="false" outlineLevel="0" collapsed="false">
      <c r="A9171" s="51" t="s">
        <v>374</v>
      </c>
      <c r="B9171" s="55" t="n">
        <v>45565</v>
      </c>
      <c r="C9171" s="51" t="s">
        <v>782</v>
      </c>
      <c r="D9171" s="51" t="n">
        <v>0</v>
      </c>
    </row>
    <row r="9172" customFormat="false" ht="15" hidden="true" customHeight="false" outlineLevel="0" collapsed="false">
      <c r="A9172" s="51" t="s">
        <v>379</v>
      </c>
      <c r="B9172" s="55" t="n">
        <v>45565</v>
      </c>
      <c r="C9172" s="51" t="s">
        <v>782</v>
      </c>
      <c r="D9172" s="51" t="n">
        <v>0</v>
      </c>
    </row>
    <row r="9173" customFormat="false" ht="15" hidden="true" customHeight="false" outlineLevel="0" collapsed="false">
      <c r="A9173" s="51" t="s">
        <v>384</v>
      </c>
      <c r="B9173" s="55" t="n">
        <v>45565</v>
      </c>
      <c r="C9173" s="51" t="s">
        <v>782</v>
      </c>
      <c r="D9173" s="51" t="n">
        <v>0</v>
      </c>
    </row>
    <row r="9174" customFormat="false" ht="15" hidden="true" customHeight="false" outlineLevel="0" collapsed="false">
      <c r="A9174" s="51" t="s">
        <v>389</v>
      </c>
      <c r="B9174" s="55" t="n">
        <v>45565</v>
      </c>
      <c r="C9174" s="51" t="s">
        <v>782</v>
      </c>
      <c r="D9174" s="51" t="n">
        <v>0</v>
      </c>
    </row>
    <row r="9175" customFormat="false" ht="15" hidden="true" customHeight="false" outlineLevel="0" collapsed="false">
      <c r="A9175" s="51" t="s">
        <v>394</v>
      </c>
      <c r="B9175" s="55" t="n">
        <v>45565</v>
      </c>
      <c r="C9175" s="51" t="s">
        <v>782</v>
      </c>
      <c r="D9175" s="51" t="n">
        <v>0</v>
      </c>
    </row>
    <row r="9176" customFormat="false" ht="15" hidden="true" customHeight="false" outlineLevel="0" collapsed="false">
      <c r="A9176" s="51" t="s">
        <v>399</v>
      </c>
      <c r="B9176" s="55" t="n">
        <v>45565</v>
      </c>
      <c r="C9176" s="51" t="s">
        <v>782</v>
      </c>
      <c r="D9176" s="51" t="n">
        <v>0</v>
      </c>
    </row>
    <row r="9177" customFormat="false" ht="15" hidden="true" customHeight="false" outlineLevel="0" collapsed="false">
      <c r="A9177" s="51" t="s">
        <v>404</v>
      </c>
      <c r="B9177" s="55" t="n">
        <v>45565</v>
      </c>
      <c r="C9177" s="51" t="s">
        <v>782</v>
      </c>
      <c r="D9177" s="51" t="n">
        <v>0</v>
      </c>
    </row>
    <row r="9178" customFormat="false" ht="15" hidden="true" customHeight="false" outlineLevel="0" collapsed="false">
      <c r="A9178" s="51" t="s">
        <v>409</v>
      </c>
      <c r="B9178" s="55" t="n">
        <v>45565</v>
      </c>
      <c r="C9178" s="51" t="s">
        <v>782</v>
      </c>
      <c r="D9178" s="51" t="n">
        <v>0</v>
      </c>
    </row>
    <row r="9179" customFormat="false" ht="15" hidden="true" customHeight="false" outlineLevel="0" collapsed="false">
      <c r="A9179" s="51" t="s">
        <v>414</v>
      </c>
      <c r="B9179" s="55" t="n">
        <v>45565</v>
      </c>
      <c r="C9179" s="51" t="s">
        <v>782</v>
      </c>
      <c r="D9179" s="51" t="n">
        <v>0</v>
      </c>
    </row>
    <row r="9180" customFormat="false" ht="15" hidden="true" customHeight="false" outlineLevel="0" collapsed="false">
      <c r="A9180" s="51" t="s">
        <v>419</v>
      </c>
      <c r="B9180" s="55" t="n">
        <v>45565</v>
      </c>
      <c r="C9180" s="51" t="s">
        <v>782</v>
      </c>
      <c r="D9180" s="51" t="n">
        <v>0</v>
      </c>
    </row>
    <row r="9181" customFormat="false" ht="15" hidden="true" customHeight="false" outlineLevel="0" collapsed="false">
      <c r="A9181" s="51" t="s">
        <v>424</v>
      </c>
      <c r="B9181" s="55" t="n">
        <v>45565</v>
      </c>
      <c r="C9181" s="51" t="s">
        <v>782</v>
      </c>
      <c r="D9181" s="51" t="n">
        <v>0</v>
      </c>
    </row>
    <row r="9182" customFormat="false" ht="15" hidden="true" customHeight="false" outlineLevel="0" collapsed="false">
      <c r="A9182" s="51" t="s">
        <v>429</v>
      </c>
      <c r="B9182" s="55" t="n">
        <v>45565</v>
      </c>
      <c r="C9182" s="51" t="s">
        <v>782</v>
      </c>
      <c r="D9182" s="51" t="n">
        <v>0</v>
      </c>
    </row>
    <row r="9183" customFormat="false" ht="15" hidden="true" customHeight="false" outlineLevel="0" collapsed="false">
      <c r="A9183" s="51" t="s">
        <v>434</v>
      </c>
      <c r="B9183" s="55" t="n">
        <v>45565</v>
      </c>
      <c r="C9183" s="51" t="s">
        <v>782</v>
      </c>
      <c r="D9183" s="51" t="n">
        <v>0</v>
      </c>
    </row>
    <row r="9184" customFormat="false" ht="15" hidden="true" customHeight="false" outlineLevel="0" collapsed="false">
      <c r="A9184" s="51" t="s">
        <v>438</v>
      </c>
      <c r="B9184" s="55" t="n">
        <v>45565</v>
      </c>
      <c r="C9184" s="51" t="s">
        <v>782</v>
      </c>
      <c r="D9184" s="51" t="n">
        <v>0</v>
      </c>
    </row>
    <row r="9185" customFormat="false" ht="15" hidden="true" customHeight="false" outlineLevel="0" collapsed="false">
      <c r="A9185" s="51" t="s">
        <v>443</v>
      </c>
      <c r="B9185" s="55" t="n">
        <v>45565</v>
      </c>
      <c r="C9185" s="51" t="s">
        <v>782</v>
      </c>
      <c r="D9185" s="51" t="n">
        <v>0</v>
      </c>
    </row>
    <row r="9186" customFormat="false" ht="15" hidden="true" customHeight="false" outlineLevel="0" collapsed="false">
      <c r="A9186" s="51" t="s">
        <v>448</v>
      </c>
      <c r="B9186" s="55" t="n">
        <v>45565</v>
      </c>
      <c r="C9186" s="51" t="s">
        <v>782</v>
      </c>
      <c r="D9186" s="51" t="n">
        <v>0</v>
      </c>
    </row>
    <row r="9187" customFormat="false" ht="15" hidden="true" customHeight="false" outlineLevel="0" collapsed="false">
      <c r="A9187" s="51" t="s">
        <v>453</v>
      </c>
      <c r="B9187" s="55" t="n">
        <v>45565</v>
      </c>
      <c r="C9187" s="51" t="s">
        <v>782</v>
      </c>
      <c r="D9187" s="51" t="n">
        <v>0</v>
      </c>
    </row>
    <row r="9188" customFormat="false" ht="15" hidden="true" customHeight="false" outlineLevel="0" collapsed="false">
      <c r="A9188" s="51" t="s">
        <v>458</v>
      </c>
      <c r="B9188" s="55" t="n">
        <v>45565</v>
      </c>
      <c r="C9188" s="51" t="s">
        <v>782</v>
      </c>
      <c r="D9188" s="51" t="n">
        <v>0</v>
      </c>
    </row>
    <row r="9189" customFormat="false" ht="15" hidden="true" customHeight="false" outlineLevel="0" collapsed="false">
      <c r="A9189" s="51" t="s">
        <v>473</v>
      </c>
      <c r="B9189" s="55" t="n">
        <v>45565</v>
      </c>
      <c r="C9189" s="51" t="s">
        <v>782</v>
      </c>
      <c r="D9189" s="51" t="n">
        <v>0</v>
      </c>
    </row>
    <row r="9190" customFormat="false" ht="15" hidden="true" customHeight="false" outlineLevel="0" collapsed="false">
      <c r="A9190" s="51" t="s">
        <v>479</v>
      </c>
      <c r="B9190" s="55" t="n">
        <v>45565</v>
      </c>
      <c r="C9190" s="51" t="s">
        <v>782</v>
      </c>
      <c r="D9190" s="51" t="n">
        <v>0</v>
      </c>
    </row>
    <row r="9191" customFormat="false" ht="15" hidden="true" customHeight="false" outlineLevel="0" collapsed="false">
      <c r="A9191" s="51" t="s">
        <v>484</v>
      </c>
      <c r="B9191" s="55" t="n">
        <v>45565</v>
      </c>
      <c r="C9191" s="51" t="s">
        <v>782</v>
      </c>
      <c r="D9191" s="51" t="n">
        <v>0</v>
      </c>
    </row>
    <row r="9192" customFormat="false" ht="15" hidden="true" customHeight="false" outlineLevel="0" collapsed="false">
      <c r="A9192" s="51" t="s">
        <v>489</v>
      </c>
      <c r="B9192" s="55" t="n">
        <v>45565</v>
      </c>
      <c r="C9192" s="51" t="s">
        <v>782</v>
      </c>
      <c r="D9192" s="51" t="n">
        <v>0</v>
      </c>
    </row>
    <row r="9193" customFormat="false" ht="15" hidden="true" customHeight="false" outlineLevel="0" collapsed="false">
      <c r="A9193" s="51" t="s">
        <v>494</v>
      </c>
      <c r="B9193" s="55" t="n">
        <v>45565</v>
      </c>
      <c r="C9193" s="51" t="s">
        <v>782</v>
      </c>
      <c r="D9193" s="51" t="n">
        <v>0</v>
      </c>
    </row>
    <row r="9194" customFormat="false" ht="15" hidden="true" customHeight="false" outlineLevel="0" collapsed="false">
      <c r="A9194" s="51" t="s">
        <v>499</v>
      </c>
      <c r="B9194" s="55" t="n">
        <v>45565</v>
      </c>
      <c r="C9194" s="51" t="s">
        <v>782</v>
      </c>
      <c r="D9194" s="51" t="n">
        <v>0</v>
      </c>
    </row>
    <row r="9195" customFormat="false" ht="15" hidden="true" customHeight="false" outlineLevel="0" collapsed="false">
      <c r="A9195" s="51" t="s">
        <v>504</v>
      </c>
      <c r="B9195" s="55" t="n">
        <v>45565</v>
      </c>
      <c r="C9195" s="51" t="s">
        <v>782</v>
      </c>
      <c r="D9195" s="51" t="n">
        <v>0</v>
      </c>
    </row>
    <row r="9196" customFormat="false" ht="15" hidden="true" customHeight="false" outlineLevel="0" collapsed="false">
      <c r="A9196" s="51" t="s">
        <v>509</v>
      </c>
      <c r="B9196" s="55" t="n">
        <v>45565</v>
      </c>
      <c r="C9196" s="51" t="s">
        <v>782</v>
      </c>
      <c r="D9196" s="51" t="n">
        <v>0</v>
      </c>
    </row>
    <row r="9197" customFormat="false" ht="15" hidden="true" customHeight="false" outlineLevel="0" collapsed="false">
      <c r="A9197" s="51" t="s">
        <v>515</v>
      </c>
      <c r="B9197" s="55" t="n">
        <v>45565</v>
      </c>
      <c r="C9197" s="51" t="s">
        <v>782</v>
      </c>
      <c r="D9197" s="51" t="n">
        <v>0</v>
      </c>
    </row>
    <row r="9198" customFormat="false" ht="15" hidden="true" customHeight="false" outlineLevel="0" collapsed="false">
      <c r="A9198" s="51" t="s">
        <v>520</v>
      </c>
      <c r="B9198" s="55" t="n">
        <v>45565</v>
      </c>
      <c r="C9198" s="51" t="s">
        <v>782</v>
      </c>
      <c r="D9198" s="51" t="n">
        <v>0</v>
      </c>
    </row>
    <row r="9199" customFormat="false" ht="15" hidden="true" customHeight="false" outlineLevel="0" collapsed="false">
      <c r="A9199" s="51" t="s">
        <v>525</v>
      </c>
      <c r="B9199" s="55" t="n">
        <v>45565</v>
      </c>
      <c r="C9199" s="51" t="s">
        <v>782</v>
      </c>
      <c r="D9199" s="51" t="n">
        <v>0</v>
      </c>
    </row>
    <row r="9200" customFormat="false" ht="15" hidden="true" customHeight="false" outlineLevel="0" collapsed="false">
      <c r="A9200" s="51" t="s">
        <v>531</v>
      </c>
      <c r="B9200" s="55" t="n">
        <v>45565</v>
      </c>
      <c r="C9200" s="51" t="s">
        <v>782</v>
      </c>
      <c r="D9200" s="51" t="n">
        <v>0</v>
      </c>
    </row>
    <row r="9201" customFormat="false" ht="15" hidden="true" customHeight="false" outlineLevel="0" collapsed="false">
      <c r="A9201" s="51" t="s">
        <v>536</v>
      </c>
      <c r="B9201" s="55" t="n">
        <v>45565</v>
      </c>
      <c r="C9201" s="51" t="s">
        <v>782</v>
      </c>
      <c r="D9201" s="51" t="n">
        <v>0</v>
      </c>
    </row>
    <row r="9202" customFormat="false" ht="15" hidden="true" customHeight="false" outlineLevel="0" collapsed="false">
      <c r="A9202" s="51" t="s">
        <v>541</v>
      </c>
      <c r="B9202" s="55" t="n">
        <v>45565</v>
      </c>
      <c r="C9202" s="51" t="s">
        <v>782</v>
      </c>
      <c r="D9202" s="51" t="n">
        <v>0</v>
      </c>
    </row>
    <row r="9203" customFormat="false" ht="15" hidden="true" customHeight="false" outlineLevel="0" collapsed="false">
      <c r="A9203" s="51" t="s">
        <v>549</v>
      </c>
      <c r="B9203" s="55" t="n">
        <v>45565</v>
      </c>
      <c r="C9203" s="51" t="s">
        <v>782</v>
      </c>
      <c r="D9203" s="51" t="n">
        <v>0</v>
      </c>
    </row>
    <row r="9204" customFormat="false" ht="15" hidden="true" customHeight="false" outlineLevel="0" collapsed="false">
      <c r="A9204" s="51" t="s">
        <v>554</v>
      </c>
      <c r="B9204" s="55" t="n">
        <v>45565</v>
      </c>
      <c r="C9204" s="51" t="s">
        <v>782</v>
      </c>
      <c r="D9204" s="51" t="n">
        <v>0</v>
      </c>
    </row>
    <row r="9205" customFormat="false" ht="15" hidden="true" customHeight="false" outlineLevel="0" collapsed="false">
      <c r="A9205" s="51" t="s">
        <v>559</v>
      </c>
      <c r="B9205" s="55" t="n">
        <v>45565</v>
      </c>
      <c r="C9205" s="51" t="s">
        <v>782</v>
      </c>
      <c r="D9205" s="51" t="n">
        <v>500000</v>
      </c>
    </row>
    <row r="9206" customFormat="false" ht="15" hidden="true" customHeight="false" outlineLevel="0" collapsed="false">
      <c r="A9206" s="51" t="s">
        <v>564</v>
      </c>
      <c r="B9206" s="55" t="n">
        <v>45565</v>
      </c>
      <c r="C9206" s="51" t="s">
        <v>782</v>
      </c>
      <c r="D9206" s="51" t="n">
        <v>600000</v>
      </c>
    </row>
    <row r="9207" customFormat="false" ht="15" hidden="true" customHeight="false" outlineLevel="0" collapsed="false">
      <c r="A9207" s="51" t="s">
        <v>569</v>
      </c>
      <c r="B9207" s="55" t="n">
        <v>45565</v>
      </c>
      <c r="C9207" s="51" t="s">
        <v>782</v>
      </c>
      <c r="D9207" s="51" t="n">
        <v>0</v>
      </c>
    </row>
    <row r="9208" customFormat="false" ht="15" hidden="true" customHeight="false" outlineLevel="0" collapsed="false">
      <c r="A9208" s="51" t="s">
        <v>574</v>
      </c>
      <c r="B9208" s="55" t="n">
        <v>45565</v>
      </c>
      <c r="C9208" s="51" t="s">
        <v>782</v>
      </c>
      <c r="D9208" s="51" t="n">
        <v>3500000</v>
      </c>
    </row>
    <row r="9209" customFormat="false" ht="15" hidden="true" customHeight="false" outlineLevel="0" collapsed="false">
      <c r="A9209" s="51" t="s">
        <v>579</v>
      </c>
      <c r="B9209" s="55" t="n">
        <v>45565</v>
      </c>
      <c r="C9209" s="51" t="s">
        <v>782</v>
      </c>
      <c r="D9209" s="51" t="n">
        <v>0</v>
      </c>
    </row>
    <row r="9210" customFormat="false" ht="15" hidden="true" customHeight="false" outlineLevel="0" collapsed="false">
      <c r="A9210" s="51" t="s">
        <v>584</v>
      </c>
      <c r="B9210" s="55" t="n">
        <v>45565</v>
      </c>
      <c r="C9210" s="51" t="s">
        <v>782</v>
      </c>
      <c r="D9210" s="51" t="n">
        <v>180000</v>
      </c>
    </row>
    <row r="9211" customFormat="false" ht="15" hidden="true" customHeight="false" outlineLevel="0" collapsed="false">
      <c r="A9211" s="51" t="s">
        <v>589</v>
      </c>
      <c r="B9211" s="55" t="n">
        <v>45565</v>
      </c>
      <c r="C9211" s="51" t="s">
        <v>782</v>
      </c>
      <c r="D9211" s="51" t="n">
        <v>9068273</v>
      </c>
    </row>
    <row r="9212" customFormat="false" ht="15" hidden="true" customHeight="false" outlineLevel="0" collapsed="false">
      <c r="A9212" s="51" t="s">
        <v>756</v>
      </c>
      <c r="B9212" s="55" t="n">
        <v>45565</v>
      </c>
      <c r="C9212" s="51" t="s">
        <v>782</v>
      </c>
      <c r="D9212" s="51" t="n">
        <v>588627</v>
      </c>
    </row>
    <row r="9213" customFormat="false" ht="15" hidden="true" customHeight="false" outlineLevel="0" collapsed="false">
      <c r="A9213" s="51" t="s">
        <v>594</v>
      </c>
      <c r="B9213" s="55" t="n">
        <v>45565</v>
      </c>
      <c r="C9213" s="51" t="s">
        <v>782</v>
      </c>
      <c r="D9213" s="51" t="n">
        <v>0</v>
      </c>
    </row>
    <row r="9214" customFormat="false" ht="15" hidden="true" customHeight="false" outlineLevel="0" collapsed="false">
      <c r="A9214" s="51" t="s">
        <v>761</v>
      </c>
      <c r="B9214" s="55" t="n">
        <v>45565</v>
      </c>
      <c r="C9214" s="51" t="s">
        <v>782</v>
      </c>
      <c r="D9214" s="51" t="n">
        <v>0</v>
      </c>
    </row>
    <row r="9215" customFormat="false" ht="15" hidden="true" customHeight="false" outlineLevel="0" collapsed="false">
      <c r="A9215" s="51" t="s">
        <v>599</v>
      </c>
      <c r="B9215" s="55" t="n">
        <v>45565</v>
      </c>
      <c r="C9215" s="51" t="s">
        <v>782</v>
      </c>
      <c r="D9215" s="51" t="n">
        <v>0</v>
      </c>
    </row>
    <row r="9216" customFormat="false" ht="15" hidden="true" customHeight="false" outlineLevel="0" collapsed="false">
      <c r="A9216" s="51" t="s">
        <v>604</v>
      </c>
      <c r="B9216" s="55" t="n">
        <v>45565</v>
      </c>
      <c r="C9216" s="51" t="s">
        <v>782</v>
      </c>
      <c r="D9216" s="51" t="n">
        <v>0</v>
      </c>
    </row>
    <row r="9217" customFormat="false" ht="15" hidden="true" customHeight="false" outlineLevel="0" collapsed="false">
      <c r="A9217" s="51" t="s">
        <v>609</v>
      </c>
      <c r="B9217" s="55" t="n">
        <v>45565</v>
      </c>
      <c r="C9217" s="51" t="s">
        <v>782</v>
      </c>
      <c r="D9217" s="51" t="n">
        <v>0</v>
      </c>
    </row>
    <row r="9218" customFormat="false" ht="15" hidden="true" customHeight="false" outlineLevel="0" collapsed="false">
      <c r="A9218" s="51" t="s">
        <v>614</v>
      </c>
      <c r="B9218" s="55" t="n">
        <v>45565</v>
      </c>
      <c r="C9218" s="51" t="s">
        <v>782</v>
      </c>
      <c r="D9218" s="51" t="n">
        <v>0</v>
      </c>
    </row>
    <row r="9219" customFormat="false" ht="15" hidden="true" customHeight="false" outlineLevel="0" collapsed="false">
      <c r="A9219" s="51" t="s">
        <v>619</v>
      </c>
      <c r="B9219" s="55" t="n">
        <v>45565</v>
      </c>
      <c r="C9219" s="51" t="s">
        <v>782</v>
      </c>
      <c r="D9219" s="51" t="n">
        <v>0</v>
      </c>
    </row>
    <row r="9220" customFormat="false" ht="15" hidden="true" customHeight="false" outlineLevel="0" collapsed="false">
      <c r="A9220" s="51" t="s">
        <v>624</v>
      </c>
      <c r="B9220" s="55" t="n">
        <v>45565</v>
      </c>
      <c r="C9220" s="51" t="s">
        <v>782</v>
      </c>
      <c r="D9220" s="51" t="n">
        <v>0</v>
      </c>
    </row>
    <row r="9221" customFormat="false" ht="15" hidden="true" customHeight="false" outlineLevel="0" collapsed="false">
      <c r="A9221" s="51" t="s">
        <v>629</v>
      </c>
      <c r="B9221" s="55" t="n">
        <v>45565</v>
      </c>
      <c r="C9221" s="51" t="s">
        <v>782</v>
      </c>
      <c r="D9221" s="51" t="n">
        <v>0</v>
      </c>
    </row>
    <row r="9222" customFormat="false" ht="15" hidden="true" customHeight="false" outlineLevel="0" collapsed="false">
      <c r="A9222" s="51" t="s">
        <v>633</v>
      </c>
      <c r="B9222" s="55" t="n">
        <v>45565</v>
      </c>
      <c r="C9222" s="51" t="s">
        <v>782</v>
      </c>
      <c r="D9222" s="51" t="n">
        <v>0</v>
      </c>
    </row>
    <row r="9223" customFormat="false" ht="15" hidden="true" customHeight="false" outlineLevel="0" collapsed="false">
      <c r="A9223" s="51" t="s">
        <v>638</v>
      </c>
      <c r="B9223" s="55" t="n">
        <v>45565</v>
      </c>
      <c r="C9223" s="51" t="s">
        <v>782</v>
      </c>
      <c r="D9223" s="51" t="n">
        <v>0</v>
      </c>
    </row>
    <row r="9224" customFormat="false" ht="15" hidden="true" customHeight="false" outlineLevel="0" collapsed="false">
      <c r="A9224" s="51" t="s">
        <v>642</v>
      </c>
      <c r="B9224" s="55" t="n">
        <v>45565</v>
      </c>
      <c r="C9224" s="51" t="s">
        <v>782</v>
      </c>
      <c r="D9224" s="51" t="n">
        <v>0</v>
      </c>
    </row>
    <row r="9225" customFormat="false" ht="15" hidden="true" customHeight="false" outlineLevel="0" collapsed="false">
      <c r="A9225" s="51" t="s">
        <v>646</v>
      </c>
      <c r="B9225" s="55" t="n">
        <v>45565</v>
      </c>
      <c r="C9225" s="51" t="s">
        <v>782</v>
      </c>
      <c r="D9225" s="51" t="n">
        <v>0</v>
      </c>
    </row>
    <row r="9226" customFormat="false" ht="15" hidden="true" customHeight="false" outlineLevel="0" collapsed="false">
      <c r="A9226" s="51" t="s">
        <v>651</v>
      </c>
      <c r="B9226" s="55" t="n">
        <v>45565</v>
      </c>
      <c r="C9226" s="51" t="s">
        <v>782</v>
      </c>
      <c r="D9226" s="51" t="n">
        <v>0</v>
      </c>
    </row>
    <row r="9227" customFormat="false" ht="15" hidden="true" customHeight="false" outlineLevel="0" collapsed="false">
      <c r="A9227" s="51" t="s">
        <v>656</v>
      </c>
      <c r="B9227" s="55" t="n">
        <v>45565</v>
      </c>
      <c r="C9227" s="51" t="s">
        <v>782</v>
      </c>
      <c r="D9227" s="51" t="n">
        <v>0</v>
      </c>
    </row>
    <row r="9228" customFormat="false" ht="15" hidden="true" customHeight="false" outlineLevel="0" collapsed="false">
      <c r="A9228" s="51" t="s">
        <v>661</v>
      </c>
      <c r="B9228" s="55" t="n">
        <v>45565</v>
      </c>
      <c r="C9228" s="51" t="s">
        <v>782</v>
      </c>
      <c r="D9228" s="51" t="n">
        <v>0</v>
      </c>
    </row>
    <row r="9229" customFormat="false" ht="15" hidden="true" customHeight="false" outlineLevel="0" collapsed="false">
      <c r="A9229" s="51" t="s">
        <v>666</v>
      </c>
      <c r="B9229" s="55" t="n">
        <v>45565</v>
      </c>
      <c r="C9229" s="51" t="s">
        <v>782</v>
      </c>
      <c r="D9229" s="51" t="n">
        <v>0</v>
      </c>
    </row>
    <row r="9230" customFormat="false" ht="15" hidden="true" customHeight="false" outlineLevel="0" collapsed="false">
      <c r="A9230" s="51" t="s">
        <v>671</v>
      </c>
      <c r="B9230" s="55" t="n">
        <v>45565</v>
      </c>
      <c r="C9230" s="51" t="s">
        <v>782</v>
      </c>
      <c r="D9230" s="51" t="n">
        <v>0</v>
      </c>
    </row>
    <row r="9231" customFormat="false" ht="15" hidden="true" customHeight="false" outlineLevel="0" collapsed="false">
      <c r="A9231" s="51" t="s">
        <v>676</v>
      </c>
      <c r="B9231" s="55" t="n">
        <v>45565</v>
      </c>
      <c r="C9231" s="51" t="s">
        <v>782</v>
      </c>
      <c r="D9231" s="51" t="n">
        <v>0</v>
      </c>
    </row>
    <row r="9232" customFormat="false" ht="15" hidden="true" customHeight="false" outlineLevel="0" collapsed="false">
      <c r="A9232" s="51" t="s">
        <v>681</v>
      </c>
      <c r="B9232" s="55" t="n">
        <v>45565</v>
      </c>
      <c r="C9232" s="51" t="s">
        <v>782</v>
      </c>
      <c r="D9232" s="51" t="n">
        <v>0</v>
      </c>
    </row>
    <row r="9233" customFormat="false" ht="15" hidden="true" customHeight="false" outlineLevel="0" collapsed="false">
      <c r="A9233" s="51" t="s">
        <v>686</v>
      </c>
      <c r="B9233" s="55" t="n">
        <v>45565</v>
      </c>
      <c r="C9233" s="51" t="s">
        <v>782</v>
      </c>
      <c r="D9233" s="51" t="n">
        <v>0</v>
      </c>
    </row>
    <row r="9234" customFormat="false" ht="15" hidden="true" customHeight="false" outlineLevel="0" collapsed="false">
      <c r="A9234" s="51" t="s">
        <v>691</v>
      </c>
      <c r="B9234" s="55" t="n">
        <v>45565</v>
      </c>
      <c r="C9234" s="51" t="s">
        <v>782</v>
      </c>
      <c r="D9234" s="51" t="n">
        <v>0</v>
      </c>
    </row>
    <row r="9235" customFormat="false" ht="15" hidden="true" customHeight="false" outlineLevel="0" collapsed="false">
      <c r="A9235" s="51" t="s">
        <v>696</v>
      </c>
      <c r="B9235" s="55" t="n">
        <v>45565</v>
      </c>
      <c r="C9235" s="51" t="s">
        <v>782</v>
      </c>
      <c r="D9235" s="51" t="n">
        <v>0</v>
      </c>
    </row>
    <row r="9236" customFormat="false" ht="15" hidden="true" customHeight="false" outlineLevel="0" collapsed="false">
      <c r="A9236" s="51" t="s">
        <v>701</v>
      </c>
      <c r="B9236" s="55" t="n">
        <v>45565</v>
      </c>
      <c r="C9236" s="51" t="s">
        <v>782</v>
      </c>
      <c r="D9236" s="51" t="n">
        <v>0</v>
      </c>
    </row>
    <row r="9237" customFormat="false" ht="15" hidden="true" customHeight="false" outlineLevel="0" collapsed="false">
      <c r="A9237" s="51" t="s">
        <v>707</v>
      </c>
      <c r="B9237" s="55" t="n">
        <v>45565</v>
      </c>
      <c r="C9237" s="51" t="s">
        <v>782</v>
      </c>
      <c r="D9237" s="51" t="n">
        <v>0</v>
      </c>
    </row>
    <row r="9238" customFormat="false" ht="15" hidden="true" customHeight="false" outlineLevel="0" collapsed="false">
      <c r="A9238" s="51" t="s">
        <v>712</v>
      </c>
      <c r="B9238" s="55" t="n">
        <v>45565</v>
      </c>
      <c r="C9238" s="51" t="s">
        <v>782</v>
      </c>
      <c r="D9238" s="51" t="n">
        <v>0</v>
      </c>
    </row>
    <row r="9239" customFormat="false" ht="15" hidden="true" customHeight="false" outlineLevel="0" collapsed="false">
      <c r="A9239" s="51" t="s">
        <v>717</v>
      </c>
      <c r="B9239" s="55" t="n">
        <v>45565</v>
      </c>
      <c r="C9239" s="51" t="s">
        <v>782</v>
      </c>
      <c r="D9239" s="51" t="n">
        <v>0</v>
      </c>
    </row>
    <row r="9240" customFormat="false" ht="15" hidden="true" customHeight="false" outlineLevel="0" collapsed="false">
      <c r="A9240" s="51" t="s">
        <v>767</v>
      </c>
      <c r="B9240" s="55" t="n">
        <v>45565</v>
      </c>
      <c r="C9240" s="51" t="s">
        <v>782</v>
      </c>
      <c r="D9240" s="51" t="n">
        <v>0</v>
      </c>
    </row>
    <row r="9241" customFormat="false" ht="15" hidden="true" customHeight="false" outlineLevel="0" collapsed="false">
      <c r="A9241" s="51" t="s">
        <v>722</v>
      </c>
      <c r="B9241" s="55" t="n">
        <v>45565</v>
      </c>
      <c r="C9241" s="51" t="s">
        <v>782</v>
      </c>
      <c r="D9241" s="51" t="n">
        <v>0</v>
      </c>
    </row>
    <row r="9242" customFormat="false" ht="15" hidden="true" customHeight="false" outlineLevel="0" collapsed="false">
      <c r="A9242" s="51" t="s">
        <v>727</v>
      </c>
      <c r="B9242" s="55" t="n">
        <v>45565</v>
      </c>
      <c r="C9242" s="51" t="s">
        <v>782</v>
      </c>
      <c r="D9242" s="51" t="n">
        <v>0</v>
      </c>
    </row>
    <row r="9243" customFormat="false" ht="15" hidden="true" customHeight="false" outlineLevel="0" collapsed="false">
      <c r="A9243" s="51" t="s">
        <v>732</v>
      </c>
      <c r="B9243" s="55" t="n">
        <v>45565</v>
      </c>
      <c r="C9243" s="51" t="s">
        <v>782</v>
      </c>
      <c r="D9243" s="51" t="n">
        <v>0</v>
      </c>
    </row>
    <row r="9244" customFormat="false" ht="15" hidden="true" customHeight="false" outlineLevel="0" collapsed="false">
      <c r="A9244" s="51" t="s">
        <v>736</v>
      </c>
      <c r="B9244" s="55" t="n">
        <v>45565</v>
      </c>
      <c r="C9244" s="51" t="s">
        <v>782</v>
      </c>
      <c r="D9244" s="51" t="n">
        <v>0</v>
      </c>
    </row>
    <row r="9245" customFormat="false" ht="15" hidden="true" customHeight="false" outlineLevel="0" collapsed="false">
      <c r="A9245" s="51" t="s">
        <v>741</v>
      </c>
      <c r="B9245" s="55" t="n">
        <v>45565</v>
      </c>
      <c r="C9245" s="51" t="s">
        <v>782</v>
      </c>
      <c r="D9245" s="51" t="n">
        <v>0</v>
      </c>
    </row>
    <row r="9246" customFormat="false" ht="15" hidden="true" customHeight="false" outlineLevel="0" collapsed="false">
      <c r="A9246" s="51" t="s">
        <v>746</v>
      </c>
      <c r="B9246" s="55" t="n">
        <v>45565</v>
      </c>
      <c r="C9246" s="51" t="s">
        <v>782</v>
      </c>
      <c r="D9246" s="51" t="n">
        <v>0</v>
      </c>
    </row>
    <row r="9247" customFormat="false" ht="15" hidden="true" customHeight="false" outlineLevel="0" collapsed="false">
      <c r="A9247" s="51" t="s">
        <v>751</v>
      </c>
      <c r="B9247" s="55" t="n">
        <v>45565</v>
      </c>
      <c r="C9247" s="51" t="s">
        <v>782</v>
      </c>
      <c r="D9247" s="51" t="n">
        <v>0</v>
      </c>
    </row>
    <row r="9248" customFormat="false" ht="15" hidden="false" customHeight="false" outlineLevel="0" collapsed="false">
      <c r="A9248" s="51" t="s">
        <v>781</v>
      </c>
      <c r="B9248" s="55" t="n">
        <v>45565</v>
      </c>
      <c r="C9248" s="51" t="s">
        <v>82</v>
      </c>
      <c r="D9248" s="51" t="n">
        <v>0</v>
      </c>
    </row>
    <row r="9249" customFormat="false" ht="15" hidden="true" customHeight="false" outlineLevel="0" collapsed="false">
      <c r="A9249" s="51" t="s">
        <v>783</v>
      </c>
      <c r="B9249" s="55" t="n">
        <v>45565</v>
      </c>
      <c r="C9249" s="51" t="s">
        <v>82</v>
      </c>
      <c r="D9249" s="51" t="n">
        <v>0</v>
      </c>
    </row>
    <row r="9250" customFormat="false" ht="15" hidden="true" customHeight="false" outlineLevel="0" collapsed="false">
      <c r="A9250" s="51" t="s">
        <v>96</v>
      </c>
      <c r="B9250" s="55" t="n">
        <v>45565</v>
      </c>
      <c r="C9250" s="51" t="s">
        <v>82</v>
      </c>
      <c r="D9250" s="51" t="n">
        <v>0</v>
      </c>
    </row>
    <row r="9251" customFormat="false" ht="15" hidden="true" customHeight="false" outlineLevel="0" collapsed="false">
      <c r="A9251" s="51" t="s">
        <v>101</v>
      </c>
      <c r="B9251" s="55" t="n">
        <v>45565</v>
      </c>
      <c r="C9251" s="51" t="s">
        <v>82</v>
      </c>
      <c r="D9251" s="51" t="n">
        <v>0</v>
      </c>
    </row>
    <row r="9252" customFormat="false" ht="15" hidden="true" customHeight="false" outlineLevel="0" collapsed="false">
      <c r="A9252" s="51" t="s">
        <v>106</v>
      </c>
      <c r="B9252" s="55" t="n">
        <v>45565</v>
      </c>
      <c r="C9252" s="51" t="s">
        <v>82</v>
      </c>
      <c r="D9252" s="51" t="n">
        <v>0</v>
      </c>
    </row>
    <row r="9253" customFormat="false" ht="15" hidden="true" customHeight="false" outlineLevel="0" collapsed="false">
      <c r="A9253" s="51" t="s">
        <v>110</v>
      </c>
      <c r="B9253" s="55" t="n">
        <v>45565</v>
      </c>
      <c r="C9253" s="51" t="s">
        <v>82</v>
      </c>
      <c r="D9253" s="51" t="n">
        <v>0</v>
      </c>
    </row>
    <row r="9254" customFormat="false" ht="15" hidden="true" customHeight="false" outlineLevel="0" collapsed="false">
      <c r="A9254" s="51" t="s">
        <v>115</v>
      </c>
      <c r="B9254" s="55" t="n">
        <v>45565</v>
      </c>
      <c r="C9254" s="51" t="s">
        <v>82</v>
      </c>
      <c r="D9254" s="51" t="n">
        <v>0</v>
      </c>
    </row>
    <row r="9255" customFormat="false" ht="15" hidden="true" customHeight="false" outlineLevel="0" collapsed="false">
      <c r="A9255" s="51" t="s">
        <v>120</v>
      </c>
      <c r="B9255" s="55" t="n">
        <v>45565</v>
      </c>
      <c r="C9255" s="51" t="s">
        <v>82</v>
      </c>
      <c r="D9255" s="51" t="n">
        <v>0</v>
      </c>
    </row>
    <row r="9256" customFormat="false" ht="15" hidden="true" customHeight="false" outlineLevel="0" collapsed="false">
      <c r="A9256" s="51" t="s">
        <v>124</v>
      </c>
      <c r="B9256" s="55" t="n">
        <v>45565</v>
      </c>
      <c r="C9256" s="51" t="s">
        <v>82</v>
      </c>
      <c r="D9256" s="51" t="n">
        <v>0</v>
      </c>
    </row>
    <row r="9257" customFormat="false" ht="15" hidden="true" customHeight="false" outlineLevel="0" collapsed="false">
      <c r="A9257" s="51" t="s">
        <v>129</v>
      </c>
      <c r="B9257" s="55" t="n">
        <v>45565</v>
      </c>
      <c r="C9257" s="51" t="s">
        <v>82</v>
      </c>
      <c r="D9257" s="51" t="n">
        <v>0</v>
      </c>
    </row>
    <row r="9258" customFormat="false" ht="15" hidden="true" customHeight="false" outlineLevel="0" collapsed="false">
      <c r="A9258" s="51" t="s">
        <v>134</v>
      </c>
      <c r="B9258" s="55" t="n">
        <v>45565</v>
      </c>
      <c r="C9258" s="51" t="s">
        <v>82</v>
      </c>
      <c r="D9258" s="51" t="n">
        <v>0</v>
      </c>
    </row>
    <row r="9259" customFormat="false" ht="15" hidden="true" customHeight="false" outlineLevel="0" collapsed="false">
      <c r="A9259" s="51" t="s">
        <v>141</v>
      </c>
      <c r="B9259" s="55" t="n">
        <v>45565</v>
      </c>
      <c r="C9259" s="51" t="s">
        <v>82</v>
      </c>
      <c r="D9259" s="51" t="n">
        <v>0</v>
      </c>
    </row>
    <row r="9260" customFormat="false" ht="15" hidden="true" customHeight="false" outlineLevel="0" collapsed="false">
      <c r="A9260" s="51" t="s">
        <v>146</v>
      </c>
      <c r="B9260" s="55" t="n">
        <v>45565</v>
      </c>
      <c r="C9260" s="51" t="s">
        <v>82</v>
      </c>
      <c r="D9260" s="51" t="n">
        <v>0</v>
      </c>
    </row>
    <row r="9261" customFormat="false" ht="15" hidden="true" customHeight="false" outlineLevel="0" collapsed="false">
      <c r="A9261" s="51" t="s">
        <v>151</v>
      </c>
      <c r="B9261" s="55" t="n">
        <v>45565</v>
      </c>
      <c r="C9261" s="51" t="s">
        <v>82</v>
      </c>
      <c r="D9261" s="51" t="n">
        <v>0</v>
      </c>
    </row>
    <row r="9262" customFormat="false" ht="15" hidden="true" customHeight="false" outlineLevel="0" collapsed="false">
      <c r="A9262" s="51" t="s">
        <v>156</v>
      </c>
      <c r="B9262" s="55" t="n">
        <v>45565</v>
      </c>
      <c r="C9262" s="51" t="s">
        <v>82</v>
      </c>
      <c r="D9262" s="51" t="n">
        <v>0</v>
      </c>
    </row>
    <row r="9263" customFormat="false" ht="15" hidden="true" customHeight="false" outlineLevel="0" collapsed="false">
      <c r="A9263" s="51" t="s">
        <v>161</v>
      </c>
      <c r="B9263" s="55" t="n">
        <v>45565</v>
      </c>
      <c r="C9263" s="51" t="s">
        <v>82</v>
      </c>
      <c r="D9263" s="51" t="n">
        <v>0</v>
      </c>
    </row>
    <row r="9264" customFormat="false" ht="15" hidden="true" customHeight="false" outlineLevel="0" collapsed="false">
      <c r="A9264" s="51" t="s">
        <v>166</v>
      </c>
      <c r="B9264" s="55" t="n">
        <v>45565</v>
      </c>
      <c r="C9264" s="51" t="s">
        <v>82</v>
      </c>
      <c r="D9264" s="51" t="n">
        <v>0</v>
      </c>
    </row>
    <row r="9265" customFormat="false" ht="15" hidden="true" customHeight="false" outlineLevel="0" collapsed="false">
      <c r="A9265" s="51" t="s">
        <v>171</v>
      </c>
      <c r="B9265" s="55" t="n">
        <v>45565</v>
      </c>
      <c r="C9265" s="51" t="s">
        <v>82</v>
      </c>
      <c r="D9265" s="51" t="n">
        <v>0</v>
      </c>
    </row>
    <row r="9266" customFormat="false" ht="15" hidden="true" customHeight="false" outlineLevel="0" collapsed="false">
      <c r="A9266" s="51" t="s">
        <v>176</v>
      </c>
      <c r="B9266" s="55" t="n">
        <v>45565</v>
      </c>
      <c r="C9266" s="51" t="s">
        <v>82</v>
      </c>
      <c r="D9266" s="51" t="n">
        <v>0</v>
      </c>
    </row>
    <row r="9267" customFormat="false" ht="15" hidden="true" customHeight="false" outlineLevel="0" collapsed="false">
      <c r="A9267" s="51" t="s">
        <v>181</v>
      </c>
      <c r="B9267" s="55" t="n">
        <v>45565</v>
      </c>
      <c r="C9267" s="51" t="s">
        <v>82</v>
      </c>
      <c r="D9267" s="51" t="n">
        <v>0</v>
      </c>
    </row>
    <row r="9268" customFormat="false" ht="15" hidden="true" customHeight="false" outlineLevel="0" collapsed="false">
      <c r="A9268" s="51" t="s">
        <v>186</v>
      </c>
      <c r="B9268" s="55" t="n">
        <v>45565</v>
      </c>
      <c r="C9268" s="51" t="s">
        <v>82</v>
      </c>
      <c r="D9268" s="51" t="n">
        <v>0</v>
      </c>
    </row>
    <row r="9269" customFormat="false" ht="15" hidden="true" customHeight="false" outlineLevel="0" collapsed="false">
      <c r="A9269" s="51" t="s">
        <v>191</v>
      </c>
      <c r="B9269" s="55" t="n">
        <v>45565</v>
      </c>
      <c r="C9269" s="51" t="s">
        <v>82</v>
      </c>
      <c r="D9269" s="51" t="n">
        <v>0</v>
      </c>
    </row>
    <row r="9270" customFormat="false" ht="15" hidden="true" customHeight="false" outlineLevel="0" collapsed="false">
      <c r="A9270" s="51" t="s">
        <v>196</v>
      </c>
      <c r="B9270" s="55" t="n">
        <v>45565</v>
      </c>
      <c r="C9270" s="51" t="s">
        <v>82</v>
      </c>
      <c r="D9270" s="51" t="n">
        <v>0</v>
      </c>
    </row>
    <row r="9271" customFormat="false" ht="15" hidden="true" customHeight="false" outlineLevel="0" collapsed="false">
      <c r="A9271" s="51" t="s">
        <v>201</v>
      </c>
      <c r="B9271" s="55" t="n">
        <v>45565</v>
      </c>
      <c r="C9271" s="51" t="s">
        <v>82</v>
      </c>
      <c r="D9271" s="51" t="n">
        <v>0</v>
      </c>
    </row>
    <row r="9272" customFormat="false" ht="15" hidden="true" customHeight="false" outlineLevel="0" collapsed="false">
      <c r="A9272" s="51" t="s">
        <v>206</v>
      </c>
      <c r="B9272" s="55" t="n">
        <v>45565</v>
      </c>
      <c r="C9272" s="51" t="s">
        <v>82</v>
      </c>
      <c r="D9272" s="51" t="n">
        <v>0</v>
      </c>
    </row>
    <row r="9273" customFormat="false" ht="15" hidden="true" customHeight="false" outlineLevel="0" collapsed="false">
      <c r="A9273" s="51" t="s">
        <v>210</v>
      </c>
      <c r="B9273" s="55" t="n">
        <v>45565</v>
      </c>
      <c r="C9273" s="51" t="s">
        <v>82</v>
      </c>
      <c r="D9273" s="51" t="n">
        <v>0</v>
      </c>
    </row>
    <row r="9274" customFormat="false" ht="15" hidden="true" customHeight="false" outlineLevel="0" collapsed="false">
      <c r="A9274" s="51" t="s">
        <v>215</v>
      </c>
      <c r="B9274" s="55" t="n">
        <v>45565</v>
      </c>
      <c r="C9274" s="51" t="s">
        <v>82</v>
      </c>
      <c r="D9274" s="51" t="n">
        <v>0</v>
      </c>
    </row>
    <row r="9275" customFormat="false" ht="15" hidden="true" customHeight="false" outlineLevel="0" collapsed="false">
      <c r="A9275" s="51" t="s">
        <v>790</v>
      </c>
      <c r="B9275" s="55" t="n">
        <v>45565</v>
      </c>
      <c r="C9275" s="51" t="s">
        <v>82</v>
      </c>
      <c r="D9275" s="51" t="n">
        <v>0</v>
      </c>
    </row>
    <row r="9276" customFormat="false" ht="15" hidden="true" customHeight="false" outlineLevel="0" collapsed="false">
      <c r="A9276" s="51" t="s">
        <v>225</v>
      </c>
      <c r="B9276" s="55" t="n">
        <v>45565</v>
      </c>
      <c r="C9276" s="51" t="s">
        <v>82</v>
      </c>
      <c r="D9276" s="51" t="n">
        <v>0</v>
      </c>
    </row>
    <row r="9277" customFormat="false" ht="15" hidden="true" customHeight="false" outlineLevel="0" collapsed="false">
      <c r="A9277" s="51" t="s">
        <v>230</v>
      </c>
      <c r="B9277" s="55" t="n">
        <v>45565</v>
      </c>
      <c r="C9277" s="51" t="s">
        <v>82</v>
      </c>
      <c r="D9277" s="51" t="n">
        <v>0</v>
      </c>
    </row>
    <row r="9278" customFormat="false" ht="15" hidden="true" customHeight="false" outlineLevel="0" collapsed="false">
      <c r="A9278" s="51" t="s">
        <v>235</v>
      </c>
      <c r="B9278" s="55" t="n">
        <v>45565</v>
      </c>
      <c r="C9278" s="51" t="s">
        <v>82</v>
      </c>
      <c r="D9278" s="51" t="n">
        <v>0</v>
      </c>
    </row>
    <row r="9279" customFormat="false" ht="15" hidden="true" customHeight="false" outlineLevel="0" collapsed="false">
      <c r="A9279" s="51" t="s">
        <v>240</v>
      </c>
      <c r="B9279" s="55" t="n">
        <v>45565</v>
      </c>
      <c r="C9279" s="51" t="s">
        <v>82</v>
      </c>
      <c r="D9279" s="51" t="n">
        <v>0</v>
      </c>
    </row>
    <row r="9280" customFormat="false" ht="15" hidden="true" customHeight="false" outlineLevel="0" collapsed="false">
      <c r="A9280" s="51" t="s">
        <v>246</v>
      </c>
      <c r="B9280" s="55" t="n">
        <v>45565</v>
      </c>
      <c r="C9280" s="51" t="s">
        <v>82</v>
      </c>
      <c r="D9280" s="51" t="n">
        <v>0</v>
      </c>
    </row>
    <row r="9281" customFormat="false" ht="15" hidden="true" customHeight="false" outlineLevel="0" collapsed="false">
      <c r="A9281" s="51" t="s">
        <v>252</v>
      </c>
      <c r="B9281" s="55" t="n">
        <v>45565</v>
      </c>
      <c r="C9281" s="51" t="s">
        <v>82</v>
      </c>
      <c r="D9281" s="51" t="n">
        <v>0</v>
      </c>
    </row>
    <row r="9282" customFormat="false" ht="15" hidden="true" customHeight="false" outlineLevel="0" collapsed="false">
      <c r="A9282" s="51" t="s">
        <v>257</v>
      </c>
      <c r="B9282" s="55" t="n">
        <v>45565</v>
      </c>
      <c r="C9282" s="51" t="s">
        <v>82</v>
      </c>
      <c r="D9282" s="51" t="n">
        <v>0</v>
      </c>
    </row>
    <row r="9283" customFormat="false" ht="15" hidden="true" customHeight="false" outlineLevel="0" collapsed="false">
      <c r="A9283" s="51" t="s">
        <v>262</v>
      </c>
      <c r="B9283" s="55" t="n">
        <v>45565</v>
      </c>
      <c r="C9283" s="51" t="s">
        <v>82</v>
      </c>
      <c r="D9283" s="51" t="n">
        <v>0</v>
      </c>
    </row>
    <row r="9284" customFormat="false" ht="15" hidden="true" customHeight="false" outlineLevel="0" collapsed="false">
      <c r="A9284" s="51" t="s">
        <v>267</v>
      </c>
      <c r="B9284" s="55" t="n">
        <v>45565</v>
      </c>
      <c r="C9284" s="51" t="s">
        <v>82</v>
      </c>
      <c r="D9284" s="51" t="n">
        <v>0</v>
      </c>
    </row>
    <row r="9285" customFormat="false" ht="15" hidden="true" customHeight="false" outlineLevel="0" collapsed="false">
      <c r="A9285" s="51" t="s">
        <v>272</v>
      </c>
      <c r="B9285" s="55" t="n">
        <v>45565</v>
      </c>
      <c r="C9285" s="51" t="s">
        <v>82</v>
      </c>
      <c r="D9285" s="51" t="n">
        <v>0</v>
      </c>
    </row>
    <row r="9286" customFormat="false" ht="15" hidden="true" customHeight="false" outlineLevel="0" collapsed="false">
      <c r="A9286" s="51" t="s">
        <v>277</v>
      </c>
      <c r="B9286" s="55" t="n">
        <v>45565</v>
      </c>
      <c r="C9286" s="51" t="s">
        <v>82</v>
      </c>
      <c r="D9286" s="51" t="n">
        <v>0</v>
      </c>
    </row>
    <row r="9287" customFormat="false" ht="15" hidden="true" customHeight="false" outlineLevel="0" collapsed="false">
      <c r="A9287" s="51" t="s">
        <v>282</v>
      </c>
      <c r="B9287" s="55" t="n">
        <v>45565</v>
      </c>
      <c r="C9287" s="51" t="s">
        <v>82</v>
      </c>
      <c r="D9287" s="51" t="n">
        <v>0</v>
      </c>
    </row>
    <row r="9288" customFormat="false" ht="15" hidden="true" customHeight="false" outlineLevel="0" collapsed="false">
      <c r="A9288" s="51" t="s">
        <v>287</v>
      </c>
      <c r="B9288" s="55" t="n">
        <v>45565</v>
      </c>
      <c r="C9288" s="51" t="s">
        <v>82</v>
      </c>
      <c r="D9288" s="51" t="n">
        <v>0</v>
      </c>
    </row>
    <row r="9289" customFormat="false" ht="15" hidden="true" customHeight="false" outlineLevel="0" collapsed="false">
      <c r="A9289" s="51" t="s">
        <v>292</v>
      </c>
      <c r="B9289" s="55" t="n">
        <v>45565</v>
      </c>
      <c r="C9289" s="51" t="s">
        <v>82</v>
      </c>
      <c r="D9289" s="51" t="n">
        <v>0</v>
      </c>
    </row>
    <row r="9290" customFormat="false" ht="15" hidden="true" customHeight="false" outlineLevel="0" collapsed="false">
      <c r="A9290" s="51" t="s">
        <v>297</v>
      </c>
      <c r="B9290" s="55" t="n">
        <v>45565</v>
      </c>
      <c r="C9290" s="51" t="s">
        <v>82</v>
      </c>
      <c r="D9290" s="51" t="n">
        <v>0</v>
      </c>
    </row>
    <row r="9291" customFormat="false" ht="15" hidden="true" customHeight="false" outlineLevel="0" collapsed="false">
      <c r="A9291" s="51" t="s">
        <v>302</v>
      </c>
      <c r="B9291" s="55" t="n">
        <v>45565</v>
      </c>
      <c r="C9291" s="51" t="s">
        <v>82</v>
      </c>
      <c r="D9291" s="51" t="n">
        <v>0</v>
      </c>
    </row>
    <row r="9292" customFormat="false" ht="15" hidden="true" customHeight="false" outlineLevel="0" collapsed="false">
      <c r="A9292" s="51" t="s">
        <v>307</v>
      </c>
      <c r="B9292" s="55" t="n">
        <v>45565</v>
      </c>
      <c r="C9292" s="51" t="s">
        <v>82</v>
      </c>
      <c r="D9292" s="51" t="n">
        <v>0</v>
      </c>
    </row>
    <row r="9293" customFormat="false" ht="15" hidden="true" customHeight="false" outlineLevel="0" collapsed="false">
      <c r="A9293" s="51" t="s">
        <v>311</v>
      </c>
      <c r="B9293" s="55" t="n">
        <v>45565</v>
      </c>
      <c r="C9293" s="51" t="s">
        <v>82</v>
      </c>
      <c r="D9293" s="51" t="n">
        <v>0</v>
      </c>
    </row>
    <row r="9294" customFormat="false" ht="15" hidden="true" customHeight="false" outlineLevel="0" collapsed="false">
      <c r="A9294" s="51" t="s">
        <v>317</v>
      </c>
      <c r="B9294" s="55" t="n">
        <v>45565</v>
      </c>
      <c r="C9294" s="51" t="s">
        <v>82</v>
      </c>
      <c r="D9294" s="51" t="n">
        <v>0</v>
      </c>
    </row>
    <row r="9295" customFormat="false" ht="15" hidden="true" customHeight="false" outlineLevel="0" collapsed="false">
      <c r="A9295" s="51" t="s">
        <v>322</v>
      </c>
      <c r="B9295" s="55" t="n">
        <v>45565</v>
      </c>
      <c r="C9295" s="51" t="s">
        <v>82</v>
      </c>
      <c r="D9295" s="51" t="n">
        <v>0</v>
      </c>
    </row>
    <row r="9296" customFormat="false" ht="15" hidden="true" customHeight="false" outlineLevel="0" collapsed="false">
      <c r="A9296" s="51" t="s">
        <v>327</v>
      </c>
      <c r="B9296" s="55" t="n">
        <v>45565</v>
      </c>
      <c r="C9296" s="51" t="s">
        <v>82</v>
      </c>
      <c r="D9296" s="51" t="n">
        <v>0</v>
      </c>
    </row>
    <row r="9297" customFormat="false" ht="15" hidden="true" customHeight="false" outlineLevel="0" collapsed="false">
      <c r="A9297" s="51" t="s">
        <v>332</v>
      </c>
      <c r="B9297" s="55" t="n">
        <v>45565</v>
      </c>
      <c r="C9297" s="51" t="s">
        <v>82</v>
      </c>
      <c r="D9297" s="51" t="n">
        <v>0</v>
      </c>
    </row>
    <row r="9298" customFormat="false" ht="15" hidden="true" customHeight="false" outlineLevel="0" collapsed="false">
      <c r="A9298" s="51" t="s">
        <v>339</v>
      </c>
      <c r="B9298" s="55" t="n">
        <v>45565</v>
      </c>
      <c r="C9298" s="51" t="s">
        <v>82</v>
      </c>
      <c r="D9298" s="51" t="n">
        <v>0</v>
      </c>
    </row>
    <row r="9299" customFormat="false" ht="15" hidden="true" customHeight="false" outlineLevel="0" collapsed="false">
      <c r="A9299" s="51" t="s">
        <v>344</v>
      </c>
      <c r="B9299" s="55" t="n">
        <v>45565</v>
      </c>
      <c r="C9299" s="51" t="s">
        <v>82</v>
      </c>
      <c r="D9299" s="51" t="n">
        <v>0</v>
      </c>
    </row>
    <row r="9300" customFormat="false" ht="15" hidden="true" customHeight="false" outlineLevel="0" collapsed="false">
      <c r="A9300" s="51" t="s">
        <v>349</v>
      </c>
      <c r="B9300" s="55" t="n">
        <v>45565</v>
      </c>
      <c r="C9300" s="51" t="s">
        <v>82</v>
      </c>
      <c r="D9300" s="51" t="n">
        <v>0</v>
      </c>
    </row>
    <row r="9301" customFormat="false" ht="15" hidden="true" customHeight="false" outlineLevel="0" collapsed="false">
      <c r="A9301" s="51" t="s">
        <v>354</v>
      </c>
      <c r="B9301" s="55" t="n">
        <v>45565</v>
      </c>
      <c r="C9301" s="51" t="s">
        <v>82</v>
      </c>
      <c r="D9301" s="51" t="n">
        <v>0</v>
      </c>
    </row>
    <row r="9302" customFormat="false" ht="15" hidden="true" customHeight="false" outlineLevel="0" collapsed="false">
      <c r="A9302" s="51" t="s">
        <v>359</v>
      </c>
      <c r="B9302" s="55" t="n">
        <v>45565</v>
      </c>
      <c r="C9302" s="51" t="s">
        <v>82</v>
      </c>
      <c r="D9302" s="51" t="n">
        <v>0</v>
      </c>
    </row>
    <row r="9303" customFormat="false" ht="15" hidden="true" customHeight="false" outlineLevel="0" collapsed="false">
      <c r="A9303" s="51" t="s">
        <v>364</v>
      </c>
      <c r="B9303" s="55" t="n">
        <v>45565</v>
      </c>
      <c r="C9303" s="51" t="s">
        <v>82</v>
      </c>
      <c r="D9303" s="51" t="n">
        <v>0</v>
      </c>
    </row>
    <row r="9304" customFormat="false" ht="15" hidden="true" customHeight="false" outlineLevel="0" collapsed="false">
      <c r="A9304" s="51" t="s">
        <v>369</v>
      </c>
      <c r="B9304" s="55" t="n">
        <v>45565</v>
      </c>
      <c r="C9304" s="51" t="s">
        <v>82</v>
      </c>
      <c r="D9304" s="51" t="n">
        <v>0</v>
      </c>
    </row>
    <row r="9305" customFormat="false" ht="15" hidden="true" customHeight="false" outlineLevel="0" collapsed="false">
      <c r="A9305" s="51" t="s">
        <v>374</v>
      </c>
      <c r="B9305" s="55" t="n">
        <v>45565</v>
      </c>
      <c r="C9305" s="51" t="s">
        <v>82</v>
      </c>
      <c r="D9305" s="51" t="n">
        <v>0</v>
      </c>
    </row>
    <row r="9306" customFormat="false" ht="15" hidden="true" customHeight="false" outlineLevel="0" collapsed="false">
      <c r="A9306" s="51" t="s">
        <v>379</v>
      </c>
      <c r="B9306" s="55" t="n">
        <v>45565</v>
      </c>
      <c r="C9306" s="51" t="s">
        <v>82</v>
      </c>
      <c r="D9306" s="51" t="n">
        <v>0</v>
      </c>
    </row>
    <row r="9307" customFormat="false" ht="15" hidden="true" customHeight="false" outlineLevel="0" collapsed="false">
      <c r="A9307" s="51" t="s">
        <v>384</v>
      </c>
      <c r="B9307" s="55" t="n">
        <v>45565</v>
      </c>
      <c r="C9307" s="51" t="s">
        <v>82</v>
      </c>
      <c r="D9307" s="51" t="n">
        <v>0</v>
      </c>
    </row>
    <row r="9308" customFormat="false" ht="15" hidden="true" customHeight="false" outlineLevel="0" collapsed="false">
      <c r="A9308" s="51" t="s">
        <v>389</v>
      </c>
      <c r="B9308" s="55" t="n">
        <v>45565</v>
      </c>
      <c r="C9308" s="51" t="s">
        <v>82</v>
      </c>
      <c r="D9308" s="51" t="n">
        <v>0</v>
      </c>
    </row>
    <row r="9309" customFormat="false" ht="15" hidden="true" customHeight="false" outlineLevel="0" collapsed="false">
      <c r="A9309" s="51" t="s">
        <v>394</v>
      </c>
      <c r="B9309" s="55" t="n">
        <v>45565</v>
      </c>
      <c r="C9309" s="51" t="s">
        <v>82</v>
      </c>
      <c r="D9309" s="51" t="n">
        <v>0</v>
      </c>
    </row>
    <row r="9310" customFormat="false" ht="15" hidden="true" customHeight="false" outlineLevel="0" collapsed="false">
      <c r="A9310" s="51" t="s">
        <v>399</v>
      </c>
      <c r="B9310" s="55" t="n">
        <v>45565</v>
      </c>
      <c r="C9310" s="51" t="s">
        <v>82</v>
      </c>
      <c r="D9310" s="51" t="n">
        <v>0</v>
      </c>
    </row>
    <row r="9311" customFormat="false" ht="15" hidden="true" customHeight="false" outlineLevel="0" collapsed="false">
      <c r="A9311" s="51" t="s">
        <v>404</v>
      </c>
      <c r="B9311" s="55" t="n">
        <v>45565</v>
      </c>
      <c r="C9311" s="51" t="s">
        <v>82</v>
      </c>
      <c r="D9311" s="51" t="n">
        <v>0</v>
      </c>
    </row>
    <row r="9312" customFormat="false" ht="15" hidden="true" customHeight="false" outlineLevel="0" collapsed="false">
      <c r="A9312" s="51" t="s">
        <v>409</v>
      </c>
      <c r="B9312" s="55" t="n">
        <v>45565</v>
      </c>
      <c r="C9312" s="51" t="s">
        <v>82</v>
      </c>
      <c r="D9312" s="51" t="n">
        <v>0</v>
      </c>
    </row>
    <row r="9313" customFormat="false" ht="15" hidden="true" customHeight="false" outlineLevel="0" collapsed="false">
      <c r="A9313" s="51" t="s">
        <v>414</v>
      </c>
      <c r="B9313" s="55" t="n">
        <v>45565</v>
      </c>
      <c r="C9313" s="51" t="s">
        <v>82</v>
      </c>
      <c r="D9313" s="51" t="n">
        <v>0</v>
      </c>
    </row>
    <row r="9314" customFormat="false" ht="15" hidden="true" customHeight="false" outlineLevel="0" collapsed="false">
      <c r="A9314" s="51" t="s">
        <v>419</v>
      </c>
      <c r="B9314" s="55" t="n">
        <v>45565</v>
      </c>
      <c r="C9314" s="51" t="s">
        <v>82</v>
      </c>
      <c r="D9314" s="51" t="n">
        <v>0</v>
      </c>
    </row>
    <row r="9315" customFormat="false" ht="15" hidden="true" customHeight="false" outlineLevel="0" collapsed="false">
      <c r="A9315" s="51" t="s">
        <v>424</v>
      </c>
      <c r="B9315" s="55" t="n">
        <v>45565</v>
      </c>
      <c r="C9315" s="51" t="s">
        <v>82</v>
      </c>
      <c r="D9315" s="51" t="n">
        <v>0</v>
      </c>
    </row>
    <row r="9316" customFormat="false" ht="15" hidden="true" customHeight="false" outlineLevel="0" collapsed="false">
      <c r="A9316" s="51" t="s">
        <v>429</v>
      </c>
      <c r="B9316" s="55" t="n">
        <v>45565</v>
      </c>
      <c r="C9316" s="51" t="s">
        <v>82</v>
      </c>
      <c r="D9316" s="51" t="n">
        <v>0</v>
      </c>
    </row>
    <row r="9317" customFormat="false" ht="15" hidden="true" customHeight="false" outlineLevel="0" collapsed="false">
      <c r="A9317" s="51" t="s">
        <v>434</v>
      </c>
      <c r="B9317" s="55" t="n">
        <v>45565</v>
      </c>
      <c r="C9317" s="51" t="s">
        <v>82</v>
      </c>
      <c r="D9317" s="51" t="n">
        <v>0</v>
      </c>
    </row>
    <row r="9318" customFormat="false" ht="15" hidden="true" customHeight="false" outlineLevel="0" collapsed="false">
      <c r="A9318" s="51" t="s">
        <v>438</v>
      </c>
      <c r="B9318" s="55" t="n">
        <v>45565</v>
      </c>
      <c r="C9318" s="51" t="s">
        <v>82</v>
      </c>
      <c r="D9318" s="51" t="n">
        <v>0</v>
      </c>
    </row>
    <row r="9319" customFormat="false" ht="15" hidden="true" customHeight="false" outlineLevel="0" collapsed="false">
      <c r="A9319" s="51" t="s">
        <v>443</v>
      </c>
      <c r="B9319" s="55" t="n">
        <v>45565</v>
      </c>
      <c r="C9319" s="51" t="s">
        <v>82</v>
      </c>
      <c r="D9319" s="51" t="n">
        <v>0</v>
      </c>
    </row>
    <row r="9320" customFormat="false" ht="15" hidden="true" customHeight="false" outlineLevel="0" collapsed="false">
      <c r="A9320" s="51" t="s">
        <v>448</v>
      </c>
      <c r="B9320" s="55" t="n">
        <v>45565</v>
      </c>
      <c r="C9320" s="51" t="s">
        <v>82</v>
      </c>
      <c r="D9320" s="51" t="n">
        <v>0</v>
      </c>
    </row>
    <row r="9321" customFormat="false" ht="15" hidden="true" customHeight="false" outlineLevel="0" collapsed="false">
      <c r="A9321" s="51" t="s">
        <v>453</v>
      </c>
      <c r="B9321" s="55" t="n">
        <v>45565</v>
      </c>
      <c r="C9321" s="51" t="s">
        <v>82</v>
      </c>
      <c r="D9321" s="51" t="n">
        <v>0</v>
      </c>
    </row>
    <row r="9322" customFormat="false" ht="15" hidden="true" customHeight="false" outlineLevel="0" collapsed="false">
      <c r="A9322" s="51" t="s">
        <v>458</v>
      </c>
      <c r="B9322" s="55" t="n">
        <v>45565</v>
      </c>
      <c r="C9322" s="51" t="s">
        <v>82</v>
      </c>
      <c r="D9322" s="51" t="n">
        <v>0</v>
      </c>
    </row>
    <row r="9323" customFormat="false" ht="15" hidden="true" customHeight="false" outlineLevel="0" collapsed="false">
      <c r="A9323" s="51" t="s">
        <v>473</v>
      </c>
      <c r="B9323" s="55" t="n">
        <v>45565</v>
      </c>
      <c r="C9323" s="51" t="s">
        <v>82</v>
      </c>
      <c r="D9323" s="51" t="n">
        <v>0</v>
      </c>
    </row>
    <row r="9324" customFormat="false" ht="15" hidden="true" customHeight="false" outlineLevel="0" collapsed="false">
      <c r="A9324" s="51" t="s">
        <v>479</v>
      </c>
      <c r="B9324" s="55" t="n">
        <v>45565</v>
      </c>
      <c r="C9324" s="51" t="s">
        <v>82</v>
      </c>
      <c r="D9324" s="51" t="n">
        <v>0</v>
      </c>
    </row>
    <row r="9325" customFormat="false" ht="15" hidden="true" customHeight="false" outlineLevel="0" collapsed="false">
      <c r="A9325" s="51" t="s">
        <v>484</v>
      </c>
      <c r="B9325" s="55" t="n">
        <v>45565</v>
      </c>
      <c r="C9325" s="51" t="s">
        <v>82</v>
      </c>
      <c r="D9325" s="51" t="n">
        <v>0</v>
      </c>
    </row>
    <row r="9326" customFormat="false" ht="15" hidden="true" customHeight="false" outlineLevel="0" collapsed="false">
      <c r="A9326" s="51" t="s">
        <v>489</v>
      </c>
      <c r="B9326" s="55" t="n">
        <v>45565</v>
      </c>
      <c r="C9326" s="51" t="s">
        <v>82</v>
      </c>
      <c r="D9326" s="51" t="n">
        <v>0</v>
      </c>
    </row>
    <row r="9327" customFormat="false" ht="15" hidden="true" customHeight="false" outlineLevel="0" collapsed="false">
      <c r="A9327" s="51" t="s">
        <v>494</v>
      </c>
      <c r="B9327" s="55" t="n">
        <v>45565</v>
      </c>
      <c r="C9327" s="51" t="s">
        <v>82</v>
      </c>
      <c r="D9327" s="51" t="n">
        <v>0</v>
      </c>
    </row>
    <row r="9328" customFormat="false" ht="15" hidden="true" customHeight="false" outlineLevel="0" collapsed="false">
      <c r="A9328" s="51" t="s">
        <v>499</v>
      </c>
      <c r="B9328" s="55" t="n">
        <v>45565</v>
      </c>
      <c r="C9328" s="51" t="s">
        <v>82</v>
      </c>
      <c r="D9328" s="51" t="n">
        <v>0</v>
      </c>
    </row>
    <row r="9329" customFormat="false" ht="15" hidden="true" customHeight="false" outlineLevel="0" collapsed="false">
      <c r="A9329" s="51" t="s">
        <v>504</v>
      </c>
      <c r="B9329" s="55" t="n">
        <v>45565</v>
      </c>
      <c r="C9329" s="51" t="s">
        <v>82</v>
      </c>
      <c r="D9329" s="51" t="n">
        <v>0</v>
      </c>
    </row>
    <row r="9330" customFormat="false" ht="15" hidden="true" customHeight="false" outlineLevel="0" collapsed="false">
      <c r="A9330" s="51" t="s">
        <v>509</v>
      </c>
      <c r="B9330" s="55" t="n">
        <v>45565</v>
      </c>
      <c r="C9330" s="51" t="s">
        <v>82</v>
      </c>
      <c r="D9330" s="51" t="n">
        <v>0</v>
      </c>
    </row>
    <row r="9331" customFormat="false" ht="15" hidden="true" customHeight="false" outlineLevel="0" collapsed="false">
      <c r="A9331" s="51" t="s">
        <v>515</v>
      </c>
      <c r="B9331" s="55" t="n">
        <v>45565</v>
      </c>
      <c r="C9331" s="51" t="s">
        <v>82</v>
      </c>
      <c r="D9331" s="51" t="n">
        <v>0</v>
      </c>
    </row>
    <row r="9332" customFormat="false" ht="15" hidden="true" customHeight="false" outlineLevel="0" collapsed="false">
      <c r="A9332" s="51" t="s">
        <v>520</v>
      </c>
      <c r="B9332" s="55" t="n">
        <v>45565</v>
      </c>
      <c r="C9332" s="51" t="s">
        <v>82</v>
      </c>
      <c r="D9332" s="51" t="n">
        <v>0</v>
      </c>
    </row>
    <row r="9333" customFormat="false" ht="15" hidden="true" customHeight="false" outlineLevel="0" collapsed="false">
      <c r="A9333" s="51" t="s">
        <v>525</v>
      </c>
      <c r="B9333" s="55" t="n">
        <v>45565</v>
      </c>
      <c r="C9333" s="51" t="s">
        <v>82</v>
      </c>
      <c r="D9333" s="51" t="n">
        <v>0</v>
      </c>
    </row>
    <row r="9334" customFormat="false" ht="15" hidden="true" customHeight="false" outlineLevel="0" collapsed="false">
      <c r="A9334" s="51" t="s">
        <v>531</v>
      </c>
      <c r="B9334" s="55" t="n">
        <v>45565</v>
      </c>
      <c r="C9334" s="51" t="s">
        <v>82</v>
      </c>
      <c r="D9334" s="51" t="n">
        <v>0</v>
      </c>
    </row>
    <row r="9335" customFormat="false" ht="15" hidden="true" customHeight="false" outlineLevel="0" collapsed="false">
      <c r="A9335" s="51" t="s">
        <v>536</v>
      </c>
      <c r="B9335" s="55" t="n">
        <v>45565</v>
      </c>
      <c r="C9335" s="51" t="s">
        <v>82</v>
      </c>
      <c r="D9335" s="51" t="n">
        <v>0</v>
      </c>
    </row>
    <row r="9336" customFormat="false" ht="15" hidden="true" customHeight="false" outlineLevel="0" collapsed="false">
      <c r="A9336" s="51" t="s">
        <v>541</v>
      </c>
      <c r="B9336" s="55" t="n">
        <v>45565</v>
      </c>
      <c r="C9336" s="51" t="s">
        <v>82</v>
      </c>
      <c r="D9336" s="51" t="n">
        <v>0</v>
      </c>
    </row>
    <row r="9337" customFormat="false" ht="15" hidden="true" customHeight="false" outlineLevel="0" collapsed="false">
      <c r="A9337" s="51" t="s">
        <v>549</v>
      </c>
      <c r="B9337" s="55" t="n">
        <v>45565</v>
      </c>
      <c r="C9337" s="51" t="s">
        <v>82</v>
      </c>
      <c r="D9337" s="51" t="n">
        <v>0</v>
      </c>
    </row>
    <row r="9338" customFormat="false" ht="15" hidden="true" customHeight="false" outlineLevel="0" collapsed="false">
      <c r="A9338" s="51" t="s">
        <v>554</v>
      </c>
      <c r="B9338" s="55" t="n">
        <v>45565</v>
      </c>
      <c r="C9338" s="51" t="s">
        <v>82</v>
      </c>
      <c r="D9338" s="51" t="n">
        <v>0</v>
      </c>
    </row>
    <row r="9339" customFormat="false" ht="15" hidden="true" customHeight="false" outlineLevel="0" collapsed="false">
      <c r="A9339" s="51" t="s">
        <v>559</v>
      </c>
      <c r="B9339" s="55" t="n">
        <v>45565</v>
      </c>
      <c r="C9339" s="51" t="s">
        <v>82</v>
      </c>
      <c r="D9339" s="51" t="n">
        <v>500000</v>
      </c>
    </row>
    <row r="9340" customFormat="false" ht="15" hidden="true" customHeight="false" outlineLevel="0" collapsed="false">
      <c r="A9340" s="51" t="s">
        <v>564</v>
      </c>
      <c r="B9340" s="55" t="n">
        <v>45565</v>
      </c>
      <c r="C9340" s="51" t="s">
        <v>82</v>
      </c>
      <c r="D9340" s="51" t="n">
        <v>600000</v>
      </c>
    </row>
    <row r="9341" customFormat="false" ht="15" hidden="true" customHeight="false" outlineLevel="0" collapsed="false">
      <c r="A9341" s="51" t="s">
        <v>569</v>
      </c>
      <c r="B9341" s="55" t="n">
        <v>45565</v>
      </c>
      <c r="C9341" s="51" t="s">
        <v>82</v>
      </c>
      <c r="D9341" s="51" t="n">
        <v>0</v>
      </c>
    </row>
    <row r="9342" customFormat="false" ht="15" hidden="true" customHeight="false" outlineLevel="0" collapsed="false">
      <c r="A9342" s="51" t="s">
        <v>574</v>
      </c>
      <c r="B9342" s="55" t="n">
        <v>45565</v>
      </c>
      <c r="C9342" s="51" t="s">
        <v>82</v>
      </c>
      <c r="D9342" s="51" t="n">
        <v>3500000</v>
      </c>
    </row>
    <row r="9343" customFormat="false" ht="15" hidden="true" customHeight="false" outlineLevel="0" collapsed="false">
      <c r="A9343" s="51" t="s">
        <v>579</v>
      </c>
      <c r="B9343" s="55" t="n">
        <v>45565</v>
      </c>
      <c r="C9343" s="51" t="s">
        <v>82</v>
      </c>
      <c r="D9343" s="51" t="n">
        <v>0</v>
      </c>
    </row>
    <row r="9344" customFormat="false" ht="15" hidden="true" customHeight="false" outlineLevel="0" collapsed="false">
      <c r="A9344" s="51" t="s">
        <v>584</v>
      </c>
      <c r="B9344" s="55" t="n">
        <v>45565</v>
      </c>
      <c r="C9344" s="51" t="s">
        <v>82</v>
      </c>
      <c r="D9344" s="51" t="n">
        <v>180000</v>
      </c>
    </row>
    <row r="9345" customFormat="false" ht="15" hidden="true" customHeight="false" outlineLevel="0" collapsed="false">
      <c r="A9345" s="51" t="s">
        <v>589</v>
      </c>
      <c r="B9345" s="55" t="n">
        <v>45565</v>
      </c>
      <c r="C9345" s="51" t="s">
        <v>82</v>
      </c>
      <c r="D9345" s="51" t="n">
        <v>9068273</v>
      </c>
    </row>
    <row r="9346" customFormat="false" ht="15" hidden="true" customHeight="false" outlineLevel="0" collapsed="false">
      <c r="A9346" s="51" t="s">
        <v>756</v>
      </c>
      <c r="B9346" s="55" t="n">
        <v>45565</v>
      </c>
      <c r="C9346" s="51" t="s">
        <v>82</v>
      </c>
      <c r="D9346" s="51" t="n">
        <v>588627</v>
      </c>
    </row>
    <row r="9347" customFormat="false" ht="15" hidden="true" customHeight="false" outlineLevel="0" collapsed="false">
      <c r="A9347" s="51" t="s">
        <v>594</v>
      </c>
      <c r="B9347" s="55" t="n">
        <v>45565</v>
      </c>
      <c r="C9347" s="51" t="s">
        <v>82</v>
      </c>
      <c r="D9347" s="51" t="n">
        <v>0</v>
      </c>
    </row>
    <row r="9348" customFormat="false" ht="15" hidden="true" customHeight="false" outlineLevel="0" collapsed="false">
      <c r="A9348" s="51" t="s">
        <v>761</v>
      </c>
      <c r="B9348" s="55" t="n">
        <v>45565</v>
      </c>
      <c r="C9348" s="51" t="s">
        <v>82</v>
      </c>
      <c r="D9348" s="51" t="n">
        <v>0</v>
      </c>
    </row>
    <row r="9349" customFormat="false" ht="15" hidden="true" customHeight="false" outlineLevel="0" collapsed="false">
      <c r="A9349" s="51" t="s">
        <v>599</v>
      </c>
      <c r="B9349" s="55" t="n">
        <v>45565</v>
      </c>
      <c r="C9349" s="51" t="s">
        <v>82</v>
      </c>
      <c r="D9349" s="51" t="n">
        <v>0</v>
      </c>
    </row>
    <row r="9350" customFormat="false" ht="15" hidden="true" customHeight="false" outlineLevel="0" collapsed="false">
      <c r="A9350" s="51" t="s">
        <v>604</v>
      </c>
      <c r="B9350" s="55" t="n">
        <v>45565</v>
      </c>
      <c r="C9350" s="51" t="s">
        <v>82</v>
      </c>
      <c r="D9350" s="51" t="n">
        <v>0</v>
      </c>
    </row>
    <row r="9351" customFormat="false" ht="15" hidden="true" customHeight="false" outlineLevel="0" collapsed="false">
      <c r="A9351" s="51" t="s">
        <v>609</v>
      </c>
      <c r="B9351" s="55" t="n">
        <v>45565</v>
      </c>
      <c r="C9351" s="51" t="s">
        <v>82</v>
      </c>
      <c r="D9351" s="51" t="n">
        <v>0</v>
      </c>
    </row>
    <row r="9352" customFormat="false" ht="15" hidden="true" customHeight="false" outlineLevel="0" collapsed="false">
      <c r="A9352" s="51" t="s">
        <v>614</v>
      </c>
      <c r="B9352" s="55" t="n">
        <v>45565</v>
      </c>
      <c r="C9352" s="51" t="s">
        <v>82</v>
      </c>
      <c r="D9352" s="51" t="n">
        <v>0</v>
      </c>
    </row>
    <row r="9353" customFormat="false" ht="15" hidden="true" customHeight="false" outlineLevel="0" collapsed="false">
      <c r="A9353" s="51" t="s">
        <v>619</v>
      </c>
      <c r="B9353" s="55" t="n">
        <v>45565</v>
      </c>
      <c r="C9353" s="51" t="s">
        <v>82</v>
      </c>
      <c r="D9353" s="51" t="n">
        <v>0</v>
      </c>
    </row>
    <row r="9354" customFormat="false" ht="15" hidden="true" customHeight="false" outlineLevel="0" collapsed="false">
      <c r="A9354" s="51" t="s">
        <v>624</v>
      </c>
      <c r="B9354" s="55" t="n">
        <v>45565</v>
      </c>
      <c r="C9354" s="51" t="s">
        <v>82</v>
      </c>
      <c r="D9354" s="51" t="n">
        <v>0</v>
      </c>
    </row>
    <row r="9355" customFormat="false" ht="15" hidden="true" customHeight="false" outlineLevel="0" collapsed="false">
      <c r="A9355" s="51" t="s">
        <v>629</v>
      </c>
      <c r="B9355" s="55" t="n">
        <v>45565</v>
      </c>
      <c r="C9355" s="51" t="s">
        <v>82</v>
      </c>
      <c r="D9355" s="51" t="n">
        <v>0</v>
      </c>
    </row>
    <row r="9356" customFormat="false" ht="15" hidden="true" customHeight="false" outlineLevel="0" collapsed="false">
      <c r="A9356" s="51" t="s">
        <v>633</v>
      </c>
      <c r="B9356" s="55" t="n">
        <v>45565</v>
      </c>
      <c r="C9356" s="51" t="s">
        <v>82</v>
      </c>
      <c r="D9356" s="51" t="n">
        <v>0</v>
      </c>
    </row>
    <row r="9357" customFormat="false" ht="15" hidden="true" customHeight="false" outlineLevel="0" collapsed="false">
      <c r="A9357" s="51" t="s">
        <v>638</v>
      </c>
      <c r="B9357" s="55" t="n">
        <v>45565</v>
      </c>
      <c r="C9357" s="51" t="s">
        <v>82</v>
      </c>
      <c r="D9357" s="51" t="n">
        <v>0</v>
      </c>
    </row>
    <row r="9358" customFormat="false" ht="15" hidden="true" customHeight="false" outlineLevel="0" collapsed="false">
      <c r="A9358" s="51" t="s">
        <v>642</v>
      </c>
      <c r="B9358" s="55" t="n">
        <v>45565</v>
      </c>
      <c r="C9358" s="51" t="s">
        <v>82</v>
      </c>
      <c r="D9358" s="51" t="n">
        <v>0</v>
      </c>
    </row>
    <row r="9359" customFormat="false" ht="15" hidden="true" customHeight="false" outlineLevel="0" collapsed="false">
      <c r="A9359" s="51" t="s">
        <v>646</v>
      </c>
      <c r="B9359" s="55" t="n">
        <v>45565</v>
      </c>
      <c r="C9359" s="51" t="s">
        <v>82</v>
      </c>
      <c r="D9359" s="51" t="n">
        <v>0</v>
      </c>
    </row>
    <row r="9360" customFormat="false" ht="15" hidden="true" customHeight="false" outlineLevel="0" collapsed="false">
      <c r="A9360" s="51" t="s">
        <v>651</v>
      </c>
      <c r="B9360" s="55" t="n">
        <v>45565</v>
      </c>
      <c r="C9360" s="51" t="s">
        <v>82</v>
      </c>
      <c r="D9360" s="51" t="n">
        <v>0</v>
      </c>
    </row>
    <row r="9361" customFormat="false" ht="15" hidden="true" customHeight="false" outlineLevel="0" collapsed="false">
      <c r="A9361" s="51" t="s">
        <v>656</v>
      </c>
      <c r="B9361" s="55" t="n">
        <v>45565</v>
      </c>
      <c r="C9361" s="51" t="s">
        <v>82</v>
      </c>
      <c r="D9361" s="51" t="n">
        <v>0</v>
      </c>
    </row>
    <row r="9362" customFormat="false" ht="15" hidden="true" customHeight="false" outlineLevel="0" collapsed="false">
      <c r="A9362" s="51" t="s">
        <v>661</v>
      </c>
      <c r="B9362" s="55" t="n">
        <v>45565</v>
      </c>
      <c r="C9362" s="51" t="s">
        <v>82</v>
      </c>
      <c r="D9362" s="51" t="n">
        <v>0</v>
      </c>
    </row>
    <row r="9363" customFormat="false" ht="15" hidden="true" customHeight="false" outlineLevel="0" collapsed="false">
      <c r="A9363" s="51" t="s">
        <v>666</v>
      </c>
      <c r="B9363" s="55" t="n">
        <v>45565</v>
      </c>
      <c r="C9363" s="51" t="s">
        <v>82</v>
      </c>
      <c r="D9363" s="51" t="n">
        <v>0</v>
      </c>
    </row>
    <row r="9364" customFormat="false" ht="15" hidden="true" customHeight="false" outlineLevel="0" collapsed="false">
      <c r="A9364" s="51" t="s">
        <v>671</v>
      </c>
      <c r="B9364" s="55" t="n">
        <v>45565</v>
      </c>
      <c r="C9364" s="51" t="s">
        <v>82</v>
      </c>
      <c r="D9364" s="51" t="n">
        <v>0</v>
      </c>
    </row>
    <row r="9365" customFormat="false" ht="15" hidden="true" customHeight="false" outlineLevel="0" collapsed="false">
      <c r="A9365" s="51" t="s">
        <v>676</v>
      </c>
      <c r="B9365" s="55" t="n">
        <v>45565</v>
      </c>
      <c r="C9365" s="51" t="s">
        <v>82</v>
      </c>
      <c r="D9365" s="51" t="n">
        <v>0</v>
      </c>
    </row>
    <row r="9366" customFormat="false" ht="15" hidden="true" customHeight="false" outlineLevel="0" collapsed="false">
      <c r="A9366" s="51" t="s">
        <v>681</v>
      </c>
      <c r="B9366" s="55" t="n">
        <v>45565</v>
      </c>
      <c r="C9366" s="51" t="s">
        <v>82</v>
      </c>
      <c r="D9366" s="51" t="n">
        <v>0</v>
      </c>
    </row>
    <row r="9367" customFormat="false" ht="15" hidden="true" customHeight="false" outlineLevel="0" collapsed="false">
      <c r="A9367" s="51" t="s">
        <v>686</v>
      </c>
      <c r="B9367" s="55" t="n">
        <v>45565</v>
      </c>
      <c r="C9367" s="51" t="s">
        <v>82</v>
      </c>
      <c r="D9367" s="51" t="n">
        <v>0</v>
      </c>
    </row>
    <row r="9368" customFormat="false" ht="15" hidden="true" customHeight="false" outlineLevel="0" collapsed="false">
      <c r="A9368" s="51" t="s">
        <v>691</v>
      </c>
      <c r="B9368" s="55" t="n">
        <v>45565</v>
      </c>
      <c r="C9368" s="51" t="s">
        <v>82</v>
      </c>
      <c r="D9368" s="51" t="n">
        <v>0</v>
      </c>
    </row>
    <row r="9369" customFormat="false" ht="15" hidden="true" customHeight="false" outlineLevel="0" collapsed="false">
      <c r="A9369" s="51" t="s">
        <v>696</v>
      </c>
      <c r="B9369" s="55" t="n">
        <v>45565</v>
      </c>
      <c r="C9369" s="51" t="s">
        <v>82</v>
      </c>
      <c r="D9369" s="51" t="n">
        <v>0</v>
      </c>
    </row>
    <row r="9370" customFormat="false" ht="15" hidden="true" customHeight="false" outlineLevel="0" collapsed="false">
      <c r="A9370" s="51" t="s">
        <v>701</v>
      </c>
      <c r="B9370" s="55" t="n">
        <v>45565</v>
      </c>
      <c r="C9370" s="51" t="s">
        <v>82</v>
      </c>
      <c r="D9370" s="51" t="n">
        <v>0</v>
      </c>
    </row>
    <row r="9371" customFormat="false" ht="15" hidden="true" customHeight="false" outlineLevel="0" collapsed="false">
      <c r="A9371" s="51" t="s">
        <v>707</v>
      </c>
      <c r="B9371" s="55" t="n">
        <v>45565</v>
      </c>
      <c r="C9371" s="51" t="s">
        <v>82</v>
      </c>
      <c r="D9371" s="51" t="n">
        <v>0</v>
      </c>
    </row>
    <row r="9372" customFormat="false" ht="15" hidden="true" customHeight="false" outlineLevel="0" collapsed="false">
      <c r="A9372" s="51" t="s">
        <v>712</v>
      </c>
      <c r="B9372" s="55" t="n">
        <v>45565</v>
      </c>
      <c r="C9372" s="51" t="s">
        <v>82</v>
      </c>
      <c r="D9372" s="51" t="n">
        <v>0</v>
      </c>
    </row>
    <row r="9373" customFormat="false" ht="15" hidden="true" customHeight="false" outlineLevel="0" collapsed="false">
      <c r="A9373" s="51" t="s">
        <v>717</v>
      </c>
      <c r="B9373" s="55" t="n">
        <v>45565</v>
      </c>
      <c r="C9373" s="51" t="s">
        <v>82</v>
      </c>
      <c r="D9373" s="51" t="n">
        <v>0</v>
      </c>
    </row>
    <row r="9374" customFormat="false" ht="15" hidden="true" customHeight="false" outlineLevel="0" collapsed="false">
      <c r="A9374" s="51" t="s">
        <v>767</v>
      </c>
      <c r="B9374" s="55" t="n">
        <v>45565</v>
      </c>
      <c r="C9374" s="51" t="s">
        <v>82</v>
      </c>
      <c r="D9374" s="51" t="n">
        <v>0</v>
      </c>
    </row>
    <row r="9375" customFormat="false" ht="15" hidden="true" customHeight="false" outlineLevel="0" collapsed="false">
      <c r="A9375" s="51" t="s">
        <v>722</v>
      </c>
      <c r="B9375" s="55" t="n">
        <v>45565</v>
      </c>
      <c r="C9375" s="51" t="s">
        <v>82</v>
      </c>
      <c r="D9375" s="51" t="n">
        <v>0</v>
      </c>
    </row>
    <row r="9376" customFormat="false" ht="15" hidden="true" customHeight="false" outlineLevel="0" collapsed="false">
      <c r="A9376" s="51" t="s">
        <v>727</v>
      </c>
      <c r="B9376" s="55" t="n">
        <v>45565</v>
      </c>
      <c r="C9376" s="51" t="s">
        <v>82</v>
      </c>
      <c r="D9376" s="51" t="n">
        <v>0</v>
      </c>
    </row>
    <row r="9377" customFormat="false" ht="15" hidden="true" customHeight="false" outlineLevel="0" collapsed="false">
      <c r="A9377" s="51" t="s">
        <v>732</v>
      </c>
      <c r="B9377" s="55" t="n">
        <v>45565</v>
      </c>
      <c r="C9377" s="51" t="s">
        <v>82</v>
      </c>
      <c r="D9377" s="51" t="n">
        <v>0</v>
      </c>
    </row>
    <row r="9378" customFormat="false" ht="15" hidden="true" customHeight="false" outlineLevel="0" collapsed="false">
      <c r="A9378" s="51" t="s">
        <v>736</v>
      </c>
      <c r="B9378" s="55" t="n">
        <v>45565</v>
      </c>
      <c r="C9378" s="51" t="s">
        <v>82</v>
      </c>
      <c r="D9378" s="51" t="n">
        <v>0</v>
      </c>
    </row>
    <row r="9379" customFormat="false" ht="15" hidden="true" customHeight="false" outlineLevel="0" collapsed="false">
      <c r="A9379" s="51" t="s">
        <v>741</v>
      </c>
      <c r="B9379" s="55" t="n">
        <v>45565</v>
      </c>
      <c r="C9379" s="51" t="s">
        <v>82</v>
      </c>
      <c r="D9379" s="51" t="n">
        <v>0</v>
      </c>
    </row>
    <row r="9380" customFormat="false" ht="15" hidden="true" customHeight="false" outlineLevel="0" collapsed="false">
      <c r="A9380" s="51" t="s">
        <v>746</v>
      </c>
      <c r="B9380" s="55" t="n">
        <v>45565</v>
      </c>
      <c r="C9380" s="51" t="s">
        <v>82</v>
      </c>
      <c r="D9380" s="51" t="n">
        <v>0</v>
      </c>
    </row>
    <row r="9381" customFormat="false" ht="15" hidden="true" customHeight="false" outlineLevel="0" collapsed="false">
      <c r="A9381" s="51" t="s">
        <v>751</v>
      </c>
      <c r="B9381" s="55" t="n">
        <v>45565</v>
      </c>
      <c r="C9381" s="51" t="s">
        <v>82</v>
      </c>
      <c r="D9381" s="51" t="n">
        <v>0</v>
      </c>
    </row>
    <row r="9382" customFormat="false" ht="15" hidden="false" customHeight="false" outlineLevel="0" collapsed="false">
      <c r="A9382" s="51" t="s">
        <v>781</v>
      </c>
      <c r="B9382" s="55" t="n">
        <v>45565</v>
      </c>
      <c r="C9382" s="51" t="s">
        <v>73</v>
      </c>
      <c r="D9382" s="51" t="n">
        <v>0</v>
      </c>
    </row>
    <row r="9383" customFormat="false" ht="15" hidden="true" customHeight="false" outlineLevel="0" collapsed="false">
      <c r="A9383" s="51" t="s">
        <v>783</v>
      </c>
      <c r="B9383" s="55" t="n">
        <v>45565</v>
      </c>
      <c r="C9383" s="51" t="s">
        <v>73</v>
      </c>
      <c r="D9383" s="51" t="n">
        <v>0</v>
      </c>
    </row>
    <row r="9384" customFormat="false" ht="15" hidden="true" customHeight="false" outlineLevel="0" collapsed="false">
      <c r="A9384" s="51" t="s">
        <v>96</v>
      </c>
      <c r="B9384" s="55" t="n">
        <v>45565</v>
      </c>
      <c r="C9384" s="51" t="s">
        <v>73</v>
      </c>
      <c r="D9384" s="51" t="n">
        <v>0</v>
      </c>
    </row>
    <row r="9385" customFormat="false" ht="15" hidden="true" customHeight="false" outlineLevel="0" collapsed="false">
      <c r="A9385" s="51" t="s">
        <v>101</v>
      </c>
      <c r="B9385" s="55" t="n">
        <v>45565</v>
      </c>
      <c r="C9385" s="51" t="s">
        <v>73</v>
      </c>
      <c r="D9385" s="51" t="n">
        <v>0</v>
      </c>
    </row>
    <row r="9386" customFormat="false" ht="15" hidden="true" customHeight="false" outlineLevel="0" collapsed="false">
      <c r="A9386" s="51" t="s">
        <v>106</v>
      </c>
      <c r="B9386" s="55" t="n">
        <v>45565</v>
      </c>
      <c r="C9386" s="51" t="s">
        <v>73</v>
      </c>
      <c r="D9386" s="51" t="n">
        <v>0</v>
      </c>
    </row>
    <row r="9387" customFormat="false" ht="15" hidden="true" customHeight="false" outlineLevel="0" collapsed="false">
      <c r="A9387" s="51" t="s">
        <v>110</v>
      </c>
      <c r="B9387" s="55" t="n">
        <v>45565</v>
      </c>
      <c r="C9387" s="51" t="s">
        <v>73</v>
      </c>
      <c r="D9387" s="51" t="n">
        <v>0</v>
      </c>
    </row>
    <row r="9388" customFormat="false" ht="15" hidden="true" customHeight="false" outlineLevel="0" collapsed="false">
      <c r="A9388" s="51" t="s">
        <v>115</v>
      </c>
      <c r="B9388" s="55" t="n">
        <v>45565</v>
      </c>
      <c r="C9388" s="51" t="s">
        <v>73</v>
      </c>
      <c r="D9388" s="51" t="n">
        <v>0</v>
      </c>
    </row>
    <row r="9389" customFormat="false" ht="15" hidden="true" customHeight="false" outlineLevel="0" collapsed="false">
      <c r="A9389" s="51" t="s">
        <v>120</v>
      </c>
      <c r="B9389" s="55" t="n">
        <v>45565</v>
      </c>
      <c r="C9389" s="51" t="s">
        <v>73</v>
      </c>
      <c r="D9389" s="51" t="n">
        <v>0</v>
      </c>
    </row>
    <row r="9390" customFormat="false" ht="15" hidden="true" customHeight="false" outlineLevel="0" collapsed="false">
      <c r="A9390" s="51" t="s">
        <v>124</v>
      </c>
      <c r="B9390" s="55" t="n">
        <v>45565</v>
      </c>
      <c r="C9390" s="51" t="s">
        <v>73</v>
      </c>
      <c r="D9390" s="51" t="n">
        <v>0</v>
      </c>
    </row>
    <row r="9391" customFormat="false" ht="15" hidden="true" customHeight="false" outlineLevel="0" collapsed="false">
      <c r="A9391" s="51" t="s">
        <v>129</v>
      </c>
      <c r="B9391" s="55" t="n">
        <v>45565</v>
      </c>
      <c r="C9391" s="51" t="s">
        <v>73</v>
      </c>
      <c r="D9391" s="51" t="n">
        <v>0</v>
      </c>
    </row>
    <row r="9392" customFormat="false" ht="15" hidden="true" customHeight="false" outlineLevel="0" collapsed="false">
      <c r="A9392" s="51" t="s">
        <v>134</v>
      </c>
      <c r="B9392" s="55" t="n">
        <v>45565</v>
      </c>
      <c r="C9392" s="51" t="s">
        <v>73</v>
      </c>
      <c r="D9392" s="51" t="n">
        <v>0</v>
      </c>
    </row>
    <row r="9393" customFormat="false" ht="15" hidden="true" customHeight="false" outlineLevel="0" collapsed="false">
      <c r="A9393" s="51" t="s">
        <v>141</v>
      </c>
      <c r="B9393" s="55" t="n">
        <v>45565</v>
      </c>
      <c r="C9393" s="51" t="s">
        <v>73</v>
      </c>
      <c r="D9393" s="51" t="n">
        <v>0</v>
      </c>
    </row>
    <row r="9394" customFormat="false" ht="15" hidden="true" customHeight="false" outlineLevel="0" collapsed="false">
      <c r="A9394" s="51" t="s">
        <v>146</v>
      </c>
      <c r="B9394" s="55" t="n">
        <v>45565</v>
      </c>
      <c r="C9394" s="51" t="s">
        <v>73</v>
      </c>
      <c r="D9394" s="51" t="n">
        <v>0</v>
      </c>
    </row>
    <row r="9395" customFormat="false" ht="15" hidden="true" customHeight="false" outlineLevel="0" collapsed="false">
      <c r="A9395" s="51" t="s">
        <v>151</v>
      </c>
      <c r="B9395" s="55" t="n">
        <v>45565</v>
      </c>
      <c r="C9395" s="51" t="s">
        <v>73</v>
      </c>
      <c r="D9395" s="51" t="n">
        <v>0</v>
      </c>
    </row>
    <row r="9396" customFormat="false" ht="15" hidden="true" customHeight="false" outlineLevel="0" collapsed="false">
      <c r="A9396" s="51" t="s">
        <v>156</v>
      </c>
      <c r="B9396" s="55" t="n">
        <v>45565</v>
      </c>
      <c r="C9396" s="51" t="s">
        <v>73</v>
      </c>
      <c r="D9396" s="51" t="n">
        <v>0</v>
      </c>
    </row>
    <row r="9397" customFormat="false" ht="15" hidden="true" customHeight="false" outlineLevel="0" collapsed="false">
      <c r="A9397" s="51" t="s">
        <v>161</v>
      </c>
      <c r="B9397" s="55" t="n">
        <v>45565</v>
      </c>
      <c r="C9397" s="51" t="s">
        <v>73</v>
      </c>
      <c r="D9397" s="51" t="n">
        <v>0</v>
      </c>
    </row>
    <row r="9398" customFormat="false" ht="15" hidden="true" customHeight="false" outlineLevel="0" collapsed="false">
      <c r="A9398" s="51" t="s">
        <v>166</v>
      </c>
      <c r="B9398" s="55" t="n">
        <v>45565</v>
      </c>
      <c r="C9398" s="51" t="s">
        <v>73</v>
      </c>
      <c r="D9398" s="51" t="n">
        <v>0</v>
      </c>
    </row>
    <row r="9399" customFormat="false" ht="15" hidden="true" customHeight="false" outlineLevel="0" collapsed="false">
      <c r="A9399" s="51" t="s">
        <v>171</v>
      </c>
      <c r="B9399" s="55" t="n">
        <v>45565</v>
      </c>
      <c r="C9399" s="51" t="s">
        <v>73</v>
      </c>
      <c r="D9399" s="51" t="n">
        <v>0</v>
      </c>
    </row>
    <row r="9400" customFormat="false" ht="15" hidden="true" customHeight="false" outlineLevel="0" collapsed="false">
      <c r="A9400" s="51" t="s">
        <v>176</v>
      </c>
      <c r="B9400" s="55" t="n">
        <v>45565</v>
      </c>
      <c r="C9400" s="51" t="s">
        <v>73</v>
      </c>
      <c r="D9400" s="51" t="n">
        <v>0</v>
      </c>
    </row>
    <row r="9401" customFormat="false" ht="15" hidden="true" customHeight="false" outlineLevel="0" collapsed="false">
      <c r="A9401" s="51" t="s">
        <v>181</v>
      </c>
      <c r="B9401" s="55" t="n">
        <v>45565</v>
      </c>
      <c r="C9401" s="51" t="s">
        <v>73</v>
      </c>
      <c r="D9401" s="51" t="n">
        <v>0</v>
      </c>
    </row>
    <row r="9402" customFormat="false" ht="15" hidden="true" customHeight="false" outlineLevel="0" collapsed="false">
      <c r="A9402" s="51" t="s">
        <v>186</v>
      </c>
      <c r="B9402" s="55" t="n">
        <v>45565</v>
      </c>
      <c r="C9402" s="51" t="s">
        <v>73</v>
      </c>
      <c r="D9402" s="51" t="n">
        <v>0</v>
      </c>
    </row>
    <row r="9403" customFormat="false" ht="15" hidden="true" customHeight="false" outlineLevel="0" collapsed="false">
      <c r="A9403" s="51" t="s">
        <v>191</v>
      </c>
      <c r="B9403" s="55" t="n">
        <v>45565</v>
      </c>
      <c r="C9403" s="51" t="s">
        <v>73</v>
      </c>
      <c r="D9403" s="51" t="n">
        <v>0</v>
      </c>
    </row>
    <row r="9404" customFormat="false" ht="15" hidden="true" customHeight="false" outlineLevel="0" collapsed="false">
      <c r="A9404" s="51" t="s">
        <v>196</v>
      </c>
      <c r="B9404" s="55" t="n">
        <v>45565</v>
      </c>
      <c r="C9404" s="51" t="s">
        <v>73</v>
      </c>
      <c r="D9404" s="51" t="n">
        <v>0</v>
      </c>
    </row>
    <row r="9405" customFormat="false" ht="15" hidden="true" customHeight="false" outlineLevel="0" collapsed="false">
      <c r="A9405" s="51" t="s">
        <v>201</v>
      </c>
      <c r="B9405" s="55" t="n">
        <v>45565</v>
      </c>
      <c r="C9405" s="51" t="s">
        <v>73</v>
      </c>
      <c r="D9405" s="51" t="n">
        <v>0</v>
      </c>
    </row>
    <row r="9406" customFormat="false" ht="15" hidden="true" customHeight="false" outlineLevel="0" collapsed="false">
      <c r="A9406" s="51" t="s">
        <v>206</v>
      </c>
      <c r="B9406" s="55" t="n">
        <v>45565</v>
      </c>
      <c r="C9406" s="51" t="s">
        <v>73</v>
      </c>
      <c r="D9406" s="51" t="n">
        <v>0</v>
      </c>
    </row>
    <row r="9407" customFormat="false" ht="15" hidden="true" customHeight="false" outlineLevel="0" collapsed="false">
      <c r="A9407" s="51" t="s">
        <v>210</v>
      </c>
      <c r="B9407" s="55" t="n">
        <v>45565</v>
      </c>
      <c r="C9407" s="51" t="s">
        <v>73</v>
      </c>
      <c r="D9407" s="51" t="n">
        <v>0</v>
      </c>
    </row>
    <row r="9408" customFormat="false" ht="15" hidden="true" customHeight="false" outlineLevel="0" collapsed="false">
      <c r="A9408" s="51" t="s">
        <v>215</v>
      </c>
      <c r="B9408" s="55" t="n">
        <v>45565</v>
      </c>
      <c r="C9408" s="51" t="s">
        <v>73</v>
      </c>
      <c r="D9408" s="51" t="n">
        <v>0</v>
      </c>
    </row>
    <row r="9409" customFormat="false" ht="15" hidden="true" customHeight="false" outlineLevel="0" collapsed="false">
      <c r="A9409" s="51" t="s">
        <v>790</v>
      </c>
      <c r="B9409" s="55" t="n">
        <v>45565</v>
      </c>
      <c r="C9409" s="51" t="s">
        <v>73</v>
      </c>
      <c r="D9409" s="51" t="n">
        <v>0</v>
      </c>
    </row>
    <row r="9410" customFormat="false" ht="15" hidden="true" customHeight="false" outlineLevel="0" collapsed="false">
      <c r="A9410" s="51" t="s">
        <v>225</v>
      </c>
      <c r="B9410" s="55" t="n">
        <v>45565</v>
      </c>
      <c r="C9410" s="51" t="s">
        <v>73</v>
      </c>
      <c r="D9410" s="51" t="n">
        <v>0</v>
      </c>
    </row>
    <row r="9411" customFormat="false" ht="15" hidden="true" customHeight="false" outlineLevel="0" collapsed="false">
      <c r="A9411" s="51" t="s">
        <v>230</v>
      </c>
      <c r="B9411" s="55" t="n">
        <v>45565</v>
      </c>
      <c r="C9411" s="51" t="s">
        <v>73</v>
      </c>
      <c r="D9411" s="51" t="n">
        <v>0</v>
      </c>
    </row>
    <row r="9412" customFormat="false" ht="15" hidden="true" customHeight="false" outlineLevel="0" collapsed="false">
      <c r="A9412" s="51" t="s">
        <v>235</v>
      </c>
      <c r="B9412" s="55" t="n">
        <v>45565</v>
      </c>
      <c r="C9412" s="51" t="s">
        <v>73</v>
      </c>
      <c r="D9412" s="51" t="n">
        <v>0</v>
      </c>
    </row>
    <row r="9413" customFormat="false" ht="15" hidden="true" customHeight="false" outlineLevel="0" collapsed="false">
      <c r="A9413" s="51" t="s">
        <v>240</v>
      </c>
      <c r="B9413" s="55" t="n">
        <v>45565</v>
      </c>
      <c r="C9413" s="51" t="s">
        <v>73</v>
      </c>
      <c r="D9413" s="51" t="n">
        <v>0</v>
      </c>
    </row>
    <row r="9414" customFormat="false" ht="15" hidden="true" customHeight="false" outlineLevel="0" collapsed="false">
      <c r="A9414" s="51" t="s">
        <v>246</v>
      </c>
      <c r="B9414" s="55" t="n">
        <v>45565</v>
      </c>
      <c r="C9414" s="51" t="s">
        <v>73</v>
      </c>
      <c r="D9414" s="51" t="n">
        <v>300000</v>
      </c>
    </row>
    <row r="9415" customFormat="false" ht="15" hidden="true" customHeight="false" outlineLevel="0" collapsed="false">
      <c r="A9415" s="51" t="s">
        <v>252</v>
      </c>
      <c r="B9415" s="55" t="n">
        <v>45565</v>
      </c>
      <c r="C9415" s="51" t="s">
        <v>73</v>
      </c>
      <c r="D9415" s="51" t="n">
        <v>0</v>
      </c>
    </row>
    <row r="9416" customFormat="false" ht="15" hidden="true" customHeight="false" outlineLevel="0" collapsed="false">
      <c r="A9416" s="51" t="s">
        <v>257</v>
      </c>
      <c r="B9416" s="55" t="n">
        <v>45565</v>
      </c>
      <c r="C9416" s="51" t="s">
        <v>73</v>
      </c>
      <c r="D9416" s="51" t="n">
        <v>0</v>
      </c>
    </row>
    <row r="9417" customFormat="false" ht="15" hidden="true" customHeight="false" outlineLevel="0" collapsed="false">
      <c r="A9417" s="51" t="s">
        <v>262</v>
      </c>
      <c r="B9417" s="55" t="n">
        <v>45565</v>
      </c>
      <c r="C9417" s="51" t="s">
        <v>73</v>
      </c>
      <c r="D9417" s="51" t="n">
        <v>0</v>
      </c>
    </row>
    <row r="9418" customFormat="false" ht="15" hidden="true" customHeight="false" outlineLevel="0" collapsed="false">
      <c r="A9418" s="51" t="s">
        <v>267</v>
      </c>
      <c r="B9418" s="55" t="n">
        <v>45565</v>
      </c>
      <c r="C9418" s="51" t="s">
        <v>73</v>
      </c>
      <c r="D9418" s="51" t="n">
        <v>0</v>
      </c>
    </row>
    <row r="9419" customFormat="false" ht="15" hidden="true" customHeight="false" outlineLevel="0" collapsed="false">
      <c r="A9419" s="51" t="s">
        <v>272</v>
      </c>
      <c r="B9419" s="55" t="n">
        <v>45565</v>
      </c>
      <c r="C9419" s="51" t="s">
        <v>73</v>
      </c>
      <c r="D9419" s="51" t="n">
        <v>0</v>
      </c>
    </row>
    <row r="9420" customFormat="false" ht="15" hidden="true" customHeight="false" outlineLevel="0" collapsed="false">
      <c r="A9420" s="51" t="s">
        <v>277</v>
      </c>
      <c r="B9420" s="55" t="n">
        <v>45565</v>
      </c>
      <c r="C9420" s="51" t="s">
        <v>73</v>
      </c>
      <c r="D9420" s="51" t="n">
        <v>0</v>
      </c>
    </row>
    <row r="9421" customFormat="false" ht="15" hidden="true" customHeight="false" outlineLevel="0" collapsed="false">
      <c r="A9421" s="51" t="s">
        <v>282</v>
      </c>
      <c r="B9421" s="55" t="n">
        <v>45565</v>
      </c>
      <c r="C9421" s="51" t="s">
        <v>73</v>
      </c>
      <c r="D9421" s="51" t="n">
        <v>0</v>
      </c>
    </row>
    <row r="9422" customFormat="false" ht="15" hidden="true" customHeight="false" outlineLevel="0" collapsed="false">
      <c r="A9422" s="51" t="s">
        <v>287</v>
      </c>
      <c r="B9422" s="55" t="n">
        <v>45565</v>
      </c>
      <c r="C9422" s="51" t="s">
        <v>73</v>
      </c>
      <c r="D9422" s="51" t="n">
        <v>0</v>
      </c>
    </row>
    <row r="9423" customFormat="false" ht="15" hidden="true" customHeight="false" outlineLevel="0" collapsed="false">
      <c r="A9423" s="51" t="s">
        <v>292</v>
      </c>
      <c r="B9423" s="55" t="n">
        <v>45565</v>
      </c>
      <c r="C9423" s="51" t="s">
        <v>73</v>
      </c>
      <c r="D9423" s="51" t="n">
        <v>0</v>
      </c>
    </row>
    <row r="9424" customFormat="false" ht="15" hidden="true" customHeight="false" outlineLevel="0" collapsed="false">
      <c r="A9424" s="51" t="s">
        <v>297</v>
      </c>
      <c r="B9424" s="55" t="n">
        <v>45565</v>
      </c>
      <c r="C9424" s="51" t="s">
        <v>73</v>
      </c>
      <c r="D9424" s="51" t="n">
        <v>0</v>
      </c>
    </row>
    <row r="9425" customFormat="false" ht="15" hidden="true" customHeight="false" outlineLevel="0" collapsed="false">
      <c r="A9425" s="51" t="s">
        <v>302</v>
      </c>
      <c r="B9425" s="55" t="n">
        <v>45565</v>
      </c>
      <c r="C9425" s="51" t="s">
        <v>73</v>
      </c>
      <c r="D9425" s="51" t="n">
        <v>0</v>
      </c>
    </row>
    <row r="9426" customFormat="false" ht="15" hidden="true" customHeight="false" outlineLevel="0" collapsed="false">
      <c r="A9426" s="51" t="s">
        <v>307</v>
      </c>
      <c r="B9426" s="55" t="n">
        <v>45565</v>
      </c>
      <c r="C9426" s="51" t="s">
        <v>73</v>
      </c>
      <c r="D9426" s="51" t="n">
        <v>0</v>
      </c>
    </row>
    <row r="9427" customFormat="false" ht="15" hidden="true" customHeight="false" outlineLevel="0" collapsed="false">
      <c r="A9427" s="51" t="s">
        <v>311</v>
      </c>
      <c r="B9427" s="55" t="n">
        <v>45565</v>
      </c>
      <c r="C9427" s="51" t="s">
        <v>73</v>
      </c>
      <c r="D9427" s="51" t="n">
        <v>0</v>
      </c>
    </row>
    <row r="9428" customFormat="false" ht="15" hidden="true" customHeight="false" outlineLevel="0" collapsed="false">
      <c r="A9428" s="51" t="s">
        <v>317</v>
      </c>
      <c r="B9428" s="55" t="n">
        <v>45565</v>
      </c>
      <c r="C9428" s="51" t="s">
        <v>73</v>
      </c>
      <c r="D9428" s="51" t="n">
        <v>0</v>
      </c>
    </row>
    <row r="9429" customFormat="false" ht="15" hidden="true" customHeight="false" outlineLevel="0" collapsed="false">
      <c r="A9429" s="51" t="s">
        <v>322</v>
      </c>
      <c r="B9429" s="55" t="n">
        <v>45565</v>
      </c>
      <c r="C9429" s="51" t="s">
        <v>73</v>
      </c>
      <c r="D9429" s="51" t="n">
        <v>0</v>
      </c>
    </row>
    <row r="9430" customFormat="false" ht="15" hidden="true" customHeight="false" outlineLevel="0" collapsed="false">
      <c r="A9430" s="51" t="s">
        <v>327</v>
      </c>
      <c r="B9430" s="55" t="n">
        <v>45565</v>
      </c>
      <c r="C9430" s="51" t="s">
        <v>73</v>
      </c>
      <c r="D9430" s="51" t="n">
        <v>0</v>
      </c>
    </row>
    <row r="9431" customFormat="false" ht="15" hidden="true" customHeight="false" outlineLevel="0" collapsed="false">
      <c r="A9431" s="51" t="s">
        <v>332</v>
      </c>
      <c r="B9431" s="55" t="n">
        <v>45565</v>
      </c>
      <c r="C9431" s="51" t="s">
        <v>73</v>
      </c>
      <c r="D9431" s="51" t="n">
        <v>0</v>
      </c>
    </row>
    <row r="9432" customFormat="false" ht="15" hidden="true" customHeight="false" outlineLevel="0" collapsed="false">
      <c r="A9432" s="51" t="s">
        <v>339</v>
      </c>
      <c r="B9432" s="55" t="n">
        <v>45565</v>
      </c>
      <c r="C9432" s="51" t="s">
        <v>73</v>
      </c>
      <c r="D9432" s="51" t="n">
        <v>0</v>
      </c>
    </row>
    <row r="9433" customFormat="false" ht="15" hidden="true" customHeight="false" outlineLevel="0" collapsed="false">
      <c r="A9433" s="51" t="s">
        <v>344</v>
      </c>
      <c r="B9433" s="55" t="n">
        <v>45565</v>
      </c>
      <c r="C9433" s="51" t="s">
        <v>73</v>
      </c>
      <c r="D9433" s="51" t="n">
        <v>0</v>
      </c>
    </row>
    <row r="9434" customFormat="false" ht="15" hidden="true" customHeight="false" outlineLevel="0" collapsed="false">
      <c r="A9434" s="51" t="s">
        <v>349</v>
      </c>
      <c r="B9434" s="55" t="n">
        <v>45565</v>
      </c>
      <c r="C9434" s="51" t="s">
        <v>73</v>
      </c>
      <c r="D9434" s="51" t="n">
        <v>0</v>
      </c>
    </row>
    <row r="9435" customFormat="false" ht="15" hidden="true" customHeight="false" outlineLevel="0" collapsed="false">
      <c r="A9435" s="51" t="s">
        <v>354</v>
      </c>
      <c r="B9435" s="55" t="n">
        <v>45565</v>
      </c>
      <c r="C9435" s="51" t="s">
        <v>73</v>
      </c>
      <c r="D9435" s="51" t="n">
        <v>0</v>
      </c>
    </row>
    <row r="9436" customFormat="false" ht="15" hidden="true" customHeight="false" outlineLevel="0" collapsed="false">
      <c r="A9436" s="51" t="s">
        <v>359</v>
      </c>
      <c r="B9436" s="55" t="n">
        <v>45565</v>
      </c>
      <c r="C9436" s="51" t="s">
        <v>73</v>
      </c>
      <c r="D9436" s="51" t="n">
        <v>0</v>
      </c>
    </row>
    <row r="9437" customFormat="false" ht="15" hidden="true" customHeight="false" outlineLevel="0" collapsed="false">
      <c r="A9437" s="51" t="s">
        <v>364</v>
      </c>
      <c r="B9437" s="55" t="n">
        <v>45565</v>
      </c>
      <c r="C9437" s="51" t="s">
        <v>73</v>
      </c>
      <c r="D9437" s="51" t="n">
        <v>0</v>
      </c>
    </row>
    <row r="9438" customFormat="false" ht="15" hidden="true" customHeight="false" outlineLevel="0" collapsed="false">
      <c r="A9438" s="51" t="s">
        <v>369</v>
      </c>
      <c r="B9438" s="55" t="n">
        <v>45565</v>
      </c>
      <c r="C9438" s="51" t="s">
        <v>73</v>
      </c>
      <c r="D9438" s="51" t="n">
        <v>250000</v>
      </c>
    </row>
    <row r="9439" customFormat="false" ht="15" hidden="true" customHeight="false" outlineLevel="0" collapsed="false">
      <c r="A9439" s="51" t="s">
        <v>374</v>
      </c>
      <c r="B9439" s="55" t="n">
        <v>45565</v>
      </c>
      <c r="C9439" s="51" t="s">
        <v>73</v>
      </c>
      <c r="D9439" s="51" t="n">
        <v>0</v>
      </c>
    </row>
    <row r="9440" customFormat="false" ht="15" hidden="true" customHeight="false" outlineLevel="0" collapsed="false">
      <c r="A9440" s="51" t="s">
        <v>379</v>
      </c>
      <c r="B9440" s="55" t="n">
        <v>45565</v>
      </c>
      <c r="C9440" s="51" t="s">
        <v>73</v>
      </c>
      <c r="D9440" s="51" t="n">
        <v>159582.65</v>
      </c>
    </row>
    <row r="9441" customFormat="false" ht="15" hidden="true" customHeight="false" outlineLevel="0" collapsed="false">
      <c r="A9441" s="51" t="s">
        <v>384</v>
      </c>
      <c r="B9441" s="55" t="n">
        <v>45565</v>
      </c>
      <c r="C9441" s="51" t="s">
        <v>73</v>
      </c>
      <c r="D9441" s="51" t="n">
        <v>0</v>
      </c>
    </row>
    <row r="9442" customFormat="false" ht="15" hidden="true" customHeight="false" outlineLevel="0" collapsed="false">
      <c r="A9442" s="51" t="s">
        <v>389</v>
      </c>
      <c r="B9442" s="55" t="n">
        <v>45565</v>
      </c>
      <c r="C9442" s="51" t="s">
        <v>73</v>
      </c>
      <c r="D9442" s="51" t="n">
        <v>0</v>
      </c>
    </row>
    <row r="9443" customFormat="false" ht="15" hidden="true" customHeight="false" outlineLevel="0" collapsed="false">
      <c r="A9443" s="51" t="s">
        <v>394</v>
      </c>
      <c r="B9443" s="55" t="n">
        <v>45565</v>
      </c>
      <c r="C9443" s="51" t="s">
        <v>73</v>
      </c>
      <c r="D9443" s="51" t="n">
        <v>1300000</v>
      </c>
    </row>
    <row r="9444" customFormat="false" ht="15" hidden="true" customHeight="false" outlineLevel="0" collapsed="false">
      <c r="A9444" s="51" t="s">
        <v>399</v>
      </c>
      <c r="B9444" s="55" t="n">
        <v>45565</v>
      </c>
      <c r="C9444" s="51" t="s">
        <v>73</v>
      </c>
      <c r="D9444" s="51" t="n">
        <v>0</v>
      </c>
    </row>
    <row r="9445" customFormat="false" ht="15" hidden="true" customHeight="false" outlineLevel="0" collapsed="false">
      <c r="A9445" s="51" t="s">
        <v>404</v>
      </c>
      <c r="B9445" s="55" t="n">
        <v>45565</v>
      </c>
      <c r="C9445" s="51" t="s">
        <v>73</v>
      </c>
      <c r="D9445" s="51" t="n">
        <v>500000</v>
      </c>
    </row>
    <row r="9446" customFormat="false" ht="15" hidden="true" customHeight="false" outlineLevel="0" collapsed="false">
      <c r="A9446" s="51" t="s">
        <v>409</v>
      </c>
      <c r="B9446" s="55" t="n">
        <v>45565</v>
      </c>
      <c r="C9446" s="51" t="s">
        <v>73</v>
      </c>
      <c r="D9446" s="51" t="n">
        <v>0</v>
      </c>
    </row>
    <row r="9447" customFormat="false" ht="15" hidden="true" customHeight="false" outlineLevel="0" collapsed="false">
      <c r="A9447" s="51" t="s">
        <v>414</v>
      </c>
      <c r="B9447" s="55" t="n">
        <v>45565</v>
      </c>
      <c r="C9447" s="51" t="s">
        <v>73</v>
      </c>
      <c r="D9447" s="51" t="n">
        <v>0</v>
      </c>
    </row>
    <row r="9448" customFormat="false" ht="15" hidden="true" customHeight="false" outlineLevel="0" collapsed="false">
      <c r="A9448" s="51" t="s">
        <v>419</v>
      </c>
      <c r="B9448" s="55" t="n">
        <v>45565</v>
      </c>
      <c r="C9448" s="51" t="s">
        <v>73</v>
      </c>
      <c r="D9448" s="51" t="n">
        <v>400000</v>
      </c>
    </row>
    <row r="9449" customFormat="false" ht="15" hidden="true" customHeight="false" outlineLevel="0" collapsed="false">
      <c r="A9449" s="51" t="s">
        <v>424</v>
      </c>
      <c r="B9449" s="55" t="n">
        <v>45565</v>
      </c>
      <c r="C9449" s="51" t="s">
        <v>73</v>
      </c>
      <c r="D9449" s="51" t="n">
        <v>0</v>
      </c>
    </row>
    <row r="9450" customFormat="false" ht="15" hidden="true" customHeight="false" outlineLevel="0" collapsed="false">
      <c r="A9450" s="51" t="s">
        <v>429</v>
      </c>
      <c r="B9450" s="55" t="n">
        <v>45565</v>
      </c>
      <c r="C9450" s="51" t="s">
        <v>73</v>
      </c>
      <c r="D9450" s="51" t="n">
        <v>0</v>
      </c>
    </row>
    <row r="9451" customFormat="false" ht="15" hidden="true" customHeight="false" outlineLevel="0" collapsed="false">
      <c r="A9451" s="51" t="s">
        <v>434</v>
      </c>
      <c r="B9451" s="55" t="n">
        <v>45565</v>
      </c>
      <c r="C9451" s="51" t="s">
        <v>73</v>
      </c>
      <c r="D9451" s="51" t="n">
        <v>1500000</v>
      </c>
    </row>
    <row r="9452" customFormat="false" ht="15" hidden="true" customHeight="false" outlineLevel="0" collapsed="false">
      <c r="A9452" s="51" t="s">
        <v>438</v>
      </c>
      <c r="B9452" s="55" t="n">
        <v>45565</v>
      </c>
      <c r="C9452" s="51" t="s">
        <v>73</v>
      </c>
      <c r="D9452" s="51" t="n">
        <v>900000</v>
      </c>
    </row>
    <row r="9453" customFormat="false" ht="15" hidden="true" customHeight="false" outlineLevel="0" collapsed="false">
      <c r="A9453" s="51" t="s">
        <v>443</v>
      </c>
      <c r="B9453" s="55" t="n">
        <v>45565</v>
      </c>
      <c r="C9453" s="51" t="s">
        <v>73</v>
      </c>
      <c r="D9453" s="51" t="n">
        <v>350000</v>
      </c>
    </row>
    <row r="9454" customFormat="false" ht="15" hidden="true" customHeight="false" outlineLevel="0" collapsed="false">
      <c r="A9454" s="51" t="s">
        <v>448</v>
      </c>
      <c r="B9454" s="55" t="n">
        <v>45565</v>
      </c>
      <c r="C9454" s="51" t="s">
        <v>73</v>
      </c>
      <c r="D9454" s="51" t="n">
        <v>170000</v>
      </c>
    </row>
    <row r="9455" customFormat="false" ht="15" hidden="true" customHeight="false" outlineLevel="0" collapsed="false">
      <c r="A9455" s="51" t="s">
        <v>453</v>
      </c>
      <c r="B9455" s="55" t="n">
        <v>45565</v>
      </c>
      <c r="C9455" s="51" t="s">
        <v>73</v>
      </c>
      <c r="D9455" s="51" t="n">
        <v>0</v>
      </c>
    </row>
    <row r="9456" customFormat="false" ht="15" hidden="true" customHeight="false" outlineLevel="0" collapsed="false">
      <c r="A9456" s="51" t="s">
        <v>458</v>
      </c>
      <c r="B9456" s="55" t="n">
        <v>45565</v>
      </c>
      <c r="C9456" s="51" t="s">
        <v>73</v>
      </c>
      <c r="D9456" s="51" t="n">
        <v>250000</v>
      </c>
    </row>
    <row r="9457" customFormat="false" ht="15" hidden="true" customHeight="false" outlineLevel="0" collapsed="false">
      <c r="A9457" s="51" t="s">
        <v>473</v>
      </c>
      <c r="B9457" s="55" t="n">
        <v>45565</v>
      </c>
      <c r="C9457" s="51" t="s">
        <v>73</v>
      </c>
      <c r="D9457" s="51" t="n">
        <v>0</v>
      </c>
    </row>
    <row r="9458" customFormat="false" ht="15" hidden="true" customHeight="false" outlineLevel="0" collapsed="false">
      <c r="A9458" s="51" t="s">
        <v>479</v>
      </c>
      <c r="B9458" s="55" t="n">
        <v>45565</v>
      </c>
      <c r="C9458" s="51" t="s">
        <v>73</v>
      </c>
      <c r="D9458" s="51" t="n">
        <v>500000</v>
      </c>
    </row>
    <row r="9459" customFormat="false" ht="15" hidden="true" customHeight="false" outlineLevel="0" collapsed="false">
      <c r="A9459" s="51" t="s">
        <v>484</v>
      </c>
      <c r="B9459" s="55" t="n">
        <v>45565</v>
      </c>
      <c r="C9459" s="51" t="s">
        <v>73</v>
      </c>
      <c r="D9459" s="51" t="n">
        <v>20000</v>
      </c>
    </row>
    <row r="9460" customFormat="false" ht="15" hidden="true" customHeight="false" outlineLevel="0" collapsed="false">
      <c r="A9460" s="51" t="s">
        <v>489</v>
      </c>
      <c r="B9460" s="55" t="n">
        <v>45565</v>
      </c>
      <c r="C9460" s="51" t="s">
        <v>73</v>
      </c>
      <c r="D9460" s="51" t="n">
        <v>0</v>
      </c>
    </row>
    <row r="9461" customFormat="false" ht="15" hidden="true" customHeight="false" outlineLevel="0" collapsed="false">
      <c r="A9461" s="51" t="s">
        <v>494</v>
      </c>
      <c r="B9461" s="55" t="n">
        <v>45565</v>
      </c>
      <c r="C9461" s="51" t="s">
        <v>73</v>
      </c>
      <c r="D9461" s="51" t="n">
        <v>150000</v>
      </c>
    </row>
    <row r="9462" customFormat="false" ht="15" hidden="true" customHeight="false" outlineLevel="0" collapsed="false">
      <c r="A9462" s="51" t="s">
        <v>499</v>
      </c>
      <c r="B9462" s="55" t="n">
        <v>45565</v>
      </c>
      <c r="C9462" s="51" t="s">
        <v>73</v>
      </c>
      <c r="D9462" s="51" t="n">
        <v>840310</v>
      </c>
    </row>
    <row r="9463" customFormat="false" ht="15" hidden="true" customHeight="false" outlineLevel="0" collapsed="false">
      <c r="A9463" s="51" t="s">
        <v>504</v>
      </c>
      <c r="B9463" s="55" t="n">
        <v>45565</v>
      </c>
      <c r="C9463" s="51" t="s">
        <v>73</v>
      </c>
      <c r="D9463" s="51" t="n">
        <v>25000</v>
      </c>
    </row>
    <row r="9464" customFormat="false" ht="15" hidden="true" customHeight="false" outlineLevel="0" collapsed="false">
      <c r="A9464" s="51" t="s">
        <v>509</v>
      </c>
      <c r="B9464" s="55" t="n">
        <v>45565</v>
      </c>
      <c r="C9464" s="51" t="s">
        <v>73</v>
      </c>
      <c r="D9464" s="51" t="n">
        <v>75000</v>
      </c>
    </row>
    <row r="9465" customFormat="false" ht="15" hidden="true" customHeight="false" outlineLevel="0" collapsed="false">
      <c r="A9465" s="51" t="s">
        <v>515</v>
      </c>
      <c r="B9465" s="55" t="n">
        <v>45565</v>
      </c>
      <c r="C9465" s="51" t="s">
        <v>73</v>
      </c>
      <c r="D9465" s="51" t="n">
        <v>100000</v>
      </c>
    </row>
    <row r="9466" customFormat="false" ht="15" hidden="true" customHeight="false" outlineLevel="0" collapsed="false">
      <c r="A9466" s="51" t="s">
        <v>520</v>
      </c>
      <c r="B9466" s="55" t="n">
        <v>45565</v>
      </c>
      <c r="C9466" s="51" t="s">
        <v>73</v>
      </c>
      <c r="D9466" s="51" t="n">
        <v>300000</v>
      </c>
    </row>
    <row r="9467" customFormat="false" ht="15" hidden="true" customHeight="false" outlineLevel="0" collapsed="false">
      <c r="A9467" s="51" t="s">
        <v>525</v>
      </c>
      <c r="B9467" s="55" t="n">
        <v>45565</v>
      </c>
      <c r="C9467" s="51" t="s">
        <v>73</v>
      </c>
      <c r="D9467" s="51" t="n">
        <v>100000</v>
      </c>
    </row>
    <row r="9468" customFormat="false" ht="15" hidden="true" customHeight="false" outlineLevel="0" collapsed="false">
      <c r="A9468" s="51" t="s">
        <v>531</v>
      </c>
      <c r="B9468" s="55" t="n">
        <v>45565</v>
      </c>
      <c r="C9468" s="51" t="s">
        <v>73</v>
      </c>
      <c r="D9468" s="51" t="n">
        <v>200000</v>
      </c>
    </row>
    <row r="9469" customFormat="false" ht="15" hidden="true" customHeight="false" outlineLevel="0" collapsed="false">
      <c r="A9469" s="51" t="s">
        <v>536</v>
      </c>
      <c r="B9469" s="55" t="n">
        <v>45565</v>
      </c>
      <c r="C9469" s="51" t="s">
        <v>73</v>
      </c>
      <c r="D9469" s="51" t="n">
        <v>250000</v>
      </c>
    </row>
    <row r="9470" customFormat="false" ht="15" hidden="true" customHeight="false" outlineLevel="0" collapsed="false">
      <c r="A9470" s="51" t="s">
        <v>541</v>
      </c>
      <c r="B9470" s="55" t="n">
        <v>45565</v>
      </c>
      <c r="C9470" s="51" t="s">
        <v>73</v>
      </c>
      <c r="D9470" s="51" t="n">
        <v>472232</v>
      </c>
    </row>
    <row r="9471" customFormat="false" ht="15" hidden="true" customHeight="false" outlineLevel="0" collapsed="false">
      <c r="A9471" s="51" t="s">
        <v>549</v>
      </c>
      <c r="B9471" s="55" t="n">
        <v>45565</v>
      </c>
      <c r="C9471" s="51" t="s">
        <v>73</v>
      </c>
      <c r="D9471" s="51" t="n">
        <v>0</v>
      </c>
    </row>
    <row r="9472" customFormat="false" ht="15" hidden="true" customHeight="false" outlineLevel="0" collapsed="false">
      <c r="A9472" s="51" t="s">
        <v>554</v>
      </c>
      <c r="B9472" s="55" t="n">
        <v>45565</v>
      </c>
      <c r="C9472" s="51" t="s">
        <v>73</v>
      </c>
      <c r="D9472" s="51" t="n">
        <v>0</v>
      </c>
    </row>
    <row r="9473" customFormat="false" ht="15" hidden="true" customHeight="false" outlineLevel="0" collapsed="false">
      <c r="A9473" s="51" t="s">
        <v>559</v>
      </c>
      <c r="B9473" s="55" t="n">
        <v>45565</v>
      </c>
      <c r="C9473" s="51" t="s">
        <v>73</v>
      </c>
      <c r="D9473" s="51" t="n">
        <v>0</v>
      </c>
    </row>
    <row r="9474" customFormat="false" ht="15" hidden="true" customHeight="false" outlineLevel="0" collapsed="false">
      <c r="A9474" s="51" t="s">
        <v>564</v>
      </c>
      <c r="B9474" s="55" t="n">
        <v>45565</v>
      </c>
      <c r="C9474" s="51" t="s">
        <v>73</v>
      </c>
      <c r="D9474" s="51" t="n">
        <v>0</v>
      </c>
    </row>
    <row r="9475" customFormat="false" ht="15" hidden="true" customHeight="false" outlineLevel="0" collapsed="false">
      <c r="A9475" s="51" t="s">
        <v>569</v>
      </c>
      <c r="B9475" s="55" t="n">
        <v>45565</v>
      </c>
      <c r="C9475" s="51" t="s">
        <v>73</v>
      </c>
      <c r="D9475" s="51" t="n">
        <v>0</v>
      </c>
    </row>
    <row r="9476" customFormat="false" ht="15" hidden="true" customHeight="false" outlineLevel="0" collapsed="false">
      <c r="A9476" s="51" t="s">
        <v>574</v>
      </c>
      <c r="B9476" s="55" t="n">
        <v>45565</v>
      </c>
      <c r="C9476" s="51" t="s">
        <v>73</v>
      </c>
      <c r="D9476" s="51" t="n">
        <v>0</v>
      </c>
    </row>
    <row r="9477" customFormat="false" ht="15" hidden="true" customHeight="false" outlineLevel="0" collapsed="false">
      <c r="A9477" s="51" t="s">
        <v>579</v>
      </c>
      <c r="B9477" s="55" t="n">
        <v>45565</v>
      </c>
      <c r="C9477" s="51" t="s">
        <v>73</v>
      </c>
      <c r="D9477" s="51" t="n">
        <v>0</v>
      </c>
    </row>
    <row r="9478" customFormat="false" ht="15" hidden="true" customHeight="false" outlineLevel="0" collapsed="false">
      <c r="A9478" s="51" t="s">
        <v>584</v>
      </c>
      <c r="B9478" s="55" t="n">
        <v>45565</v>
      </c>
      <c r="C9478" s="51" t="s">
        <v>73</v>
      </c>
      <c r="D9478" s="51" t="n">
        <v>0</v>
      </c>
    </row>
    <row r="9479" customFormat="false" ht="15" hidden="true" customHeight="false" outlineLevel="0" collapsed="false">
      <c r="A9479" s="51" t="s">
        <v>589</v>
      </c>
      <c r="B9479" s="55" t="n">
        <v>45565</v>
      </c>
      <c r="C9479" s="51" t="s">
        <v>73</v>
      </c>
      <c r="D9479" s="51" t="n">
        <v>0</v>
      </c>
    </row>
    <row r="9480" customFormat="false" ht="15" hidden="true" customHeight="false" outlineLevel="0" collapsed="false">
      <c r="A9480" s="51" t="s">
        <v>756</v>
      </c>
      <c r="B9480" s="55" t="n">
        <v>45565</v>
      </c>
      <c r="C9480" s="51" t="s">
        <v>73</v>
      </c>
      <c r="D9480" s="51" t="n">
        <v>0</v>
      </c>
    </row>
    <row r="9481" customFormat="false" ht="15" hidden="true" customHeight="false" outlineLevel="0" collapsed="false">
      <c r="A9481" s="51" t="s">
        <v>594</v>
      </c>
      <c r="B9481" s="55" t="n">
        <v>45565</v>
      </c>
      <c r="C9481" s="51" t="s">
        <v>73</v>
      </c>
      <c r="D9481" s="51" t="n">
        <v>0</v>
      </c>
    </row>
    <row r="9482" customFormat="false" ht="15" hidden="true" customHeight="false" outlineLevel="0" collapsed="false">
      <c r="A9482" s="51" t="s">
        <v>761</v>
      </c>
      <c r="B9482" s="55" t="n">
        <v>45565</v>
      </c>
      <c r="C9482" s="51" t="s">
        <v>73</v>
      </c>
      <c r="D9482" s="51" t="n">
        <v>0</v>
      </c>
    </row>
    <row r="9483" customFormat="false" ht="15" hidden="true" customHeight="false" outlineLevel="0" collapsed="false">
      <c r="A9483" s="51" t="s">
        <v>599</v>
      </c>
      <c r="B9483" s="55" t="n">
        <v>45565</v>
      </c>
      <c r="C9483" s="51" t="s">
        <v>73</v>
      </c>
      <c r="D9483" s="51" t="n">
        <v>0</v>
      </c>
    </row>
    <row r="9484" customFormat="false" ht="15" hidden="true" customHeight="false" outlineLevel="0" collapsed="false">
      <c r="A9484" s="51" t="s">
        <v>604</v>
      </c>
      <c r="B9484" s="55" t="n">
        <v>45565</v>
      </c>
      <c r="C9484" s="51" t="s">
        <v>73</v>
      </c>
      <c r="D9484" s="51" t="n">
        <v>0</v>
      </c>
    </row>
    <row r="9485" customFormat="false" ht="15" hidden="true" customHeight="false" outlineLevel="0" collapsed="false">
      <c r="A9485" s="51" t="s">
        <v>609</v>
      </c>
      <c r="B9485" s="55" t="n">
        <v>45565</v>
      </c>
      <c r="C9485" s="51" t="s">
        <v>73</v>
      </c>
      <c r="D9485" s="51" t="n">
        <v>0</v>
      </c>
    </row>
    <row r="9486" customFormat="false" ht="15" hidden="true" customHeight="false" outlineLevel="0" collapsed="false">
      <c r="A9486" s="51" t="s">
        <v>614</v>
      </c>
      <c r="B9486" s="55" t="n">
        <v>45565</v>
      </c>
      <c r="C9486" s="51" t="s">
        <v>73</v>
      </c>
      <c r="D9486" s="51" t="n">
        <v>0</v>
      </c>
    </row>
    <row r="9487" customFormat="false" ht="15" hidden="true" customHeight="false" outlineLevel="0" collapsed="false">
      <c r="A9487" s="51" t="s">
        <v>619</v>
      </c>
      <c r="B9487" s="55" t="n">
        <v>45565</v>
      </c>
      <c r="C9487" s="51" t="s">
        <v>73</v>
      </c>
      <c r="D9487" s="51" t="n">
        <v>0</v>
      </c>
    </row>
    <row r="9488" customFormat="false" ht="15" hidden="true" customHeight="false" outlineLevel="0" collapsed="false">
      <c r="A9488" s="51" t="s">
        <v>624</v>
      </c>
      <c r="B9488" s="55" t="n">
        <v>45565</v>
      </c>
      <c r="C9488" s="51" t="s">
        <v>73</v>
      </c>
      <c r="D9488" s="51" t="n">
        <v>0</v>
      </c>
    </row>
    <row r="9489" customFormat="false" ht="15" hidden="true" customHeight="false" outlineLevel="0" collapsed="false">
      <c r="A9489" s="51" t="s">
        <v>629</v>
      </c>
      <c r="B9489" s="55" t="n">
        <v>45565</v>
      </c>
      <c r="C9489" s="51" t="s">
        <v>73</v>
      </c>
      <c r="D9489" s="51" t="n">
        <v>0</v>
      </c>
    </row>
    <row r="9490" customFormat="false" ht="15" hidden="true" customHeight="false" outlineLevel="0" collapsed="false">
      <c r="A9490" s="51" t="s">
        <v>633</v>
      </c>
      <c r="B9490" s="55" t="n">
        <v>45565</v>
      </c>
      <c r="C9490" s="51" t="s">
        <v>73</v>
      </c>
      <c r="D9490" s="51" t="n">
        <v>0</v>
      </c>
    </row>
    <row r="9491" customFormat="false" ht="15" hidden="true" customHeight="false" outlineLevel="0" collapsed="false">
      <c r="A9491" s="51" t="s">
        <v>638</v>
      </c>
      <c r="B9491" s="55" t="n">
        <v>45565</v>
      </c>
      <c r="C9491" s="51" t="s">
        <v>73</v>
      </c>
      <c r="D9491" s="51" t="n">
        <v>0</v>
      </c>
    </row>
    <row r="9492" customFormat="false" ht="15" hidden="true" customHeight="false" outlineLevel="0" collapsed="false">
      <c r="A9492" s="51" t="s">
        <v>642</v>
      </c>
      <c r="B9492" s="55" t="n">
        <v>45565</v>
      </c>
      <c r="C9492" s="51" t="s">
        <v>73</v>
      </c>
      <c r="D9492" s="51" t="n">
        <v>0</v>
      </c>
    </row>
    <row r="9493" customFormat="false" ht="15" hidden="true" customHeight="false" outlineLevel="0" collapsed="false">
      <c r="A9493" s="51" t="s">
        <v>646</v>
      </c>
      <c r="B9493" s="55" t="n">
        <v>45565</v>
      </c>
      <c r="C9493" s="51" t="s">
        <v>73</v>
      </c>
      <c r="D9493" s="51" t="n">
        <v>0</v>
      </c>
    </row>
    <row r="9494" customFormat="false" ht="15" hidden="true" customHeight="false" outlineLevel="0" collapsed="false">
      <c r="A9494" s="51" t="s">
        <v>651</v>
      </c>
      <c r="B9494" s="55" t="n">
        <v>45565</v>
      </c>
      <c r="C9494" s="51" t="s">
        <v>73</v>
      </c>
      <c r="D9494" s="51" t="n">
        <v>0</v>
      </c>
    </row>
    <row r="9495" customFormat="false" ht="15" hidden="true" customHeight="false" outlineLevel="0" collapsed="false">
      <c r="A9495" s="51" t="s">
        <v>656</v>
      </c>
      <c r="B9495" s="55" t="n">
        <v>45565</v>
      </c>
      <c r="C9495" s="51" t="s">
        <v>73</v>
      </c>
      <c r="D9495" s="51" t="n">
        <v>0</v>
      </c>
    </row>
    <row r="9496" customFormat="false" ht="15" hidden="true" customHeight="false" outlineLevel="0" collapsed="false">
      <c r="A9496" s="51" t="s">
        <v>661</v>
      </c>
      <c r="B9496" s="55" t="n">
        <v>45565</v>
      </c>
      <c r="C9496" s="51" t="s">
        <v>73</v>
      </c>
      <c r="D9496" s="51" t="n">
        <v>0</v>
      </c>
    </row>
    <row r="9497" customFormat="false" ht="15" hidden="true" customHeight="false" outlineLevel="0" collapsed="false">
      <c r="A9497" s="51" t="s">
        <v>666</v>
      </c>
      <c r="B9497" s="55" t="n">
        <v>45565</v>
      </c>
      <c r="C9497" s="51" t="s">
        <v>73</v>
      </c>
      <c r="D9497" s="51" t="n">
        <v>0</v>
      </c>
    </row>
    <row r="9498" customFormat="false" ht="15" hidden="true" customHeight="false" outlineLevel="0" collapsed="false">
      <c r="A9498" s="51" t="s">
        <v>671</v>
      </c>
      <c r="B9498" s="55" t="n">
        <v>45565</v>
      </c>
      <c r="C9498" s="51" t="s">
        <v>73</v>
      </c>
      <c r="D9498" s="51" t="n">
        <v>0</v>
      </c>
    </row>
    <row r="9499" customFormat="false" ht="15" hidden="true" customHeight="false" outlineLevel="0" collapsed="false">
      <c r="A9499" s="51" t="s">
        <v>676</v>
      </c>
      <c r="B9499" s="55" t="n">
        <v>45565</v>
      </c>
      <c r="C9499" s="51" t="s">
        <v>73</v>
      </c>
      <c r="D9499" s="51" t="n">
        <v>0</v>
      </c>
    </row>
    <row r="9500" customFormat="false" ht="15" hidden="true" customHeight="false" outlineLevel="0" collapsed="false">
      <c r="A9500" s="51" t="s">
        <v>681</v>
      </c>
      <c r="B9500" s="55" t="n">
        <v>45565</v>
      </c>
      <c r="C9500" s="51" t="s">
        <v>73</v>
      </c>
      <c r="D9500" s="51" t="n">
        <v>0</v>
      </c>
    </row>
    <row r="9501" customFormat="false" ht="15" hidden="true" customHeight="false" outlineLevel="0" collapsed="false">
      <c r="A9501" s="51" t="s">
        <v>686</v>
      </c>
      <c r="B9501" s="55" t="n">
        <v>45565</v>
      </c>
      <c r="C9501" s="51" t="s">
        <v>73</v>
      </c>
      <c r="D9501" s="51" t="n">
        <v>0</v>
      </c>
    </row>
    <row r="9502" customFormat="false" ht="15" hidden="true" customHeight="false" outlineLevel="0" collapsed="false">
      <c r="A9502" s="51" t="s">
        <v>691</v>
      </c>
      <c r="B9502" s="55" t="n">
        <v>45565</v>
      </c>
      <c r="C9502" s="51" t="s">
        <v>73</v>
      </c>
      <c r="D9502" s="51" t="n">
        <v>0</v>
      </c>
    </row>
    <row r="9503" customFormat="false" ht="15" hidden="true" customHeight="false" outlineLevel="0" collapsed="false">
      <c r="A9503" s="51" t="s">
        <v>696</v>
      </c>
      <c r="B9503" s="55" t="n">
        <v>45565</v>
      </c>
      <c r="C9503" s="51" t="s">
        <v>73</v>
      </c>
      <c r="D9503" s="51" t="n">
        <v>0</v>
      </c>
    </row>
    <row r="9504" customFormat="false" ht="15" hidden="true" customHeight="false" outlineLevel="0" collapsed="false">
      <c r="A9504" s="51" t="s">
        <v>701</v>
      </c>
      <c r="B9504" s="55" t="n">
        <v>45565</v>
      </c>
      <c r="C9504" s="51" t="s">
        <v>73</v>
      </c>
      <c r="D9504" s="51" t="n">
        <v>0</v>
      </c>
    </row>
    <row r="9505" customFormat="false" ht="15" hidden="true" customHeight="false" outlineLevel="0" collapsed="false">
      <c r="A9505" s="51" t="s">
        <v>707</v>
      </c>
      <c r="B9505" s="55" t="n">
        <v>45565</v>
      </c>
      <c r="C9505" s="51" t="s">
        <v>73</v>
      </c>
      <c r="D9505" s="51" t="n">
        <v>0</v>
      </c>
    </row>
    <row r="9506" customFormat="false" ht="15" hidden="true" customHeight="false" outlineLevel="0" collapsed="false">
      <c r="A9506" s="51" t="s">
        <v>712</v>
      </c>
      <c r="B9506" s="55" t="n">
        <v>45565</v>
      </c>
      <c r="C9506" s="51" t="s">
        <v>73</v>
      </c>
      <c r="D9506" s="51" t="n">
        <v>0</v>
      </c>
    </row>
    <row r="9507" customFormat="false" ht="15" hidden="true" customHeight="false" outlineLevel="0" collapsed="false">
      <c r="A9507" s="51" t="s">
        <v>717</v>
      </c>
      <c r="B9507" s="55" t="n">
        <v>45565</v>
      </c>
      <c r="C9507" s="51" t="s">
        <v>73</v>
      </c>
      <c r="D9507" s="51" t="n">
        <v>0</v>
      </c>
    </row>
    <row r="9508" customFormat="false" ht="15" hidden="true" customHeight="false" outlineLevel="0" collapsed="false">
      <c r="A9508" s="51" t="s">
        <v>767</v>
      </c>
      <c r="B9508" s="55" t="n">
        <v>45565</v>
      </c>
      <c r="C9508" s="51" t="s">
        <v>73</v>
      </c>
      <c r="D9508" s="51" t="n">
        <v>0</v>
      </c>
    </row>
    <row r="9509" customFormat="false" ht="15" hidden="true" customHeight="false" outlineLevel="0" collapsed="false">
      <c r="A9509" s="51" t="s">
        <v>722</v>
      </c>
      <c r="B9509" s="55" t="n">
        <v>45565</v>
      </c>
      <c r="C9509" s="51" t="s">
        <v>73</v>
      </c>
      <c r="D9509" s="51" t="n">
        <v>0</v>
      </c>
    </row>
    <row r="9510" customFormat="false" ht="15" hidden="true" customHeight="false" outlineLevel="0" collapsed="false">
      <c r="A9510" s="51" t="s">
        <v>727</v>
      </c>
      <c r="B9510" s="55" t="n">
        <v>45565</v>
      </c>
      <c r="C9510" s="51" t="s">
        <v>73</v>
      </c>
      <c r="D9510" s="51" t="n">
        <v>0</v>
      </c>
    </row>
    <row r="9511" customFormat="false" ht="15" hidden="true" customHeight="false" outlineLevel="0" collapsed="false">
      <c r="A9511" s="51" t="s">
        <v>732</v>
      </c>
      <c r="B9511" s="55" t="n">
        <v>45565</v>
      </c>
      <c r="C9511" s="51" t="s">
        <v>73</v>
      </c>
      <c r="D9511" s="51" t="n">
        <v>0</v>
      </c>
    </row>
    <row r="9512" customFormat="false" ht="15" hidden="true" customHeight="false" outlineLevel="0" collapsed="false">
      <c r="A9512" s="51" t="s">
        <v>736</v>
      </c>
      <c r="B9512" s="55" t="n">
        <v>45565</v>
      </c>
      <c r="C9512" s="51" t="s">
        <v>73</v>
      </c>
      <c r="D9512" s="51" t="n">
        <v>0</v>
      </c>
    </row>
    <row r="9513" customFormat="false" ht="15" hidden="true" customHeight="false" outlineLevel="0" collapsed="false">
      <c r="A9513" s="51" t="s">
        <v>741</v>
      </c>
      <c r="B9513" s="55" t="n">
        <v>45565</v>
      </c>
      <c r="C9513" s="51" t="s">
        <v>73</v>
      </c>
      <c r="D9513" s="51" t="n">
        <v>0</v>
      </c>
    </row>
    <row r="9514" customFormat="false" ht="15" hidden="true" customHeight="false" outlineLevel="0" collapsed="false">
      <c r="A9514" s="51" t="s">
        <v>746</v>
      </c>
      <c r="B9514" s="55" t="n">
        <v>45565</v>
      </c>
      <c r="C9514" s="51" t="s">
        <v>73</v>
      </c>
      <c r="D9514" s="51" t="n">
        <v>0</v>
      </c>
    </row>
    <row r="9515" customFormat="false" ht="15" hidden="true" customHeight="false" outlineLevel="0" collapsed="false">
      <c r="A9515" s="51" t="s">
        <v>751</v>
      </c>
      <c r="B9515" s="55" t="n">
        <v>45565</v>
      </c>
      <c r="C9515" s="51" t="s">
        <v>73</v>
      </c>
      <c r="D9515" s="51" t="n">
        <v>0</v>
      </c>
    </row>
    <row r="9516" customFormat="false" ht="15" hidden="false" customHeight="false" outlineLevel="0" collapsed="false">
      <c r="A9516" s="51" t="s">
        <v>781</v>
      </c>
      <c r="B9516" s="55" t="n">
        <v>45565</v>
      </c>
      <c r="C9516" s="51" t="s">
        <v>791</v>
      </c>
      <c r="D9516" s="51" t="n">
        <v>0</v>
      </c>
    </row>
    <row r="9517" customFormat="false" ht="15" hidden="true" customHeight="false" outlineLevel="0" collapsed="false">
      <c r="A9517" s="51" t="s">
        <v>783</v>
      </c>
      <c r="B9517" s="55" t="n">
        <v>45565</v>
      </c>
      <c r="C9517" s="51" t="s">
        <v>791</v>
      </c>
      <c r="D9517" s="51" t="n">
        <v>0</v>
      </c>
    </row>
    <row r="9518" customFormat="false" ht="15" hidden="true" customHeight="false" outlineLevel="0" collapsed="false">
      <c r="A9518" s="51" t="s">
        <v>96</v>
      </c>
      <c r="B9518" s="55" t="n">
        <v>45565</v>
      </c>
      <c r="C9518" s="51" t="s">
        <v>791</v>
      </c>
      <c r="D9518" s="51" t="n">
        <v>0</v>
      </c>
    </row>
    <row r="9519" customFormat="false" ht="15" hidden="true" customHeight="false" outlineLevel="0" collapsed="false">
      <c r="A9519" s="51" t="s">
        <v>101</v>
      </c>
      <c r="B9519" s="55" t="n">
        <v>45565</v>
      </c>
      <c r="C9519" s="51" t="s">
        <v>791</v>
      </c>
      <c r="D9519" s="51" t="n">
        <v>0</v>
      </c>
    </row>
    <row r="9520" customFormat="false" ht="15" hidden="true" customHeight="false" outlineLevel="0" collapsed="false">
      <c r="A9520" s="51" t="s">
        <v>106</v>
      </c>
      <c r="B9520" s="55" t="n">
        <v>45565</v>
      </c>
      <c r="C9520" s="51" t="s">
        <v>791</v>
      </c>
      <c r="D9520" s="51" t="n">
        <v>0</v>
      </c>
    </row>
    <row r="9521" customFormat="false" ht="15" hidden="true" customHeight="false" outlineLevel="0" collapsed="false">
      <c r="A9521" s="51" t="s">
        <v>110</v>
      </c>
      <c r="B9521" s="55" t="n">
        <v>45565</v>
      </c>
      <c r="C9521" s="51" t="s">
        <v>791</v>
      </c>
      <c r="D9521" s="51" t="n">
        <v>0</v>
      </c>
    </row>
    <row r="9522" customFormat="false" ht="15" hidden="true" customHeight="false" outlineLevel="0" collapsed="false">
      <c r="A9522" s="51" t="s">
        <v>115</v>
      </c>
      <c r="B9522" s="55" t="n">
        <v>45565</v>
      </c>
      <c r="C9522" s="51" t="s">
        <v>791</v>
      </c>
      <c r="D9522" s="51" t="n">
        <v>0</v>
      </c>
    </row>
    <row r="9523" customFormat="false" ht="15" hidden="true" customHeight="false" outlineLevel="0" collapsed="false">
      <c r="A9523" s="51" t="s">
        <v>120</v>
      </c>
      <c r="B9523" s="55" t="n">
        <v>45565</v>
      </c>
      <c r="C9523" s="51" t="s">
        <v>791</v>
      </c>
      <c r="D9523" s="51" t="n">
        <v>0</v>
      </c>
    </row>
    <row r="9524" customFormat="false" ht="15" hidden="true" customHeight="false" outlineLevel="0" collapsed="false">
      <c r="A9524" s="51" t="s">
        <v>124</v>
      </c>
      <c r="B9524" s="55" t="n">
        <v>45565</v>
      </c>
      <c r="C9524" s="51" t="s">
        <v>791</v>
      </c>
      <c r="D9524" s="51" t="n">
        <v>0</v>
      </c>
    </row>
    <row r="9525" customFormat="false" ht="15" hidden="true" customHeight="false" outlineLevel="0" collapsed="false">
      <c r="A9525" s="51" t="s">
        <v>129</v>
      </c>
      <c r="B9525" s="55" t="n">
        <v>45565</v>
      </c>
      <c r="C9525" s="51" t="s">
        <v>791</v>
      </c>
      <c r="D9525" s="51" t="n">
        <v>0</v>
      </c>
    </row>
    <row r="9526" customFormat="false" ht="15" hidden="true" customHeight="false" outlineLevel="0" collapsed="false">
      <c r="A9526" s="51" t="s">
        <v>134</v>
      </c>
      <c r="B9526" s="55" t="n">
        <v>45565</v>
      </c>
      <c r="C9526" s="51" t="s">
        <v>791</v>
      </c>
      <c r="D9526" s="51" t="n">
        <v>0</v>
      </c>
    </row>
    <row r="9527" customFormat="false" ht="15" hidden="true" customHeight="false" outlineLevel="0" collapsed="false">
      <c r="A9527" s="51" t="s">
        <v>141</v>
      </c>
      <c r="B9527" s="55" t="n">
        <v>45565</v>
      </c>
      <c r="C9527" s="51" t="s">
        <v>791</v>
      </c>
      <c r="D9527" s="51" t="n">
        <v>0</v>
      </c>
    </row>
    <row r="9528" customFormat="false" ht="15" hidden="true" customHeight="false" outlineLevel="0" collapsed="false">
      <c r="A9528" s="51" t="s">
        <v>146</v>
      </c>
      <c r="B9528" s="55" t="n">
        <v>45565</v>
      </c>
      <c r="C9528" s="51" t="s">
        <v>791</v>
      </c>
      <c r="D9528" s="51" t="n">
        <v>0</v>
      </c>
    </row>
    <row r="9529" customFormat="false" ht="15" hidden="true" customHeight="false" outlineLevel="0" collapsed="false">
      <c r="A9529" s="51" t="s">
        <v>151</v>
      </c>
      <c r="B9529" s="55" t="n">
        <v>45565</v>
      </c>
      <c r="C9529" s="51" t="s">
        <v>791</v>
      </c>
      <c r="D9529" s="51" t="n">
        <v>0</v>
      </c>
    </row>
    <row r="9530" customFormat="false" ht="15" hidden="true" customHeight="false" outlineLevel="0" collapsed="false">
      <c r="A9530" s="51" t="s">
        <v>156</v>
      </c>
      <c r="B9530" s="55" t="n">
        <v>45565</v>
      </c>
      <c r="C9530" s="51" t="s">
        <v>791</v>
      </c>
      <c r="D9530" s="51" t="n">
        <v>0</v>
      </c>
    </row>
    <row r="9531" customFormat="false" ht="15" hidden="true" customHeight="false" outlineLevel="0" collapsed="false">
      <c r="A9531" s="51" t="s">
        <v>161</v>
      </c>
      <c r="B9531" s="55" t="n">
        <v>45565</v>
      </c>
      <c r="C9531" s="51" t="s">
        <v>791</v>
      </c>
      <c r="D9531" s="51" t="n">
        <v>0</v>
      </c>
    </row>
    <row r="9532" customFormat="false" ht="15" hidden="true" customHeight="false" outlineLevel="0" collapsed="false">
      <c r="A9532" s="51" t="s">
        <v>166</v>
      </c>
      <c r="B9532" s="55" t="n">
        <v>45565</v>
      </c>
      <c r="C9532" s="51" t="s">
        <v>791</v>
      </c>
      <c r="D9532" s="51" t="n">
        <v>0</v>
      </c>
    </row>
    <row r="9533" customFormat="false" ht="15" hidden="true" customHeight="false" outlineLevel="0" collapsed="false">
      <c r="A9533" s="51" t="s">
        <v>171</v>
      </c>
      <c r="B9533" s="55" t="n">
        <v>45565</v>
      </c>
      <c r="C9533" s="51" t="s">
        <v>791</v>
      </c>
      <c r="D9533" s="51" t="n">
        <v>0</v>
      </c>
    </row>
    <row r="9534" customFormat="false" ht="15" hidden="true" customHeight="false" outlineLevel="0" collapsed="false">
      <c r="A9534" s="51" t="s">
        <v>176</v>
      </c>
      <c r="B9534" s="55" t="n">
        <v>45565</v>
      </c>
      <c r="C9534" s="51" t="s">
        <v>791</v>
      </c>
      <c r="D9534" s="51" t="n">
        <v>0</v>
      </c>
    </row>
    <row r="9535" customFormat="false" ht="15" hidden="true" customHeight="false" outlineLevel="0" collapsed="false">
      <c r="A9535" s="51" t="s">
        <v>181</v>
      </c>
      <c r="B9535" s="55" t="n">
        <v>45565</v>
      </c>
      <c r="C9535" s="51" t="s">
        <v>791</v>
      </c>
      <c r="D9535" s="51" t="n">
        <v>0</v>
      </c>
    </row>
    <row r="9536" customFormat="false" ht="15" hidden="true" customHeight="false" outlineLevel="0" collapsed="false">
      <c r="A9536" s="51" t="s">
        <v>186</v>
      </c>
      <c r="B9536" s="55" t="n">
        <v>45565</v>
      </c>
      <c r="C9536" s="51" t="s">
        <v>791</v>
      </c>
      <c r="D9536" s="51" t="n">
        <v>0</v>
      </c>
    </row>
    <row r="9537" customFormat="false" ht="15" hidden="true" customHeight="false" outlineLevel="0" collapsed="false">
      <c r="A9537" s="51" t="s">
        <v>191</v>
      </c>
      <c r="B9537" s="55" t="n">
        <v>45565</v>
      </c>
      <c r="C9537" s="51" t="s">
        <v>791</v>
      </c>
      <c r="D9537" s="51" t="n">
        <v>0</v>
      </c>
    </row>
    <row r="9538" customFormat="false" ht="15" hidden="true" customHeight="false" outlineLevel="0" collapsed="false">
      <c r="A9538" s="51" t="s">
        <v>196</v>
      </c>
      <c r="B9538" s="55" t="n">
        <v>45565</v>
      </c>
      <c r="C9538" s="51" t="s">
        <v>791</v>
      </c>
      <c r="D9538" s="51" t="n">
        <v>0</v>
      </c>
    </row>
    <row r="9539" customFormat="false" ht="15" hidden="true" customHeight="false" outlineLevel="0" collapsed="false">
      <c r="A9539" s="51" t="s">
        <v>201</v>
      </c>
      <c r="B9539" s="55" t="n">
        <v>45565</v>
      </c>
      <c r="C9539" s="51" t="s">
        <v>791</v>
      </c>
      <c r="D9539" s="51" t="n">
        <v>0</v>
      </c>
    </row>
    <row r="9540" customFormat="false" ht="15" hidden="true" customHeight="false" outlineLevel="0" collapsed="false">
      <c r="A9540" s="51" t="s">
        <v>206</v>
      </c>
      <c r="B9540" s="55" t="n">
        <v>45565</v>
      </c>
      <c r="C9540" s="51" t="s">
        <v>791</v>
      </c>
      <c r="D9540" s="51" t="n">
        <v>0</v>
      </c>
    </row>
    <row r="9541" customFormat="false" ht="15" hidden="true" customHeight="false" outlineLevel="0" collapsed="false">
      <c r="A9541" s="51" t="s">
        <v>210</v>
      </c>
      <c r="B9541" s="55" t="n">
        <v>45565</v>
      </c>
      <c r="C9541" s="51" t="s">
        <v>791</v>
      </c>
      <c r="D9541" s="51" t="n">
        <v>0</v>
      </c>
    </row>
    <row r="9542" customFormat="false" ht="15" hidden="true" customHeight="false" outlineLevel="0" collapsed="false">
      <c r="A9542" s="51" t="s">
        <v>215</v>
      </c>
      <c r="B9542" s="55" t="n">
        <v>45565</v>
      </c>
      <c r="C9542" s="51" t="s">
        <v>791</v>
      </c>
      <c r="D9542" s="51" t="n">
        <v>0</v>
      </c>
    </row>
    <row r="9543" customFormat="false" ht="15" hidden="true" customHeight="false" outlineLevel="0" collapsed="false">
      <c r="A9543" s="51" t="s">
        <v>790</v>
      </c>
      <c r="B9543" s="55" t="n">
        <v>45565</v>
      </c>
      <c r="C9543" s="51" t="s">
        <v>791</v>
      </c>
      <c r="D9543" s="51" t="n">
        <v>0</v>
      </c>
    </row>
    <row r="9544" customFormat="false" ht="15" hidden="true" customHeight="false" outlineLevel="0" collapsed="false">
      <c r="A9544" s="51" t="s">
        <v>225</v>
      </c>
      <c r="B9544" s="55" t="n">
        <v>45565</v>
      </c>
      <c r="C9544" s="51" t="s">
        <v>791</v>
      </c>
      <c r="D9544" s="51" t="n">
        <v>0</v>
      </c>
    </row>
    <row r="9545" customFormat="false" ht="15" hidden="true" customHeight="false" outlineLevel="0" collapsed="false">
      <c r="A9545" s="51" t="s">
        <v>230</v>
      </c>
      <c r="B9545" s="55" t="n">
        <v>45565</v>
      </c>
      <c r="C9545" s="51" t="s">
        <v>791</v>
      </c>
      <c r="D9545" s="51" t="n">
        <v>0</v>
      </c>
    </row>
    <row r="9546" customFormat="false" ht="15" hidden="true" customHeight="false" outlineLevel="0" collapsed="false">
      <c r="A9546" s="51" t="s">
        <v>235</v>
      </c>
      <c r="B9546" s="55" t="n">
        <v>45565</v>
      </c>
      <c r="C9546" s="51" t="s">
        <v>791</v>
      </c>
      <c r="D9546" s="51" t="n">
        <v>0</v>
      </c>
    </row>
    <row r="9547" customFormat="false" ht="15" hidden="true" customHeight="false" outlineLevel="0" collapsed="false">
      <c r="A9547" s="51" t="s">
        <v>240</v>
      </c>
      <c r="B9547" s="55" t="n">
        <v>45565</v>
      </c>
      <c r="C9547" s="51" t="s">
        <v>791</v>
      </c>
      <c r="D9547" s="51" t="n">
        <v>0</v>
      </c>
    </row>
    <row r="9548" customFormat="false" ht="15" hidden="true" customHeight="false" outlineLevel="0" collapsed="false">
      <c r="A9548" s="51" t="s">
        <v>246</v>
      </c>
      <c r="B9548" s="55" t="n">
        <v>45565</v>
      </c>
      <c r="C9548" s="51" t="s">
        <v>791</v>
      </c>
      <c r="D9548" s="51" t="n">
        <v>-300000</v>
      </c>
    </row>
    <row r="9549" customFormat="false" ht="15" hidden="true" customHeight="false" outlineLevel="0" collapsed="false">
      <c r="A9549" s="51" t="s">
        <v>252</v>
      </c>
      <c r="B9549" s="55" t="n">
        <v>45565</v>
      </c>
      <c r="C9549" s="51" t="s">
        <v>791</v>
      </c>
      <c r="D9549" s="51" t="n">
        <v>0</v>
      </c>
    </row>
    <row r="9550" customFormat="false" ht="15" hidden="true" customHeight="false" outlineLevel="0" collapsed="false">
      <c r="A9550" s="51" t="s">
        <v>257</v>
      </c>
      <c r="B9550" s="55" t="n">
        <v>45565</v>
      </c>
      <c r="C9550" s="51" t="s">
        <v>791</v>
      </c>
      <c r="D9550" s="51" t="n">
        <v>0</v>
      </c>
    </row>
    <row r="9551" customFormat="false" ht="15" hidden="true" customHeight="false" outlineLevel="0" collapsed="false">
      <c r="A9551" s="51" t="s">
        <v>262</v>
      </c>
      <c r="B9551" s="55" t="n">
        <v>45565</v>
      </c>
      <c r="C9551" s="51" t="s">
        <v>791</v>
      </c>
      <c r="D9551" s="51" t="n">
        <v>0</v>
      </c>
    </row>
    <row r="9552" customFormat="false" ht="15" hidden="true" customHeight="false" outlineLevel="0" collapsed="false">
      <c r="A9552" s="51" t="s">
        <v>267</v>
      </c>
      <c r="B9552" s="55" t="n">
        <v>45565</v>
      </c>
      <c r="C9552" s="51" t="s">
        <v>791</v>
      </c>
      <c r="D9552" s="51" t="n">
        <v>0</v>
      </c>
    </row>
    <row r="9553" customFormat="false" ht="15" hidden="true" customHeight="false" outlineLevel="0" collapsed="false">
      <c r="A9553" s="51" t="s">
        <v>272</v>
      </c>
      <c r="B9553" s="55" t="n">
        <v>45565</v>
      </c>
      <c r="C9553" s="51" t="s">
        <v>791</v>
      </c>
      <c r="D9553" s="51" t="n">
        <v>0</v>
      </c>
    </row>
    <row r="9554" customFormat="false" ht="15" hidden="true" customHeight="false" outlineLevel="0" collapsed="false">
      <c r="A9554" s="51" t="s">
        <v>277</v>
      </c>
      <c r="B9554" s="55" t="n">
        <v>45565</v>
      </c>
      <c r="C9554" s="51" t="s">
        <v>791</v>
      </c>
      <c r="D9554" s="51" t="n">
        <v>0</v>
      </c>
    </row>
    <row r="9555" customFormat="false" ht="15" hidden="true" customHeight="false" outlineLevel="0" collapsed="false">
      <c r="A9555" s="51" t="s">
        <v>282</v>
      </c>
      <c r="B9555" s="55" t="n">
        <v>45565</v>
      </c>
      <c r="C9555" s="51" t="s">
        <v>791</v>
      </c>
      <c r="D9555" s="51" t="n">
        <v>0</v>
      </c>
    </row>
    <row r="9556" customFormat="false" ht="15" hidden="true" customHeight="false" outlineLevel="0" collapsed="false">
      <c r="A9556" s="51" t="s">
        <v>287</v>
      </c>
      <c r="B9556" s="55" t="n">
        <v>45565</v>
      </c>
      <c r="C9556" s="51" t="s">
        <v>791</v>
      </c>
      <c r="D9556" s="51" t="n">
        <v>0</v>
      </c>
    </row>
    <row r="9557" customFormat="false" ht="15" hidden="true" customHeight="false" outlineLevel="0" collapsed="false">
      <c r="A9557" s="51" t="s">
        <v>292</v>
      </c>
      <c r="B9557" s="55" t="n">
        <v>45565</v>
      </c>
      <c r="C9557" s="51" t="s">
        <v>791</v>
      </c>
      <c r="D9557" s="51" t="n">
        <v>0</v>
      </c>
    </row>
    <row r="9558" customFormat="false" ht="15" hidden="true" customHeight="false" outlineLevel="0" collapsed="false">
      <c r="A9558" s="51" t="s">
        <v>297</v>
      </c>
      <c r="B9558" s="55" t="n">
        <v>45565</v>
      </c>
      <c r="C9558" s="51" t="s">
        <v>791</v>
      </c>
      <c r="D9558" s="51" t="n">
        <v>0</v>
      </c>
    </row>
    <row r="9559" customFormat="false" ht="15" hidden="true" customHeight="false" outlineLevel="0" collapsed="false">
      <c r="A9559" s="51" t="s">
        <v>302</v>
      </c>
      <c r="B9559" s="55" t="n">
        <v>45565</v>
      </c>
      <c r="C9559" s="51" t="s">
        <v>791</v>
      </c>
      <c r="D9559" s="51" t="n">
        <v>0</v>
      </c>
    </row>
    <row r="9560" customFormat="false" ht="15" hidden="true" customHeight="false" outlineLevel="0" collapsed="false">
      <c r="A9560" s="51" t="s">
        <v>307</v>
      </c>
      <c r="B9560" s="55" t="n">
        <v>45565</v>
      </c>
      <c r="C9560" s="51" t="s">
        <v>791</v>
      </c>
      <c r="D9560" s="51" t="n">
        <v>0</v>
      </c>
    </row>
    <row r="9561" customFormat="false" ht="15" hidden="true" customHeight="false" outlineLevel="0" collapsed="false">
      <c r="A9561" s="51" t="s">
        <v>311</v>
      </c>
      <c r="B9561" s="55" t="n">
        <v>45565</v>
      </c>
      <c r="C9561" s="51" t="s">
        <v>791</v>
      </c>
      <c r="D9561" s="51" t="n">
        <v>0</v>
      </c>
    </row>
    <row r="9562" customFormat="false" ht="15" hidden="true" customHeight="false" outlineLevel="0" collapsed="false">
      <c r="A9562" s="51" t="s">
        <v>317</v>
      </c>
      <c r="B9562" s="55" t="n">
        <v>45565</v>
      </c>
      <c r="C9562" s="51" t="s">
        <v>791</v>
      </c>
      <c r="D9562" s="51" t="n">
        <v>0</v>
      </c>
    </row>
    <row r="9563" customFormat="false" ht="15" hidden="true" customHeight="false" outlineLevel="0" collapsed="false">
      <c r="A9563" s="51" t="s">
        <v>322</v>
      </c>
      <c r="B9563" s="55" t="n">
        <v>45565</v>
      </c>
      <c r="C9563" s="51" t="s">
        <v>791</v>
      </c>
      <c r="D9563" s="51" t="n">
        <v>0</v>
      </c>
    </row>
    <row r="9564" customFormat="false" ht="15" hidden="true" customHeight="false" outlineLevel="0" collapsed="false">
      <c r="A9564" s="51" t="s">
        <v>327</v>
      </c>
      <c r="B9564" s="55" t="n">
        <v>45565</v>
      </c>
      <c r="C9564" s="51" t="s">
        <v>791</v>
      </c>
      <c r="D9564" s="51" t="n">
        <v>0</v>
      </c>
    </row>
    <row r="9565" customFormat="false" ht="15" hidden="true" customHeight="false" outlineLevel="0" collapsed="false">
      <c r="A9565" s="51" t="s">
        <v>332</v>
      </c>
      <c r="B9565" s="55" t="n">
        <v>45565</v>
      </c>
      <c r="C9565" s="51" t="s">
        <v>791</v>
      </c>
      <c r="D9565" s="51" t="n">
        <v>0</v>
      </c>
    </row>
    <row r="9566" customFormat="false" ht="15" hidden="true" customHeight="false" outlineLevel="0" collapsed="false">
      <c r="A9566" s="51" t="s">
        <v>339</v>
      </c>
      <c r="B9566" s="55" t="n">
        <v>45565</v>
      </c>
      <c r="C9566" s="51" t="s">
        <v>791</v>
      </c>
      <c r="D9566" s="51" t="n">
        <v>0</v>
      </c>
    </row>
    <row r="9567" customFormat="false" ht="15" hidden="true" customHeight="false" outlineLevel="0" collapsed="false">
      <c r="A9567" s="51" t="s">
        <v>344</v>
      </c>
      <c r="B9567" s="55" t="n">
        <v>45565</v>
      </c>
      <c r="C9567" s="51" t="s">
        <v>791</v>
      </c>
      <c r="D9567" s="51" t="n">
        <v>0</v>
      </c>
    </row>
    <row r="9568" customFormat="false" ht="15" hidden="true" customHeight="false" outlineLevel="0" collapsed="false">
      <c r="A9568" s="51" t="s">
        <v>349</v>
      </c>
      <c r="B9568" s="55" t="n">
        <v>45565</v>
      </c>
      <c r="C9568" s="51" t="s">
        <v>791</v>
      </c>
      <c r="D9568" s="51" t="n">
        <v>0</v>
      </c>
    </row>
    <row r="9569" customFormat="false" ht="15" hidden="true" customHeight="false" outlineLevel="0" collapsed="false">
      <c r="A9569" s="51" t="s">
        <v>354</v>
      </c>
      <c r="B9569" s="55" t="n">
        <v>45565</v>
      </c>
      <c r="C9569" s="51" t="s">
        <v>791</v>
      </c>
      <c r="D9569" s="51" t="n">
        <v>0</v>
      </c>
    </row>
    <row r="9570" customFormat="false" ht="15" hidden="true" customHeight="false" outlineLevel="0" collapsed="false">
      <c r="A9570" s="51" t="s">
        <v>359</v>
      </c>
      <c r="B9570" s="55" t="n">
        <v>45565</v>
      </c>
      <c r="C9570" s="51" t="s">
        <v>791</v>
      </c>
      <c r="D9570" s="51" t="n">
        <v>0</v>
      </c>
    </row>
    <row r="9571" customFormat="false" ht="15" hidden="true" customHeight="false" outlineLevel="0" collapsed="false">
      <c r="A9571" s="51" t="s">
        <v>364</v>
      </c>
      <c r="B9571" s="55" t="n">
        <v>45565</v>
      </c>
      <c r="C9571" s="51" t="s">
        <v>791</v>
      </c>
      <c r="D9571" s="51" t="n">
        <v>0</v>
      </c>
    </row>
    <row r="9572" customFormat="false" ht="15" hidden="true" customHeight="false" outlineLevel="0" collapsed="false">
      <c r="A9572" s="51" t="s">
        <v>369</v>
      </c>
      <c r="B9572" s="55" t="n">
        <v>45565</v>
      </c>
      <c r="C9572" s="51" t="s">
        <v>791</v>
      </c>
      <c r="D9572" s="51" t="n">
        <v>-250000</v>
      </c>
    </row>
    <row r="9573" customFormat="false" ht="15" hidden="true" customHeight="false" outlineLevel="0" collapsed="false">
      <c r="A9573" s="51" t="s">
        <v>374</v>
      </c>
      <c r="B9573" s="55" t="n">
        <v>45565</v>
      </c>
      <c r="C9573" s="51" t="s">
        <v>791</v>
      </c>
      <c r="D9573" s="51" t="n">
        <v>0</v>
      </c>
    </row>
    <row r="9574" customFormat="false" ht="15" hidden="true" customHeight="false" outlineLevel="0" collapsed="false">
      <c r="A9574" s="51" t="s">
        <v>379</v>
      </c>
      <c r="B9574" s="55" t="n">
        <v>45565</v>
      </c>
      <c r="C9574" s="51" t="s">
        <v>791</v>
      </c>
      <c r="D9574" s="51" t="n">
        <v>-159582.65</v>
      </c>
    </row>
    <row r="9575" customFormat="false" ht="15" hidden="true" customHeight="false" outlineLevel="0" collapsed="false">
      <c r="A9575" s="51" t="s">
        <v>384</v>
      </c>
      <c r="B9575" s="55" t="n">
        <v>45565</v>
      </c>
      <c r="C9575" s="51" t="s">
        <v>791</v>
      </c>
      <c r="D9575" s="51" t="n">
        <v>0</v>
      </c>
    </row>
    <row r="9576" customFormat="false" ht="15" hidden="true" customHeight="false" outlineLevel="0" collapsed="false">
      <c r="A9576" s="51" t="s">
        <v>389</v>
      </c>
      <c r="B9576" s="55" t="n">
        <v>45565</v>
      </c>
      <c r="C9576" s="51" t="s">
        <v>791</v>
      </c>
      <c r="D9576" s="51" t="n">
        <v>0</v>
      </c>
    </row>
    <row r="9577" customFormat="false" ht="15" hidden="true" customHeight="false" outlineLevel="0" collapsed="false">
      <c r="A9577" s="51" t="s">
        <v>394</v>
      </c>
      <c r="B9577" s="55" t="n">
        <v>45565</v>
      </c>
      <c r="C9577" s="51" t="s">
        <v>791</v>
      </c>
      <c r="D9577" s="51" t="n">
        <v>-1300000</v>
      </c>
    </row>
    <row r="9578" customFormat="false" ht="15" hidden="true" customHeight="false" outlineLevel="0" collapsed="false">
      <c r="A9578" s="51" t="s">
        <v>399</v>
      </c>
      <c r="B9578" s="55" t="n">
        <v>45565</v>
      </c>
      <c r="C9578" s="51" t="s">
        <v>791</v>
      </c>
      <c r="D9578" s="51" t="n">
        <v>0</v>
      </c>
    </row>
    <row r="9579" customFormat="false" ht="15" hidden="true" customHeight="false" outlineLevel="0" collapsed="false">
      <c r="A9579" s="51" t="s">
        <v>404</v>
      </c>
      <c r="B9579" s="55" t="n">
        <v>45565</v>
      </c>
      <c r="C9579" s="51" t="s">
        <v>791</v>
      </c>
      <c r="D9579" s="51" t="n">
        <v>-500000</v>
      </c>
    </row>
    <row r="9580" customFormat="false" ht="15" hidden="true" customHeight="false" outlineLevel="0" collapsed="false">
      <c r="A9580" s="51" t="s">
        <v>409</v>
      </c>
      <c r="B9580" s="55" t="n">
        <v>45565</v>
      </c>
      <c r="C9580" s="51" t="s">
        <v>791</v>
      </c>
      <c r="D9580" s="51" t="n">
        <v>0</v>
      </c>
    </row>
    <row r="9581" customFormat="false" ht="15" hidden="true" customHeight="false" outlineLevel="0" collapsed="false">
      <c r="A9581" s="51" t="s">
        <v>414</v>
      </c>
      <c r="B9581" s="55" t="n">
        <v>45565</v>
      </c>
      <c r="C9581" s="51" t="s">
        <v>791</v>
      </c>
      <c r="D9581" s="51" t="n">
        <v>0</v>
      </c>
    </row>
    <row r="9582" customFormat="false" ht="15" hidden="true" customHeight="false" outlineLevel="0" collapsed="false">
      <c r="A9582" s="51" t="s">
        <v>419</v>
      </c>
      <c r="B9582" s="55" t="n">
        <v>45565</v>
      </c>
      <c r="C9582" s="51" t="s">
        <v>791</v>
      </c>
      <c r="D9582" s="51" t="n">
        <v>-400000</v>
      </c>
    </row>
    <row r="9583" customFormat="false" ht="15" hidden="true" customHeight="false" outlineLevel="0" collapsed="false">
      <c r="A9583" s="51" t="s">
        <v>424</v>
      </c>
      <c r="B9583" s="55" t="n">
        <v>45565</v>
      </c>
      <c r="C9583" s="51" t="s">
        <v>791</v>
      </c>
      <c r="D9583" s="51" t="n">
        <v>0</v>
      </c>
    </row>
    <row r="9584" customFormat="false" ht="15" hidden="true" customHeight="false" outlineLevel="0" collapsed="false">
      <c r="A9584" s="51" t="s">
        <v>429</v>
      </c>
      <c r="B9584" s="55" t="n">
        <v>45565</v>
      </c>
      <c r="C9584" s="51" t="s">
        <v>791</v>
      </c>
      <c r="D9584" s="51" t="n">
        <v>0</v>
      </c>
    </row>
    <row r="9585" customFormat="false" ht="15" hidden="true" customHeight="false" outlineLevel="0" collapsed="false">
      <c r="A9585" s="51" t="s">
        <v>434</v>
      </c>
      <c r="B9585" s="55" t="n">
        <v>45565</v>
      </c>
      <c r="C9585" s="51" t="s">
        <v>791</v>
      </c>
      <c r="D9585" s="51" t="n">
        <v>-1500000</v>
      </c>
    </row>
    <row r="9586" customFormat="false" ht="15" hidden="true" customHeight="false" outlineLevel="0" collapsed="false">
      <c r="A9586" s="51" t="s">
        <v>438</v>
      </c>
      <c r="B9586" s="55" t="n">
        <v>45565</v>
      </c>
      <c r="C9586" s="51" t="s">
        <v>791</v>
      </c>
      <c r="D9586" s="51" t="n">
        <v>-900000</v>
      </c>
    </row>
    <row r="9587" customFormat="false" ht="15" hidden="true" customHeight="false" outlineLevel="0" collapsed="false">
      <c r="A9587" s="51" t="s">
        <v>443</v>
      </c>
      <c r="B9587" s="55" t="n">
        <v>45565</v>
      </c>
      <c r="C9587" s="51" t="s">
        <v>791</v>
      </c>
      <c r="D9587" s="51" t="n">
        <v>-350000</v>
      </c>
    </row>
    <row r="9588" customFormat="false" ht="15" hidden="true" customHeight="false" outlineLevel="0" collapsed="false">
      <c r="A9588" s="51" t="s">
        <v>448</v>
      </c>
      <c r="B9588" s="55" t="n">
        <v>45565</v>
      </c>
      <c r="C9588" s="51" t="s">
        <v>791</v>
      </c>
      <c r="D9588" s="51" t="n">
        <v>-170000</v>
      </c>
    </row>
    <row r="9589" customFormat="false" ht="15" hidden="true" customHeight="false" outlineLevel="0" collapsed="false">
      <c r="A9589" s="51" t="s">
        <v>453</v>
      </c>
      <c r="B9589" s="55" t="n">
        <v>45565</v>
      </c>
      <c r="C9589" s="51" t="s">
        <v>791</v>
      </c>
      <c r="D9589" s="51" t="n">
        <v>0</v>
      </c>
    </row>
    <row r="9590" customFormat="false" ht="15" hidden="true" customHeight="false" outlineLevel="0" collapsed="false">
      <c r="A9590" s="51" t="s">
        <v>458</v>
      </c>
      <c r="B9590" s="55" t="n">
        <v>45565</v>
      </c>
      <c r="C9590" s="51" t="s">
        <v>791</v>
      </c>
      <c r="D9590" s="51" t="n">
        <v>-250000</v>
      </c>
    </row>
    <row r="9591" customFormat="false" ht="15" hidden="true" customHeight="false" outlineLevel="0" collapsed="false">
      <c r="A9591" s="51" t="s">
        <v>473</v>
      </c>
      <c r="B9591" s="55" t="n">
        <v>45565</v>
      </c>
      <c r="C9591" s="51" t="s">
        <v>791</v>
      </c>
      <c r="D9591" s="51" t="n">
        <v>0</v>
      </c>
    </row>
    <row r="9592" customFormat="false" ht="15" hidden="true" customHeight="false" outlineLevel="0" collapsed="false">
      <c r="A9592" s="51" t="s">
        <v>479</v>
      </c>
      <c r="B9592" s="55" t="n">
        <v>45565</v>
      </c>
      <c r="C9592" s="51" t="s">
        <v>791</v>
      </c>
      <c r="D9592" s="51" t="n">
        <v>-500000</v>
      </c>
    </row>
    <row r="9593" customFormat="false" ht="15" hidden="true" customHeight="false" outlineLevel="0" collapsed="false">
      <c r="A9593" s="51" t="s">
        <v>484</v>
      </c>
      <c r="B9593" s="55" t="n">
        <v>45565</v>
      </c>
      <c r="C9593" s="51" t="s">
        <v>791</v>
      </c>
      <c r="D9593" s="51" t="n">
        <v>-20000</v>
      </c>
    </row>
    <row r="9594" customFormat="false" ht="15" hidden="true" customHeight="false" outlineLevel="0" collapsed="false">
      <c r="A9594" s="51" t="s">
        <v>489</v>
      </c>
      <c r="B9594" s="55" t="n">
        <v>45565</v>
      </c>
      <c r="C9594" s="51" t="s">
        <v>791</v>
      </c>
      <c r="D9594" s="51" t="n">
        <v>0</v>
      </c>
    </row>
    <row r="9595" customFormat="false" ht="15" hidden="true" customHeight="false" outlineLevel="0" collapsed="false">
      <c r="A9595" s="51" t="s">
        <v>494</v>
      </c>
      <c r="B9595" s="55" t="n">
        <v>45565</v>
      </c>
      <c r="C9595" s="51" t="s">
        <v>791</v>
      </c>
      <c r="D9595" s="51" t="n">
        <v>-150000</v>
      </c>
    </row>
    <row r="9596" customFormat="false" ht="15" hidden="true" customHeight="false" outlineLevel="0" collapsed="false">
      <c r="A9596" s="51" t="s">
        <v>499</v>
      </c>
      <c r="B9596" s="55" t="n">
        <v>45565</v>
      </c>
      <c r="C9596" s="51" t="s">
        <v>791</v>
      </c>
      <c r="D9596" s="51" t="n">
        <v>-840310</v>
      </c>
    </row>
    <row r="9597" customFormat="false" ht="15" hidden="true" customHeight="false" outlineLevel="0" collapsed="false">
      <c r="A9597" s="51" t="s">
        <v>504</v>
      </c>
      <c r="B9597" s="55" t="n">
        <v>45565</v>
      </c>
      <c r="C9597" s="51" t="s">
        <v>791</v>
      </c>
      <c r="D9597" s="51" t="n">
        <v>-25000</v>
      </c>
    </row>
    <row r="9598" customFormat="false" ht="15" hidden="true" customHeight="false" outlineLevel="0" collapsed="false">
      <c r="A9598" s="51" t="s">
        <v>509</v>
      </c>
      <c r="B9598" s="55" t="n">
        <v>45565</v>
      </c>
      <c r="C9598" s="51" t="s">
        <v>791</v>
      </c>
      <c r="D9598" s="51" t="n">
        <v>-75000</v>
      </c>
    </row>
    <row r="9599" customFormat="false" ht="15" hidden="true" customHeight="false" outlineLevel="0" collapsed="false">
      <c r="A9599" s="51" t="s">
        <v>515</v>
      </c>
      <c r="B9599" s="55" t="n">
        <v>45565</v>
      </c>
      <c r="C9599" s="51" t="s">
        <v>791</v>
      </c>
      <c r="D9599" s="51" t="n">
        <v>-100000</v>
      </c>
    </row>
    <row r="9600" customFormat="false" ht="15" hidden="true" customHeight="false" outlineLevel="0" collapsed="false">
      <c r="A9600" s="51" t="s">
        <v>520</v>
      </c>
      <c r="B9600" s="55" t="n">
        <v>45565</v>
      </c>
      <c r="C9600" s="51" t="s">
        <v>791</v>
      </c>
      <c r="D9600" s="51" t="n">
        <v>-300000</v>
      </c>
    </row>
    <row r="9601" customFormat="false" ht="15" hidden="true" customHeight="false" outlineLevel="0" collapsed="false">
      <c r="A9601" s="51" t="s">
        <v>525</v>
      </c>
      <c r="B9601" s="55" t="n">
        <v>45565</v>
      </c>
      <c r="C9601" s="51" t="s">
        <v>791</v>
      </c>
      <c r="D9601" s="51" t="n">
        <v>-100000</v>
      </c>
    </row>
    <row r="9602" customFormat="false" ht="15" hidden="true" customHeight="false" outlineLevel="0" collapsed="false">
      <c r="A9602" s="51" t="s">
        <v>531</v>
      </c>
      <c r="B9602" s="55" t="n">
        <v>45565</v>
      </c>
      <c r="C9602" s="51" t="s">
        <v>791</v>
      </c>
      <c r="D9602" s="51" t="n">
        <v>-200000</v>
      </c>
    </row>
    <row r="9603" customFormat="false" ht="15" hidden="true" customHeight="false" outlineLevel="0" collapsed="false">
      <c r="A9603" s="51" t="s">
        <v>536</v>
      </c>
      <c r="B9603" s="55" t="n">
        <v>45565</v>
      </c>
      <c r="C9603" s="51" t="s">
        <v>791</v>
      </c>
      <c r="D9603" s="51" t="n">
        <v>-250000</v>
      </c>
    </row>
    <row r="9604" customFormat="false" ht="15" hidden="true" customHeight="false" outlineLevel="0" collapsed="false">
      <c r="A9604" s="51" t="s">
        <v>541</v>
      </c>
      <c r="B9604" s="55" t="n">
        <v>45565</v>
      </c>
      <c r="C9604" s="51" t="s">
        <v>791</v>
      </c>
      <c r="D9604" s="51" t="n">
        <v>-472232</v>
      </c>
    </row>
    <row r="9605" customFormat="false" ht="15" hidden="true" customHeight="false" outlineLevel="0" collapsed="false">
      <c r="A9605" s="51" t="s">
        <v>549</v>
      </c>
      <c r="B9605" s="55" t="n">
        <v>45565</v>
      </c>
      <c r="C9605" s="51" t="s">
        <v>791</v>
      </c>
      <c r="D9605" s="51" t="n">
        <v>0</v>
      </c>
    </row>
    <row r="9606" customFormat="false" ht="15" hidden="true" customHeight="false" outlineLevel="0" collapsed="false">
      <c r="A9606" s="51" t="s">
        <v>554</v>
      </c>
      <c r="B9606" s="55" t="n">
        <v>45565</v>
      </c>
      <c r="C9606" s="51" t="s">
        <v>791</v>
      </c>
      <c r="D9606" s="51" t="n">
        <v>0</v>
      </c>
    </row>
    <row r="9607" customFormat="false" ht="15" hidden="true" customHeight="false" outlineLevel="0" collapsed="false">
      <c r="A9607" s="51" t="s">
        <v>559</v>
      </c>
      <c r="B9607" s="55" t="n">
        <v>45565</v>
      </c>
      <c r="C9607" s="51" t="s">
        <v>791</v>
      </c>
      <c r="D9607" s="51" t="n">
        <v>500000</v>
      </c>
    </row>
    <row r="9608" customFormat="false" ht="15" hidden="true" customHeight="false" outlineLevel="0" collapsed="false">
      <c r="A9608" s="51" t="s">
        <v>564</v>
      </c>
      <c r="B9608" s="55" t="n">
        <v>45565</v>
      </c>
      <c r="C9608" s="51" t="s">
        <v>791</v>
      </c>
      <c r="D9608" s="51" t="n">
        <v>600000</v>
      </c>
    </row>
    <row r="9609" customFormat="false" ht="15" hidden="true" customHeight="false" outlineLevel="0" collapsed="false">
      <c r="A9609" s="51" t="s">
        <v>569</v>
      </c>
      <c r="B9609" s="55" t="n">
        <v>45565</v>
      </c>
      <c r="C9609" s="51" t="s">
        <v>791</v>
      </c>
      <c r="D9609" s="51" t="n">
        <v>0</v>
      </c>
    </row>
    <row r="9610" customFormat="false" ht="15" hidden="true" customHeight="false" outlineLevel="0" collapsed="false">
      <c r="A9610" s="51" t="s">
        <v>574</v>
      </c>
      <c r="B9610" s="55" t="n">
        <v>45565</v>
      </c>
      <c r="C9610" s="51" t="s">
        <v>791</v>
      </c>
      <c r="D9610" s="51" t="n">
        <v>3500000</v>
      </c>
    </row>
    <row r="9611" customFormat="false" ht="15" hidden="true" customHeight="false" outlineLevel="0" collapsed="false">
      <c r="A9611" s="51" t="s">
        <v>579</v>
      </c>
      <c r="B9611" s="55" t="n">
        <v>45565</v>
      </c>
      <c r="C9611" s="51" t="s">
        <v>791</v>
      </c>
      <c r="D9611" s="51" t="n">
        <v>0</v>
      </c>
    </row>
    <row r="9612" customFormat="false" ht="15" hidden="true" customHeight="false" outlineLevel="0" collapsed="false">
      <c r="A9612" s="51" t="s">
        <v>584</v>
      </c>
      <c r="B9612" s="55" t="n">
        <v>45565</v>
      </c>
      <c r="C9612" s="51" t="s">
        <v>791</v>
      </c>
      <c r="D9612" s="51" t="n">
        <v>180000</v>
      </c>
    </row>
    <row r="9613" customFormat="false" ht="15" hidden="true" customHeight="false" outlineLevel="0" collapsed="false">
      <c r="A9613" s="51" t="s">
        <v>589</v>
      </c>
      <c r="B9613" s="55" t="n">
        <v>45565</v>
      </c>
      <c r="C9613" s="51" t="s">
        <v>791</v>
      </c>
      <c r="D9613" s="51" t="n">
        <v>9068273</v>
      </c>
    </row>
    <row r="9614" customFormat="false" ht="15" hidden="true" customHeight="false" outlineLevel="0" collapsed="false">
      <c r="A9614" s="51" t="s">
        <v>756</v>
      </c>
      <c r="B9614" s="55" t="n">
        <v>45565</v>
      </c>
      <c r="C9614" s="51" t="s">
        <v>791</v>
      </c>
      <c r="D9614" s="51" t="n">
        <v>588627</v>
      </c>
    </row>
    <row r="9615" customFormat="false" ht="15" hidden="true" customHeight="false" outlineLevel="0" collapsed="false">
      <c r="A9615" s="51" t="s">
        <v>594</v>
      </c>
      <c r="B9615" s="55" t="n">
        <v>45565</v>
      </c>
      <c r="C9615" s="51" t="s">
        <v>791</v>
      </c>
      <c r="D9615" s="51" t="n">
        <v>0</v>
      </c>
    </row>
    <row r="9616" customFormat="false" ht="15" hidden="true" customHeight="false" outlineLevel="0" collapsed="false">
      <c r="A9616" s="51" t="s">
        <v>761</v>
      </c>
      <c r="B9616" s="55" t="n">
        <v>45565</v>
      </c>
      <c r="C9616" s="51" t="s">
        <v>791</v>
      </c>
      <c r="D9616" s="51" t="n">
        <v>0</v>
      </c>
    </row>
    <row r="9617" customFormat="false" ht="15" hidden="true" customHeight="false" outlineLevel="0" collapsed="false">
      <c r="A9617" s="51" t="s">
        <v>599</v>
      </c>
      <c r="B9617" s="55" t="n">
        <v>45565</v>
      </c>
      <c r="C9617" s="51" t="s">
        <v>791</v>
      </c>
      <c r="D9617" s="51" t="n">
        <v>0</v>
      </c>
    </row>
    <row r="9618" customFormat="false" ht="15" hidden="true" customHeight="false" outlineLevel="0" collapsed="false">
      <c r="A9618" s="51" t="s">
        <v>604</v>
      </c>
      <c r="B9618" s="55" t="n">
        <v>45565</v>
      </c>
      <c r="C9618" s="51" t="s">
        <v>791</v>
      </c>
      <c r="D9618" s="51" t="n">
        <v>0</v>
      </c>
    </row>
    <row r="9619" customFormat="false" ht="15" hidden="true" customHeight="false" outlineLevel="0" collapsed="false">
      <c r="A9619" s="51" t="s">
        <v>609</v>
      </c>
      <c r="B9619" s="55" t="n">
        <v>45565</v>
      </c>
      <c r="C9619" s="51" t="s">
        <v>791</v>
      </c>
      <c r="D9619" s="51" t="n">
        <v>0</v>
      </c>
    </row>
    <row r="9620" customFormat="false" ht="15" hidden="true" customHeight="false" outlineLevel="0" collapsed="false">
      <c r="A9620" s="51" t="s">
        <v>614</v>
      </c>
      <c r="B9620" s="55" t="n">
        <v>45565</v>
      </c>
      <c r="C9620" s="51" t="s">
        <v>791</v>
      </c>
      <c r="D9620" s="51" t="n">
        <v>0</v>
      </c>
    </row>
    <row r="9621" customFormat="false" ht="15" hidden="true" customHeight="false" outlineLevel="0" collapsed="false">
      <c r="A9621" s="51" t="s">
        <v>619</v>
      </c>
      <c r="B9621" s="55" t="n">
        <v>45565</v>
      </c>
      <c r="C9621" s="51" t="s">
        <v>791</v>
      </c>
      <c r="D9621" s="51" t="n">
        <v>0</v>
      </c>
    </row>
    <row r="9622" customFormat="false" ht="15" hidden="true" customHeight="false" outlineLevel="0" collapsed="false">
      <c r="A9622" s="51" t="s">
        <v>624</v>
      </c>
      <c r="B9622" s="55" t="n">
        <v>45565</v>
      </c>
      <c r="C9622" s="51" t="s">
        <v>791</v>
      </c>
      <c r="D9622" s="51" t="n">
        <v>0</v>
      </c>
    </row>
    <row r="9623" customFormat="false" ht="15" hidden="true" customHeight="false" outlineLevel="0" collapsed="false">
      <c r="A9623" s="51" t="s">
        <v>629</v>
      </c>
      <c r="B9623" s="55" t="n">
        <v>45565</v>
      </c>
      <c r="C9623" s="51" t="s">
        <v>791</v>
      </c>
      <c r="D9623" s="51" t="n">
        <v>0</v>
      </c>
    </row>
    <row r="9624" customFormat="false" ht="15" hidden="true" customHeight="false" outlineLevel="0" collapsed="false">
      <c r="A9624" s="51" t="s">
        <v>633</v>
      </c>
      <c r="B9624" s="55" t="n">
        <v>45565</v>
      </c>
      <c r="C9624" s="51" t="s">
        <v>791</v>
      </c>
      <c r="D9624" s="51" t="n">
        <v>0</v>
      </c>
    </row>
    <row r="9625" customFormat="false" ht="15" hidden="true" customHeight="false" outlineLevel="0" collapsed="false">
      <c r="A9625" s="51" t="s">
        <v>638</v>
      </c>
      <c r="B9625" s="55" t="n">
        <v>45565</v>
      </c>
      <c r="C9625" s="51" t="s">
        <v>791</v>
      </c>
      <c r="D9625" s="51" t="n">
        <v>0</v>
      </c>
    </row>
    <row r="9626" customFormat="false" ht="15" hidden="true" customHeight="false" outlineLevel="0" collapsed="false">
      <c r="A9626" s="51" t="s">
        <v>642</v>
      </c>
      <c r="B9626" s="55" t="n">
        <v>45565</v>
      </c>
      <c r="C9626" s="51" t="s">
        <v>791</v>
      </c>
      <c r="D9626" s="51" t="n">
        <v>0</v>
      </c>
    </row>
    <row r="9627" customFormat="false" ht="15" hidden="true" customHeight="false" outlineLevel="0" collapsed="false">
      <c r="A9627" s="51" t="s">
        <v>646</v>
      </c>
      <c r="B9627" s="55" t="n">
        <v>45565</v>
      </c>
      <c r="C9627" s="51" t="s">
        <v>791</v>
      </c>
      <c r="D9627" s="51" t="n">
        <v>0</v>
      </c>
    </row>
    <row r="9628" customFormat="false" ht="15" hidden="true" customHeight="false" outlineLevel="0" collapsed="false">
      <c r="A9628" s="51" t="s">
        <v>651</v>
      </c>
      <c r="B9628" s="55" t="n">
        <v>45565</v>
      </c>
      <c r="C9628" s="51" t="s">
        <v>791</v>
      </c>
      <c r="D9628" s="51" t="n">
        <v>0</v>
      </c>
    </row>
    <row r="9629" customFormat="false" ht="15" hidden="true" customHeight="false" outlineLevel="0" collapsed="false">
      <c r="A9629" s="51" t="s">
        <v>656</v>
      </c>
      <c r="B9629" s="55" t="n">
        <v>45565</v>
      </c>
      <c r="C9629" s="51" t="s">
        <v>791</v>
      </c>
      <c r="D9629" s="51" t="n">
        <v>0</v>
      </c>
    </row>
    <row r="9630" customFormat="false" ht="15" hidden="true" customHeight="false" outlineLevel="0" collapsed="false">
      <c r="A9630" s="51" t="s">
        <v>661</v>
      </c>
      <c r="B9630" s="55" t="n">
        <v>45565</v>
      </c>
      <c r="C9630" s="51" t="s">
        <v>791</v>
      </c>
      <c r="D9630" s="51" t="n">
        <v>0</v>
      </c>
    </row>
    <row r="9631" customFormat="false" ht="15" hidden="true" customHeight="false" outlineLevel="0" collapsed="false">
      <c r="A9631" s="51" t="s">
        <v>666</v>
      </c>
      <c r="B9631" s="55" t="n">
        <v>45565</v>
      </c>
      <c r="C9631" s="51" t="s">
        <v>791</v>
      </c>
      <c r="D9631" s="51" t="n">
        <v>0</v>
      </c>
    </row>
    <row r="9632" customFormat="false" ht="15" hidden="true" customHeight="false" outlineLevel="0" collapsed="false">
      <c r="A9632" s="51" t="s">
        <v>671</v>
      </c>
      <c r="B9632" s="55" t="n">
        <v>45565</v>
      </c>
      <c r="C9632" s="51" t="s">
        <v>791</v>
      </c>
      <c r="D9632" s="51" t="n">
        <v>0</v>
      </c>
    </row>
    <row r="9633" customFormat="false" ht="15" hidden="true" customHeight="false" outlineLevel="0" collapsed="false">
      <c r="A9633" s="51" t="s">
        <v>676</v>
      </c>
      <c r="B9633" s="55" t="n">
        <v>45565</v>
      </c>
      <c r="C9633" s="51" t="s">
        <v>791</v>
      </c>
      <c r="D9633" s="51" t="n">
        <v>0</v>
      </c>
    </row>
    <row r="9634" customFormat="false" ht="15" hidden="true" customHeight="false" outlineLevel="0" collapsed="false">
      <c r="A9634" s="51" t="s">
        <v>681</v>
      </c>
      <c r="B9634" s="55" t="n">
        <v>45565</v>
      </c>
      <c r="C9634" s="51" t="s">
        <v>791</v>
      </c>
      <c r="D9634" s="51" t="n">
        <v>0</v>
      </c>
    </row>
    <row r="9635" customFormat="false" ht="15" hidden="true" customHeight="false" outlineLevel="0" collapsed="false">
      <c r="A9635" s="51" t="s">
        <v>686</v>
      </c>
      <c r="B9635" s="55" t="n">
        <v>45565</v>
      </c>
      <c r="C9635" s="51" t="s">
        <v>791</v>
      </c>
      <c r="D9635" s="51" t="n">
        <v>0</v>
      </c>
    </row>
    <row r="9636" customFormat="false" ht="15" hidden="true" customHeight="false" outlineLevel="0" collapsed="false">
      <c r="A9636" s="51" t="s">
        <v>691</v>
      </c>
      <c r="B9636" s="55" t="n">
        <v>45565</v>
      </c>
      <c r="C9636" s="51" t="s">
        <v>791</v>
      </c>
      <c r="D9636" s="51" t="n">
        <v>0</v>
      </c>
    </row>
    <row r="9637" customFormat="false" ht="15" hidden="true" customHeight="false" outlineLevel="0" collapsed="false">
      <c r="A9637" s="51" t="s">
        <v>696</v>
      </c>
      <c r="B9637" s="55" t="n">
        <v>45565</v>
      </c>
      <c r="C9637" s="51" t="s">
        <v>791</v>
      </c>
      <c r="D9637" s="51" t="n">
        <v>0</v>
      </c>
    </row>
    <row r="9638" customFormat="false" ht="15" hidden="true" customHeight="false" outlineLevel="0" collapsed="false">
      <c r="A9638" s="51" t="s">
        <v>701</v>
      </c>
      <c r="B9638" s="55" t="n">
        <v>45565</v>
      </c>
      <c r="C9638" s="51" t="s">
        <v>791</v>
      </c>
      <c r="D9638" s="51" t="n">
        <v>0</v>
      </c>
    </row>
    <row r="9639" customFormat="false" ht="15" hidden="true" customHeight="false" outlineLevel="0" collapsed="false">
      <c r="A9639" s="51" t="s">
        <v>707</v>
      </c>
      <c r="B9639" s="55" t="n">
        <v>45565</v>
      </c>
      <c r="C9639" s="51" t="s">
        <v>791</v>
      </c>
      <c r="D9639" s="51" t="n">
        <v>0</v>
      </c>
    </row>
    <row r="9640" customFormat="false" ht="15" hidden="true" customHeight="false" outlineLevel="0" collapsed="false">
      <c r="A9640" s="51" t="s">
        <v>712</v>
      </c>
      <c r="B9640" s="55" t="n">
        <v>45565</v>
      </c>
      <c r="C9640" s="51" t="s">
        <v>791</v>
      </c>
      <c r="D9640" s="51" t="n">
        <v>0</v>
      </c>
    </row>
    <row r="9641" customFormat="false" ht="15" hidden="true" customHeight="false" outlineLevel="0" collapsed="false">
      <c r="A9641" s="51" t="s">
        <v>717</v>
      </c>
      <c r="B9641" s="55" t="n">
        <v>45565</v>
      </c>
      <c r="C9641" s="51" t="s">
        <v>791</v>
      </c>
      <c r="D9641" s="51" t="n">
        <v>0</v>
      </c>
    </row>
    <row r="9642" customFormat="false" ht="15" hidden="true" customHeight="false" outlineLevel="0" collapsed="false">
      <c r="A9642" s="51" t="s">
        <v>767</v>
      </c>
      <c r="B9642" s="55" t="n">
        <v>45565</v>
      </c>
      <c r="C9642" s="51" t="s">
        <v>791</v>
      </c>
      <c r="D9642" s="51" t="n">
        <v>0</v>
      </c>
    </row>
    <row r="9643" customFormat="false" ht="15" hidden="true" customHeight="false" outlineLevel="0" collapsed="false">
      <c r="A9643" s="51" t="s">
        <v>722</v>
      </c>
      <c r="B9643" s="55" t="n">
        <v>45565</v>
      </c>
      <c r="C9643" s="51" t="s">
        <v>791</v>
      </c>
      <c r="D9643" s="51" t="n">
        <v>0</v>
      </c>
    </row>
    <row r="9644" customFormat="false" ht="15" hidden="true" customHeight="false" outlineLevel="0" collapsed="false">
      <c r="A9644" s="51" t="s">
        <v>727</v>
      </c>
      <c r="B9644" s="55" t="n">
        <v>45565</v>
      </c>
      <c r="C9644" s="51" t="s">
        <v>791</v>
      </c>
      <c r="D9644" s="51" t="n">
        <v>0</v>
      </c>
    </row>
    <row r="9645" customFormat="false" ht="15" hidden="true" customHeight="false" outlineLevel="0" collapsed="false">
      <c r="A9645" s="51" t="s">
        <v>732</v>
      </c>
      <c r="B9645" s="55" t="n">
        <v>45565</v>
      </c>
      <c r="C9645" s="51" t="s">
        <v>791</v>
      </c>
      <c r="D9645" s="51" t="n">
        <v>0</v>
      </c>
    </row>
    <row r="9646" customFormat="false" ht="15" hidden="true" customHeight="false" outlineLevel="0" collapsed="false">
      <c r="A9646" s="51" t="s">
        <v>736</v>
      </c>
      <c r="B9646" s="55" t="n">
        <v>45565</v>
      </c>
      <c r="C9646" s="51" t="s">
        <v>791</v>
      </c>
      <c r="D9646" s="51" t="n">
        <v>0</v>
      </c>
    </row>
    <row r="9647" customFormat="false" ht="15" hidden="true" customHeight="false" outlineLevel="0" collapsed="false">
      <c r="A9647" s="51" t="s">
        <v>741</v>
      </c>
      <c r="B9647" s="55" t="n">
        <v>45565</v>
      </c>
      <c r="C9647" s="51" t="s">
        <v>791</v>
      </c>
      <c r="D9647" s="51" t="n">
        <v>0</v>
      </c>
    </row>
    <row r="9648" customFormat="false" ht="15" hidden="true" customHeight="false" outlineLevel="0" collapsed="false">
      <c r="A9648" s="51" t="s">
        <v>746</v>
      </c>
      <c r="B9648" s="55" t="n">
        <v>45565</v>
      </c>
      <c r="C9648" s="51" t="s">
        <v>791</v>
      </c>
      <c r="D9648" s="51" t="n">
        <v>0</v>
      </c>
    </row>
    <row r="9649" customFormat="false" ht="15" hidden="true" customHeight="false" outlineLevel="0" collapsed="false">
      <c r="A9649" s="51" t="s">
        <v>751</v>
      </c>
      <c r="B9649" s="55" t="n">
        <v>45565</v>
      </c>
      <c r="C9649" s="51" t="s">
        <v>791</v>
      </c>
      <c r="D9649" s="51" t="n">
        <v>0</v>
      </c>
    </row>
    <row r="9650" customFormat="false" ht="15" hidden="false" customHeight="false" outlineLevel="0" collapsed="false">
      <c r="A9650" s="51" t="s">
        <v>781</v>
      </c>
      <c r="B9650" s="55" t="n">
        <v>45657</v>
      </c>
      <c r="C9650" s="51" t="s">
        <v>782</v>
      </c>
      <c r="D9650" s="51" t="n">
        <v>0</v>
      </c>
    </row>
    <row r="9651" customFormat="false" ht="15" hidden="true" customHeight="false" outlineLevel="0" collapsed="false">
      <c r="A9651" s="51" t="s">
        <v>783</v>
      </c>
      <c r="B9651" s="55" t="n">
        <v>45657</v>
      </c>
      <c r="C9651" s="51" t="s">
        <v>782</v>
      </c>
      <c r="D9651" s="51" t="n">
        <v>0</v>
      </c>
    </row>
    <row r="9652" customFormat="false" ht="15" hidden="true" customHeight="false" outlineLevel="0" collapsed="false">
      <c r="A9652" s="51" t="s">
        <v>96</v>
      </c>
      <c r="B9652" s="55" t="n">
        <v>45657</v>
      </c>
      <c r="C9652" s="51" t="s">
        <v>782</v>
      </c>
      <c r="D9652" s="51" t="n">
        <v>0</v>
      </c>
    </row>
    <row r="9653" customFormat="false" ht="15" hidden="true" customHeight="false" outlineLevel="0" collapsed="false">
      <c r="A9653" s="51" t="s">
        <v>101</v>
      </c>
      <c r="B9653" s="55" t="n">
        <v>45657</v>
      </c>
      <c r="C9653" s="51" t="s">
        <v>782</v>
      </c>
      <c r="D9653" s="51" t="n">
        <v>0</v>
      </c>
    </row>
    <row r="9654" customFormat="false" ht="15" hidden="true" customHeight="false" outlineLevel="0" collapsed="false">
      <c r="A9654" s="51" t="s">
        <v>106</v>
      </c>
      <c r="B9654" s="55" t="n">
        <v>45657</v>
      </c>
      <c r="C9654" s="51" t="s">
        <v>782</v>
      </c>
      <c r="D9654" s="51" t="n">
        <v>0</v>
      </c>
    </row>
    <row r="9655" customFormat="false" ht="15" hidden="true" customHeight="false" outlineLevel="0" collapsed="false">
      <c r="A9655" s="51" t="s">
        <v>110</v>
      </c>
      <c r="B9655" s="55" t="n">
        <v>45657</v>
      </c>
      <c r="C9655" s="51" t="s">
        <v>782</v>
      </c>
      <c r="D9655" s="51" t="n">
        <v>0</v>
      </c>
    </row>
    <row r="9656" customFormat="false" ht="15" hidden="true" customHeight="false" outlineLevel="0" collapsed="false">
      <c r="A9656" s="51" t="s">
        <v>115</v>
      </c>
      <c r="B9656" s="55" t="n">
        <v>45657</v>
      </c>
      <c r="C9656" s="51" t="s">
        <v>782</v>
      </c>
      <c r="D9656" s="51" t="n">
        <v>0</v>
      </c>
    </row>
    <row r="9657" customFormat="false" ht="15" hidden="true" customHeight="false" outlineLevel="0" collapsed="false">
      <c r="A9657" s="51" t="s">
        <v>120</v>
      </c>
      <c r="B9657" s="55" t="n">
        <v>45657</v>
      </c>
      <c r="C9657" s="51" t="s">
        <v>782</v>
      </c>
      <c r="D9657" s="51" t="n">
        <v>0</v>
      </c>
    </row>
    <row r="9658" customFormat="false" ht="15" hidden="true" customHeight="false" outlineLevel="0" collapsed="false">
      <c r="A9658" s="51" t="s">
        <v>124</v>
      </c>
      <c r="B9658" s="55" t="n">
        <v>45657</v>
      </c>
      <c r="C9658" s="51" t="s">
        <v>782</v>
      </c>
      <c r="D9658" s="51" t="n">
        <v>0</v>
      </c>
    </row>
    <row r="9659" customFormat="false" ht="15" hidden="true" customHeight="false" outlineLevel="0" collapsed="false">
      <c r="A9659" s="51" t="s">
        <v>129</v>
      </c>
      <c r="B9659" s="55" t="n">
        <v>45657</v>
      </c>
      <c r="C9659" s="51" t="s">
        <v>782</v>
      </c>
      <c r="D9659" s="51" t="n">
        <v>0</v>
      </c>
    </row>
    <row r="9660" customFormat="false" ht="15" hidden="true" customHeight="false" outlineLevel="0" collapsed="false">
      <c r="A9660" s="51" t="s">
        <v>134</v>
      </c>
      <c r="B9660" s="55" t="n">
        <v>45657</v>
      </c>
      <c r="C9660" s="51" t="s">
        <v>782</v>
      </c>
      <c r="D9660" s="51" t="n">
        <v>0</v>
      </c>
    </row>
    <row r="9661" customFormat="false" ht="15" hidden="true" customHeight="false" outlineLevel="0" collapsed="false">
      <c r="A9661" s="51" t="s">
        <v>141</v>
      </c>
      <c r="B9661" s="55" t="n">
        <v>45657</v>
      </c>
      <c r="C9661" s="51" t="s">
        <v>782</v>
      </c>
      <c r="D9661" s="51" t="n">
        <v>0</v>
      </c>
    </row>
    <row r="9662" customFormat="false" ht="15" hidden="true" customHeight="false" outlineLevel="0" collapsed="false">
      <c r="A9662" s="51" t="s">
        <v>146</v>
      </c>
      <c r="B9662" s="55" t="n">
        <v>45657</v>
      </c>
      <c r="C9662" s="51" t="s">
        <v>782</v>
      </c>
      <c r="D9662" s="51" t="n">
        <v>0</v>
      </c>
    </row>
    <row r="9663" customFormat="false" ht="15" hidden="true" customHeight="false" outlineLevel="0" collapsed="false">
      <c r="A9663" s="51" t="s">
        <v>151</v>
      </c>
      <c r="B9663" s="55" t="n">
        <v>45657</v>
      </c>
      <c r="C9663" s="51" t="s">
        <v>782</v>
      </c>
      <c r="D9663" s="51" t="n">
        <v>0</v>
      </c>
    </row>
    <row r="9664" customFormat="false" ht="15" hidden="true" customHeight="false" outlineLevel="0" collapsed="false">
      <c r="A9664" s="51" t="s">
        <v>156</v>
      </c>
      <c r="B9664" s="55" t="n">
        <v>45657</v>
      </c>
      <c r="C9664" s="51" t="s">
        <v>782</v>
      </c>
      <c r="D9664" s="51" t="n">
        <v>0</v>
      </c>
    </row>
    <row r="9665" customFormat="false" ht="15" hidden="true" customHeight="false" outlineLevel="0" collapsed="false">
      <c r="A9665" s="51" t="s">
        <v>161</v>
      </c>
      <c r="B9665" s="55" t="n">
        <v>45657</v>
      </c>
      <c r="C9665" s="51" t="s">
        <v>782</v>
      </c>
      <c r="D9665" s="51" t="n">
        <v>0</v>
      </c>
    </row>
    <row r="9666" customFormat="false" ht="15" hidden="true" customHeight="false" outlineLevel="0" collapsed="false">
      <c r="A9666" s="51" t="s">
        <v>166</v>
      </c>
      <c r="B9666" s="55" t="n">
        <v>45657</v>
      </c>
      <c r="C9666" s="51" t="s">
        <v>782</v>
      </c>
      <c r="D9666" s="51" t="n">
        <v>0</v>
      </c>
    </row>
    <row r="9667" customFormat="false" ht="15" hidden="true" customHeight="false" outlineLevel="0" collapsed="false">
      <c r="A9667" s="51" t="s">
        <v>171</v>
      </c>
      <c r="B9667" s="55" t="n">
        <v>45657</v>
      </c>
      <c r="C9667" s="51" t="s">
        <v>782</v>
      </c>
      <c r="D9667" s="51" t="n">
        <v>0</v>
      </c>
    </row>
    <row r="9668" customFormat="false" ht="15" hidden="true" customHeight="false" outlineLevel="0" collapsed="false">
      <c r="A9668" s="51" t="s">
        <v>176</v>
      </c>
      <c r="B9668" s="55" t="n">
        <v>45657</v>
      </c>
      <c r="C9668" s="51" t="s">
        <v>782</v>
      </c>
      <c r="D9668" s="51" t="n">
        <v>0</v>
      </c>
    </row>
    <row r="9669" customFormat="false" ht="15" hidden="true" customHeight="false" outlineLevel="0" collapsed="false">
      <c r="A9669" s="51" t="s">
        <v>181</v>
      </c>
      <c r="B9669" s="55" t="n">
        <v>45657</v>
      </c>
      <c r="C9669" s="51" t="s">
        <v>782</v>
      </c>
      <c r="D9669" s="51" t="n">
        <v>0</v>
      </c>
    </row>
    <row r="9670" customFormat="false" ht="15" hidden="true" customHeight="false" outlineLevel="0" collapsed="false">
      <c r="A9670" s="51" t="s">
        <v>186</v>
      </c>
      <c r="B9670" s="55" t="n">
        <v>45657</v>
      </c>
      <c r="C9670" s="51" t="s">
        <v>782</v>
      </c>
      <c r="D9670" s="51" t="n">
        <v>0</v>
      </c>
    </row>
    <row r="9671" customFormat="false" ht="15" hidden="true" customHeight="false" outlineLevel="0" collapsed="false">
      <c r="A9671" s="51" t="s">
        <v>191</v>
      </c>
      <c r="B9671" s="55" t="n">
        <v>45657</v>
      </c>
      <c r="C9671" s="51" t="s">
        <v>782</v>
      </c>
      <c r="D9671" s="51" t="n">
        <v>0</v>
      </c>
    </row>
    <row r="9672" customFormat="false" ht="15" hidden="true" customHeight="false" outlineLevel="0" collapsed="false">
      <c r="A9672" s="51" t="s">
        <v>196</v>
      </c>
      <c r="B9672" s="55" t="n">
        <v>45657</v>
      </c>
      <c r="C9672" s="51" t="s">
        <v>782</v>
      </c>
      <c r="D9672" s="51" t="n">
        <v>0</v>
      </c>
    </row>
    <row r="9673" customFormat="false" ht="15" hidden="true" customHeight="false" outlineLevel="0" collapsed="false">
      <c r="A9673" s="51" t="s">
        <v>201</v>
      </c>
      <c r="B9673" s="55" t="n">
        <v>45657</v>
      </c>
      <c r="C9673" s="51" t="s">
        <v>782</v>
      </c>
      <c r="D9673" s="51" t="n">
        <v>0</v>
      </c>
    </row>
    <row r="9674" customFormat="false" ht="15" hidden="true" customHeight="false" outlineLevel="0" collapsed="false">
      <c r="A9674" s="51" t="s">
        <v>206</v>
      </c>
      <c r="B9674" s="55" t="n">
        <v>45657</v>
      </c>
      <c r="C9674" s="51" t="s">
        <v>782</v>
      </c>
      <c r="D9674" s="51" t="n">
        <v>0</v>
      </c>
    </row>
    <row r="9675" customFormat="false" ht="15" hidden="true" customHeight="false" outlineLevel="0" collapsed="false">
      <c r="A9675" s="51" t="s">
        <v>210</v>
      </c>
      <c r="B9675" s="55" t="n">
        <v>45657</v>
      </c>
      <c r="C9675" s="51" t="s">
        <v>782</v>
      </c>
      <c r="D9675" s="51" t="n">
        <v>0</v>
      </c>
    </row>
    <row r="9676" customFormat="false" ht="15" hidden="true" customHeight="false" outlineLevel="0" collapsed="false">
      <c r="A9676" s="51" t="s">
        <v>215</v>
      </c>
      <c r="B9676" s="55" t="n">
        <v>45657</v>
      </c>
      <c r="C9676" s="51" t="s">
        <v>782</v>
      </c>
      <c r="D9676" s="51" t="n">
        <v>0</v>
      </c>
    </row>
    <row r="9677" customFormat="false" ht="15" hidden="true" customHeight="false" outlineLevel="0" collapsed="false">
      <c r="A9677" s="51" t="s">
        <v>790</v>
      </c>
      <c r="B9677" s="55" t="n">
        <v>45657</v>
      </c>
      <c r="C9677" s="51" t="s">
        <v>782</v>
      </c>
      <c r="D9677" s="51" t="n">
        <v>0</v>
      </c>
    </row>
    <row r="9678" customFormat="false" ht="15" hidden="true" customHeight="false" outlineLevel="0" collapsed="false">
      <c r="A9678" s="51" t="s">
        <v>225</v>
      </c>
      <c r="B9678" s="55" t="n">
        <v>45657</v>
      </c>
      <c r="C9678" s="51" t="s">
        <v>782</v>
      </c>
      <c r="D9678" s="51" t="n">
        <v>0</v>
      </c>
    </row>
    <row r="9679" customFormat="false" ht="15" hidden="true" customHeight="false" outlineLevel="0" collapsed="false">
      <c r="A9679" s="51" t="s">
        <v>230</v>
      </c>
      <c r="B9679" s="55" t="n">
        <v>45657</v>
      </c>
      <c r="C9679" s="51" t="s">
        <v>782</v>
      </c>
      <c r="D9679" s="51" t="n">
        <v>0</v>
      </c>
    </row>
    <row r="9680" customFormat="false" ht="15" hidden="true" customHeight="false" outlineLevel="0" collapsed="false">
      <c r="A9680" s="51" t="s">
        <v>235</v>
      </c>
      <c r="B9680" s="55" t="n">
        <v>45657</v>
      </c>
      <c r="C9680" s="51" t="s">
        <v>782</v>
      </c>
      <c r="D9680" s="51" t="n">
        <v>0</v>
      </c>
    </row>
    <row r="9681" customFormat="false" ht="15" hidden="true" customHeight="false" outlineLevel="0" collapsed="false">
      <c r="A9681" s="51" t="s">
        <v>240</v>
      </c>
      <c r="B9681" s="55" t="n">
        <v>45657</v>
      </c>
      <c r="C9681" s="51" t="s">
        <v>782</v>
      </c>
      <c r="D9681" s="51" t="n">
        <v>0</v>
      </c>
    </row>
    <row r="9682" customFormat="false" ht="15" hidden="true" customHeight="false" outlineLevel="0" collapsed="false">
      <c r="A9682" s="51" t="s">
        <v>246</v>
      </c>
      <c r="B9682" s="55" t="n">
        <v>45657</v>
      </c>
      <c r="C9682" s="51" t="s">
        <v>782</v>
      </c>
      <c r="D9682" s="51" t="n">
        <v>0</v>
      </c>
    </row>
    <row r="9683" customFormat="false" ht="15" hidden="true" customHeight="false" outlineLevel="0" collapsed="false">
      <c r="A9683" s="51" t="s">
        <v>252</v>
      </c>
      <c r="B9683" s="55" t="n">
        <v>45657</v>
      </c>
      <c r="C9683" s="51" t="s">
        <v>782</v>
      </c>
      <c r="D9683" s="51" t="n">
        <v>0</v>
      </c>
    </row>
    <row r="9684" customFormat="false" ht="15" hidden="true" customHeight="false" outlineLevel="0" collapsed="false">
      <c r="A9684" s="51" t="s">
        <v>257</v>
      </c>
      <c r="B9684" s="55" t="n">
        <v>45657</v>
      </c>
      <c r="C9684" s="51" t="s">
        <v>782</v>
      </c>
      <c r="D9684" s="51" t="n">
        <v>0</v>
      </c>
    </row>
    <row r="9685" customFormat="false" ht="15" hidden="true" customHeight="false" outlineLevel="0" collapsed="false">
      <c r="A9685" s="51" t="s">
        <v>262</v>
      </c>
      <c r="B9685" s="55" t="n">
        <v>45657</v>
      </c>
      <c r="C9685" s="51" t="s">
        <v>782</v>
      </c>
      <c r="D9685" s="51" t="n">
        <v>0</v>
      </c>
    </row>
    <row r="9686" customFormat="false" ht="15" hidden="true" customHeight="false" outlineLevel="0" collapsed="false">
      <c r="A9686" s="51" t="s">
        <v>267</v>
      </c>
      <c r="B9686" s="55" t="n">
        <v>45657</v>
      </c>
      <c r="C9686" s="51" t="s">
        <v>782</v>
      </c>
      <c r="D9686" s="51" t="n">
        <v>0</v>
      </c>
    </row>
    <row r="9687" customFormat="false" ht="15" hidden="true" customHeight="false" outlineLevel="0" collapsed="false">
      <c r="A9687" s="51" t="s">
        <v>272</v>
      </c>
      <c r="B9687" s="55" t="n">
        <v>45657</v>
      </c>
      <c r="C9687" s="51" t="s">
        <v>782</v>
      </c>
      <c r="D9687" s="51" t="n">
        <v>0</v>
      </c>
    </row>
    <row r="9688" customFormat="false" ht="15" hidden="true" customHeight="false" outlineLevel="0" collapsed="false">
      <c r="A9688" s="51" t="s">
        <v>277</v>
      </c>
      <c r="B9688" s="55" t="n">
        <v>45657</v>
      </c>
      <c r="C9688" s="51" t="s">
        <v>782</v>
      </c>
      <c r="D9688" s="51" t="n">
        <v>0</v>
      </c>
    </row>
    <row r="9689" customFormat="false" ht="15" hidden="true" customHeight="false" outlineLevel="0" collapsed="false">
      <c r="A9689" s="51" t="s">
        <v>282</v>
      </c>
      <c r="B9689" s="55" t="n">
        <v>45657</v>
      </c>
      <c r="C9689" s="51" t="s">
        <v>782</v>
      </c>
      <c r="D9689" s="51" t="n">
        <v>0</v>
      </c>
    </row>
    <row r="9690" customFormat="false" ht="15" hidden="true" customHeight="false" outlineLevel="0" collapsed="false">
      <c r="A9690" s="51" t="s">
        <v>287</v>
      </c>
      <c r="B9690" s="55" t="n">
        <v>45657</v>
      </c>
      <c r="C9690" s="51" t="s">
        <v>782</v>
      </c>
      <c r="D9690" s="51" t="n">
        <v>0</v>
      </c>
    </row>
    <row r="9691" customFormat="false" ht="15" hidden="true" customHeight="false" outlineLevel="0" collapsed="false">
      <c r="A9691" s="51" t="s">
        <v>292</v>
      </c>
      <c r="B9691" s="55" t="n">
        <v>45657</v>
      </c>
      <c r="C9691" s="51" t="s">
        <v>782</v>
      </c>
      <c r="D9691" s="51" t="n">
        <v>0</v>
      </c>
    </row>
    <row r="9692" customFormat="false" ht="15" hidden="true" customHeight="false" outlineLevel="0" collapsed="false">
      <c r="A9692" s="51" t="s">
        <v>297</v>
      </c>
      <c r="B9692" s="55" t="n">
        <v>45657</v>
      </c>
      <c r="C9692" s="51" t="s">
        <v>782</v>
      </c>
      <c r="D9692" s="51" t="n">
        <v>0</v>
      </c>
    </row>
    <row r="9693" customFormat="false" ht="15" hidden="true" customHeight="false" outlineLevel="0" collapsed="false">
      <c r="A9693" s="51" t="s">
        <v>302</v>
      </c>
      <c r="B9693" s="55" t="n">
        <v>45657</v>
      </c>
      <c r="C9693" s="51" t="s">
        <v>782</v>
      </c>
      <c r="D9693" s="51" t="n">
        <v>0</v>
      </c>
    </row>
    <row r="9694" customFormat="false" ht="15" hidden="true" customHeight="false" outlineLevel="0" collapsed="false">
      <c r="A9694" s="51" t="s">
        <v>307</v>
      </c>
      <c r="B9694" s="55" t="n">
        <v>45657</v>
      </c>
      <c r="C9694" s="51" t="s">
        <v>782</v>
      </c>
      <c r="D9694" s="51" t="n">
        <v>0</v>
      </c>
    </row>
    <row r="9695" customFormat="false" ht="15" hidden="true" customHeight="false" outlineLevel="0" collapsed="false">
      <c r="A9695" s="51" t="s">
        <v>311</v>
      </c>
      <c r="B9695" s="55" t="n">
        <v>45657</v>
      </c>
      <c r="C9695" s="51" t="s">
        <v>782</v>
      </c>
      <c r="D9695" s="51" t="n">
        <v>0</v>
      </c>
    </row>
    <row r="9696" customFormat="false" ht="15" hidden="true" customHeight="false" outlineLevel="0" collapsed="false">
      <c r="A9696" s="51" t="s">
        <v>317</v>
      </c>
      <c r="B9696" s="55" t="n">
        <v>45657</v>
      </c>
      <c r="C9696" s="51" t="s">
        <v>782</v>
      </c>
      <c r="D9696" s="51" t="n">
        <v>0</v>
      </c>
    </row>
    <row r="9697" customFormat="false" ht="15" hidden="true" customHeight="false" outlineLevel="0" collapsed="false">
      <c r="A9697" s="51" t="s">
        <v>322</v>
      </c>
      <c r="B9697" s="55" t="n">
        <v>45657</v>
      </c>
      <c r="C9697" s="51" t="s">
        <v>782</v>
      </c>
      <c r="D9697" s="51" t="n">
        <v>0</v>
      </c>
    </row>
    <row r="9698" customFormat="false" ht="15" hidden="true" customHeight="false" outlineLevel="0" collapsed="false">
      <c r="A9698" s="51" t="s">
        <v>327</v>
      </c>
      <c r="B9698" s="55" t="n">
        <v>45657</v>
      </c>
      <c r="C9698" s="51" t="s">
        <v>782</v>
      </c>
      <c r="D9698" s="51" t="n">
        <v>0</v>
      </c>
    </row>
    <row r="9699" customFormat="false" ht="15" hidden="true" customHeight="false" outlineLevel="0" collapsed="false">
      <c r="A9699" s="51" t="s">
        <v>332</v>
      </c>
      <c r="B9699" s="55" t="n">
        <v>45657</v>
      </c>
      <c r="C9699" s="51" t="s">
        <v>782</v>
      </c>
      <c r="D9699" s="51" t="n">
        <v>0</v>
      </c>
    </row>
    <row r="9700" customFormat="false" ht="15" hidden="true" customHeight="false" outlineLevel="0" collapsed="false">
      <c r="A9700" s="51" t="s">
        <v>339</v>
      </c>
      <c r="B9700" s="55" t="n">
        <v>45657</v>
      </c>
      <c r="C9700" s="51" t="s">
        <v>782</v>
      </c>
      <c r="D9700" s="51" t="n">
        <v>0</v>
      </c>
    </row>
    <row r="9701" customFormat="false" ht="15" hidden="true" customHeight="false" outlineLevel="0" collapsed="false">
      <c r="A9701" s="51" t="s">
        <v>344</v>
      </c>
      <c r="B9701" s="55" t="n">
        <v>45657</v>
      </c>
      <c r="C9701" s="51" t="s">
        <v>782</v>
      </c>
      <c r="D9701" s="51" t="n">
        <v>0</v>
      </c>
    </row>
    <row r="9702" customFormat="false" ht="15" hidden="true" customHeight="false" outlineLevel="0" collapsed="false">
      <c r="A9702" s="51" t="s">
        <v>349</v>
      </c>
      <c r="B9702" s="55" t="n">
        <v>45657</v>
      </c>
      <c r="C9702" s="51" t="s">
        <v>782</v>
      </c>
      <c r="D9702" s="51" t="n">
        <v>0</v>
      </c>
    </row>
    <row r="9703" customFormat="false" ht="15" hidden="true" customHeight="false" outlineLevel="0" collapsed="false">
      <c r="A9703" s="51" t="s">
        <v>354</v>
      </c>
      <c r="B9703" s="55" t="n">
        <v>45657</v>
      </c>
      <c r="C9703" s="51" t="s">
        <v>782</v>
      </c>
      <c r="D9703" s="51" t="n">
        <v>0</v>
      </c>
    </row>
    <row r="9704" customFormat="false" ht="15" hidden="true" customHeight="false" outlineLevel="0" collapsed="false">
      <c r="A9704" s="51" t="s">
        <v>359</v>
      </c>
      <c r="B9704" s="55" t="n">
        <v>45657</v>
      </c>
      <c r="C9704" s="51" t="s">
        <v>782</v>
      </c>
      <c r="D9704" s="51" t="n">
        <v>0</v>
      </c>
    </row>
    <row r="9705" customFormat="false" ht="15" hidden="true" customHeight="false" outlineLevel="0" collapsed="false">
      <c r="A9705" s="51" t="s">
        <v>364</v>
      </c>
      <c r="B9705" s="55" t="n">
        <v>45657</v>
      </c>
      <c r="C9705" s="51" t="s">
        <v>782</v>
      </c>
      <c r="D9705" s="51" t="n">
        <v>0</v>
      </c>
    </row>
    <row r="9706" customFormat="false" ht="15" hidden="true" customHeight="false" outlineLevel="0" collapsed="false">
      <c r="A9706" s="51" t="s">
        <v>369</v>
      </c>
      <c r="B9706" s="55" t="n">
        <v>45657</v>
      </c>
      <c r="C9706" s="51" t="s">
        <v>782</v>
      </c>
      <c r="D9706" s="51" t="n">
        <v>0</v>
      </c>
    </row>
    <row r="9707" customFormat="false" ht="15" hidden="true" customHeight="false" outlineLevel="0" collapsed="false">
      <c r="A9707" s="51" t="s">
        <v>374</v>
      </c>
      <c r="B9707" s="55" t="n">
        <v>45657</v>
      </c>
      <c r="C9707" s="51" t="s">
        <v>782</v>
      </c>
      <c r="D9707" s="51" t="n">
        <v>0</v>
      </c>
    </row>
    <row r="9708" customFormat="false" ht="15" hidden="true" customHeight="false" outlineLevel="0" collapsed="false">
      <c r="A9708" s="51" t="s">
        <v>379</v>
      </c>
      <c r="B9708" s="55" t="n">
        <v>45657</v>
      </c>
      <c r="C9708" s="51" t="s">
        <v>782</v>
      </c>
      <c r="D9708" s="51" t="n">
        <v>0</v>
      </c>
    </row>
    <row r="9709" customFormat="false" ht="15" hidden="true" customHeight="false" outlineLevel="0" collapsed="false">
      <c r="A9709" s="51" t="s">
        <v>384</v>
      </c>
      <c r="B9709" s="55" t="n">
        <v>45657</v>
      </c>
      <c r="C9709" s="51" t="s">
        <v>782</v>
      </c>
      <c r="D9709" s="51" t="n">
        <v>0</v>
      </c>
    </row>
    <row r="9710" customFormat="false" ht="15" hidden="true" customHeight="false" outlineLevel="0" collapsed="false">
      <c r="A9710" s="51" t="s">
        <v>389</v>
      </c>
      <c r="B9710" s="55" t="n">
        <v>45657</v>
      </c>
      <c r="C9710" s="51" t="s">
        <v>782</v>
      </c>
      <c r="D9710" s="51" t="n">
        <v>0</v>
      </c>
    </row>
    <row r="9711" customFormat="false" ht="15" hidden="true" customHeight="false" outlineLevel="0" collapsed="false">
      <c r="A9711" s="51" t="s">
        <v>394</v>
      </c>
      <c r="B9711" s="55" t="n">
        <v>45657</v>
      </c>
      <c r="C9711" s="51" t="s">
        <v>782</v>
      </c>
      <c r="D9711" s="51" t="n">
        <v>0</v>
      </c>
    </row>
    <row r="9712" customFormat="false" ht="15" hidden="true" customHeight="false" outlineLevel="0" collapsed="false">
      <c r="A9712" s="51" t="s">
        <v>399</v>
      </c>
      <c r="B9712" s="55" t="n">
        <v>45657</v>
      </c>
      <c r="C9712" s="51" t="s">
        <v>782</v>
      </c>
      <c r="D9712" s="51" t="n">
        <v>0</v>
      </c>
    </row>
    <row r="9713" customFormat="false" ht="15" hidden="true" customHeight="false" outlineLevel="0" collapsed="false">
      <c r="A9713" s="51" t="s">
        <v>404</v>
      </c>
      <c r="B9713" s="55" t="n">
        <v>45657</v>
      </c>
      <c r="C9713" s="51" t="s">
        <v>782</v>
      </c>
      <c r="D9713" s="51" t="n">
        <v>0</v>
      </c>
    </row>
    <row r="9714" customFormat="false" ht="15" hidden="true" customHeight="false" outlineLevel="0" collapsed="false">
      <c r="A9714" s="51" t="s">
        <v>409</v>
      </c>
      <c r="B9714" s="55" t="n">
        <v>45657</v>
      </c>
      <c r="C9714" s="51" t="s">
        <v>782</v>
      </c>
      <c r="D9714" s="51" t="n">
        <v>0</v>
      </c>
    </row>
    <row r="9715" customFormat="false" ht="15" hidden="true" customHeight="false" outlineLevel="0" collapsed="false">
      <c r="A9715" s="51" t="s">
        <v>414</v>
      </c>
      <c r="B9715" s="55" t="n">
        <v>45657</v>
      </c>
      <c r="C9715" s="51" t="s">
        <v>782</v>
      </c>
      <c r="D9715" s="51" t="n">
        <v>0</v>
      </c>
    </row>
    <row r="9716" customFormat="false" ht="15" hidden="true" customHeight="false" outlineLevel="0" collapsed="false">
      <c r="A9716" s="51" t="s">
        <v>419</v>
      </c>
      <c r="B9716" s="55" t="n">
        <v>45657</v>
      </c>
      <c r="C9716" s="51" t="s">
        <v>782</v>
      </c>
      <c r="D9716" s="51" t="n">
        <v>0</v>
      </c>
    </row>
    <row r="9717" customFormat="false" ht="15" hidden="true" customHeight="false" outlineLevel="0" collapsed="false">
      <c r="A9717" s="51" t="s">
        <v>424</v>
      </c>
      <c r="B9717" s="55" t="n">
        <v>45657</v>
      </c>
      <c r="C9717" s="51" t="s">
        <v>782</v>
      </c>
      <c r="D9717" s="51" t="n">
        <v>0</v>
      </c>
    </row>
    <row r="9718" customFormat="false" ht="15" hidden="true" customHeight="false" outlineLevel="0" collapsed="false">
      <c r="A9718" s="51" t="s">
        <v>429</v>
      </c>
      <c r="B9718" s="55" t="n">
        <v>45657</v>
      </c>
      <c r="C9718" s="51" t="s">
        <v>782</v>
      </c>
      <c r="D9718" s="51" t="n">
        <v>0</v>
      </c>
    </row>
    <row r="9719" customFormat="false" ht="15" hidden="true" customHeight="false" outlineLevel="0" collapsed="false">
      <c r="A9719" s="51" t="s">
        <v>434</v>
      </c>
      <c r="B9719" s="55" t="n">
        <v>45657</v>
      </c>
      <c r="C9719" s="51" t="s">
        <v>782</v>
      </c>
      <c r="D9719" s="51" t="n">
        <v>0</v>
      </c>
    </row>
    <row r="9720" customFormat="false" ht="15" hidden="true" customHeight="false" outlineLevel="0" collapsed="false">
      <c r="A9720" s="51" t="s">
        <v>438</v>
      </c>
      <c r="B9720" s="55" t="n">
        <v>45657</v>
      </c>
      <c r="C9720" s="51" t="s">
        <v>782</v>
      </c>
      <c r="D9720" s="51" t="n">
        <v>0</v>
      </c>
    </row>
    <row r="9721" customFormat="false" ht="15" hidden="true" customHeight="false" outlineLevel="0" collapsed="false">
      <c r="A9721" s="51" t="s">
        <v>443</v>
      </c>
      <c r="B9721" s="55" t="n">
        <v>45657</v>
      </c>
      <c r="C9721" s="51" t="s">
        <v>782</v>
      </c>
      <c r="D9721" s="51" t="n">
        <v>0</v>
      </c>
    </row>
    <row r="9722" customFormat="false" ht="15" hidden="true" customHeight="false" outlineLevel="0" collapsed="false">
      <c r="A9722" s="51" t="s">
        <v>448</v>
      </c>
      <c r="B9722" s="55" t="n">
        <v>45657</v>
      </c>
      <c r="C9722" s="51" t="s">
        <v>782</v>
      </c>
      <c r="D9722" s="51" t="n">
        <v>0</v>
      </c>
    </row>
    <row r="9723" customFormat="false" ht="15" hidden="true" customHeight="false" outlineLevel="0" collapsed="false">
      <c r="A9723" s="51" t="s">
        <v>453</v>
      </c>
      <c r="B9723" s="55" t="n">
        <v>45657</v>
      </c>
      <c r="C9723" s="51" t="s">
        <v>782</v>
      </c>
      <c r="D9723" s="51" t="n">
        <v>0</v>
      </c>
    </row>
    <row r="9724" customFormat="false" ht="15" hidden="true" customHeight="false" outlineLevel="0" collapsed="false">
      <c r="A9724" s="51" t="s">
        <v>458</v>
      </c>
      <c r="B9724" s="55" t="n">
        <v>45657</v>
      </c>
      <c r="C9724" s="51" t="s">
        <v>782</v>
      </c>
      <c r="D9724" s="51" t="n">
        <v>0</v>
      </c>
    </row>
    <row r="9725" customFormat="false" ht="15" hidden="true" customHeight="false" outlineLevel="0" collapsed="false">
      <c r="A9725" s="51" t="s">
        <v>473</v>
      </c>
      <c r="B9725" s="55" t="n">
        <v>45657</v>
      </c>
      <c r="C9725" s="51" t="s">
        <v>782</v>
      </c>
      <c r="D9725" s="51" t="n">
        <v>0</v>
      </c>
    </row>
    <row r="9726" customFormat="false" ht="15" hidden="true" customHeight="false" outlineLevel="0" collapsed="false">
      <c r="A9726" s="51" t="s">
        <v>479</v>
      </c>
      <c r="B9726" s="55" t="n">
        <v>45657</v>
      </c>
      <c r="C9726" s="51" t="s">
        <v>782</v>
      </c>
      <c r="D9726" s="51" t="n">
        <v>0</v>
      </c>
    </row>
    <row r="9727" customFormat="false" ht="15" hidden="true" customHeight="false" outlineLevel="0" collapsed="false">
      <c r="A9727" s="51" t="s">
        <v>484</v>
      </c>
      <c r="B9727" s="55" t="n">
        <v>45657</v>
      </c>
      <c r="C9727" s="51" t="s">
        <v>782</v>
      </c>
      <c r="D9727" s="51" t="n">
        <v>0</v>
      </c>
    </row>
    <row r="9728" customFormat="false" ht="15" hidden="true" customHeight="false" outlineLevel="0" collapsed="false">
      <c r="A9728" s="51" t="s">
        <v>489</v>
      </c>
      <c r="B9728" s="55" t="n">
        <v>45657</v>
      </c>
      <c r="C9728" s="51" t="s">
        <v>782</v>
      </c>
      <c r="D9728" s="51" t="n">
        <v>0</v>
      </c>
    </row>
    <row r="9729" customFormat="false" ht="15" hidden="true" customHeight="false" outlineLevel="0" collapsed="false">
      <c r="A9729" s="51" t="s">
        <v>494</v>
      </c>
      <c r="B9729" s="55" t="n">
        <v>45657</v>
      </c>
      <c r="C9729" s="51" t="s">
        <v>782</v>
      </c>
      <c r="D9729" s="51" t="n">
        <v>0</v>
      </c>
    </row>
    <row r="9730" customFormat="false" ht="15" hidden="true" customHeight="false" outlineLevel="0" collapsed="false">
      <c r="A9730" s="51" t="s">
        <v>499</v>
      </c>
      <c r="B9730" s="55" t="n">
        <v>45657</v>
      </c>
      <c r="C9730" s="51" t="s">
        <v>782</v>
      </c>
      <c r="D9730" s="51" t="n">
        <v>0</v>
      </c>
    </row>
    <row r="9731" customFormat="false" ht="15" hidden="true" customHeight="false" outlineLevel="0" collapsed="false">
      <c r="A9731" s="51" t="s">
        <v>504</v>
      </c>
      <c r="B9731" s="55" t="n">
        <v>45657</v>
      </c>
      <c r="C9731" s="51" t="s">
        <v>782</v>
      </c>
      <c r="D9731" s="51" t="n">
        <v>0</v>
      </c>
    </row>
    <row r="9732" customFormat="false" ht="15" hidden="true" customHeight="false" outlineLevel="0" collapsed="false">
      <c r="A9732" s="51" t="s">
        <v>509</v>
      </c>
      <c r="B9732" s="55" t="n">
        <v>45657</v>
      </c>
      <c r="C9732" s="51" t="s">
        <v>782</v>
      </c>
      <c r="D9732" s="51" t="n">
        <v>0</v>
      </c>
    </row>
    <row r="9733" customFormat="false" ht="15" hidden="true" customHeight="false" outlineLevel="0" collapsed="false">
      <c r="A9733" s="51" t="s">
        <v>515</v>
      </c>
      <c r="B9733" s="55" t="n">
        <v>45657</v>
      </c>
      <c r="C9733" s="51" t="s">
        <v>782</v>
      </c>
      <c r="D9733" s="51" t="n">
        <v>0</v>
      </c>
    </row>
    <row r="9734" customFormat="false" ht="15" hidden="true" customHeight="false" outlineLevel="0" collapsed="false">
      <c r="A9734" s="51" t="s">
        <v>520</v>
      </c>
      <c r="B9734" s="55" t="n">
        <v>45657</v>
      </c>
      <c r="C9734" s="51" t="s">
        <v>782</v>
      </c>
      <c r="D9734" s="51" t="n">
        <v>0</v>
      </c>
    </row>
    <row r="9735" customFormat="false" ht="15" hidden="true" customHeight="false" outlineLevel="0" collapsed="false">
      <c r="A9735" s="51" t="s">
        <v>525</v>
      </c>
      <c r="B9735" s="55" t="n">
        <v>45657</v>
      </c>
      <c r="C9735" s="51" t="s">
        <v>782</v>
      </c>
      <c r="D9735" s="51" t="n">
        <v>0</v>
      </c>
    </row>
    <row r="9736" customFormat="false" ht="15" hidden="true" customHeight="false" outlineLevel="0" collapsed="false">
      <c r="A9736" s="51" t="s">
        <v>531</v>
      </c>
      <c r="B9736" s="55" t="n">
        <v>45657</v>
      </c>
      <c r="C9736" s="51" t="s">
        <v>782</v>
      </c>
      <c r="D9736" s="51" t="n">
        <v>0</v>
      </c>
    </row>
    <row r="9737" customFormat="false" ht="15" hidden="true" customHeight="false" outlineLevel="0" collapsed="false">
      <c r="A9737" s="51" t="s">
        <v>536</v>
      </c>
      <c r="B9737" s="55" t="n">
        <v>45657</v>
      </c>
      <c r="C9737" s="51" t="s">
        <v>782</v>
      </c>
      <c r="D9737" s="51" t="n">
        <v>0</v>
      </c>
    </row>
    <row r="9738" customFormat="false" ht="15" hidden="true" customHeight="false" outlineLevel="0" collapsed="false">
      <c r="A9738" s="51" t="s">
        <v>541</v>
      </c>
      <c r="B9738" s="55" t="n">
        <v>45657</v>
      </c>
      <c r="C9738" s="51" t="s">
        <v>782</v>
      </c>
      <c r="D9738" s="51" t="n">
        <v>0</v>
      </c>
    </row>
    <row r="9739" customFormat="false" ht="15" hidden="true" customHeight="false" outlineLevel="0" collapsed="false">
      <c r="A9739" s="51" t="s">
        <v>549</v>
      </c>
      <c r="B9739" s="55" t="n">
        <v>45657</v>
      </c>
      <c r="C9739" s="51" t="s">
        <v>782</v>
      </c>
      <c r="D9739" s="51" t="n">
        <v>0</v>
      </c>
    </row>
    <row r="9740" customFormat="false" ht="15" hidden="true" customHeight="false" outlineLevel="0" collapsed="false">
      <c r="A9740" s="51" t="s">
        <v>554</v>
      </c>
      <c r="B9740" s="55" t="n">
        <v>45657</v>
      </c>
      <c r="C9740" s="51" t="s">
        <v>782</v>
      </c>
      <c r="D9740" s="51" t="n">
        <v>0</v>
      </c>
    </row>
    <row r="9741" customFormat="false" ht="15" hidden="true" customHeight="false" outlineLevel="0" collapsed="false">
      <c r="A9741" s="51" t="s">
        <v>559</v>
      </c>
      <c r="B9741" s="55" t="n">
        <v>45657</v>
      </c>
      <c r="C9741" s="51" t="s">
        <v>782</v>
      </c>
      <c r="D9741" s="51" t="n">
        <v>0</v>
      </c>
    </row>
    <row r="9742" customFormat="false" ht="15" hidden="true" customHeight="false" outlineLevel="0" collapsed="false">
      <c r="A9742" s="51" t="s">
        <v>564</v>
      </c>
      <c r="B9742" s="55" t="n">
        <v>45657</v>
      </c>
      <c r="C9742" s="51" t="s">
        <v>782</v>
      </c>
      <c r="D9742" s="51" t="n">
        <v>0</v>
      </c>
    </row>
    <row r="9743" customFormat="false" ht="15" hidden="true" customHeight="false" outlineLevel="0" collapsed="false">
      <c r="A9743" s="51" t="s">
        <v>569</v>
      </c>
      <c r="B9743" s="55" t="n">
        <v>45657</v>
      </c>
      <c r="C9743" s="51" t="s">
        <v>782</v>
      </c>
      <c r="D9743" s="51" t="n">
        <v>0</v>
      </c>
    </row>
    <row r="9744" customFormat="false" ht="15" hidden="true" customHeight="false" outlineLevel="0" collapsed="false">
      <c r="A9744" s="51" t="s">
        <v>574</v>
      </c>
      <c r="B9744" s="55" t="n">
        <v>45657</v>
      </c>
      <c r="C9744" s="51" t="s">
        <v>782</v>
      </c>
      <c r="D9744" s="51" t="n">
        <v>0</v>
      </c>
    </row>
    <row r="9745" customFormat="false" ht="15" hidden="true" customHeight="false" outlineLevel="0" collapsed="false">
      <c r="A9745" s="51" t="s">
        <v>579</v>
      </c>
      <c r="B9745" s="55" t="n">
        <v>45657</v>
      </c>
      <c r="C9745" s="51" t="s">
        <v>782</v>
      </c>
      <c r="D9745" s="51" t="n">
        <v>480000</v>
      </c>
    </row>
    <row r="9746" customFormat="false" ht="15" hidden="true" customHeight="false" outlineLevel="0" collapsed="false">
      <c r="A9746" s="51" t="s">
        <v>584</v>
      </c>
      <c r="B9746" s="55" t="n">
        <v>45657</v>
      </c>
      <c r="C9746" s="51" t="s">
        <v>782</v>
      </c>
      <c r="D9746" s="51" t="n">
        <v>0</v>
      </c>
    </row>
    <row r="9747" customFormat="false" ht="15" hidden="true" customHeight="false" outlineLevel="0" collapsed="false">
      <c r="A9747" s="51" t="s">
        <v>589</v>
      </c>
      <c r="B9747" s="55" t="n">
        <v>45657</v>
      </c>
      <c r="C9747" s="51" t="s">
        <v>782</v>
      </c>
      <c r="D9747" s="51" t="n">
        <v>0</v>
      </c>
    </row>
    <row r="9748" customFormat="false" ht="15" hidden="true" customHeight="false" outlineLevel="0" collapsed="false">
      <c r="A9748" s="51" t="s">
        <v>756</v>
      </c>
      <c r="B9748" s="55" t="n">
        <v>45657</v>
      </c>
      <c r="C9748" s="51" t="s">
        <v>782</v>
      </c>
      <c r="D9748" s="51" t="n">
        <v>0</v>
      </c>
    </row>
    <row r="9749" customFormat="false" ht="15" hidden="true" customHeight="false" outlineLevel="0" collapsed="false">
      <c r="A9749" s="51" t="s">
        <v>594</v>
      </c>
      <c r="B9749" s="55" t="n">
        <v>45657</v>
      </c>
      <c r="C9749" s="51" t="s">
        <v>782</v>
      </c>
      <c r="D9749" s="51" t="n">
        <v>188000</v>
      </c>
    </row>
    <row r="9750" customFormat="false" ht="15" hidden="true" customHeight="false" outlineLevel="0" collapsed="false">
      <c r="A9750" s="51" t="s">
        <v>761</v>
      </c>
      <c r="B9750" s="55" t="n">
        <v>45657</v>
      </c>
      <c r="C9750" s="51" t="s">
        <v>782</v>
      </c>
      <c r="D9750" s="51" t="n">
        <v>6450000</v>
      </c>
    </row>
    <row r="9751" customFormat="false" ht="15" hidden="true" customHeight="false" outlineLevel="0" collapsed="false">
      <c r="A9751" s="51" t="s">
        <v>599</v>
      </c>
      <c r="B9751" s="55" t="n">
        <v>45657</v>
      </c>
      <c r="C9751" s="51" t="s">
        <v>782</v>
      </c>
      <c r="D9751" s="51" t="n">
        <v>0</v>
      </c>
    </row>
    <row r="9752" customFormat="false" ht="15" hidden="true" customHeight="false" outlineLevel="0" collapsed="false">
      <c r="A9752" s="51" t="s">
        <v>604</v>
      </c>
      <c r="B9752" s="55" t="n">
        <v>45657</v>
      </c>
      <c r="C9752" s="51" t="s">
        <v>782</v>
      </c>
      <c r="D9752" s="51" t="n">
        <v>1450000</v>
      </c>
    </row>
    <row r="9753" customFormat="false" ht="15" hidden="true" customHeight="false" outlineLevel="0" collapsed="false">
      <c r="A9753" s="51" t="s">
        <v>609</v>
      </c>
      <c r="B9753" s="55" t="n">
        <v>45657</v>
      </c>
      <c r="C9753" s="51" t="s">
        <v>782</v>
      </c>
      <c r="D9753" s="51" t="n">
        <v>0</v>
      </c>
    </row>
    <row r="9754" customFormat="false" ht="15" hidden="true" customHeight="false" outlineLevel="0" collapsed="false">
      <c r="A9754" s="51" t="s">
        <v>614</v>
      </c>
      <c r="B9754" s="55" t="n">
        <v>45657</v>
      </c>
      <c r="C9754" s="51" t="s">
        <v>782</v>
      </c>
      <c r="D9754" s="51" t="n">
        <v>0</v>
      </c>
    </row>
    <row r="9755" customFormat="false" ht="15" hidden="true" customHeight="false" outlineLevel="0" collapsed="false">
      <c r="A9755" s="51" t="s">
        <v>619</v>
      </c>
      <c r="B9755" s="55" t="n">
        <v>45657</v>
      </c>
      <c r="C9755" s="51" t="s">
        <v>782</v>
      </c>
      <c r="D9755" s="51" t="n">
        <v>0</v>
      </c>
    </row>
    <row r="9756" customFormat="false" ht="15" hidden="true" customHeight="false" outlineLevel="0" collapsed="false">
      <c r="A9756" s="51" t="s">
        <v>624</v>
      </c>
      <c r="B9756" s="55" t="n">
        <v>45657</v>
      </c>
      <c r="C9756" s="51" t="s">
        <v>782</v>
      </c>
      <c r="D9756" s="51" t="n">
        <v>0</v>
      </c>
    </row>
    <row r="9757" customFormat="false" ht="15" hidden="true" customHeight="false" outlineLevel="0" collapsed="false">
      <c r="A9757" s="51" t="s">
        <v>629</v>
      </c>
      <c r="B9757" s="55" t="n">
        <v>45657</v>
      </c>
      <c r="C9757" s="51" t="s">
        <v>782</v>
      </c>
      <c r="D9757" s="51" t="n">
        <v>0</v>
      </c>
    </row>
    <row r="9758" customFormat="false" ht="15" hidden="true" customHeight="false" outlineLevel="0" collapsed="false">
      <c r="A9758" s="51" t="s">
        <v>633</v>
      </c>
      <c r="B9758" s="55" t="n">
        <v>45657</v>
      </c>
      <c r="C9758" s="51" t="s">
        <v>782</v>
      </c>
      <c r="D9758" s="51" t="n">
        <v>0</v>
      </c>
    </row>
    <row r="9759" customFormat="false" ht="15" hidden="true" customHeight="false" outlineLevel="0" collapsed="false">
      <c r="A9759" s="51" t="s">
        <v>638</v>
      </c>
      <c r="B9759" s="55" t="n">
        <v>45657</v>
      </c>
      <c r="C9759" s="51" t="s">
        <v>782</v>
      </c>
      <c r="D9759" s="51" t="n">
        <v>0</v>
      </c>
    </row>
    <row r="9760" customFormat="false" ht="15" hidden="true" customHeight="false" outlineLevel="0" collapsed="false">
      <c r="A9760" s="51" t="s">
        <v>642</v>
      </c>
      <c r="B9760" s="55" t="n">
        <v>45657</v>
      </c>
      <c r="C9760" s="51" t="s">
        <v>782</v>
      </c>
      <c r="D9760" s="51" t="n">
        <v>0</v>
      </c>
    </row>
    <row r="9761" customFormat="false" ht="15" hidden="true" customHeight="false" outlineLevel="0" collapsed="false">
      <c r="A9761" s="51" t="s">
        <v>646</v>
      </c>
      <c r="B9761" s="55" t="n">
        <v>45657</v>
      </c>
      <c r="C9761" s="51" t="s">
        <v>782</v>
      </c>
      <c r="D9761" s="51" t="n">
        <v>0</v>
      </c>
    </row>
    <row r="9762" customFormat="false" ht="15" hidden="true" customHeight="false" outlineLevel="0" collapsed="false">
      <c r="A9762" s="51" t="s">
        <v>651</v>
      </c>
      <c r="B9762" s="55" t="n">
        <v>45657</v>
      </c>
      <c r="C9762" s="51" t="s">
        <v>782</v>
      </c>
      <c r="D9762" s="51" t="n">
        <v>0</v>
      </c>
    </row>
    <row r="9763" customFormat="false" ht="15" hidden="true" customHeight="false" outlineLevel="0" collapsed="false">
      <c r="A9763" s="51" t="s">
        <v>656</v>
      </c>
      <c r="B9763" s="55" t="n">
        <v>45657</v>
      </c>
      <c r="C9763" s="51" t="s">
        <v>782</v>
      </c>
      <c r="D9763" s="51" t="n">
        <v>0</v>
      </c>
    </row>
    <row r="9764" customFormat="false" ht="15" hidden="true" customHeight="false" outlineLevel="0" collapsed="false">
      <c r="A9764" s="51" t="s">
        <v>661</v>
      </c>
      <c r="B9764" s="55" t="n">
        <v>45657</v>
      </c>
      <c r="C9764" s="51" t="s">
        <v>782</v>
      </c>
      <c r="D9764" s="51" t="n">
        <v>0</v>
      </c>
    </row>
    <row r="9765" customFormat="false" ht="15" hidden="true" customHeight="false" outlineLevel="0" collapsed="false">
      <c r="A9765" s="51" t="s">
        <v>666</v>
      </c>
      <c r="B9765" s="55" t="n">
        <v>45657</v>
      </c>
      <c r="C9765" s="51" t="s">
        <v>782</v>
      </c>
      <c r="D9765" s="51" t="n">
        <v>0</v>
      </c>
    </row>
    <row r="9766" customFormat="false" ht="15" hidden="true" customHeight="false" outlineLevel="0" collapsed="false">
      <c r="A9766" s="51" t="s">
        <v>671</v>
      </c>
      <c r="B9766" s="55" t="n">
        <v>45657</v>
      </c>
      <c r="C9766" s="51" t="s">
        <v>782</v>
      </c>
      <c r="D9766" s="51" t="n">
        <v>0</v>
      </c>
    </row>
    <row r="9767" customFormat="false" ht="15" hidden="true" customHeight="false" outlineLevel="0" collapsed="false">
      <c r="A9767" s="51" t="s">
        <v>676</v>
      </c>
      <c r="B9767" s="55" t="n">
        <v>45657</v>
      </c>
      <c r="C9767" s="51" t="s">
        <v>782</v>
      </c>
      <c r="D9767" s="51" t="n">
        <v>0</v>
      </c>
    </row>
    <row r="9768" customFormat="false" ht="15" hidden="true" customHeight="false" outlineLevel="0" collapsed="false">
      <c r="A9768" s="51" t="s">
        <v>681</v>
      </c>
      <c r="B9768" s="55" t="n">
        <v>45657</v>
      </c>
      <c r="C9768" s="51" t="s">
        <v>782</v>
      </c>
      <c r="D9768" s="51" t="n">
        <v>0</v>
      </c>
    </row>
    <row r="9769" customFormat="false" ht="15" hidden="true" customHeight="false" outlineLevel="0" collapsed="false">
      <c r="A9769" s="51" t="s">
        <v>686</v>
      </c>
      <c r="B9769" s="55" t="n">
        <v>45657</v>
      </c>
      <c r="C9769" s="51" t="s">
        <v>782</v>
      </c>
      <c r="D9769" s="51" t="n">
        <v>0</v>
      </c>
    </row>
    <row r="9770" customFormat="false" ht="15" hidden="true" customHeight="false" outlineLevel="0" collapsed="false">
      <c r="A9770" s="51" t="s">
        <v>691</v>
      </c>
      <c r="B9770" s="55" t="n">
        <v>45657</v>
      </c>
      <c r="C9770" s="51" t="s">
        <v>782</v>
      </c>
      <c r="D9770" s="51" t="n">
        <v>0</v>
      </c>
    </row>
    <row r="9771" customFormat="false" ht="15" hidden="true" customHeight="false" outlineLevel="0" collapsed="false">
      <c r="A9771" s="51" t="s">
        <v>696</v>
      </c>
      <c r="B9771" s="55" t="n">
        <v>45657</v>
      </c>
      <c r="C9771" s="51" t="s">
        <v>782</v>
      </c>
      <c r="D9771" s="51" t="n">
        <v>0</v>
      </c>
    </row>
    <row r="9772" customFormat="false" ht="15" hidden="true" customHeight="false" outlineLevel="0" collapsed="false">
      <c r="A9772" s="51" t="s">
        <v>701</v>
      </c>
      <c r="B9772" s="55" t="n">
        <v>45657</v>
      </c>
      <c r="C9772" s="51" t="s">
        <v>782</v>
      </c>
      <c r="D9772" s="51" t="n">
        <v>0</v>
      </c>
    </row>
    <row r="9773" customFormat="false" ht="15" hidden="true" customHeight="false" outlineLevel="0" collapsed="false">
      <c r="A9773" s="51" t="s">
        <v>707</v>
      </c>
      <c r="B9773" s="55" t="n">
        <v>45657</v>
      </c>
      <c r="C9773" s="51" t="s">
        <v>782</v>
      </c>
      <c r="D9773" s="51" t="n">
        <v>0</v>
      </c>
    </row>
    <row r="9774" customFormat="false" ht="15" hidden="true" customHeight="false" outlineLevel="0" collapsed="false">
      <c r="A9774" s="51" t="s">
        <v>712</v>
      </c>
      <c r="B9774" s="55" t="n">
        <v>45657</v>
      </c>
      <c r="C9774" s="51" t="s">
        <v>782</v>
      </c>
      <c r="D9774" s="51" t="n">
        <v>0</v>
      </c>
    </row>
    <row r="9775" customFormat="false" ht="15" hidden="true" customHeight="false" outlineLevel="0" collapsed="false">
      <c r="A9775" s="51" t="s">
        <v>717</v>
      </c>
      <c r="B9775" s="55" t="n">
        <v>45657</v>
      </c>
      <c r="C9775" s="51" t="s">
        <v>782</v>
      </c>
      <c r="D9775" s="51" t="n">
        <v>0</v>
      </c>
    </row>
    <row r="9776" customFormat="false" ht="15" hidden="true" customHeight="false" outlineLevel="0" collapsed="false">
      <c r="A9776" s="51" t="s">
        <v>767</v>
      </c>
      <c r="B9776" s="55" t="n">
        <v>45657</v>
      </c>
      <c r="C9776" s="51" t="s">
        <v>782</v>
      </c>
      <c r="D9776" s="51" t="n">
        <v>0</v>
      </c>
    </row>
    <row r="9777" customFormat="false" ht="15" hidden="true" customHeight="false" outlineLevel="0" collapsed="false">
      <c r="A9777" s="51" t="s">
        <v>722</v>
      </c>
      <c r="B9777" s="55" t="n">
        <v>45657</v>
      </c>
      <c r="C9777" s="51" t="s">
        <v>782</v>
      </c>
      <c r="D9777" s="51" t="n">
        <v>0</v>
      </c>
    </row>
    <row r="9778" customFormat="false" ht="15" hidden="true" customHeight="false" outlineLevel="0" collapsed="false">
      <c r="A9778" s="51" t="s">
        <v>727</v>
      </c>
      <c r="B9778" s="55" t="n">
        <v>45657</v>
      </c>
      <c r="C9778" s="51" t="s">
        <v>782</v>
      </c>
      <c r="D9778" s="51" t="n">
        <v>0</v>
      </c>
    </row>
    <row r="9779" customFormat="false" ht="15" hidden="true" customHeight="false" outlineLevel="0" collapsed="false">
      <c r="A9779" s="51" t="s">
        <v>732</v>
      </c>
      <c r="B9779" s="55" t="n">
        <v>45657</v>
      </c>
      <c r="C9779" s="51" t="s">
        <v>782</v>
      </c>
      <c r="D9779" s="51" t="n">
        <v>0</v>
      </c>
    </row>
    <row r="9780" customFormat="false" ht="15" hidden="true" customHeight="false" outlineLevel="0" collapsed="false">
      <c r="A9780" s="51" t="s">
        <v>736</v>
      </c>
      <c r="B9780" s="55" t="n">
        <v>45657</v>
      </c>
      <c r="C9780" s="51" t="s">
        <v>782</v>
      </c>
      <c r="D9780" s="51" t="n">
        <v>0</v>
      </c>
    </row>
    <row r="9781" customFormat="false" ht="15" hidden="true" customHeight="false" outlineLevel="0" collapsed="false">
      <c r="A9781" s="51" t="s">
        <v>741</v>
      </c>
      <c r="B9781" s="55" t="n">
        <v>45657</v>
      </c>
      <c r="C9781" s="51" t="s">
        <v>782</v>
      </c>
      <c r="D9781" s="51" t="n">
        <v>0</v>
      </c>
    </row>
    <row r="9782" customFormat="false" ht="15" hidden="true" customHeight="false" outlineLevel="0" collapsed="false">
      <c r="A9782" s="51" t="s">
        <v>746</v>
      </c>
      <c r="B9782" s="55" t="n">
        <v>45657</v>
      </c>
      <c r="C9782" s="51" t="s">
        <v>782</v>
      </c>
      <c r="D9782" s="51" t="n">
        <v>0</v>
      </c>
    </row>
    <row r="9783" customFormat="false" ht="15" hidden="true" customHeight="false" outlineLevel="0" collapsed="false">
      <c r="A9783" s="51" t="s">
        <v>751</v>
      </c>
      <c r="B9783" s="55" t="n">
        <v>45657</v>
      </c>
      <c r="C9783" s="51" t="s">
        <v>782</v>
      </c>
      <c r="D9783" s="51" t="n">
        <v>0</v>
      </c>
    </row>
    <row r="9784" customFormat="false" ht="15" hidden="false" customHeight="false" outlineLevel="0" collapsed="false">
      <c r="A9784" s="51" t="s">
        <v>781</v>
      </c>
      <c r="B9784" s="55" t="n">
        <v>45657</v>
      </c>
      <c r="C9784" s="51" t="s">
        <v>82</v>
      </c>
      <c r="D9784" s="51" t="n">
        <v>0</v>
      </c>
    </row>
    <row r="9785" customFormat="false" ht="15" hidden="true" customHeight="false" outlineLevel="0" collapsed="false">
      <c r="A9785" s="51" t="s">
        <v>783</v>
      </c>
      <c r="B9785" s="55" t="n">
        <v>45657</v>
      </c>
      <c r="C9785" s="51" t="s">
        <v>82</v>
      </c>
      <c r="D9785" s="51" t="n">
        <v>0</v>
      </c>
    </row>
    <row r="9786" customFormat="false" ht="15" hidden="true" customHeight="false" outlineLevel="0" collapsed="false">
      <c r="A9786" s="51" t="s">
        <v>96</v>
      </c>
      <c r="B9786" s="55" t="n">
        <v>45657</v>
      </c>
      <c r="C9786" s="51" t="s">
        <v>82</v>
      </c>
      <c r="D9786" s="51" t="n">
        <v>0</v>
      </c>
    </row>
    <row r="9787" customFormat="false" ht="15" hidden="true" customHeight="false" outlineLevel="0" collapsed="false">
      <c r="A9787" s="51" t="s">
        <v>101</v>
      </c>
      <c r="B9787" s="55" t="n">
        <v>45657</v>
      </c>
      <c r="C9787" s="51" t="s">
        <v>82</v>
      </c>
      <c r="D9787" s="51" t="n">
        <v>0</v>
      </c>
    </row>
    <row r="9788" customFormat="false" ht="15" hidden="true" customHeight="false" outlineLevel="0" collapsed="false">
      <c r="A9788" s="51" t="s">
        <v>106</v>
      </c>
      <c r="B9788" s="55" t="n">
        <v>45657</v>
      </c>
      <c r="C9788" s="51" t="s">
        <v>82</v>
      </c>
      <c r="D9788" s="51" t="n">
        <v>0</v>
      </c>
    </row>
    <row r="9789" customFormat="false" ht="15" hidden="true" customHeight="false" outlineLevel="0" collapsed="false">
      <c r="A9789" s="51" t="s">
        <v>110</v>
      </c>
      <c r="B9789" s="55" t="n">
        <v>45657</v>
      </c>
      <c r="C9789" s="51" t="s">
        <v>82</v>
      </c>
      <c r="D9789" s="51" t="n">
        <v>0</v>
      </c>
    </row>
    <row r="9790" customFormat="false" ht="15" hidden="true" customHeight="false" outlineLevel="0" collapsed="false">
      <c r="A9790" s="51" t="s">
        <v>115</v>
      </c>
      <c r="B9790" s="55" t="n">
        <v>45657</v>
      </c>
      <c r="C9790" s="51" t="s">
        <v>82</v>
      </c>
      <c r="D9790" s="51" t="n">
        <v>0</v>
      </c>
    </row>
    <row r="9791" customFormat="false" ht="15" hidden="true" customHeight="false" outlineLevel="0" collapsed="false">
      <c r="A9791" s="51" t="s">
        <v>120</v>
      </c>
      <c r="B9791" s="55" t="n">
        <v>45657</v>
      </c>
      <c r="C9791" s="51" t="s">
        <v>82</v>
      </c>
      <c r="D9791" s="51" t="n">
        <v>0</v>
      </c>
    </row>
    <row r="9792" customFormat="false" ht="15" hidden="true" customHeight="false" outlineLevel="0" collapsed="false">
      <c r="A9792" s="51" t="s">
        <v>124</v>
      </c>
      <c r="B9792" s="55" t="n">
        <v>45657</v>
      </c>
      <c r="C9792" s="51" t="s">
        <v>82</v>
      </c>
      <c r="D9792" s="51" t="n">
        <v>0</v>
      </c>
    </row>
    <row r="9793" customFormat="false" ht="15" hidden="true" customHeight="false" outlineLevel="0" collapsed="false">
      <c r="A9793" s="51" t="s">
        <v>129</v>
      </c>
      <c r="B9793" s="55" t="n">
        <v>45657</v>
      </c>
      <c r="C9793" s="51" t="s">
        <v>82</v>
      </c>
      <c r="D9793" s="51" t="n">
        <v>0</v>
      </c>
    </row>
    <row r="9794" customFormat="false" ht="15" hidden="true" customHeight="false" outlineLevel="0" collapsed="false">
      <c r="A9794" s="51" t="s">
        <v>134</v>
      </c>
      <c r="B9794" s="55" t="n">
        <v>45657</v>
      </c>
      <c r="C9794" s="51" t="s">
        <v>82</v>
      </c>
      <c r="D9794" s="51" t="n">
        <v>0</v>
      </c>
    </row>
    <row r="9795" customFormat="false" ht="15" hidden="true" customHeight="false" outlineLevel="0" collapsed="false">
      <c r="A9795" s="51" t="s">
        <v>141</v>
      </c>
      <c r="B9795" s="55" t="n">
        <v>45657</v>
      </c>
      <c r="C9795" s="51" t="s">
        <v>82</v>
      </c>
      <c r="D9795" s="51" t="n">
        <v>0</v>
      </c>
    </row>
    <row r="9796" customFormat="false" ht="15" hidden="true" customHeight="false" outlineLevel="0" collapsed="false">
      <c r="A9796" s="51" t="s">
        <v>146</v>
      </c>
      <c r="B9796" s="55" t="n">
        <v>45657</v>
      </c>
      <c r="C9796" s="51" t="s">
        <v>82</v>
      </c>
      <c r="D9796" s="51" t="n">
        <v>0</v>
      </c>
    </row>
    <row r="9797" customFormat="false" ht="15" hidden="true" customHeight="false" outlineLevel="0" collapsed="false">
      <c r="A9797" s="51" t="s">
        <v>151</v>
      </c>
      <c r="B9797" s="55" t="n">
        <v>45657</v>
      </c>
      <c r="C9797" s="51" t="s">
        <v>82</v>
      </c>
      <c r="D9797" s="51" t="n">
        <v>0</v>
      </c>
    </row>
    <row r="9798" customFormat="false" ht="15" hidden="true" customHeight="false" outlineLevel="0" collapsed="false">
      <c r="A9798" s="51" t="s">
        <v>156</v>
      </c>
      <c r="B9798" s="55" t="n">
        <v>45657</v>
      </c>
      <c r="C9798" s="51" t="s">
        <v>82</v>
      </c>
      <c r="D9798" s="51" t="n">
        <v>0</v>
      </c>
    </row>
    <row r="9799" customFormat="false" ht="15" hidden="true" customHeight="false" outlineLevel="0" collapsed="false">
      <c r="A9799" s="51" t="s">
        <v>161</v>
      </c>
      <c r="B9799" s="55" t="n">
        <v>45657</v>
      </c>
      <c r="C9799" s="51" t="s">
        <v>82</v>
      </c>
      <c r="D9799" s="51" t="n">
        <v>0</v>
      </c>
    </row>
    <row r="9800" customFormat="false" ht="15" hidden="true" customHeight="false" outlineLevel="0" collapsed="false">
      <c r="A9800" s="51" t="s">
        <v>166</v>
      </c>
      <c r="B9800" s="55" t="n">
        <v>45657</v>
      </c>
      <c r="C9800" s="51" t="s">
        <v>82</v>
      </c>
      <c r="D9800" s="51" t="n">
        <v>0</v>
      </c>
    </row>
    <row r="9801" customFormat="false" ht="15" hidden="true" customHeight="false" outlineLevel="0" collapsed="false">
      <c r="A9801" s="51" t="s">
        <v>171</v>
      </c>
      <c r="B9801" s="55" t="n">
        <v>45657</v>
      </c>
      <c r="C9801" s="51" t="s">
        <v>82</v>
      </c>
      <c r="D9801" s="51" t="n">
        <v>0</v>
      </c>
    </row>
    <row r="9802" customFormat="false" ht="15" hidden="true" customHeight="false" outlineLevel="0" collapsed="false">
      <c r="A9802" s="51" t="s">
        <v>176</v>
      </c>
      <c r="B9802" s="55" t="n">
        <v>45657</v>
      </c>
      <c r="C9802" s="51" t="s">
        <v>82</v>
      </c>
      <c r="D9802" s="51" t="n">
        <v>0</v>
      </c>
    </row>
    <row r="9803" customFormat="false" ht="15" hidden="true" customHeight="false" outlineLevel="0" collapsed="false">
      <c r="A9803" s="51" t="s">
        <v>181</v>
      </c>
      <c r="B9803" s="55" t="n">
        <v>45657</v>
      </c>
      <c r="C9803" s="51" t="s">
        <v>82</v>
      </c>
      <c r="D9803" s="51" t="n">
        <v>0</v>
      </c>
    </row>
    <row r="9804" customFormat="false" ht="15" hidden="true" customHeight="false" outlineLevel="0" collapsed="false">
      <c r="A9804" s="51" t="s">
        <v>186</v>
      </c>
      <c r="B9804" s="55" t="n">
        <v>45657</v>
      </c>
      <c r="C9804" s="51" t="s">
        <v>82</v>
      </c>
      <c r="D9804" s="51" t="n">
        <v>0</v>
      </c>
    </row>
    <row r="9805" customFormat="false" ht="15" hidden="true" customHeight="false" outlineLevel="0" collapsed="false">
      <c r="A9805" s="51" t="s">
        <v>191</v>
      </c>
      <c r="B9805" s="55" t="n">
        <v>45657</v>
      </c>
      <c r="C9805" s="51" t="s">
        <v>82</v>
      </c>
      <c r="D9805" s="51" t="n">
        <v>0</v>
      </c>
    </row>
    <row r="9806" customFormat="false" ht="15" hidden="true" customHeight="false" outlineLevel="0" collapsed="false">
      <c r="A9806" s="51" t="s">
        <v>196</v>
      </c>
      <c r="B9806" s="55" t="n">
        <v>45657</v>
      </c>
      <c r="C9806" s="51" t="s">
        <v>82</v>
      </c>
      <c r="D9806" s="51" t="n">
        <v>0</v>
      </c>
    </row>
    <row r="9807" customFormat="false" ht="15" hidden="true" customHeight="false" outlineLevel="0" collapsed="false">
      <c r="A9807" s="51" t="s">
        <v>201</v>
      </c>
      <c r="B9807" s="55" t="n">
        <v>45657</v>
      </c>
      <c r="C9807" s="51" t="s">
        <v>82</v>
      </c>
      <c r="D9807" s="51" t="n">
        <v>0</v>
      </c>
    </row>
    <row r="9808" customFormat="false" ht="15" hidden="true" customHeight="false" outlineLevel="0" collapsed="false">
      <c r="A9808" s="51" t="s">
        <v>206</v>
      </c>
      <c r="B9808" s="55" t="n">
        <v>45657</v>
      </c>
      <c r="C9808" s="51" t="s">
        <v>82</v>
      </c>
      <c r="D9808" s="51" t="n">
        <v>0</v>
      </c>
    </row>
    <row r="9809" customFormat="false" ht="15" hidden="true" customHeight="false" outlineLevel="0" collapsed="false">
      <c r="A9809" s="51" t="s">
        <v>210</v>
      </c>
      <c r="B9809" s="55" t="n">
        <v>45657</v>
      </c>
      <c r="C9809" s="51" t="s">
        <v>82</v>
      </c>
      <c r="D9809" s="51" t="n">
        <v>0</v>
      </c>
    </row>
    <row r="9810" customFormat="false" ht="15" hidden="true" customHeight="false" outlineLevel="0" collapsed="false">
      <c r="A9810" s="51" t="s">
        <v>215</v>
      </c>
      <c r="B9810" s="55" t="n">
        <v>45657</v>
      </c>
      <c r="C9810" s="51" t="s">
        <v>82</v>
      </c>
      <c r="D9810" s="51" t="n">
        <v>0</v>
      </c>
    </row>
    <row r="9811" customFormat="false" ht="15" hidden="true" customHeight="false" outlineLevel="0" collapsed="false">
      <c r="A9811" s="51" t="s">
        <v>790</v>
      </c>
      <c r="B9811" s="55" t="n">
        <v>45657</v>
      </c>
      <c r="C9811" s="51" t="s">
        <v>82</v>
      </c>
      <c r="D9811" s="51" t="n">
        <v>0</v>
      </c>
    </row>
    <row r="9812" customFormat="false" ht="15" hidden="true" customHeight="false" outlineLevel="0" collapsed="false">
      <c r="A9812" s="51" t="s">
        <v>225</v>
      </c>
      <c r="B9812" s="55" t="n">
        <v>45657</v>
      </c>
      <c r="C9812" s="51" t="s">
        <v>82</v>
      </c>
      <c r="D9812" s="51" t="n">
        <v>0</v>
      </c>
    </row>
    <row r="9813" customFormat="false" ht="15" hidden="true" customHeight="false" outlineLevel="0" collapsed="false">
      <c r="A9813" s="51" t="s">
        <v>230</v>
      </c>
      <c r="B9813" s="55" t="n">
        <v>45657</v>
      </c>
      <c r="C9813" s="51" t="s">
        <v>82</v>
      </c>
      <c r="D9813" s="51" t="n">
        <v>0</v>
      </c>
    </row>
    <row r="9814" customFormat="false" ht="15" hidden="true" customHeight="false" outlineLevel="0" collapsed="false">
      <c r="A9814" s="51" t="s">
        <v>235</v>
      </c>
      <c r="B9814" s="55" t="n">
        <v>45657</v>
      </c>
      <c r="C9814" s="51" t="s">
        <v>82</v>
      </c>
      <c r="D9814" s="51" t="n">
        <v>0</v>
      </c>
    </row>
    <row r="9815" customFormat="false" ht="15" hidden="true" customHeight="false" outlineLevel="0" collapsed="false">
      <c r="A9815" s="51" t="s">
        <v>240</v>
      </c>
      <c r="B9815" s="55" t="n">
        <v>45657</v>
      </c>
      <c r="C9815" s="51" t="s">
        <v>82</v>
      </c>
      <c r="D9815" s="51" t="n">
        <v>0</v>
      </c>
    </row>
    <row r="9816" customFormat="false" ht="15" hidden="true" customHeight="false" outlineLevel="0" collapsed="false">
      <c r="A9816" s="51" t="s">
        <v>246</v>
      </c>
      <c r="B9816" s="55" t="n">
        <v>45657</v>
      </c>
      <c r="C9816" s="51" t="s">
        <v>82</v>
      </c>
      <c r="D9816" s="51" t="n">
        <v>0</v>
      </c>
    </row>
    <row r="9817" customFormat="false" ht="15" hidden="true" customHeight="false" outlineLevel="0" collapsed="false">
      <c r="A9817" s="51" t="s">
        <v>252</v>
      </c>
      <c r="B9817" s="55" t="n">
        <v>45657</v>
      </c>
      <c r="C9817" s="51" t="s">
        <v>82</v>
      </c>
      <c r="D9817" s="51" t="n">
        <v>0</v>
      </c>
    </row>
    <row r="9818" customFormat="false" ht="15" hidden="true" customHeight="false" outlineLevel="0" collapsed="false">
      <c r="A9818" s="51" t="s">
        <v>257</v>
      </c>
      <c r="B9818" s="55" t="n">
        <v>45657</v>
      </c>
      <c r="C9818" s="51" t="s">
        <v>82</v>
      </c>
      <c r="D9818" s="51" t="n">
        <v>0</v>
      </c>
    </row>
    <row r="9819" customFormat="false" ht="15" hidden="true" customHeight="false" outlineLevel="0" collapsed="false">
      <c r="A9819" s="51" t="s">
        <v>262</v>
      </c>
      <c r="B9819" s="55" t="n">
        <v>45657</v>
      </c>
      <c r="C9819" s="51" t="s">
        <v>82</v>
      </c>
      <c r="D9819" s="51" t="n">
        <v>0</v>
      </c>
    </row>
    <row r="9820" customFormat="false" ht="15" hidden="true" customHeight="false" outlineLevel="0" collapsed="false">
      <c r="A9820" s="51" t="s">
        <v>267</v>
      </c>
      <c r="B9820" s="55" t="n">
        <v>45657</v>
      </c>
      <c r="C9820" s="51" t="s">
        <v>82</v>
      </c>
      <c r="D9820" s="51" t="n">
        <v>0</v>
      </c>
    </row>
    <row r="9821" customFormat="false" ht="15" hidden="true" customHeight="false" outlineLevel="0" collapsed="false">
      <c r="A9821" s="51" t="s">
        <v>272</v>
      </c>
      <c r="B9821" s="55" t="n">
        <v>45657</v>
      </c>
      <c r="C9821" s="51" t="s">
        <v>82</v>
      </c>
      <c r="D9821" s="51" t="n">
        <v>0</v>
      </c>
    </row>
    <row r="9822" customFormat="false" ht="15" hidden="true" customHeight="false" outlineLevel="0" collapsed="false">
      <c r="A9822" s="51" t="s">
        <v>277</v>
      </c>
      <c r="B9822" s="55" t="n">
        <v>45657</v>
      </c>
      <c r="C9822" s="51" t="s">
        <v>82</v>
      </c>
      <c r="D9822" s="51" t="n">
        <v>0</v>
      </c>
    </row>
    <row r="9823" customFormat="false" ht="15" hidden="true" customHeight="false" outlineLevel="0" collapsed="false">
      <c r="A9823" s="51" t="s">
        <v>282</v>
      </c>
      <c r="B9823" s="55" t="n">
        <v>45657</v>
      </c>
      <c r="C9823" s="51" t="s">
        <v>82</v>
      </c>
      <c r="D9823" s="51" t="n">
        <v>0</v>
      </c>
    </row>
    <row r="9824" customFormat="false" ht="15" hidden="true" customHeight="false" outlineLevel="0" collapsed="false">
      <c r="A9824" s="51" t="s">
        <v>287</v>
      </c>
      <c r="B9824" s="55" t="n">
        <v>45657</v>
      </c>
      <c r="C9824" s="51" t="s">
        <v>82</v>
      </c>
      <c r="D9824" s="51" t="n">
        <v>0</v>
      </c>
    </row>
    <row r="9825" customFormat="false" ht="15" hidden="true" customHeight="false" outlineLevel="0" collapsed="false">
      <c r="A9825" s="51" t="s">
        <v>292</v>
      </c>
      <c r="B9825" s="55" t="n">
        <v>45657</v>
      </c>
      <c r="C9825" s="51" t="s">
        <v>82</v>
      </c>
      <c r="D9825" s="51" t="n">
        <v>0</v>
      </c>
    </row>
    <row r="9826" customFormat="false" ht="15" hidden="true" customHeight="false" outlineLevel="0" collapsed="false">
      <c r="A9826" s="51" t="s">
        <v>297</v>
      </c>
      <c r="B9826" s="55" t="n">
        <v>45657</v>
      </c>
      <c r="C9826" s="51" t="s">
        <v>82</v>
      </c>
      <c r="D9826" s="51" t="n">
        <v>0</v>
      </c>
    </row>
    <row r="9827" customFormat="false" ht="15" hidden="true" customHeight="false" outlineLevel="0" collapsed="false">
      <c r="A9827" s="51" t="s">
        <v>302</v>
      </c>
      <c r="B9827" s="55" t="n">
        <v>45657</v>
      </c>
      <c r="C9827" s="51" t="s">
        <v>82</v>
      </c>
      <c r="D9827" s="51" t="n">
        <v>0</v>
      </c>
    </row>
    <row r="9828" customFormat="false" ht="15" hidden="true" customHeight="false" outlineLevel="0" collapsed="false">
      <c r="A9828" s="51" t="s">
        <v>307</v>
      </c>
      <c r="B9828" s="55" t="n">
        <v>45657</v>
      </c>
      <c r="C9828" s="51" t="s">
        <v>82</v>
      </c>
      <c r="D9828" s="51" t="n">
        <v>0</v>
      </c>
    </row>
    <row r="9829" customFormat="false" ht="15" hidden="true" customHeight="false" outlineLevel="0" collapsed="false">
      <c r="A9829" s="51" t="s">
        <v>311</v>
      </c>
      <c r="B9829" s="55" t="n">
        <v>45657</v>
      </c>
      <c r="C9829" s="51" t="s">
        <v>82</v>
      </c>
      <c r="D9829" s="51" t="n">
        <v>0</v>
      </c>
    </row>
    <row r="9830" customFormat="false" ht="15" hidden="true" customHeight="false" outlineLevel="0" collapsed="false">
      <c r="A9830" s="51" t="s">
        <v>317</v>
      </c>
      <c r="B9830" s="55" t="n">
        <v>45657</v>
      </c>
      <c r="C9830" s="51" t="s">
        <v>82</v>
      </c>
      <c r="D9830" s="51" t="n">
        <v>0</v>
      </c>
    </row>
    <row r="9831" customFormat="false" ht="15" hidden="true" customHeight="false" outlineLevel="0" collapsed="false">
      <c r="A9831" s="51" t="s">
        <v>322</v>
      </c>
      <c r="B9831" s="55" t="n">
        <v>45657</v>
      </c>
      <c r="C9831" s="51" t="s">
        <v>82</v>
      </c>
      <c r="D9831" s="51" t="n">
        <v>0</v>
      </c>
    </row>
    <row r="9832" customFormat="false" ht="15" hidden="true" customHeight="false" outlineLevel="0" collapsed="false">
      <c r="A9832" s="51" t="s">
        <v>327</v>
      </c>
      <c r="B9832" s="55" t="n">
        <v>45657</v>
      </c>
      <c r="C9832" s="51" t="s">
        <v>82</v>
      </c>
      <c r="D9832" s="51" t="n">
        <v>0</v>
      </c>
    </row>
    <row r="9833" customFormat="false" ht="15" hidden="true" customHeight="false" outlineLevel="0" collapsed="false">
      <c r="A9833" s="51" t="s">
        <v>332</v>
      </c>
      <c r="B9833" s="55" t="n">
        <v>45657</v>
      </c>
      <c r="C9833" s="51" t="s">
        <v>82</v>
      </c>
      <c r="D9833" s="51" t="n">
        <v>0</v>
      </c>
    </row>
    <row r="9834" customFormat="false" ht="15" hidden="true" customHeight="false" outlineLevel="0" collapsed="false">
      <c r="A9834" s="51" t="s">
        <v>339</v>
      </c>
      <c r="B9834" s="55" t="n">
        <v>45657</v>
      </c>
      <c r="C9834" s="51" t="s">
        <v>82</v>
      </c>
      <c r="D9834" s="51" t="n">
        <v>0</v>
      </c>
    </row>
    <row r="9835" customFormat="false" ht="15" hidden="true" customHeight="false" outlineLevel="0" collapsed="false">
      <c r="A9835" s="51" t="s">
        <v>344</v>
      </c>
      <c r="B9835" s="55" t="n">
        <v>45657</v>
      </c>
      <c r="C9835" s="51" t="s">
        <v>82</v>
      </c>
      <c r="D9835" s="51" t="n">
        <v>0</v>
      </c>
    </row>
    <row r="9836" customFormat="false" ht="15" hidden="true" customHeight="false" outlineLevel="0" collapsed="false">
      <c r="A9836" s="51" t="s">
        <v>349</v>
      </c>
      <c r="B9836" s="55" t="n">
        <v>45657</v>
      </c>
      <c r="C9836" s="51" t="s">
        <v>82</v>
      </c>
      <c r="D9836" s="51" t="n">
        <v>0</v>
      </c>
    </row>
    <row r="9837" customFormat="false" ht="15" hidden="true" customHeight="false" outlineLevel="0" collapsed="false">
      <c r="A9837" s="51" t="s">
        <v>354</v>
      </c>
      <c r="B9837" s="55" t="n">
        <v>45657</v>
      </c>
      <c r="C9837" s="51" t="s">
        <v>82</v>
      </c>
      <c r="D9837" s="51" t="n">
        <v>0</v>
      </c>
    </row>
    <row r="9838" customFormat="false" ht="15" hidden="true" customHeight="false" outlineLevel="0" collapsed="false">
      <c r="A9838" s="51" t="s">
        <v>359</v>
      </c>
      <c r="B9838" s="55" t="n">
        <v>45657</v>
      </c>
      <c r="C9838" s="51" t="s">
        <v>82</v>
      </c>
      <c r="D9838" s="51" t="n">
        <v>0</v>
      </c>
    </row>
    <row r="9839" customFormat="false" ht="15" hidden="true" customHeight="false" outlineLevel="0" collapsed="false">
      <c r="A9839" s="51" t="s">
        <v>364</v>
      </c>
      <c r="B9839" s="55" t="n">
        <v>45657</v>
      </c>
      <c r="C9839" s="51" t="s">
        <v>82</v>
      </c>
      <c r="D9839" s="51" t="n">
        <v>0</v>
      </c>
    </row>
    <row r="9840" customFormat="false" ht="15" hidden="true" customHeight="false" outlineLevel="0" collapsed="false">
      <c r="A9840" s="51" t="s">
        <v>369</v>
      </c>
      <c r="B9840" s="55" t="n">
        <v>45657</v>
      </c>
      <c r="C9840" s="51" t="s">
        <v>82</v>
      </c>
      <c r="D9840" s="51" t="n">
        <v>0</v>
      </c>
    </row>
    <row r="9841" customFormat="false" ht="15" hidden="true" customHeight="false" outlineLevel="0" collapsed="false">
      <c r="A9841" s="51" t="s">
        <v>374</v>
      </c>
      <c r="B9841" s="55" t="n">
        <v>45657</v>
      </c>
      <c r="C9841" s="51" t="s">
        <v>82</v>
      </c>
      <c r="D9841" s="51" t="n">
        <v>0</v>
      </c>
    </row>
    <row r="9842" customFormat="false" ht="15" hidden="true" customHeight="false" outlineLevel="0" collapsed="false">
      <c r="A9842" s="51" t="s">
        <v>379</v>
      </c>
      <c r="B9842" s="55" t="n">
        <v>45657</v>
      </c>
      <c r="C9842" s="51" t="s">
        <v>82</v>
      </c>
      <c r="D9842" s="51" t="n">
        <v>0</v>
      </c>
    </row>
    <row r="9843" customFormat="false" ht="15" hidden="true" customHeight="false" outlineLevel="0" collapsed="false">
      <c r="A9843" s="51" t="s">
        <v>384</v>
      </c>
      <c r="B9843" s="55" t="n">
        <v>45657</v>
      </c>
      <c r="C9843" s="51" t="s">
        <v>82</v>
      </c>
      <c r="D9843" s="51" t="n">
        <v>0</v>
      </c>
    </row>
    <row r="9844" customFormat="false" ht="15" hidden="true" customHeight="false" outlineLevel="0" collapsed="false">
      <c r="A9844" s="51" t="s">
        <v>389</v>
      </c>
      <c r="B9844" s="55" t="n">
        <v>45657</v>
      </c>
      <c r="C9844" s="51" t="s">
        <v>82</v>
      </c>
      <c r="D9844" s="51" t="n">
        <v>0</v>
      </c>
    </row>
    <row r="9845" customFormat="false" ht="15" hidden="true" customHeight="false" outlineLevel="0" collapsed="false">
      <c r="A9845" s="51" t="s">
        <v>394</v>
      </c>
      <c r="B9845" s="55" t="n">
        <v>45657</v>
      </c>
      <c r="C9845" s="51" t="s">
        <v>82</v>
      </c>
      <c r="D9845" s="51" t="n">
        <v>0</v>
      </c>
    </row>
    <row r="9846" customFormat="false" ht="15" hidden="true" customHeight="false" outlineLevel="0" collapsed="false">
      <c r="A9846" s="51" t="s">
        <v>399</v>
      </c>
      <c r="B9846" s="55" t="n">
        <v>45657</v>
      </c>
      <c r="C9846" s="51" t="s">
        <v>82</v>
      </c>
      <c r="D9846" s="51" t="n">
        <v>0</v>
      </c>
    </row>
    <row r="9847" customFormat="false" ht="15" hidden="true" customHeight="false" outlineLevel="0" collapsed="false">
      <c r="A9847" s="51" t="s">
        <v>404</v>
      </c>
      <c r="B9847" s="55" t="n">
        <v>45657</v>
      </c>
      <c r="C9847" s="51" t="s">
        <v>82</v>
      </c>
      <c r="D9847" s="51" t="n">
        <v>0</v>
      </c>
    </row>
    <row r="9848" customFormat="false" ht="15" hidden="true" customHeight="false" outlineLevel="0" collapsed="false">
      <c r="A9848" s="51" t="s">
        <v>409</v>
      </c>
      <c r="B9848" s="55" t="n">
        <v>45657</v>
      </c>
      <c r="C9848" s="51" t="s">
        <v>82</v>
      </c>
      <c r="D9848" s="51" t="n">
        <v>0</v>
      </c>
    </row>
    <row r="9849" customFormat="false" ht="15" hidden="true" customHeight="false" outlineLevel="0" collapsed="false">
      <c r="A9849" s="51" t="s">
        <v>414</v>
      </c>
      <c r="B9849" s="55" t="n">
        <v>45657</v>
      </c>
      <c r="C9849" s="51" t="s">
        <v>82</v>
      </c>
      <c r="D9849" s="51" t="n">
        <v>0</v>
      </c>
    </row>
    <row r="9850" customFormat="false" ht="15" hidden="true" customHeight="false" outlineLevel="0" collapsed="false">
      <c r="A9850" s="51" t="s">
        <v>419</v>
      </c>
      <c r="B9850" s="55" t="n">
        <v>45657</v>
      </c>
      <c r="C9850" s="51" t="s">
        <v>82</v>
      </c>
      <c r="D9850" s="51" t="n">
        <v>0</v>
      </c>
    </row>
    <row r="9851" customFormat="false" ht="15" hidden="true" customHeight="false" outlineLevel="0" collapsed="false">
      <c r="A9851" s="51" t="s">
        <v>424</v>
      </c>
      <c r="B9851" s="55" t="n">
        <v>45657</v>
      </c>
      <c r="C9851" s="51" t="s">
        <v>82</v>
      </c>
      <c r="D9851" s="51" t="n">
        <v>0</v>
      </c>
    </row>
    <row r="9852" customFormat="false" ht="15" hidden="true" customHeight="false" outlineLevel="0" collapsed="false">
      <c r="A9852" s="51" t="s">
        <v>429</v>
      </c>
      <c r="B9852" s="55" t="n">
        <v>45657</v>
      </c>
      <c r="C9852" s="51" t="s">
        <v>82</v>
      </c>
      <c r="D9852" s="51" t="n">
        <v>0</v>
      </c>
    </row>
    <row r="9853" customFormat="false" ht="15" hidden="true" customHeight="false" outlineLevel="0" collapsed="false">
      <c r="A9853" s="51" t="s">
        <v>434</v>
      </c>
      <c r="B9853" s="55" t="n">
        <v>45657</v>
      </c>
      <c r="C9853" s="51" t="s">
        <v>82</v>
      </c>
      <c r="D9853" s="51" t="n">
        <v>0</v>
      </c>
    </row>
    <row r="9854" customFormat="false" ht="15" hidden="true" customHeight="false" outlineLevel="0" collapsed="false">
      <c r="A9854" s="51" t="s">
        <v>438</v>
      </c>
      <c r="B9854" s="55" t="n">
        <v>45657</v>
      </c>
      <c r="C9854" s="51" t="s">
        <v>82</v>
      </c>
      <c r="D9854" s="51" t="n">
        <v>0</v>
      </c>
    </row>
    <row r="9855" customFormat="false" ht="15" hidden="true" customHeight="false" outlineLevel="0" collapsed="false">
      <c r="A9855" s="51" t="s">
        <v>443</v>
      </c>
      <c r="B9855" s="55" t="n">
        <v>45657</v>
      </c>
      <c r="C9855" s="51" t="s">
        <v>82</v>
      </c>
      <c r="D9855" s="51" t="n">
        <v>0</v>
      </c>
    </row>
    <row r="9856" customFormat="false" ht="15" hidden="true" customHeight="false" outlineLevel="0" collapsed="false">
      <c r="A9856" s="51" t="s">
        <v>448</v>
      </c>
      <c r="B9856" s="55" t="n">
        <v>45657</v>
      </c>
      <c r="C9856" s="51" t="s">
        <v>82</v>
      </c>
      <c r="D9856" s="51" t="n">
        <v>0</v>
      </c>
    </row>
    <row r="9857" customFormat="false" ht="15" hidden="true" customHeight="false" outlineLevel="0" collapsed="false">
      <c r="A9857" s="51" t="s">
        <v>453</v>
      </c>
      <c r="B9857" s="55" t="n">
        <v>45657</v>
      </c>
      <c r="C9857" s="51" t="s">
        <v>82</v>
      </c>
      <c r="D9857" s="51" t="n">
        <v>0</v>
      </c>
    </row>
    <row r="9858" customFormat="false" ht="15" hidden="true" customHeight="false" outlineLevel="0" collapsed="false">
      <c r="A9858" s="51" t="s">
        <v>458</v>
      </c>
      <c r="B9858" s="55" t="n">
        <v>45657</v>
      </c>
      <c r="C9858" s="51" t="s">
        <v>82</v>
      </c>
      <c r="D9858" s="51" t="n">
        <v>0</v>
      </c>
    </row>
    <row r="9859" customFormat="false" ht="15" hidden="true" customHeight="false" outlineLevel="0" collapsed="false">
      <c r="A9859" s="51" t="s">
        <v>473</v>
      </c>
      <c r="B9859" s="55" t="n">
        <v>45657</v>
      </c>
      <c r="C9859" s="51" t="s">
        <v>82</v>
      </c>
      <c r="D9859" s="51" t="n">
        <v>0</v>
      </c>
    </row>
    <row r="9860" customFormat="false" ht="15" hidden="true" customHeight="false" outlineLevel="0" collapsed="false">
      <c r="A9860" s="51" t="s">
        <v>479</v>
      </c>
      <c r="B9860" s="55" t="n">
        <v>45657</v>
      </c>
      <c r="C9860" s="51" t="s">
        <v>82</v>
      </c>
      <c r="D9860" s="51" t="n">
        <v>0</v>
      </c>
    </row>
    <row r="9861" customFormat="false" ht="15" hidden="true" customHeight="false" outlineLevel="0" collapsed="false">
      <c r="A9861" s="51" t="s">
        <v>484</v>
      </c>
      <c r="B9861" s="55" t="n">
        <v>45657</v>
      </c>
      <c r="C9861" s="51" t="s">
        <v>82</v>
      </c>
      <c r="D9861" s="51" t="n">
        <v>0</v>
      </c>
    </row>
    <row r="9862" customFormat="false" ht="15" hidden="true" customHeight="false" outlineLevel="0" collapsed="false">
      <c r="A9862" s="51" t="s">
        <v>489</v>
      </c>
      <c r="B9862" s="55" t="n">
        <v>45657</v>
      </c>
      <c r="C9862" s="51" t="s">
        <v>82</v>
      </c>
      <c r="D9862" s="51" t="n">
        <v>0</v>
      </c>
    </row>
    <row r="9863" customFormat="false" ht="15" hidden="true" customHeight="false" outlineLevel="0" collapsed="false">
      <c r="A9863" s="51" t="s">
        <v>494</v>
      </c>
      <c r="B9863" s="55" t="n">
        <v>45657</v>
      </c>
      <c r="C9863" s="51" t="s">
        <v>82</v>
      </c>
      <c r="D9863" s="51" t="n">
        <v>0</v>
      </c>
    </row>
    <row r="9864" customFormat="false" ht="15" hidden="true" customHeight="false" outlineLevel="0" collapsed="false">
      <c r="A9864" s="51" t="s">
        <v>499</v>
      </c>
      <c r="B9864" s="55" t="n">
        <v>45657</v>
      </c>
      <c r="C9864" s="51" t="s">
        <v>82</v>
      </c>
      <c r="D9864" s="51" t="n">
        <v>0</v>
      </c>
    </row>
    <row r="9865" customFormat="false" ht="15" hidden="true" customHeight="false" outlineLevel="0" collapsed="false">
      <c r="A9865" s="51" t="s">
        <v>504</v>
      </c>
      <c r="B9865" s="55" t="n">
        <v>45657</v>
      </c>
      <c r="C9865" s="51" t="s">
        <v>82</v>
      </c>
      <c r="D9865" s="51" t="n">
        <v>0</v>
      </c>
    </row>
    <row r="9866" customFormat="false" ht="15" hidden="true" customHeight="false" outlineLevel="0" collapsed="false">
      <c r="A9866" s="51" t="s">
        <v>509</v>
      </c>
      <c r="B9866" s="55" t="n">
        <v>45657</v>
      </c>
      <c r="C9866" s="51" t="s">
        <v>82</v>
      </c>
      <c r="D9866" s="51" t="n">
        <v>0</v>
      </c>
    </row>
    <row r="9867" customFormat="false" ht="15" hidden="true" customHeight="false" outlineLevel="0" collapsed="false">
      <c r="A9867" s="51" t="s">
        <v>515</v>
      </c>
      <c r="B9867" s="55" t="n">
        <v>45657</v>
      </c>
      <c r="C9867" s="51" t="s">
        <v>82</v>
      </c>
      <c r="D9867" s="51" t="n">
        <v>0</v>
      </c>
    </row>
    <row r="9868" customFormat="false" ht="15" hidden="true" customHeight="false" outlineLevel="0" collapsed="false">
      <c r="A9868" s="51" t="s">
        <v>520</v>
      </c>
      <c r="B9868" s="55" t="n">
        <v>45657</v>
      </c>
      <c r="C9868" s="51" t="s">
        <v>82</v>
      </c>
      <c r="D9868" s="51" t="n">
        <v>0</v>
      </c>
    </row>
    <row r="9869" customFormat="false" ht="15" hidden="true" customHeight="false" outlineLevel="0" collapsed="false">
      <c r="A9869" s="51" t="s">
        <v>525</v>
      </c>
      <c r="B9869" s="55" t="n">
        <v>45657</v>
      </c>
      <c r="C9869" s="51" t="s">
        <v>82</v>
      </c>
      <c r="D9869" s="51" t="n">
        <v>0</v>
      </c>
    </row>
    <row r="9870" customFormat="false" ht="15" hidden="true" customHeight="false" outlineLevel="0" collapsed="false">
      <c r="A9870" s="51" t="s">
        <v>531</v>
      </c>
      <c r="B9870" s="55" t="n">
        <v>45657</v>
      </c>
      <c r="C9870" s="51" t="s">
        <v>82</v>
      </c>
      <c r="D9870" s="51" t="n">
        <v>0</v>
      </c>
    </row>
    <row r="9871" customFormat="false" ht="15" hidden="true" customHeight="false" outlineLevel="0" collapsed="false">
      <c r="A9871" s="51" t="s">
        <v>536</v>
      </c>
      <c r="B9871" s="55" t="n">
        <v>45657</v>
      </c>
      <c r="C9871" s="51" t="s">
        <v>82</v>
      </c>
      <c r="D9871" s="51" t="n">
        <v>0</v>
      </c>
    </row>
    <row r="9872" customFormat="false" ht="15" hidden="true" customHeight="false" outlineLevel="0" collapsed="false">
      <c r="A9872" s="51" t="s">
        <v>541</v>
      </c>
      <c r="B9872" s="55" t="n">
        <v>45657</v>
      </c>
      <c r="C9872" s="51" t="s">
        <v>82</v>
      </c>
      <c r="D9872" s="51" t="n">
        <v>0</v>
      </c>
    </row>
    <row r="9873" customFormat="false" ht="15" hidden="true" customHeight="false" outlineLevel="0" collapsed="false">
      <c r="A9873" s="51" t="s">
        <v>549</v>
      </c>
      <c r="B9873" s="55" t="n">
        <v>45657</v>
      </c>
      <c r="C9873" s="51" t="s">
        <v>82</v>
      </c>
      <c r="D9873" s="51" t="n">
        <v>0</v>
      </c>
    </row>
    <row r="9874" customFormat="false" ht="15" hidden="true" customHeight="false" outlineLevel="0" collapsed="false">
      <c r="A9874" s="51" t="s">
        <v>554</v>
      </c>
      <c r="B9874" s="55" t="n">
        <v>45657</v>
      </c>
      <c r="C9874" s="51" t="s">
        <v>82</v>
      </c>
      <c r="D9874" s="51" t="n">
        <v>0</v>
      </c>
    </row>
    <row r="9875" customFormat="false" ht="15" hidden="true" customHeight="false" outlineLevel="0" collapsed="false">
      <c r="A9875" s="51" t="s">
        <v>559</v>
      </c>
      <c r="B9875" s="55" t="n">
        <v>45657</v>
      </c>
      <c r="C9875" s="51" t="s">
        <v>82</v>
      </c>
      <c r="D9875" s="51" t="n">
        <v>0</v>
      </c>
    </row>
    <row r="9876" customFormat="false" ht="15" hidden="true" customHeight="false" outlineLevel="0" collapsed="false">
      <c r="A9876" s="51" t="s">
        <v>564</v>
      </c>
      <c r="B9876" s="55" t="n">
        <v>45657</v>
      </c>
      <c r="C9876" s="51" t="s">
        <v>82</v>
      </c>
      <c r="D9876" s="51" t="n">
        <v>0</v>
      </c>
    </row>
    <row r="9877" customFormat="false" ht="15" hidden="true" customHeight="false" outlineLevel="0" collapsed="false">
      <c r="A9877" s="51" t="s">
        <v>569</v>
      </c>
      <c r="B9877" s="55" t="n">
        <v>45657</v>
      </c>
      <c r="C9877" s="51" t="s">
        <v>82</v>
      </c>
      <c r="D9877" s="51" t="n">
        <v>0</v>
      </c>
    </row>
    <row r="9878" customFormat="false" ht="15" hidden="true" customHeight="false" outlineLevel="0" collapsed="false">
      <c r="A9878" s="51" t="s">
        <v>574</v>
      </c>
      <c r="B9878" s="55" t="n">
        <v>45657</v>
      </c>
      <c r="C9878" s="51" t="s">
        <v>82</v>
      </c>
      <c r="D9878" s="51" t="n">
        <v>0</v>
      </c>
    </row>
    <row r="9879" customFormat="false" ht="15" hidden="true" customHeight="false" outlineLevel="0" collapsed="false">
      <c r="A9879" s="51" t="s">
        <v>579</v>
      </c>
      <c r="B9879" s="55" t="n">
        <v>45657</v>
      </c>
      <c r="C9879" s="51" t="s">
        <v>82</v>
      </c>
      <c r="D9879" s="51" t="n">
        <v>480000</v>
      </c>
    </row>
    <row r="9880" customFormat="false" ht="15" hidden="true" customHeight="false" outlineLevel="0" collapsed="false">
      <c r="A9880" s="51" t="s">
        <v>584</v>
      </c>
      <c r="B9880" s="55" t="n">
        <v>45657</v>
      </c>
      <c r="C9880" s="51" t="s">
        <v>82</v>
      </c>
      <c r="D9880" s="51" t="n">
        <v>0</v>
      </c>
    </row>
    <row r="9881" customFormat="false" ht="15" hidden="true" customHeight="false" outlineLevel="0" collapsed="false">
      <c r="A9881" s="51" t="s">
        <v>589</v>
      </c>
      <c r="B9881" s="55" t="n">
        <v>45657</v>
      </c>
      <c r="C9881" s="51" t="s">
        <v>82</v>
      </c>
      <c r="D9881" s="51" t="n">
        <v>0</v>
      </c>
    </row>
    <row r="9882" customFormat="false" ht="15" hidden="true" customHeight="false" outlineLevel="0" collapsed="false">
      <c r="A9882" s="51" t="s">
        <v>756</v>
      </c>
      <c r="B9882" s="55" t="n">
        <v>45657</v>
      </c>
      <c r="C9882" s="51" t="s">
        <v>82</v>
      </c>
      <c r="D9882" s="51" t="n">
        <v>0</v>
      </c>
    </row>
    <row r="9883" customFormat="false" ht="15" hidden="true" customHeight="false" outlineLevel="0" collapsed="false">
      <c r="A9883" s="51" t="s">
        <v>594</v>
      </c>
      <c r="B9883" s="55" t="n">
        <v>45657</v>
      </c>
      <c r="C9883" s="51" t="s">
        <v>82</v>
      </c>
      <c r="D9883" s="51" t="n">
        <v>188000</v>
      </c>
    </row>
    <row r="9884" customFormat="false" ht="15" hidden="true" customHeight="false" outlineLevel="0" collapsed="false">
      <c r="A9884" s="51" t="s">
        <v>761</v>
      </c>
      <c r="B9884" s="55" t="n">
        <v>45657</v>
      </c>
      <c r="C9884" s="51" t="s">
        <v>82</v>
      </c>
      <c r="D9884" s="51" t="n">
        <v>6449999.99</v>
      </c>
    </row>
    <row r="9885" customFormat="false" ht="15" hidden="true" customHeight="false" outlineLevel="0" collapsed="false">
      <c r="A9885" s="51" t="s">
        <v>599</v>
      </c>
      <c r="B9885" s="55" t="n">
        <v>45657</v>
      </c>
      <c r="C9885" s="51" t="s">
        <v>82</v>
      </c>
      <c r="D9885" s="51" t="n">
        <v>0</v>
      </c>
    </row>
    <row r="9886" customFormat="false" ht="15" hidden="true" customHeight="false" outlineLevel="0" collapsed="false">
      <c r="A9886" s="51" t="s">
        <v>604</v>
      </c>
      <c r="B9886" s="55" t="n">
        <v>45657</v>
      </c>
      <c r="C9886" s="51" t="s">
        <v>82</v>
      </c>
      <c r="D9886" s="51" t="n">
        <v>1450000</v>
      </c>
    </row>
    <row r="9887" customFormat="false" ht="15" hidden="true" customHeight="false" outlineLevel="0" collapsed="false">
      <c r="A9887" s="51" t="s">
        <v>609</v>
      </c>
      <c r="B9887" s="55" t="n">
        <v>45657</v>
      </c>
      <c r="C9887" s="51" t="s">
        <v>82</v>
      </c>
      <c r="D9887" s="51" t="n">
        <v>0</v>
      </c>
    </row>
    <row r="9888" customFormat="false" ht="15" hidden="true" customHeight="false" outlineLevel="0" collapsed="false">
      <c r="A9888" s="51" t="s">
        <v>614</v>
      </c>
      <c r="B9888" s="55" t="n">
        <v>45657</v>
      </c>
      <c r="C9888" s="51" t="s">
        <v>82</v>
      </c>
      <c r="D9888" s="51" t="n">
        <v>0</v>
      </c>
    </row>
    <row r="9889" customFormat="false" ht="15" hidden="true" customHeight="false" outlineLevel="0" collapsed="false">
      <c r="A9889" s="51" t="s">
        <v>619</v>
      </c>
      <c r="B9889" s="55" t="n">
        <v>45657</v>
      </c>
      <c r="C9889" s="51" t="s">
        <v>82</v>
      </c>
      <c r="D9889" s="51" t="n">
        <v>0</v>
      </c>
    </row>
    <row r="9890" customFormat="false" ht="15" hidden="true" customHeight="false" outlineLevel="0" collapsed="false">
      <c r="A9890" s="51" t="s">
        <v>624</v>
      </c>
      <c r="B9890" s="55" t="n">
        <v>45657</v>
      </c>
      <c r="C9890" s="51" t="s">
        <v>82</v>
      </c>
      <c r="D9890" s="51" t="n">
        <v>0</v>
      </c>
    </row>
    <row r="9891" customFormat="false" ht="15" hidden="true" customHeight="false" outlineLevel="0" collapsed="false">
      <c r="A9891" s="51" t="s">
        <v>629</v>
      </c>
      <c r="B9891" s="55" t="n">
        <v>45657</v>
      </c>
      <c r="C9891" s="51" t="s">
        <v>82</v>
      </c>
      <c r="D9891" s="51" t="n">
        <v>0</v>
      </c>
    </row>
    <row r="9892" customFormat="false" ht="15" hidden="true" customHeight="false" outlineLevel="0" collapsed="false">
      <c r="A9892" s="51" t="s">
        <v>633</v>
      </c>
      <c r="B9892" s="55" t="n">
        <v>45657</v>
      </c>
      <c r="C9892" s="51" t="s">
        <v>82</v>
      </c>
      <c r="D9892" s="51" t="n">
        <v>0</v>
      </c>
    </row>
    <row r="9893" customFormat="false" ht="15" hidden="true" customHeight="false" outlineLevel="0" collapsed="false">
      <c r="A9893" s="51" t="s">
        <v>638</v>
      </c>
      <c r="B9893" s="55" t="n">
        <v>45657</v>
      </c>
      <c r="C9893" s="51" t="s">
        <v>82</v>
      </c>
      <c r="D9893" s="51" t="n">
        <v>0</v>
      </c>
    </row>
    <row r="9894" customFormat="false" ht="15" hidden="true" customHeight="false" outlineLevel="0" collapsed="false">
      <c r="A9894" s="51" t="s">
        <v>642</v>
      </c>
      <c r="B9894" s="55" t="n">
        <v>45657</v>
      </c>
      <c r="C9894" s="51" t="s">
        <v>82</v>
      </c>
      <c r="D9894" s="51" t="n">
        <v>0</v>
      </c>
    </row>
    <row r="9895" customFormat="false" ht="15" hidden="true" customHeight="false" outlineLevel="0" collapsed="false">
      <c r="A9895" s="51" t="s">
        <v>646</v>
      </c>
      <c r="B9895" s="55" t="n">
        <v>45657</v>
      </c>
      <c r="C9895" s="51" t="s">
        <v>82</v>
      </c>
      <c r="D9895" s="51" t="n">
        <v>0</v>
      </c>
    </row>
    <row r="9896" customFormat="false" ht="15" hidden="true" customHeight="false" outlineLevel="0" collapsed="false">
      <c r="A9896" s="51" t="s">
        <v>651</v>
      </c>
      <c r="B9896" s="55" t="n">
        <v>45657</v>
      </c>
      <c r="C9896" s="51" t="s">
        <v>82</v>
      </c>
      <c r="D9896" s="51" t="n">
        <v>0</v>
      </c>
    </row>
    <row r="9897" customFormat="false" ht="15" hidden="true" customHeight="false" outlineLevel="0" collapsed="false">
      <c r="A9897" s="51" t="s">
        <v>656</v>
      </c>
      <c r="B9897" s="55" t="n">
        <v>45657</v>
      </c>
      <c r="C9897" s="51" t="s">
        <v>82</v>
      </c>
      <c r="D9897" s="51" t="n">
        <v>0</v>
      </c>
    </row>
    <row r="9898" customFormat="false" ht="15" hidden="true" customHeight="false" outlineLevel="0" collapsed="false">
      <c r="A9898" s="51" t="s">
        <v>661</v>
      </c>
      <c r="B9898" s="55" t="n">
        <v>45657</v>
      </c>
      <c r="C9898" s="51" t="s">
        <v>82</v>
      </c>
      <c r="D9898" s="51" t="n">
        <v>0</v>
      </c>
    </row>
    <row r="9899" customFormat="false" ht="15" hidden="true" customHeight="false" outlineLevel="0" collapsed="false">
      <c r="A9899" s="51" t="s">
        <v>666</v>
      </c>
      <c r="B9899" s="55" t="n">
        <v>45657</v>
      </c>
      <c r="C9899" s="51" t="s">
        <v>82</v>
      </c>
      <c r="D9899" s="51" t="n">
        <v>0</v>
      </c>
    </row>
    <row r="9900" customFormat="false" ht="15" hidden="true" customHeight="false" outlineLevel="0" collapsed="false">
      <c r="A9900" s="51" t="s">
        <v>671</v>
      </c>
      <c r="B9900" s="55" t="n">
        <v>45657</v>
      </c>
      <c r="C9900" s="51" t="s">
        <v>82</v>
      </c>
      <c r="D9900" s="51" t="n">
        <v>0</v>
      </c>
    </row>
    <row r="9901" customFormat="false" ht="15" hidden="true" customHeight="false" outlineLevel="0" collapsed="false">
      <c r="A9901" s="51" t="s">
        <v>676</v>
      </c>
      <c r="B9901" s="55" t="n">
        <v>45657</v>
      </c>
      <c r="C9901" s="51" t="s">
        <v>82</v>
      </c>
      <c r="D9901" s="51" t="n">
        <v>0</v>
      </c>
    </row>
    <row r="9902" customFormat="false" ht="15" hidden="true" customHeight="false" outlineLevel="0" collapsed="false">
      <c r="A9902" s="51" t="s">
        <v>681</v>
      </c>
      <c r="B9902" s="55" t="n">
        <v>45657</v>
      </c>
      <c r="C9902" s="51" t="s">
        <v>82</v>
      </c>
      <c r="D9902" s="51" t="n">
        <v>0</v>
      </c>
    </row>
    <row r="9903" customFormat="false" ht="15" hidden="true" customHeight="false" outlineLevel="0" collapsed="false">
      <c r="A9903" s="51" t="s">
        <v>686</v>
      </c>
      <c r="B9903" s="55" t="n">
        <v>45657</v>
      </c>
      <c r="C9903" s="51" t="s">
        <v>82</v>
      </c>
      <c r="D9903" s="51" t="n">
        <v>0</v>
      </c>
    </row>
    <row r="9904" customFormat="false" ht="15" hidden="true" customHeight="false" outlineLevel="0" collapsed="false">
      <c r="A9904" s="51" t="s">
        <v>691</v>
      </c>
      <c r="B9904" s="55" t="n">
        <v>45657</v>
      </c>
      <c r="C9904" s="51" t="s">
        <v>82</v>
      </c>
      <c r="D9904" s="51" t="n">
        <v>0</v>
      </c>
    </row>
    <row r="9905" customFormat="false" ht="15" hidden="true" customHeight="false" outlineLevel="0" collapsed="false">
      <c r="A9905" s="51" t="s">
        <v>696</v>
      </c>
      <c r="B9905" s="55" t="n">
        <v>45657</v>
      </c>
      <c r="C9905" s="51" t="s">
        <v>82</v>
      </c>
      <c r="D9905" s="51" t="n">
        <v>0</v>
      </c>
    </row>
    <row r="9906" customFormat="false" ht="15" hidden="true" customHeight="false" outlineLevel="0" collapsed="false">
      <c r="A9906" s="51" t="s">
        <v>701</v>
      </c>
      <c r="B9906" s="55" t="n">
        <v>45657</v>
      </c>
      <c r="C9906" s="51" t="s">
        <v>82</v>
      </c>
      <c r="D9906" s="51" t="n">
        <v>0</v>
      </c>
    </row>
    <row r="9907" customFormat="false" ht="15" hidden="true" customHeight="false" outlineLevel="0" collapsed="false">
      <c r="A9907" s="51" t="s">
        <v>707</v>
      </c>
      <c r="B9907" s="55" t="n">
        <v>45657</v>
      </c>
      <c r="C9907" s="51" t="s">
        <v>82</v>
      </c>
      <c r="D9907" s="51" t="n">
        <v>0</v>
      </c>
    </row>
    <row r="9908" customFormat="false" ht="15" hidden="true" customHeight="false" outlineLevel="0" collapsed="false">
      <c r="A9908" s="51" t="s">
        <v>712</v>
      </c>
      <c r="B9908" s="55" t="n">
        <v>45657</v>
      </c>
      <c r="C9908" s="51" t="s">
        <v>82</v>
      </c>
      <c r="D9908" s="51" t="n">
        <v>0</v>
      </c>
    </row>
    <row r="9909" customFormat="false" ht="15" hidden="true" customHeight="false" outlineLevel="0" collapsed="false">
      <c r="A9909" s="51" t="s">
        <v>717</v>
      </c>
      <c r="B9909" s="55" t="n">
        <v>45657</v>
      </c>
      <c r="C9909" s="51" t="s">
        <v>82</v>
      </c>
      <c r="D9909" s="51" t="n">
        <v>0</v>
      </c>
    </row>
    <row r="9910" customFormat="false" ht="15" hidden="true" customHeight="false" outlineLevel="0" collapsed="false">
      <c r="A9910" s="51" t="s">
        <v>767</v>
      </c>
      <c r="B9910" s="55" t="n">
        <v>45657</v>
      </c>
      <c r="C9910" s="51" t="s">
        <v>82</v>
      </c>
      <c r="D9910" s="51" t="n">
        <v>0</v>
      </c>
    </row>
    <row r="9911" customFormat="false" ht="15" hidden="true" customHeight="false" outlineLevel="0" collapsed="false">
      <c r="A9911" s="51" t="s">
        <v>722</v>
      </c>
      <c r="B9911" s="55" t="n">
        <v>45657</v>
      </c>
      <c r="C9911" s="51" t="s">
        <v>82</v>
      </c>
      <c r="D9911" s="51" t="n">
        <v>0</v>
      </c>
    </row>
    <row r="9912" customFormat="false" ht="15" hidden="true" customHeight="false" outlineLevel="0" collapsed="false">
      <c r="A9912" s="51" t="s">
        <v>727</v>
      </c>
      <c r="B9912" s="55" t="n">
        <v>45657</v>
      </c>
      <c r="C9912" s="51" t="s">
        <v>82</v>
      </c>
      <c r="D9912" s="51" t="n">
        <v>0</v>
      </c>
    </row>
    <row r="9913" customFormat="false" ht="15" hidden="true" customHeight="false" outlineLevel="0" collapsed="false">
      <c r="A9913" s="51" t="s">
        <v>732</v>
      </c>
      <c r="B9913" s="55" t="n">
        <v>45657</v>
      </c>
      <c r="C9913" s="51" t="s">
        <v>82</v>
      </c>
      <c r="D9913" s="51" t="n">
        <v>0</v>
      </c>
    </row>
    <row r="9914" customFormat="false" ht="15" hidden="true" customHeight="false" outlineLevel="0" collapsed="false">
      <c r="A9914" s="51" t="s">
        <v>736</v>
      </c>
      <c r="B9914" s="55" t="n">
        <v>45657</v>
      </c>
      <c r="C9914" s="51" t="s">
        <v>82</v>
      </c>
      <c r="D9914" s="51" t="n">
        <v>0</v>
      </c>
    </row>
    <row r="9915" customFormat="false" ht="15" hidden="true" customHeight="false" outlineLevel="0" collapsed="false">
      <c r="A9915" s="51" t="s">
        <v>741</v>
      </c>
      <c r="B9915" s="55" t="n">
        <v>45657</v>
      </c>
      <c r="C9915" s="51" t="s">
        <v>82</v>
      </c>
      <c r="D9915" s="51" t="n">
        <v>0</v>
      </c>
    </row>
    <row r="9916" customFormat="false" ht="15" hidden="true" customHeight="false" outlineLevel="0" collapsed="false">
      <c r="A9916" s="51" t="s">
        <v>746</v>
      </c>
      <c r="B9916" s="55" t="n">
        <v>45657</v>
      </c>
      <c r="C9916" s="51" t="s">
        <v>82</v>
      </c>
      <c r="D9916" s="51" t="n">
        <v>0</v>
      </c>
    </row>
    <row r="9917" customFormat="false" ht="15" hidden="true" customHeight="false" outlineLevel="0" collapsed="false">
      <c r="A9917" s="51" t="s">
        <v>751</v>
      </c>
      <c r="B9917" s="55" t="n">
        <v>45657</v>
      </c>
      <c r="C9917" s="51" t="s">
        <v>82</v>
      </c>
      <c r="D9917" s="51" t="n">
        <v>0</v>
      </c>
    </row>
    <row r="9918" customFormat="false" ht="15" hidden="false" customHeight="false" outlineLevel="0" collapsed="false">
      <c r="A9918" s="51" t="s">
        <v>781</v>
      </c>
      <c r="B9918" s="55" t="n">
        <v>45657</v>
      </c>
      <c r="C9918" s="51" t="s">
        <v>73</v>
      </c>
      <c r="D9918" s="51" t="n">
        <v>0</v>
      </c>
    </row>
    <row r="9919" customFormat="false" ht="15" hidden="true" customHeight="false" outlineLevel="0" collapsed="false">
      <c r="A9919" s="51" t="s">
        <v>783</v>
      </c>
      <c r="B9919" s="55" t="n">
        <v>45657</v>
      </c>
      <c r="C9919" s="51" t="s">
        <v>73</v>
      </c>
      <c r="D9919" s="51" t="n">
        <v>0</v>
      </c>
    </row>
    <row r="9920" customFormat="false" ht="15" hidden="true" customHeight="false" outlineLevel="0" collapsed="false">
      <c r="A9920" s="51" t="s">
        <v>96</v>
      </c>
      <c r="B9920" s="55" t="n">
        <v>45657</v>
      </c>
      <c r="C9920" s="51" t="s">
        <v>73</v>
      </c>
      <c r="D9920" s="51" t="n">
        <v>0</v>
      </c>
    </row>
    <row r="9921" customFormat="false" ht="15" hidden="true" customHeight="false" outlineLevel="0" collapsed="false">
      <c r="A9921" s="51" t="s">
        <v>101</v>
      </c>
      <c r="B9921" s="55" t="n">
        <v>45657</v>
      </c>
      <c r="C9921" s="51" t="s">
        <v>73</v>
      </c>
      <c r="D9921" s="51" t="n">
        <v>0</v>
      </c>
    </row>
    <row r="9922" customFormat="false" ht="15" hidden="true" customHeight="false" outlineLevel="0" collapsed="false">
      <c r="A9922" s="51" t="s">
        <v>106</v>
      </c>
      <c r="B9922" s="55" t="n">
        <v>45657</v>
      </c>
      <c r="C9922" s="51" t="s">
        <v>73</v>
      </c>
      <c r="D9922" s="51" t="n">
        <v>0</v>
      </c>
    </row>
    <row r="9923" customFormat="false" ht="15" hidden="true" customHeight="false" outlineLevel="0" collapsed="false">
      <c r="A9923" s="51" t="s">
        <v>110</v>
      </c>
      <c r="B9923" s="55" t="n">
        <v>45657</v>
      </c>
      <c r="C9923" s="51" t="s">
        <v>73</v>
      </c>
      <c r="D9923" s="51" t="n">
        <v>0</v>
      </c>
    </row>
    <row r="9924" customFormat="false" ht="15" hidden="true" customHeight="false" outlineLevel="0" collapsed="false">
      <c r="A9924" s="51" t="s">
        <v>115</v>
      </c>
      <c r="B9924" s="55" t="n">
        <v>45657</v>
      </c>
      <c r="C9924" s="51" t="s">
        <v>73</v>
      </c>
      <c r="D9924" s="51" t="n">
        <v>0</v>
      </c>
    </row>
    <row r="9925" customFormat="false" ht="15" hidden="true" customHeight="false" outlineLevel="0" collapsed="false">
      <c r="A9925" s="51" t="s">
        <v>120</v>
      </c>
      <c r="B9925" s="55" t="n">
        <v>45657</v>
      </c>
      <c r="C9925" s="51" t="s">
        <v>73</v>
      </c>
      <c r="D9925" s="51" t="n">
        <v>0</v>
      </c>
    </row>
    <row r="9926" customFormat="false" ht="15" hidden="true" customHeight="false" outlineLevel="0" collapsed="false">
      <c r="A9926" s="51" t="s">
        <v>124</v>
      </c>
      <c r="B9926" s="55" t="n">
        <v>45657</v>
      </c>
      <c r="C9926" s="51" t="s">
        <v>73</v>
      </c>
      <c r="D9926" s="51" t="n">
        <v>0</v>
      </c>
    </row>
    <row r="9927" customFormat="false" ht="15" hidden="true" customHeight="false" outlineLevel="0" collapsed="false">
      <c r="A9927" s="51" t="s">
        <v>129</v>
      </c>
      <c r="B9927" s="55" t="n">
        <v>45657</v>
      </c>
      <c r="C9927" s="51" t="s">
        <v>73</v>
      </c>
      <c r="D9927" s="51" t="n">
        <v>0</v>
      </c>
    </row>
    <row r="9928" customFormat="false" ht="15" hidden="true" customHeight="false" outlineLevel="0" collapsed="false">
      <c r="A9928" s="51" t="s">
        <v>134</v>
      </c>
      <c r="B9928" s="55" t="n">
        <v>45657</v>
      </c>
      <c r="C9928" s="51" t="s">
        <v>73</v>
      </c>
      <c r="D9928" s="51" t="n">
        <v>0</v>
      </c>
    </row>
    <row r="9929" customFormat="false" ht="15" hidden="true" customHeight="false" outlineLevel="0" collapsed="false">
      <c r="A9929" s="51" t="s">
        <v>141</v>
      </c>
      <c r="B9929" s="55" t="n">
        <v>45657</v>
      </c>
      <c r="C9929" s="51" t="s">
        <v>73</v>
      </c>
      <c r="D9929" s="51" t="n">
        <v>0</v>
      </c>
    </row>
    <row r="9930" customFormat="false" ht="15" hidden="true" customHeight="false" outlineLevel="0" collapsed="false">
      <c r="A9930" s="51" t="s">
        <v>146</v>
      </c>
      <c r="B9930" s="55" t="n">
        <v>45657</v>
      </c>
      <c r="C9930" s="51" t="s">
        <v>73</v>
      </c>
      <c r="D9930" s="51" t="n">
        <v>0</v>
      </c>
    </row>
    <row r="9931" customFormat="false" ht="15" hidden="true" customHeight="false" outlineLevel="0" collapsed="false">
      <c r="A9931" s="51" t="s">
        <v>151</v>
      </c>
      <c r="B9931" s="55" t="n">
        <v>45657</v>
      </c>
      <c r="C9931" s="51" t="s">
        <v>73</v>
      </c>
      <c r="D9931" s="51" t="n">
        <v>0</v>
      </c>
    </row>
    <row r="9932" customFormat="false" ht="15" hidden="true" customHeight="false" outlineLevel="0" collapsed="false">
      <c r="A9932" s="51" t="s">
        <v>156</v>
      </c>
      <c r="B9932" s="55" t="n">
        <v>45657</v>
      </c>
      <c r="C9932" s="51" t="s">
        <v>73</v>
      </c>
      <c r="D9932" s="51" t="n">
        <v>0</v>
      </c>
    </row>
    <row r="9933" customFormat="false" ht="15" hidden="true" customHeight="false" outlineLevel="0" collapsed="false">
      <c r="A9933" s="51" t="s">
        <v>161</v>
      </c>
      <c r="B9933" s="55" t="n">
        <v>45657</v>
      </c>
      <c r="C9933" s="51" t="s">
        <v>73</v>
      </c>
      <c r="D9933" s="51" t="n">
        <v>0</v>
      </c>
    </row>
    <row r="9934" customFormat="false" ht="15" hidden="true" customHeight="false" outlineLevel="0" collapsed="false">
      <c r="A9934" s="51" t="s">
        <v>166</v>
      </c>
      <c r="B9934" s="55" t="n">
        <v>45657</v>
      </c>
      <c r="C9934" s="51" t="s">
        <v>73</v>
      </c>
      <c r="D9934" s="51" t="n">
        <v>0</v>
      </c>
    </row>
    <row r="9935" customFormat="false" ht="15" hidden="true" customHeight="false" outlineLevel="0" collapsed="false">
      <c r="A9935" s="51" t="s">
        <v>171</v>
      </c>
      <c r="B9935" s="55" t="n">
        <v>45657</v>
      </c>
      <c r="C9935" s="51" t="s">
        <v>73</v>
      </c>
      <c r="D9935" s="51" t="n">
        <v>0</v>
      </c>
    </row>
    <row r="9936" customFormat="false" ht="15" hidden="true" customHeight="false" outlineLevel="0" collapsed="false">
      <c r="A9936" s="51" t="s">
        <v>176</v>
      </c>
      <c r="B9936" s="55" t="n">
        <v>45657</v>
      </c>
      <c r="C9936" s="51" t="s">
        <v>73</v>
      </c>
      <c r="D9936" s="51" t="n">
        <v>0</v>
      </c>
    </row>
    <row r="9937" customFormat="false" ht="15" hidden="true" customHeight="false" outlineLevel="0" collapsed="false">
      <c r="A9937" s="51" t="s">
        <v>181</v>
      </c>
      <c r="B9937" s="55" t="n">
        <v>45657</v>
      </c>
      <c r="C9937" s="51" t="s">
        <v>73</v>
      </c>
      <c r="D9937" s="51" t="n">
        <v>0</v>
      </c>
    </row>
    <row r="9938" customFormat="false" ht="15" hidden="true" customHeight="false" outlineLevel="0" collapsed="false">
      <c r="A9938" s="51" t="s">
        <v>186</v>
      </c>
      <c r="B9938" s="55" t="n">
        <v>45657</v>
      </c>
      <c r="C9938" s="51" t="s">
        <v>73</v>
      </c>
      <c r="D9938" s="51" t="n">
        <v>0</v>
      </c>
    </row>
    <row r="9939" customFormat="false" ht="15" hidden="true" customHeight="false" outlineLevel="0" collapsed="false">
      <c r="A9939" s="51" t="s">
        <v>191</v>
      </c>
      <c r="B9939" s="55" t="n">
        <v>45657</v>
      </c>
      <c r="C9939" s="51" t="s">
        <v>73</v>
      </c>
      <c r="D9939" s="51" t="n">
        <v>0</v>
      </c>
    </row>
    <row r="9940" customFormat="false" ht="15" hidden="true" customHeight="false" outlineLevel="0" collapsed="false">
      <c r="A9940" s="51" t="s">
        <v>196</v>
      </c>
      <c r="B9940" s="55" t="n">
        <v>45657</v>
      </c>
      <c r="C9940" s="51" t="s">
        <v>73</v>
      </c>
      <c r="D9940" s="51" t="n">
        <v>0</v>
      </c>
    </row>
    <row r="9941" customFormat="false" ht="15" hidden="true" customHeight="false" outlineLevel="0" collapsed="false">
      <c r="A9941" s="51" t="s">
        <v>201</v>
      </c>
      <c r="B9941" s="55" t="n">
        <v>45657</v>
      </c>
      <c r="C9941" s="51" t="s">
        <v>73</v>
      </c>
      <c r="D9941" s="51" t="n">
        <v>0</v>
      </c>
    </row>
    <row r="9942" customFormat="false" ht="15" hidden="true" customHeight="false" outlineLevel="0" collapsed="false">
      <c r="A9942" s="51" t="s">
        <v>206</v>
      </c>
      <c r="B9942" s="55" t="n">
        <v>45657</v>
      </c>
      <c r="C9942" s="51" t="s">
        <v>73</v>
      </c>
      <c r="D9942" s="51" t="n">
        <v>0</v>
      </c>
    </row>
    <row r="9943" customFormat="false" ht="15" hidden="true" customHeight="false" outlineLevel="0" collapsed="false">
      <c r="A9943" s="51" t="s">
        <v>210</v>
      </c>
      <c r="B9943" s="55" t="n">
        <v>45657</v>
      </c>
      <c r="C9943" s="51" t="s">
        <v>73</v>
      </c>
      <c r="D9943" s="51" t="n">
        <v>0</v>
      </c>
    </row>
    <row r="9944" customFormat="false" ht="15" hidden="true" customHeight="false" outlineLevel="0" collapsed="false">
      <c r="A9944" s="51" t="s">
        <v>215</v>
      </c>
      <c r="B9944" s="55" t="n">
        <v>45657</v>
      </c>
      <c r="C9944" s="51" t="s">
        <v>73</v>
      </c>
      <c r="D9944" s="51" t="n">
        <v>0</v>
      </c>
    </row>
    <row r="9945" customFormat="false" ht="15" hidden="true" customHeight="false" outlineLevel="0" collapsed="false">
      <c r="A9945" s="51" t="s">
        <v>790</v>
      </c>
      <c r="B9945" s="55" t="n">
        <v>45657</v>
      </c>
      <c r="C9945" s="51" t="s">
        <v>73</v>
      </c>
      <c r="D9945" s="51" t="n">
        <v>0</v>
      </c>
    </row>
    <row r="9946" customFormat="false" ht="15" hidden="true" customHeight="false" outlineLevel="0" collapsed="false">
      <c r="A9946" s="51" t="s">
        <v>225</v>
      </c>
      <c r="B9946" s="55" t="n">
        <v>45657</v>
      </c>
      <c r="C9946" s="51" t="s">
        <v>73</v>
      </c>
      <c r="D9946" s="51" t="n">
        <v>0</v>
      </c>
    </row>
    <row r="9947" customFormat="false" ht="15" hidden="true" customHeight="false" outlineLevel="0" collapsed="false">
      <c r="A9947" s="51" t="s">
        <v>230</v>
      </c>
      <c r="B9947" s="55" t="n">
        <v>45657</v>
      </c>
      <c r="C9947" s="51" t="s">
        <v>73</v>
      </c>
      <c r="D9947" s="51" t="n">
        <v>0</v>
      </c>
    </row>
    <row r="9948" customFormat="false" ht="15" hidden="true" customHeight="false" outlineLevel="0" collapsed="false">
      <c r="A9948" s="51" t="s">
        <v>235</v>
      </c>
      <c r="B9948" s="55" t="n">
        <v>45657</v>
      </c>
      <c r="C9948" s="51" t="s">
        <v>73</v>
      </c>
      <c r="D9948" s="51" t="n">
        <v>0</v>
      </c>
    </row>
    <row r="9949" customFormat="false" ht="15" hidden="true" customHeight="false" outlineLevel="0" collapsed="false">
      <c r="A9949" s="51" t="s">
        <v>240</v>
      </c>
      <c r="B9949" s="55" t="n">
        <v>45657</v>
      </c>
      <c r="C9949" s="51" t="s">
        <v>73</v>
      </c>
      <c r="D9949" s="51" t="n">
        <v>0</v>
      </c>
    </row>
    <row r="9950" customFormat="false" ht="15" hidden="true" customHeight="false" outlineLevel="0" collapsed="false">
      <c r="A9950" s="51" t="s">
        <v>246</v>
      </c>
      <c r="B9950" s="55" t="n">
        <v>45657</v>
      </c>
      <c r="C9950" s="51" t="s">
        <v>73</v>
      </c>
      <c r="D9950" s="51" t="n">
        <v>466874.5</v>
      </c>
    </row>
    <row r="9951" customFormat="false" ht="15" hidden="true" customHeight="false" outlineLevel="0" collapsed="false">
      <c r="A9951" s="51" t="s">
        <v>252</v>
      </c>
      <c r="B9951" s="55" t="n">
        <v>45657</v>
      </c>
      <c r="C9951" s="51" t="s">
        <v>73</v>
      </c>
      <c r="D9951" s="51" t="n">
        <v>0</v>
      </c>
    </row>
    <row r="9952" customFormat="false" ht="15" hidden="true" customHeight="false" outlineLevel="0" collapsed="false">
      <c r="A9952" s="51" t="s">
        <v>257</v>
      </c>
      <c r="B9952" s="55" t="n">
        <v>45657</v>
      </c>
      <c r="C9952" s="51" t="s">
        <v>73</v>
      </c>
      <c r="D9952" s="51" t="n">
        <v>0</v>
      </c>
    </row>
    <row r="9953" customFormat="false" ht="15" hidden="true" customHeight="false" outlineLevel="0" collapsed="false">
      <c r="A9953" s="51" t="s">
        <v>262</v>
      </c>
      <c r="B9953" s="55" t="n">
        <v>45657</v>
      </c>
      <c r="C9953" s="51" t="s">
        <v>73</v>
      </c>
      <c r="D9953" s="51" t="n">
        <v>0</v>
      </c>
    </row>
    <row r="9954" customFormat="false" ht="15" hidden="true" customHeight="false" outlineLevel="0" collapsed="false">
      <c r="A9954" s="51" t="s">
        <v>267</v>
      </c>
      <c r="B9954" s="55" t="n">
        <v>45657</v>
      </c>
      <c r="C9954" s="51" t="s">
        <v>73</v>
      </c>
      <c r="D9954" s="51" t="n">
        <v>0</v>
      </c>
    </row>
    <row r="9955" customFormat="false" ht="15" hidden="true" customHeight="false" outlineLevel="0" collapsed="false">
      <c r="A9955" s="51" t="s">
        <v>272</v>
      </c>
      <c r="B9955" s="55" t="n">
        <v>45657</v>
      </c>
      <c r="C9955" s="51" t="s">
        <v>73</v>
      </c>
      <c r="D9955" s="51" t="n">
        <v>0</v>
      </c>
    </row>
    <row r="9956" customFormat="false" ht="15" hidden="true" customHeight="false" outlineLevel="0" collapsed="false">
      <c r="A9956" s="51" t="s">
        <v>277</v>
      </c>
      <c r="B9956" s="55" t="n">
        <v>45657</v>
      </c>
      <c r="C9956" s="51" t="s">
        <v>73</v>
      </c>
      <c r="D9956" s="51" t="n">
        <v>0</v>
      </c>
    </row>
    <row r="9957" customFormat="false" ht="15" hidden="true" customHeight="false" outlineLevel="0" collapsed="false">
      <c r="A9957" s="51" t="s">
        <v>282</v>
      </c>
      <c r="B9957" s="55" t="n">
        <v>45657</v>
      </c>
      <c r="C9957" s="51" t="s">
        <v>73</v>
      </c>
      <c r="D9957" s="51" t="n">
        <v>0</v>
      </c>
    </row>
    <row r="9958" customFormat="false" ht="15" hidden="true" customHeight="false" outlineLevel="0" collapsed="false">
      <c r="A9958" s="51" t="s">
        <v>287</v>
      </c>
      <c r="B9958" s="55" t="n">
        <v>45657</v>
      </c>
      <c r="C9958" s="51" t="s">
        <v>73</v>
      </c>
      <c r="D9958" s="51" t="n">
        <v>0</v>
      </c>
    </row>
    <row r="9959" customFormat="false" ht="15" hidden="true" customHeight="false" outlineLevel="0" collapsed="false">
      <c r="A9959" s="51" t="s">
        <v>292</v>
      </c>
      <c r="B9959" s="55" t="n">
        <v>45657</v>
      </c>
      <c r="C9959" s="51" t="s">
        <v>73</v>
      </c>
      <c r="D9959" s="51" t="n">
        <v>0</v>
      </c>
    </row>
    <row r="9960" customFormat="false" ht="15" hidden="true" customHeight="false" outlineLevel="0" collapsed="false">
      <c r="A9960" s="51" t="s">
        <v>297</v>
      </c>
      <c r="B9960" s="55" t="n">
        <v>45657</v>
      </c>
      <c r="C9960" s="51" t="s">
        <v>73</v>
      </c>
      <c r="D9960" s="51" t="n">
        <v>0</v>
      </c>
    </row>
    <row r="9961" customFormat="false" ht="15" hidden="true" customHeight="false" outlineLevel="0" collapsed="false">
      <c r="A9961" s="51" t="s">
        <v>302</v>
      </c>
      <c r="B9961" s="55" t="n">
        <v>45657</v>
      </c>
      <c r="C9961" s="51" t="s">
        <v>73</v>
      </c>
      <c r="D9961" s="51" t="n">
        <v>0</v>
      </c>
    </row>
    <row r="9962" customFormat="false" ht="15" hidden="true" customHeight="false" outlineLevel="0" collapsed="false">
      <c r="A9962" s="51" t="s">
        <v>307</v>
      </c>
      <c r="B9962" s="55" t="n">
        <v>45657</v>
      </c>
      <c r="C9962" s="51" t="s">
        <v>73</v>
      </c>
      <c r="D9962" s="51" t="n">
        <v>0</v>
      </c>
    </row>
    <row r="9963" customFormat="false" ht="15" hidden="true" customHeight="false" outlineLevel="0" collapsed="false">
      <c r="A9963" s="51" t="s">
        <v>311</v>
      </c>
      <c r="B9963" s="55" t="n">
        <v>45657</v>
      </c>
      <c r="C9963" s="51" t="s">
        <v>73</v>
      </c>
      <c r="D9963" s="51" t="n">
        <v>0</v>
      </c>
    </row>
    <row r="9964" customFormat="false" ht="15" hidden="true" customHeight="false" outlineLevel="0" collapsed="false">
      <c r="A9964" s="51" t="s">
        <v>317</v>
      </c>
      <c r="B9964" s="55" t="n">
        <v>45657</v>
      </c>
      <c r="C9964" s="51" t="s">
        <v>73</v>
      </c>
      <c r="D9964" s="51" t="n">
        <v>0</v>
      </c>
    </row>
    <row r="9965" customFormat="false" ht="15" hidden="true" customHeight="false" outlineLevel="0" collapsed="false">
      <c r="A9965" s="51" t="s">
        <v>322</v>
      </c>
      <c r="B9965" s="55" t="n">
        <v>45657</v>
      </c>
      <c r="C9965" s="51" t="s">
        <v>73</v>
      </c>
      <c r="D9965" s="51" t="n">
        <v>0</v>
      </c>
    </row>
    <row r="9966" customFormat="false" ht="15" hidden="true" customHeight="false" outlineLevel="0" collapsed="false">
      <c r="A9966" s="51" t="s">
        <v>327</v>
      </c>
      <c r="B9966" s="55" t="n">
        <v>45657</v>
      </c>
      <c r="C9966" s="51" t="s">
        <v>73</v>
      </c>
      <c r="D9966" s="51" t="n">
        <v>0</v>
      </c>
    </row>
    <row r="9967" customFormat="false" ht="15" hidden="true" customHeight="false" outlineLevel="0" collapsed="false">
      <c r="A9967" s="51" t="s">
        <v>332</v>
      </c>
      <c r="B9967" s="55" t="n">
        <v>45657</v>
      </c>
      <c r="C9967" s="51" t="s">
        <v>73</v>
      </c>
      <c r="D9967" s="51" t="n">
        <v>0</v>
      </c>
    </row>
    <row r="9968" customFormat="false" ht="15" hidden="true" customHeight="false" outlineLevel="0" collapsed="false">
      <c r="A9968" s="51" t="s">
        <v>339</v>
      </c>
      <c r="B9968" s="55" t="n">
        <v>45657</v>
      </c>
      <c r="C9968" s="51" t="s">
        <v>73</v>
      </c>
      <c r="D9968" s="51" t="n">
        <v>0</v>
      </c>
    </row>
    <row r="9969" customFormat="false" ht="15" hidden="true" customHeight="false" outlineLevel="0" collapsed="false">
      <c r="A9969" s="51" t="s">
        <v>344</v>
      </c>
      <c r="B9969" s="55" t="n">
        <v>45657</v>
      </c>
      <c r="C9969" s="51" t="s">
        <v>73</v>
      </c>
      <c r="D9969" s="51" t="n">
        <v>0</v>
      </c>
    </row>
    <row r="9970" customFormat="false" ht="15" hidden="true" customHeight="false" outlineLevel="0" collapsed="false">
      <c r="A9970" s="51" t="s">
        <v>349</v>
      </c>
      <c r="B9970" s="55" t="n">
        <v>45657</v>
      </c>
      <c r="C9970" s="51" t="s">
        <v>73</v>
      </c>
      <c r="D9970" s="51" t="n">
        <v>0</v>
      </c>
    </row>
    <row r="9971" customFormat="false" ht="15" hidden="true" customHeight="false" outlineLevel="0" collapsed="false">
      <c r="A9971" s="51" t="s">
        <v>354</v>
      </c>
      <c r="B9971" s="55" t="n">
        <v>45657</v>
      </c>
      <c r="C9971" s="51" t="s">
        <v>73</v>
      </c>
      <c r="D9971" s="51" t="n">
        <v>0</v>
      </c>
    </row>
    <row r="9972" customFormat="false" ht="15" hidden="true" customHeight="false" outlineLevel="0" collapsed="false">
      <c r="A9972" s="51" t="s">
        <v>359</v>
      </c>
      <c r="B9972" s="55" t="n">
        <v>45657</v>
      </c>
      <c r="C9972" s="51" t="s">
        <v>73</v>
      </c>
      <c r="D9972" s="51" t="n">
        <v>0</v>
      </c>
    </row>
    <row r="9973" customFormat="false" ht="15" hidden="true" customHeight="false" outlineLevel="0" collapsed="false">
      <c r="A9973" s="51" t="s">
        <v>364</v>
      </c>
      <c r="B9973" s="55" t="n">
        <v>45657</v>
      </c>
      <c r="C9973" s="51" t="s">
        <v>73</v>
      </c>
      <c r="D9973" s="51" t="n">
        <v>0</v>
      </c>
    </row>
    <row r="9974" customFormat="false" ht="15" hidden="true" customHeight="false" outlineLevel="0" collapsed="false">
      <c r="A9974" s="51" t="s">
        <v>369</v>
      </c>
      <c r="B9974" s="55" t="n">
        <v>45657</v>
      </c>
      <c r="C9974" s="51" t="s">
        <v>73</v>
      </c>
      <c r="D9974" s="51" t="n">
        <v>274300</v>
      </c>
    </row>
    <row r="9975" customFormat="false" ht="15" hidden="true" customHeight="false" outlineLevel="0" collapsed="false">
      <c r="A9975" s="51" t="s">
        <v>374</v>
      </c>
      <c r="B9975" s="55" t="n">
        <v>45657</v>
      </c>
      <c r="C9975" s="51" t="s">
        <v>73</v>
      </c>
      <c r="D9975" s="51" t="n">
        <v>0</v>
      </c>
    </row>
    <row r="9976" customFormat="false" ht="15" hidden="true" customHeight="false" outlineLevel="0" collapsed="false">
      <c r="A9976" s="51" t="s">
        <v>379</v>
      </c>
      <c r="B9976" s="55" t="n">
        <v>45657</v>
      </c>
      <c r="C9976" s="51" t="s">
        <v>73</v>
      </c>
      <c r="D9976" s="51" t="n">
        <v>0</v>
      </c>
    </row>
    <row r="9977" customFormat="false" ht="15" hidden="true" customHeight="false" outlineLevel="0" collapsed="false">
      <c r="A9977" s="51" t="s">
        <v>384</v>
      </c>
      <c r="B9977" s="55" t="n">
        <v>45657</v>
      </c>
      <c r="C9977" s="51" t="s">
        <v>73</v>
      </c>
      <c r="D9977" s="51" t="n">
        <v>0</v>
      </c>
    </row>
    <row r="9978" customFormat="false" ht="15" hidden="true" customHeight="false" outlineLevel="0" collapsed="false">
      <c r="A9978" s="51" t="s">
        <v>389</v>
      </c>
      <c r="B9978" s="55" t="n">
        <v>45657</v>
      </c>
      <c r="C9978" s="51" t="s">
        <v>73</v>
      </c>
      <c r="D9978" s="51" t="n">
        <v>1000000</v>
      </c>
    </row>
    <row r="9979" customFormat="false" ht="15" hidden="true" customHeight="false" outlineLevel="0" collapsed="false">
      <c r="A9979" s="51" t="s">
        <v>394</v>
      </c>
      <c r="B9979" s="55" t="n">
        <v>45657</v>
      </c>
      <c r="C9979" s="51" t="s">
        <v>73</v>
      </c>
      <c r="D9979" s="51" t="n">
        <v>2000000</v>
      </c>
    </row>
    <row r="9980" customFormat="false" ht="15" hidden="true" customHeight="false" outlineLevel="0" collapsed="false">
      <c r="A9980" s="51" t="s">
        <v>399</v>
      </c>
      <c r="B9980" s="55" t="n">
        <v>45657</v>
      </c>
      <c r="C9980" s="51" t="s">
        <v>73</v>
      </c>
      <c r="D9980" s="51" t="n">
        <v>0</v>
      </c>
    </row>
    <row r="9981" customFormat="false" ht="15" hidden="true" customHeight="false" outlineLevel="0" collapsed="false">
      <c r="A9981" s="51" t="s">
        <v>404</v>
      </c>
      <c r="B9981" s="55" t="n">
        <v>45657</v>
      </c>
      <c r="C9981" s="51" t="s">
        <v>73</v>
      </c>
      <c r="D9981" s="51" t="n">
        <v>1600000</v>
      </c>
    </row>
    <row r="9982" customFormat="false" ht="15" hidden="true" customHeight="false" outlineLevel="0" collapsed="false">
      <c r="A9982" s="51" t="s">
        <v>409</v>
      </c>
      <c r="B9982" s="55" t="n">
        <v>45657</v>
      </c>
      <c r="C9982" s="51" t="s">
        <v>73</v>
      </c>
      <c r="D9982" s="51" t="n">
        <v>0</v>
      </c>
    </row>
    <row r="9983" customFormat="false" ht="15" hidden="true" customHeight="false" outlineLevel="0" collapsed="false">
      <c r="A9983" s="51" t="s">
        <v>414</v>
      </c>
      <c r="B9983" s="55" t="n">
        <v>45657</v>
      </c>
      <c r="C9983" s="51" t="s">
        <v>73</v>
      </c>
      <c r="D9983" s="51" t="n">
        <v>0</v>
      </c>
    </row>
    <row r="9984" customFormat="false" ht="15" hidden="true" customHeight="false" outlineLevel="0" collapsed="false">
      <c r="A9984" s="51" t="s">
        <v>419</v>
      </c>
      <c r="B9984" s="55" t="n">
        <v>45657</v>
      </c>
      <c r="C9984" s="51" t="s">
        <v>73</v>
      </c>
      <c r="D9984" s="51" t="n">
        <v>0</v>
      </c>
    </row>
    <row r="9985" customFormat="false" ht="15" hidden="true" customHeight="false" outlineLevel="0" collapsed="false">
      <c r="A9985" s="51" t="s">
        <v>424</v>
      </c>
      <c r="B9985" s="55" t="n">
        <v>45657</v>
      </c>
      <c r="C9985" s="51" t="s">
        <v>73</v>
      </c>
      <c r="D9985" s="51" t="n">
        <v>0</v>
      </c>
    </row>
    <row r="9986" customFormat="false" ht="15" hidden="true" customHeight="false" outlineLevel="0" collapsed="false">
      <c r="A9986" s="51" t="s">
        <v>429</v>
      </c>
      <c r="B9986" s="55" t="n">
        <v>45657</v>
      </c>
      <c r="C9986" s="51" t="s">
        <v>73</v>
      </c>
      <c r="D9986" s="51" t="n">
        <v>0</v>
      </c>
    </row>
    <row r="9987" customFormat="false" ht="15" hidden="true" customHeight="false" outlineLevel="0" collapsed="false">
      <c r="A9987" s="51" t="s">
        <v>434</v>
      </c>
      <c r="B9987" s="55" t="n">
        <v>45657</v>
      </c>
      <c r="C9987" s="51" t="s">
        <v>73</v>
      </c>
      <c r="D9987" s="51" t="n">
        <v>1000000</v>
      </c>
    </row>
    <row r="9988" customFormat="false" ht="15" hidden="true" customHeight="false" outlineLevel="0" collapsed="false">
      <c r="A9988" s="51" t="s">
        <v>438</v>
      </c>
      <c r="B9988" s="55" t="n">
        <v>45657</v>
      </c>
      <c r="C9988" s="51" t="s">
        <v>73</v>
      </c>
      <c r="D9988" s="51" t="n">
        <v>600000</v>
      </c>
    </row>
    <row r="9989" customFormat="false" ht="15" hidden="true" customHeight="false" outlineLevel="0" collapsed="false">
      <c r="A9989" s="51" t="s">
        <v>443</v>
      </c>
      <c r="B9989" s="55" t="n">
        <v>45657</v>
      </c>
      <c r="C9989" s="51" t="s">
        <v>73</v>
      </c>
      <c r="D9989" s="51" t="n">
        <v>0</v>
      </c>
    </row>
    <row r="9990" customFormat="false" ht="15" hidden="true" customHeight="false" outlineLevel="0" collapsed="false">
      <c r="A9990" s="51" t="s">
        <v>448</v>
      </c>
      <c r="B9990" s="55" t="n">
        <v>45657</v>
      </c>
      <c r="C9990" s="51" t="s">
        <v>73</v>
      </c>
      <c r="D9990" s="51" t="n">
        <v>0</v>
      </c>
    </row>
    <row r="9991" customFormat="false" ht="15" hidden="true" customHeight="false" outlineLevel="0" collapsed="false">
      <c r="A9991" s="51" t="s">
        <v>453</v>
      </c>
      <c r="B9991" s="55" t="n">
        <v>45657</v>
      </c>
      <c r="C9991" s="51" t="s">
        <v>73</v>
      </c>
      <c r="D9991" s="51" t="n">
        <v>500000</v>
      </c>
    </row>
    <row r="9992" customFormat="false" ht="15" hidden="true" customHeight="false" outlineLevel="0" collapsed="false">
      <c r="A9992" s="51" t="s">
        <v>458</v>
      </c>
      <c r="B9992" s="55" t="n">
        <v>45657</v>
      </c>
      <c r="C9992" s="51" t="s">
        <v>73</v>
      </c>
      <c r="D9992" s="51" t="n">
        <v>678549</v>
      </c>
    </row>
    <row r="9993" customFormat="false" ht="15" hidden="true" customHeight="false" outlineLevel="0" collapsed="false">
      <c r="A9993" s="51" t="s">
        <v>473</v>
      </c>
      <c r="B9993" s="55" t="n">
        <v>45657</v>
      </c>
      <c r="C9993" s="51" t="s">
        <v>73</v>
      </c>
      <c r="D9993" s="51" t="n">
        <v>0</v>
      </c>
    </row>
    <row r="9994" customFormat="false" ht="15" hidden="true" customHeight="false" outlineLevel="0" collapsed="false">
      <c r="A9994" s="51" t="s">
        <v>479</v>
      </c>
      <c r="B9994" s="55" t="n">
        <v>45657</v>
      </c>
      <c r="C9994" s="51" t="s">
        <v>73</v>
      </c>
      <c r="D9994" s="51" t="n">
        <v>0</v>
      </c>
    </row>
    <row r="9995" customFormat="false" ht="15" hidden="true" customHeight="false" outlineLevel="0" collapsed="false">
      <c r="A9995" s="51" t="s">
        <v>484</v>
      </c>
      <c r="B9995" s="55" t="n">
        <v>45657</v>
      </c>
      <c r="C9995" s="51" t="s">
        <v>73</v>
      </c>
      <c r="D9995" s="51" t="n">
        <v>100000</v>
      </c>
    </row>
    <row r="9996" customFormat="false" ht="15" hidden="true" customHeight="false" outlineLevel="0" collapsed="false">
      <c r="A9996" s="51" t="s">
        <v>489</v>
      </c>
      <c r="B9996" s="55" t="n">
        <v>45657</v>
      </c>
      <c r="C9996" s="51" t="s">
        <v>73</v>
      </c>
      <c r="D9996" s="51" t="n">
        <v>172449.63</v>
      </c>
    </row>
    <row r="9997" customFormat="false" ht="15" hidden="true" customHeight="false" outlineLevel="0" collapsed="false">
      <c r="A9997" s="51" t="s">
        <v>494</v>
      </c>
      <c r="B9997" s="55" t="n">
        <v>45657</v>
      </c>
      <c r="C9997" s="51" t="s">
        <v>73</v>
      </c>
      <c r="D9997" s="51" t="n">
        <v>331338.85</v>
      </c>
    </row>
    <row r="9998" customFormat="false" ht="15" hidden="true" customHeight="false" outlineLevel="0" collapsed="false">
      <c r="A9998" s="51" t="s">
        <v>499</v>
      </c>
      <c r="B9998" s="55" t="n">
        <v>45657</v>
      </c>
      <c r="C9998" s="51" t="s">
        <v>73</v>
      </c>
      <c r="D9998" s="51" t="n">
        <v>0</v>
      </c>
    </row>
    <row r="9999" customFormat="false" ht="15" hidden="true" customHeight="false" outlineLevel="0" collapsed="false">
      <c r="A9999" s="51" t="s">
        <v>504</v>
      </c>
      <c r="B9999" s="55" t="n">
        <v>45657</v>
      </c>
      <c r="C9999" s="51" t="s">
        <v>73</v>
      </c>
      <c r="D9999" s="51" t="n">
        <v>0</v>
      </c>
    </row>
    <row r="10000" customFormat="false" ht="15" hidden="true" customHeight="false" outlineLevel="0" collapsed="false">
      <c r="A10000" s="51" t="s">
        <v>509</v>
      </c>
      <c r="B10000" s="55" t="n">
        <v>45657</v>
      </c>
      <c r="C10000" s="51" t="s">
        <v>73</v>
      </c>
      <c r="D10000" s="51" t="n">
        <v>440300</v>
      </c>
    </row>
    <row r="10001" customFormat="false" ht="15" hidden="true" customHeight="false" outlineLevel="0" collapsed="false">
      <c r="A10001" s="51" t="s">
        <v>515</v>
      </c>
      <c r="B10001" s="55" t="n">
        <v>45657</v>
      </c>
      <c r="C10001" s="51" t="s">
        <v>73</v>
      </c>
      <c r="D10001" s="51" t="n">
        <v>1214226.72</v>
      </c>
    </row>
    <row r="10002" customFormat="false" ht="15" hidden="true" customHeight="false" outlineLevel="0" collapsed="false">
      <c r="A10002" s="51" t="s">
        <v>520</v>
      </c>
      <c r="B10002" s="55" t="n">
        <v>45657</v>
      </c>
      <c r="C10002" s="51" t="s">
        <v>73</v>
      </c>
      <c r="D10002" s="51" t="n">
        <v>700000</v>
      </c>
    </row>
    <row r="10003" customFormat="false" ht="15" hidden="true" customHeight="false" outlineLevel="0" collapsed="false">
      <c r="A10003" s="51" t="s">
        <v>525</v>
      </c>
      <c r="B10003" s="55" t="n">
        <v>45657</v>
      </c>
      <c r="C10003" s="51" t="s">
        <v>73</v>
      </c>
      <c r="D10003" s="51" t="n">
        <v>300000</v>
      </c>
    </row>
    <row r="10004" customFormat="false" ht="15" hidden="true" customHeight="false" outlineLevel="0" collapsed="false">
      <c r="A10004" s="51" t="s">
        <v>531</v>
      </c>
      <c r="B10004" s="55" t="n">
        <v>45657</v>
      </c>
      <c r="C10004" s="51" t="s">
        <v>73</v>
      </c>
      <c r="D10004" s="51" t="n">
        <v>800000</v>
      </c>
    </row>
    <row r="10005" customFormat="false" ht="15" hidden="true" customHeight="false" outlineLevel="0" collapsed="false">
      <c r="A10005" s="51" t="s">
        <v>536</v>
      </c>
      <c r="B10005" s="55" t="n">
        <v>45657</v>
      </c>
      <c r="C10005" s="51" t="s">
        <v>73</v>
      </c>
      <c r="D10005" s="51" t="n">
        <v>250000</v>
      </c>
    </row>
    <row r="10006" customFormat="false" ht="15" hidden="true" customHeight="false" outlineLevel="0" collapsed="false">
      <c r="A10006" s="51" t="s">
        <v>541</v>
      </c>
      <c r="B10006" s="55" t="n">
        <v>45657</v>
      </c>
      <c r="C10006" s="51" t="s">
        <v>73</v>
      </c>
      <c r="D10006" s="51" t="n">
        <v>700000</v>
      </c>
    </row>
    <row r="10007" customFormat="false" ht="15" hidden="true" customHeight="false" outlineLevel="0" collapsed="false">
      <c r="A10007" s="51" t="s">
        <v>549</v>
      </c>
      <c r="B10007" s="55" t="n">
        <v>45657</v>
      </c>
      <c r="C10007" s="51" t="s">
        <v>73</v>
      </c>
      <c r="D10007" s="51" t="n">
        <v>1868953.6</v>
      </c>
    </row>
    <row r="10008" customFormat="false" ht="15" hidden="true" customHeight="false" outlineLevel="0" collapsed="false">
      <c r="A10008" s="51" t="s">
        <v>554</v>
      </c>
      <c r="B10008" s="55" t="n">
        <v>45657</v>
      </c>
      <c r="C10008" s="51" t="s">
        <v>73</v>
      </c>
      <c r="D10008" s="51" t="n">
        <v>1620801.75</v>
      </c>
    </row>
    <row r="10009" customFormat="false" ht="15" hidden="true" customHeight="false" outlineLevel="0" collapsed="false">
      <c r="A10009" s="51" t="s">
        <v>559</v>
      </c>
      <c r="B10009" s="55" t="n">
        <v>45657</v>
      </c>
      <c r="C10009" s="51" t="s">
        <v>73</v>
      </c>
      <c r="D10009" s="51" t="n">
        <v>500000</v>
      </c>
    </row>
    <row r="10010" customFormat="false" ht="15" hidden="true" customHeight="false" outlineLevel="0" collapsed="false">
      <c r="A10010" s="51" t="s">
        <v>564</v>
      </c>
      <c r="B10010" s="55" t="n">
        <v>45657</v>
      </c>
      <c r="C10010" s="51" t="s">
        <v>73</v>
      </c>
      <c r="D10010" s="51" t="n">
        <v>250000</v>
      </c>
    </row>
    <row r="10011" customFormat="false" ht="15" hidden="true" customHeight="false" outlineLevel="0" collapsed="false">
      <c r="A10011" s="51" t="s">
        <v>569</v>
      </c>
      <c r="B10011" s="55" t="n">
        <v>45657</v>
      </c>
      <c r="C10011" s="51" t="s">
        <v>73</v>
      </c>
      <c r="D10011" s="51" t="n">
        <v>0</v>
      </c>
    </row>
    <row r="10012" customFormat="false" ht="15" hidden="true" customHeight="false" outlineLevel="0" collapsed="false">
      <c r="A10012" s="51" t="s">
        <v>574</v>
      </c>
      <c r="B10012" s="55" t="n">
        <v>45657</v>
      </c>
      <c r="C10012" s="51" t="s">
        <v>73</v>
      </c>
      <c r="D10012" s="51" t="n">
        <v>2500000</v>
      </c>
    </row>
    <row r="10013" customFormat="false" ht="15" hidden="true" customHeight="false" outlineLevel="0" collapsed="false">
      <c r="A10013" s="51" t="s">
        <v>579</v>
      </c>
      <c r="B10013" s="55" t="n">
        <v>45657</v>
      </c>
      <c r="C10013" s="51" t="s">
        <v>73</v>
      </c>
      <c r="D10013" s="51" t="n">
        <v>300000</v>
      </c>
    </row>
    <row r="10014" customFormat="false" ht="15" hidden="true" customHeight="false" outlineLevel="0" collapsed="false">
      <c r="A10014" s="51" t="s">
        <v>584</v>
      </c>
      <c r="B10014" s="55" t="n">
        <v>45657</v>
      </c>
      <c r="C10014" s="51" t="s">
        <v>73</v>
      </c>
      <c r="D10014" s="51" t="n">
        <v>180000</v>
      </c>
    </row>
    <row r="10015" customFormat="false" ht="15" hidden="true" customHeight="false" outlineLevel="0" collapsed="false">
      <c r="A10015" s="51" t="s">
        <v>589</v>
      </c>
      <c r="B10015" s="55" t="n">
        <v>45657</v>
      </c>
      <c r="C10015" s="51" t="s">
        <v>73</v>
      </c>
      <c r="D10015" s="51" t="n">
        <v>2200000</v>
      </c>
    </row>
    <row r="10016" customFormat="false" ht="15" hidden="true" customHeight="false" outlineLevel="0" collapsed="false">
      <c r="A10016" s="51" t="s">
        <v>756</v>
      </c>
      <c r="B10016" s="55" t="n">
        <v>45657</v>
      </c>
      <c r="C10016" s="51" t="s">
        <v>73</v>
      </c>
      <c r="D10016" s="51" t="n">
        <v>588627</v>
      </c>
    </row>
    <row r="10017" customFormat="false" ht="15" hidden="true" customHeight="false" outlineLevel="0" collapsed="false">
      <c r="A10017" s="51" t="s">
        <v>594</v>
      </c>
      <c r="B10017" s="55" t="n">
        <v>45657</v>
      </c>
      <c r="C10017" s="51" t="s">
        <v>73</v>
      </c>
      <c r="D10017" s="51" t="n">
        <v>188000</v>
      </c>
    </row>
    <row r="10018" customFormat="false" ht="15" hidden="true" customHeight="false" outlineLevel="0" collapsed="false">
      <c r="A10018" s="51" t="s">
        <v>761</v>
      </c>
      <c r="B10018" s="55" t="n">
        <v>45657</v>
      </c>
      <c r="C10018" s="51" t="s">
        <v>73</v>
      </c>
      <c r="D10018" s="51" t="n">
        <v>0</v>
      </c>
    </row>
    <row r="10019" customFormat="false" ht="15" hidden="true" customHeight="false" outlineLevel="0" collapsed="false">
      <c r="A10019" s="51" t="s">
        <v>599</v>
      </c>
      <c r="B10019" s="55" t="n">
        <v>45657</v>
      </c>
      <c r="C10019" s="51" t="s">
        <v>73</v>
      </c>
      <c r="D10019" s="51" t="n">
        <v>0</v>
      </c>
    </row>
    <row r="10020" customFormat="false" ht="15" hidden="true" customHeight="false" outlineLevel="0" collapsed="false">
      <c r="A10020" s="51" t="s">
        <v>604</v>
      </c>
      <c r="B10020" s="55" t="n">
        <v>45657</v>
      </c>
      <c r="C10020" s="51" t="s">
        <v>73</v>
      </c>
      <c r="D10020" s="51" t="n">
        <v>0</v>
      </c>
    </row>
    <row r="10021" customFormat="false" ht="15" hidden="true" customHeight="false" outlineLevel="0" collapsed="false">
      <c r="A10021" s="51" t="s">
        <v>609</v>
      </c>
      <c r="B10021" s="55" t="n">
        <v>45657</v>
      </c>
      <c r="C10021" s="51" t="s">
        <v>73</v>
      </c>
      <c r="D10021" s="51" t="n">
        <v>0</v>
      </c>
    </row>
    <row r="10022" customFormat="false" ht="15" hidden="true" customHeight="false" outlineLevel="0" collapsed="false">
      <c r="A10022" s="51" t="s">
        <v>614</v>
      </c>
      <c r="B10022" s="55" t="n">
        <v>45657</v>
      </c>
      <c r="C10022" s="51" t="s">
        <v>73</v>
      </c>
      <c r="D10022" s="51" t="n">
        <v>0</v>
      </c>
    </row>
    <row r="10023" customFormat="false" ht="15" hidden="true" customHeight="false" outlineLevel="0" collapsed="false">
      <c r="A10023" s="51" t="s">
        <v>619</v>
      </c>
      <c r="B10023" s="55" t="n">
        <v>45657</v>
      </c>
      <c r="C10023" s="51" t="s">
        <v>73</v>
      </c>
      <c r="D10023" s="51" t="n">
        <v>0</v>
      </c>
    </row>
    <row r="10024" customFormat="false" ht="15" hidden="true" customHeight="false" outlineLevel="0" collapsed="false">
      <c r="A10024" s="51" t="s">
        <v>624</v>
      </c>
      <c r="B10024" s="55" t="n">
        <v>45657</v>
      </c>
      <c r="C10024" s="51" t="s">
        <v>73</v>
      </c>
      <c r="D10024" s="51" t="n">
        <v>0</v>
      </c>
    </row>
    <row r="10025" customFormat="false" ht="15" hidden="true" customHeight="false" outlineLevel="0" collapsed="false">
      <c r="A10025" s="51" t="s">
        <v>629</v>
      </c>
      <c r="B10025" s="55" t="n">
        <v>45657</v>
      </c>
      <c r="C10025" s="51" t="s">
        <v>73</v>
      </c>
      <c r="D10025" s="51" t="n">
        <v>0</v>
      </c>
    </row>
    <row r="10026" customFormat="false" ht="15" hidden="true" customHeight="false" outlineLevel="0" collapsed="false">
      <c r="A10026" s="51" t="s">
        <v>633</v>
      </c>
      <c r="B10026" s="55" t="n">
        <v>45657</v>
      </c>
      <c r="C10026" s="51" t="s">
        <v>73</v>
      </c>
      <c r="D10026" s="51" t="n">
        <v>0</v>
      </c>
    </row>
    <row r="10027" customFormat="false" ht="15" hidden="true" customHeight="false" outlineLevel="0" collapsed="false">
      <c r="A10027" s="51" t="s">
        <v>638</v>
      </c>
      <c r="B10027" s="55" t="n">
        <v>45657</v>
      </c>
      <c r="C10027" s="51" t="s">
        <v>73</v>
      </c>
      <c r="D10027" s="51" t="n">
        <v>0</v>
      </c>
    </row>
    <row r="10028" customFormat="false" ht="15" hidden="true" customHeight="false" outlineLevel="0" collapsed="false">
      <c r="A10028" s="51" t="s">
        <v>642</v>
      </c>
      <c r="B10028" s="55" t="n">
        <v>45657</v>
      </c>
      <c r="C10028" s="51" t="s">
        <v>73</v>
      </c>
      <c r="D10028" s="51" t="n">
        <v>0</v>
      </c>
    </row>
    <row r="10029" customFormat="false" ht="15" hidden="true" customHeight="false" outlineLevel="0" collapsed="false">
      <c r="A10029" s="51" t="s">
        <v>646</v>
      </c>
      <c r="B10029" s="55" t="n">
        <v>45657</v>
      </c>
      <c r="C10029" s="51" t="s">
        <v>73</v>
      </c>
      <c r="D10029" s="51" t="n">
        <v>0</v>
      </c>
    </row>
    <row r="10030" customFormat="false" ht="15" hidden="true" customHeight="false" outlineLevel="0" collapsed="false">
      <c r="A10030" s="51" t="s">
        <v>651</v>
      </c>
      <c r="B10030" s="55" t="n">
        <v>45657</v>
      </c>
      <c r="C10030" s="51" t="s">
        <v>73</v>
      </c>
      <c r="D10030" s="51" t="n">
        <v>0</v>
      </c>
    </row>
    <row r="10031" customFormat="false" ht="15" hidden="true" customHeight="false" outlineLevel="0" collapsed="false">
      <c r="A10031" s="51" t="s">
        <v>656</v>
      </c>
      <c r="B10031" s="55" t="n">
        <v>45657</v>
      </c>
      <c r="C10031" s="51" t="s">
        <v>73</v>
      </c>
      <c r="D10031" s="51" t="n">
        <v>0</v>
      </c>
    </row>
    <row r="10032" customFormat="false" ht="15" hidden="true" customHeight="false" outlineLevel="0" collapsed="false">
      <c r="A10032" s="51" t="s">
        <v>661</v>
      </c>
      <c r="B10032" s="55" t="n">
        <v>45657</v>
      </c>
      <c r="C10032" s="51" t="s">
        <v>73</v>
      </c>
      <c r="D10032" s="51" t="n">
        <v>0</v>
      </c>
    </row>
    <row r="10033" customFormat="false" ht="15" hidden="true" customHeight="false" outlineLevel="0" collapsed="false">
      <c r="A10033" s="51" t="s">
        <v>666</v>
      </c>
      <c r="B10033" s="55" t="n">
        <v>45657</v>
      </c>
      <c r="C10033" s="51" t="s">
        <v>73</v>
      </c>
      <c r="D10033" s="51" t="n">
        <v>0</v>
      </c>
    </row>
    <row r="10034" customFormat="false" ht="15" hidden="true" customHeight="false" outlineLevel="0" collapsed="false">
      <c r="A10034" s="51" t="s">
        <v>671</v>
      </c>
      <c r="B10034" s="55" t="n">
        <v>45657</v>
      </c>
      <c r="C10034" s="51" t="s">
        <v>73</v>
      </c>
      <c r="D10034" s="51" t="n">
        <v>0</v>
      </c>
    </row>
    <row r="10035" customFormat="false" ht="15" hidden="true" customHeight="false" outlineLevel="0" collapsed="false">
      <c r="A10035" s="51" t="s">
        <v>676</v>
      </c>
      <c r="B10035" s="55" t="n">
        <v>45657</v>
      </c>
      <c r="C10035" s="51" t="s">
        <v>73</v>
      </c>
      <c r="D10035" s="51" t="n">
        <v>0</v>
      </c>
    </row>
    <row r="10036" customFormat="false" ht="15" hidden="true" customHeight="false" outlineLevel="0" collapsed="false">
      <c r="A10036" s="51" t="s">
        <v>681</v>
      </c>
      <c r="B10036" s="55" t="n">
        <v>45657</v>
      </c>
      <c r="C10036" s="51" t="s">
        <v>73</v>
      </c>
      <c r="D10036" s="51" t="n">
        <v>0</v>
      </c>
    </row>
    <row r="10037" customFormat="false" ht="15" hidden="true" customHeight="false" outlineLevel="0" collapsed="false">
      <c r="A10037" s="51" t="s">
        <v>686</v>
      </c>
      <c r="B10037" s="55" t="n">
        <v>45657</v>
      </c>
      <c r="C10037" s="51" t="s">
        <v>73</v>
      </c>
      <c r="D10037" s="51" t="n">
        <v>0</v>
      </c>
    </row>
    <row r="10038" customFormat="false" ht="15" hidden="true" customHeight="false" outlineLevel="0" collapsed="false">
      <c r="A10038" s="51" t="s">
        <v>691</v>
      </c>
      <c r="B10038" s="55" t="n">
        <v>45657</v>
      </c>
      <c r="C10038" s="51" t="s">
        <v>73</v>
      </c>
      <c r="D10038" s="51" t="n">
        <v>0</v>
      </c>
    </row>
    <row r="10039" customFormat="false" ht="15" hidden="true" customHeight="false" outlineLevel="0" collapsed="false">
      <c r="A10039" s="51" t="s">
        <v>696</v>
      </c>
      <c r="B10039" s="55" t="n">
        <v>45657</v>
      </c>
      <c r="C10039" s="51" t="s">
        <v>73</v>
      </c>
      <c r="D10039" s="51" t="n">
        <v>0</v>
      </c>
    </row>
    <row r="10040" customFormat="false" ht="15" hidden="true" customHeight="false" outlineLevel="0" collapsed="false">
      <c r="A10040" s="51" t="s">
        <v>701</v>
      </c>
      <c r="B10040" s="55" t="n">
        <v>45657</v>
      </c>
      <c r="C10040" s="51" t="s">
        <v>73</v>
      </c>
      <c r="D10040" s="51" t="n">
        <v>0</v>
      </c>
    </row>
    <row r="10041" customFormat="false" ht="15" hidden="true" customHeight="false" outlineLevel="0" collapsed="false">
      <c r="A10041" s="51" t="s">
        <v>707</v>
      </c>
      <c r="B10041" s="55" t="n">
        <v>45657</v>
      </c>
      <c r="C10041" s="51" t="s">
        <v>73</v>
      </c>
      <c r="D10041" s="51" t="n">
        <v>0</v>
      </c>
    </row>
    <row r="10042" customFormat="false" ht="15" hidden="true" customHeight="false" outlineLevel="0" collapsed="false">
      <c r="A10042" s="51" t="s">
        <v>712</v>
      </c>
      <c r="B10042" s="55" t="n">
        <v>45657</v>
      </c>
      <c r="C10042" s="51" t="s">
        <v>73</v>
      </c>
      <c r="D10042" s="51" t="n">
        <v>0</v>
      </c>
    </row>
    <row r="10043" customFormat="false" ht="15" hidden="true" customHeight="false" outlineLevel="0" collapsed="false">
      <c r="A10043" s="51" t="s">
        <v>717</v>
      </c>
      <c r="B10043" s="55" t="n">
        <v>45657</v>
      </c>
      <c r="C10043" s="51" t="s">
        <v>73</v>
      </c>
      <c r="D10043" s="51" t="n">
        <v>0</v>
      </c>
    </row>
    <row r="10044" customFormat="false" ht="15" hidden="true" customHeight="false" outlineLevel="0" collapsed="false">
      <c r="A10044" s="51" t="s">
        <v>767</v>
      </c>
      <c r="B10044" s="55" t="n">
        <v>45657</v>
      </c>
      <c r="C10044" s="51" t="s">
        <v>73</v>
      </c>
      <c r="D10044" s="51" t="n">
        <v>0</v>
      </c>
    </row>
    <row r="10045" customFormat="false" ht="15" hidden="true" customHeight="false" outlineLevel="0" collapsed="false">
      <c r="A10045" s="51" t="s">
        <v>722</v>
      </c>
      <c r="B10045" s="55" t="n">
        <v>45657</v>
      </c>
      <c r="C10045" s="51" t="s">
        <v>73</v>
      </c>
      <c r="D10045" s="51" t="n">
        <v>0</v>
      </c>
    </row>
    <row r="10046" customFormat="false" ht="15" hidden="true" customHeight="false" outlineLevel="0" collapsed="false">
      <c r="A10046" s="51" t="s">
        <v>727</v>
      </c>
      <c r="B10046" s="55" t="n">
        <v>45657</v>
      </c>
      <c r="C10046" s="51" t="s">
        <v>73</v>
      </c>
      <c r="D10046" s="51" t="n">
        <v>0</v>
      </c>
    </row>
    <row r="10047" customFormat="false" ht="15" hidden="true" customHeight="false" outlineLevel="0" collapsed="false">
      <c r="A10047" s="51" t="s">
        <v>732</v>
      </c>
      <c r="B10047" s="55" t="n">
        <v>45657</v>
      </c>
      <c r="C10047" s="51" t="s">
        <v>73</v>
      </c>
      <c r="D10047" s="51" t="n">
        <v>0</v>
      </c>
    </row>
    <row r="10048" customFormat="false" ht="15" hidden="true" customHeight="false" outlineLevel="0" collapsed="false">
      <c r="A10048" s="51" t="s">
        <v>736</v>
      </c>
      <c r="B10048" s="55" t="n">
        <v>45657</v>
      </c>
      <c r="C10048" s="51" t="s">
        <v>73</v>
      </c>
      <c r="D10048" s="51" t="n">
        <v>0</v>
      </c>
    </row>
    <row r="10049" customFormat="false" ht="15" hidden="true" customHeight="false" outlineLevel="0" collapsed="false">
      <c r="A10049" s="51" t="s">
        <v>741</v>
      </c>
      <c r="B10049" s="55" t="n">
        <v>45657</v>
      </c>
      <c r="C10049" s="51" t="s">
        <v>73</v>
      </c>
      <c r="D10049" s="51" t="n">
        <v>0</v>
      </c>
    </row>
    <row r="10050" customFormat="false" ht="15" hidden="true" customHeight="false" outlineLevel="0" collapsed="false">
      <c r="A10050" s="51" t="s">
        <v>746</v>
      </c>
      <c r="B10050" s="55" t="n">
        <v>45657</v>
      </c>
      <c r="C10050" s="51" t="s">
        <v>73</v>
      </c>
      <c r="D10050" s="51" t="n">
        <v>0</v>
      </c>
    </row>
    <row r="10051" customFormat="false" ht="15" hidden="true" customHeight="false" outlineLevel="0" collapsed="false">
      <c r="A10051" s="51" t="s">
        <v>751</v>
      </c>
      <c r="B10051" s="55" t="n">
        <v>45657</v>
      </c>
      <c r="C10051" s="51" t="s">
        <v>73</v>
      </c>
      <c r="D10051" s="51" t="n">
        <v>0</v>
      </c>
    </row>
    <row r="10052" customFormat="false" ht="15" hidden="false" customHeight="false" outlineLevel="0" collapsed="false">
      <c r="A10052" s="51" t="s">
        <v>781</v>
      </c>
      <c r="B10052" s="55" t="n">
        <v>45657</v>
      </c>
      <c r="C10052" s="51" t="s">
        <v>791</v>
      </c>
      <c r="D10052" s="51" t="n">
        <v>0</v>
      </c>
    </row>
    <row r="10053" customFormat="false" ht="15" hidden="true" customHeight="false" outlineLevel="0" collapsed="false">
      <c r="A10053" s="51" t="s">
        <v>783</v>
      </c>
      <c r="B10053" s="55" t="n">
        <v>45657</v>
      </c>
      <c r="C10053" s="51" t="s">
        <v>791</v>
      </c>
      <c r="D10053" s="51" t="n">
        <v>0</v>
      </c>
    </row>
    <row r="10054" customFormat="false" ht="15" hidden="true" customHeight="false" outlineLevel="0" collapsed="false">
      <c r="A10054" s="51" t="s">
        <v>96</v>
      </c>
      <c r="B10054" s="55" t="n">
        <v>45657</v>
      </c>
      <c r="C10054" s="51" t="s">
        <v>791</v>
      </c>
      <c r="D10054" s="51" t="n">
        <v>0</v>
      </c>
    </row>
    <row r="10055" customFormat="false" ht="15" hidden="true" customHeight="false" outlineLevel="0" collapsed="false">
      <c r="A10055" s="51" t="s">
        <v>101</v>
      </c>
      <c r="B10055" s="55" t="n">
        <v>45657</v>
      </c>
      <c r="C10055" s="51" t="s">
        <v>791</v>
      </c>
      <c r="D10055" s="51" t="n">
        <v>0</v>
      </c>
    </row>
    <row r="10056" customFormat="false" ht="15" hidden="true" customHeight="false" outlineLevel="0" collapsed="false">
      <c r="A10056" s="51" t="s">
        <v>106</v>
      </c>
      <c r="B10056" s="55" t="n">
        <v>45657</v>
      </c>
      <c r="C10056" s="51" t="s">
        <v>791</v>
      </c>
      <c r="D10056" s="51" t="n">
        <v>0</v>
      </c>
    </row>
    <row r="10057" customFormat="false" ht="15" hidden="true" customHeight="false" outlineLevel="0" collapsed="false">
      <c r="A10057" s="51" t="s">
        <v>110</v>
      </c>
      <c r="B10057" s="55" t="n">
        <v>45657</v>
      </c>
      <c r="C10057" s="51" t="s">
        <v>791</v>
      </c>
      <c r="D10057" s="51" t="n">
        <v>0</v>
      </c>
    </row>
    <row r="10058" customFormat="false" ht="15" hidden="true" customHeight="false" outlineLevel="0" collapsed="false">
      <c r="A10058" s="51" t="s">
        <v>115</v>
      </c>
      <c r="B10058" s="55" t="n">
        <v>45657</v>
      </c>
      <c r="C10058" s="51" t="s">
        <v>791</v>
      </c>
      <c r="D10058" s="51" t="n">
        <v>0</v>
      </c>
    </row>
    <row r="10059" customFormat="false" ht="15" hidden="true" customHeight="false" outlineLevel="0" collapsed="false">
      <c r="A10059" s="51" t="s">
        <v>120</v>
      </c>
      <c r="B10059" s="55" t="n">
        <v>45657</v>
      </c>
      <c r="C10059" s="51" t="s">
        <v>791</v>
      </c>
      <c r="D10059" s="51" t="n">
        <v>0</v>
      </c>
    </row>
    <row r="10060" customFormat="false" ht="15" hidden="true" customHeight="false" outlineLevel="0" collapsed="false">
      <c r="A10060" s="51" t="s">
        <v>124</v>
      </c>
      <c r="B10060" s="55" t="n">
        <v>45657</v>
      </c>
      <c r="C10060" s="51" t="s">
        <v>791</v>
      </c>
      <c r="D10060" s="51" t="n">
        <v>0</v>
      </c>
    </row>
    <row r="10061" customFormat="false" ht="15" hidden="true" customHeight="false" outlineLevel="0" collapsed="false">
      <c r="A10061" s="51" t="s">
        <v>129</v>
      </c>
      <c r="B10061" s="55" t="n">
        <v>45657</v>
      </c>
      <c r="C10061" s="51" t="s">
        <v>791</v>
      </c>
      <c r="D10061" s="51" t="n">
        <v>0</v>
      </c>
    </row>
    <row r="10062" customFormat="false" ht="15" hidden="true" customHeight="false" outlineLevel="0" collapsed="false">
      <c r="A10062" s="51" t="s">
        <v>134</v>
      </c>
      <c r="B10062" s="55" t="n">
        <v>45657</v>
      </c>
      <c r="C10062" s="51" t="s">
        <v>791</v>
      </c>
      <c r="D10062" s="51" t="n">
        <v>0</v>
      </c>
    </row>
    <row r="10063" customFormat="false" ht="15" hidden="true" customHeight="false" outlineLevel="0" collapsed="false">
      <c r="A10063" s="51" t="s">
        <v>141</v>
      </c>
      <c r="B10063" s="55" t="n">
        <v>45657</v>
      </c>
      <c r="C10063" s="51" t="s">
        <v>791</v>
      </c>
      <c r="D10063" s="51" t="n">
        <v>0</v>
      </c>
    </row>
    <row r="10064" customFormat="false" ht="15" hidden="true" customHeight="false" outlineLevel="0" collapsed="false">
      <c r="A10064" s="51" t="s">
        <v>146</v>
      </c>
      <c r="B10064" s="55" t="n">
        <v>45657</v>
      </c>
      <c r="C10064" s="51" t="s">
        <v>791</v>
      </c>
      <c r="D10064" s="51" t="n">
        <v>0</v>
      </c>
    </row>
    <row r="10065" customFormat="false" ht="15" hidden="true" customHeight="false" outlineLevel="0" collapsed="false">
      <c r="A10065" s="51" t="s">
        <v>151</v>
      </c>
      <c r="B10065" s="55" t="n">
        <v>45657</v>
      </c>
      <c r="C10065" s="51" t="s">
        <v>791</v>
      </c>
      <c r="D10065" s="51" t="n">
        <v>0</v>
      </c>
    </row>
    <row r="10066" customFormat="false" ht="15" hidden="true" customHeight="false" outlineLevel="0" collapsed="false">
      <c r="A10066" s="51" t="s">
        <v>156</v>
      </c>
      <c r="B10066" s="55" t="n">
        <v>45657</v>
      </c>
      <c r="C10066" s="51" t="s">
        <v>791</v>
      </c>
      <c r="D10066" s="51" t="n">
        <v>0</v>
      </c>
    </row>
    <row r="10067" customFormat="false" ht="15" hidden="true" customHeight="false" outlineLevel="0" collapsed="false">
      <c r="A10067" s="51" t="s">
        <v>161</v>
      </c>
      <c r="B10067" s="55" t="n">
        <v>45657</v>
      </c>
      <c r="C10067" s="51" t="s">
        <v>791</v>
      </c>
      <c r="D10067" s="51" t="n">
        <v>0</v>
      </c>
    </row>
    <row r="10068" customFormat="false" ht="15" hidden="true" customHeight="false" outlineLevel="0" collapsed="false">
      <c r="A10068" s="51" t="s">
        <v>166</v>
      </c>
      <c r="B10068" s="55" t="n">
        <v>45657</v>
      </c>
      <c r="C10068" s="51" t="s">
        <v>791</v>
      </c>
      <c r="D10068" s="51" t="n">
        <v>0</v>
      </c>
    </row>
    <row r="10069" customFormat="false" ht="15" hidden="true" customHeight="false" outlineLevel="0" collapsed="false">
      <c r="A10069" s="51" t="s">
        <v>171</v>
      </c>
      <c r="B10069" s="55" t="n">
        <v>45657</v>
      </c>
      <c r="C10069" s="51" t="s">
        <v>791</v>
      </c>
      <c r="D10069" s="51" t="n">
        <v>0</v>
      </c>
    </row>
    <row r="10070" customFormat="false" ht="15" hidden="true" customHeight="false" outlineLevel="0" collapsed="false">
      <c r="A10070" s="51" t="s">
        <v>176</v>
      </c>
      <c r="B10070" s="55" t="n">
        <v>45657</v>
      </c>
      <c r="C10070" s="51" t="s">
        <v>791</v>
      </c>
      <c r="D10070" s="51" t="n">
        <v>0</v>
      </c>
    </row>
    <row r="10071" customFormat="false" ht="15" hidden="true" customHeight="false" outlineLevel="0" collapsed="false">
      <c r="A10071" s="51" t="s">
        <v>181</v>
      </c>
      <c r="B10071" s="55" t="n">
        <v>45657</v>
      </c>
      <c r="C10071" s="51" t="s">
        <v>791</v>
      </c>
      <c r="D10071" s="51" t="n">
        <v>0</v>
      </c>
    </row>
    <row r="10072" customFormat="false" ht="15" hidden="true" customHeight="false" outlineLevel="0" collapsed="false">
      <c r="A10072" s="51" t="s">
        <v>186</v>
      </c>
      <c r="B10072" s="55" t="n">
        <v>45657</v>
      </c>
      <c r="C10072" s="51" t="s">
        <v>791</v>
      </c>
      <c r="D10072" s="51" t="n">
        <v>0</v>
      </c>
    </row>
    <row r="10073" customFormat="false" ht="15" hidden="true" customHeight="false" outlineLevel="0" collapsed="false">
      <c r="A10073" s="51" t="s">
        <v>191</v>
      </c>
      <c r="B10073" s="55" t="n">
        <v>45657</v>
      </c>
      <c r="C10073" s="51" t="s">
        <v>791</v>
      </c>
      <c r="D10073" s="51" t="n">
        <v>0</v>
      </c>
    </row>
    <row r="10074" customFormat="false" ht="15" hidden="true" customHeight="false" outlineLevel="0" collapsed="false">
      <c r="A10074" s="51" t="s">
        <v>196</v>
      </c>
      <c r="B10074" s="55" t="n">
        <v>45657</v>
      </c>
      <c r="C10074" s="51" t="s">
        <v>791</v>
      </c>
      <c r="D10074" s="51" t="n">
        <v>0</v>
      </c>
    </row>
    <row r="10075" customFormat="false" ht="15" hidden="true" customHeight="false" outlineLevel="0" collapsed="false">
      <c r="A10075" s="51" t="s">
        <v>201</v>
      </c>
      <c r="B10075" s="55" t="n">
        <v>45657</v>
      </c>
      <c r="C10075" s="51" t="s">
        <v>791</v>
      </c>
      <c r="D10075" s="51" t="n">
        <v>0</v>
      </c>
    </row>
    <row r="10076" customFormat="false" ht="15" hidden="true" customHeight="false" outlineLevel="0" collapsed="false">
      <c r="A10076" s="51" t="s">
        <v>206</v>
      </c>
      <c r="B10076" s="55" t="n">
        <v>45657</v>
      </c>
      <c r="C10076" s="51" t="s">
        <v>791</v>
      </c>
      <c r="D10076" s="51" t="n">
        <v>0</v>
      </c>
    </row>
    <row r="10077" customFormat="false" ht="15" hidden="true" customHeight="false" outlineLevel="0" collapsed="false">
      <c r="A10077" s="51" t="s">
        <v>210</v>
      </c>
      <c r="B10077" s="55" t="n">
        <v>45657</v>
      </c>
      <c r="C10077" s="51" t="s">
        <v>791</v>
      </c>
      <c r="D10077" s="51" t="n">
        <v>0</v>
      </c>
    </row>
    <row r="10078" customFormat="false" ht="15" hidden="true" customHeight="false" outlineLevel="0" collapsed="false">
      <c r="A10078" s="51" t="s">
        <v>215</v>
      </c>
      <c r="B10078" s="55" t="n">
        <v>45657</v>
      </c>
      <c r="C10078" s="51" t="s">
        <v>791</v>
      </c>
      <c r="D10078" s="51" t="n">
        <v>0</v>
      </c>
    </row>
    <row r="10079" customFormat="false" ht="15" hidden="true" customHeight="false" outlineLevel="0" collapsed="false">
      <c r="A10079" s="51" t="s">
        <v>790</v>
      </c>
      <c r="B10079" s="55" t="n">
        <v>45657</v>
      </c>
      <c r="C10079" s="51" t="s">
        <v>791</v>
      </c>
      <c r="D10079" s="51" t="n">
        <v>0</v>
      </c>
    </row>
    <row r="10080" customFormat="false" ht="15" hidden="true" customHeight="false" outlineLevel="0" collapsed="false">
      <c r="A10080" s="51" t="s">
        <v>225</v>
      </c>
      <c r="B10080" s="55" t="n">
        <v>45657</v>
      </c>
      <c r="C10080" s="51" t="s">
        <v>791</v>
      </c>
      <c r="D10080" s="51" t="n">
        <v>0</v>
      </c>
    </row>
    <row r="10081" customFormat="false" ht="15" hidden="true" customHeight="false" outlineLevel="0" collapsed="false">
      <c r="A10081" s="51" t="s">
        <v>230</v>
      </c>
      <c r="B10081" s="55" t="n">
        <v>45657</v>
      </c>
      <c r="C10081" s="51" t="s">
        <v>791</v>
      </c>
      <c r="D10081" s="51" t="n">
        <v>0</v>
      </c>
    </row>
    <row r="10082" customFormat="false" ht="15" hidden="true" customHeight="false" outlineLevel="0" collapsed="false">
      <c r="A10082" s="51" t="s">
        <v>235</v>
      </c>
      <c r="B10082" s="55" t="n">
        <v>45657</v>
      </c>
      <c r="C10082" s="51" t="s">
        <v>791</v>
      </c>
      <c r="D10082" s="51" t="n">
        <v>0</v>
      </c>
    </row>
    <row r="10083" customFormat="false" ht="15" hidden="true" customHeight="false" outlineLevel="0" collapsed="false">
      <c r="A10083" s="51" t="s">
        <v>240</v>
      </c>
      <c r="B10083" s="55" t="n">
        <v>45657</v>
      </c>
      <c r="C10083" s="51" t="s">
        <v>791</v>
      </c>
      <c r="D10083" s="51" t="n">
        <v>0</v>
      </c>
    </row>
    <row r="10084" customFormat="false" ht="15" hidden="true" customHeight="false" outlineLevel="0" collapsed="false">
      <c r="A10084" s="51" t="s">
        <v>246</v>
      </c>
      <c r="B10084" s="55" t="n">
        <v>45657</v>
      </c>
      <c r="C10084" s="51" t="s">
        <v>791</v>
      </c>
      <c r="D10084" s="51" t="n">
        <v>-466874.5</v>
      </c>
    </row>
    <row r="10085" customFormat="false" ht="15" hidden="true" customHeight="false" outlineLevel="0" collapsed="false">
      <c r="A10085" s="51" t="s">
        <v>252</v>
      </c>
      <c r="B10085" s="55" t="n">
        <v>45657</v>
      </c>
      <c r="C10085" s="51" t="s">
        <v>791</v>
      </c>
      <c r="D10085" s="51" t="n">
        <v>0</v>
      </c>
    </row>
    <row r="10086" customFormat="false" ht="15" hidden="true" customHeight="false" outlineLevel="0" collapsed="false">
      <c r="A10086" s="51" t="s">
        <v>257</v>
      </c>
      <c r="B10086" s="55" t="n">
        <v>45657</v>
      </c>
      <c r="C10086" s="51" t="s">
        <v>791</v>
      </c>
      <c r="D10086" s="51" t="n">
        <v>0</v>
      </c>
    </row>
    <row r="10087" customFormat="false" ht="15" hidden="true" customHeight="false" outlineLevel="0" collapsed="false">
      <c r="A10087" s="51" t="s">
        <v>262</v>
      </c>
      <c r="B10087" s="55" t="n">
        <v>45657</v>
      </c>
      <c r="C10087" s="51" t="s">
        <v>791</v>
      </c>
      <c r="D10087" s="51" t="n">
        <v>0</v>
      </c>
    </row>
    <row r="10088" customFormat="false" ht="15" hidden="true" customHeight="false" outlineLevel="0" collapsed="false">
      <c r="A10088" s="51" t="s">
        <v>267</v>
      </c>
      <c r="B10088" s="55" t="n">
        <v>45657</v>
      </c>
      <c r="C10088" s="51" t="s">
        <v>791</v>
      </c>
      <c r="D10088" s="51" t="n">
        <v>0</v>
      </c>
    </row>
    <row r="10089" customFormat="false" ht="15" hidden="true" customHeight="false" outlineLevel="0" collapsed="false">
      <c r="A10089" s="51" t="s">
        <v>272</v>
      </c>
      <c r="B10089" s="55" t="n">
        <v>45657</v>
      </c>
      <c r="C10089" s="51" t="s">
        <v>791</v>
      </c>
      <c r="D10089" s="51" t="n">
        <v>0</v>
      </c>
    </row>
    <row r="10090" customFormat="false" ht="15" hidden="true" customHeight="false" outlineLevel="0" collapsed="false">
      <c r="A10090" s="51" t="s">
        <v>277</v>
      </c>
      <c r="B10090" s="55" t="n">
        <v>45657</v>
      </c>
      <c r="C10090" s="51" t="s">
        <v>791</v>
      </c>
      <c r="D10090" s="51" t="n">
        <v>0</v>
      </c>
    </row>
    <row r="10091" customFormat="false" ht="15" hidden="true" customHeight="false" outlineLevel="0" collapsed="false">
      <c r="A10091" s="51" t="s">
        <v>282</v>
      </c>
      <c r="B10091" s="55" t="n">
        <v>45657</v>
      </c>
      <c r="C10091" s="51" t="s">
        <v>791</v>
      </c>
      <c r="D10091" s="51" t="n">
        <v>0</v>
      </c>
    </row>
    <row r="10092" customFormat="false" ht="15" hidden="true" customHeight="false" outlineLevel="0" collapsed="false">
      <c r="A10092" s="51" t="s">
        <v>287</v>
      </c>
      <c r="B10092" s="55" t="n">
        <v>45657</v>
      </c>
      <c r="C10092" s="51" t="s">
        <v>791</v>
      </c>
      <c r="D10092" s="51" t="n">
        <v>0</v>
      </c>
    </row>
    <row r="10093" customFormat="false" ht="15" hidden="true" customHeight="false" outlineLevel="0" collapsed="false">
      <c r="A10093" s="51" t="s">
        <v>292</v>
      </c>
      <c r="B10093" s="55" t="n">
        <v>45657</v>
      </c>
      <c r="C10093" s="51" t="s">
        <v>791</v>
      </c>
      <c r="D10093" s="51" t="n">
        <v>0</v>
      </c>
    </row>
    <row r="10094" customFormat="false" ht="15" hidden="true" customHeight="false" outlineLevel="0" collapsed="false">
      <c r="A10094" s="51" t="s">
        <v>297</v>
      </c>
      <c r="B10094" s="55" t="n">
        <v>45657</v>
      </c>
      <c r="C10094" s="51" t="s">
        <v>791</v>
      </c>
      <c r="D10094" s="51" t="n">
        <v>0</v>
      </c>
    </row>
    <row r="10095" customFormat="false" ht="15" hidden="true" customHeight="false" outlineLevel="0" collapsed="false">
      <c r="A10095" s="51" t="s">
        <v>302</v>
      </c>
      <c r="B10095" s="55" t="n">
        <v>45657</v>
      </c>
      <c r="C10095" s="51" t="s">
        <v>791</v>
      </c>
      <c r="D10095" s="51" t="n">
        <v>0</v>
      </c>
    </row>
    <row r="10096" customFormat="false" ht="15" hidden="true" customHeight="false" outlineLevel="0" collapsed="false">
      <c r="A10096" s="51" t="s">
        <v>307</v>
      </c>
      <c r="B10096" s="55" t="n">
        <v>45657</v>
      </c>
      <c r="C10096" s="51" t="s">
        <v>791</v>
      </c>
      <c r="D10096" s="51" t="n">
        <v>0</v>
      </c>
    </row>
    <row r="10097" customFormat="false" ht="15" hidden="true" customHeight="false" outlineLevel="0" collapsed="false">
      <c r="A10097" s="51" t="s">
        <v>311</v>
      </c>
      <c r="B10097" s="55" t="n">
        <v>45657</v>
      </c>
      <c r="C10097" s="51" t="s">
        <v>791</v>
      </c>
      <c r="D10097" s="51" t="n">
        <v>0</v>
      </c>
    </row>
    <row r="10098" customFormat="false" ht="15" hidden="true" customHeight="false" outlineLevel="0" collapsed="false">
      <c r="A10098" s="51" t="s">
        <v>317</v>
      </c>
      <c r="B10098" s="55" t="n">
        <v>45657</v>
      </c>
      <c r="C10098" s="51" t="s">
        <v>791</v>
      </c>
      <c r="D10098" s="51" t="n">
        <v>0</v>
      </c>
    </row>
    <row r="10099" customFormat="false" ht="15" hidden="true" customHeight="false" outlineLevel="0" collapsed="false">
      <c r="A10099" s="51" t="s">
        <v>322</v>
      </c>
      <c r="B10099" s="55" t="n">
        <v>45657</v>
      </c>
      <c r="C10099" s="51" t="s">
        <v>791</v>
      </c>
      <c r="D10099" s="51" t="n">
        <v>0</v>
      </c>
    </row>
    <row r="10100" customFormat="false" ht="15" hidden="true" customHeight="false" outlineLevel="0" collapsed="false">
      <c r="A10100" s="51" t="s">
        <v>327</v>
      </c>
      <c r="B10100" s="55" t="n">
        <v>45657</v>
      </c>
      <c r="C10100" s="51" t="s">
        <v>791</v>
      </c>
      <c r="D10100" s="51" t="n">
        <v>0</v>
      </c>
    </row>
    <row r="10101" customFormat="false" ht="15" hidden="true" customHeight="false" outlineLevel="0" collapsed="false">
      <c r="A10101" s="51" t="s">
        <v>332</v>
      </c>
      <c r="B10101" s="55" t="n">
        <v>45657</v>
      </c>
      <c r="C10101" s="51" t="s">
        <v>791</v>
      </c>
      <c r="D10101" s="51" t="n">
        <v>0</v>
      </c>
    </row>
    <row r="10102" customFormat="false" ht="15" hidden="true" customHeight="false" outlineLevel="0" collapsed="false">
      <c r="A10102" s="51" t="s">
        <v>339</v>
      </c>
      <c r="B10102" s="55" t="n">
        <v>45657</v>
      </c>
      <c r="C10102" s="51" t="s">
        <v>791</v>
      </c>
      <c r="D10102" s="51" t="n">
        <v>0</v>
      </c>
    </row>
    <row r="10103" customFormat="false" ht="15" hidden="true" customHeight="false" outlineLevel="0" collapsed="false">
      <c r="A10103" s="51" t="s">
        <v>344</v>
      </c>
      <c r="B10103" s="55" t="n">
        <v>45657</v>
      </c>
      <c r="C10103" s="51" t="s">
        <v>791</v>
      </c>
      <c r="D10103" s="51" t="n">
        <v>0</v>
      </c>
    </row>
    <row r="10104" customFormat="false" ht="15" hidden="true" customHeight="false" outlineLevel="0" collapsed="false">
      <c r="A10104" s="51" t="s">
        <v>349</v>
      </c>
      <c r="B10104" s="55" t="n">
        <v>45657</v>
      </c>
      <c r="C10104" s="51" t="s">
        <v>791</v>
      </c>
      <c r="D10104" s="51" t="n">
        <v>0</v>
      </c>
    </row>
    <row r="10105" customFormat="false" ht="15" hidden="true" customHeight="false" outlineLevel="0" collapsed="false">
      <c r="A10105" s="51" t="s">
        <v>354</v>
      </c>
      <c r="B10105" s="55" t="n">
        <v>45657</v>
      </c>
      <c r="C10105" s="51" t="s">
        <v>791</v>
      </c>
      <c r="D10105" s="51" t="n">
        <v>0</v>
      </c>
    </row>
    <row r="10106" customFormat="false" ht="15" hidden="true" customHeight="false" outlineLevel="0" collapsed="false">
      <c r="A10106" s="51" t="s">
        <v>359</v>
      </c>
      <c r="B10106" s="55" t="n">
        <v>45657</v>
      </c>
      <c r="C10106" s="51" t="s">
        <v>791</v>
      </c>
      <c r="D10106" s="51" t="n">
        <v>0</v>
      </c>
    </row>
    <row r="10107" customFormat="false" ht="15" hidden="true" customHeight="false" outlineLevel="0" collapsed="false">
      <c r="A10107" s="51" t="s">
        <v>364</v>
      </c>
      <c r="B10107" s="55" t="n">
        <v>45657</v>
      </c>
      <c r="C10107" s="51" t="s">
        <v>791</v>
      </c>
      <c r="D10107" s="51" t="n">
        <v>0</v>
      </c>
    </row>
    <row r="10108" customFormat="false" ht="15" hidden="true" customHeight="false" outlineLevel="0" collapsed="false">
      <c r="A10108" s="51" t="s">
        <v>369</v>
      </c>
      <c r="B10108" s="55" t="n">
        <v>45657</v>
      </c>
      <c r="C10108" s="51" t="s">
        <v>791</v>
      </c>
      <c r="D10108" s="51" t="n">
        <v>-274300</v>
      </c>
    </row>
    <row r="10109" customFormat="false" ht="15" hidden="true" customHeight="false" outlineLevel="0" collapsed="false">
      <c r="A10109" s="51" t="s">
        <v>374</v>
      </c>
      <c r="B10109" s="55" t="n">
        <v>45657</v>
      </c>
      <c r="C10109" s="51" t="s">
        <v>791</v>
      </c>
      <c r="D10109" s="51" t="n">
        <v>0</v>
      </c>
    </row>
    <row r="10110" customFormat="false" ht="15" hidden="true" customHeight="false" outlineLevel="0" collapsed="false">
      <c r="A10110" s="51" t="s">
        <v>379</v>
      </c>
      <c r="B10110" s="55" t="n">
        <v>45657</v>
      </c>
      <c r="C10110" s="51" t="s">
        <v>791</v>
      </c>
      <c r="D10110" s="51" t="n">
        <v>0</v>
      </c>
    </row>
    <row r="10111" customFormat="false" ht="15" hidden="true" customHeight="false" outlineLevel="0" collapsed="false">
      <c r="A10111" s="51" t="s">
        <v>384</v>
      </c>
      <c r="B10111" s="55" t="n">
        <v>45657</v>
      </c>
      <c r="C10111" s="51" t="s">
        <v>791</v>
      </c>
      <c r="D10111" s="51" t="n">
        <v>0</v>
      </c>
    </row>
    <row r="10112" customFormat="false" ht="15" hidden="true" customHeight="false" outlineLevel="0" collapsed="false">
      <c r="A10112" s="51" t="s">
        <v>389</v>
      </c>
      <c r="B10112" s="55" t="n">
        <v>45657</v>
      </c>
      <c r="C10112" s="51" t="s">
        <v>791</v>
      </c>
      <c r="D10112" s="51" t="n">
        <v>-1000000</v>
      </c>
    </row>
    <row r="10113" customFormat="false" ht="15" hidden="true" customHeight="false" outlineLevel="0" collapsed="false">
      <c r="A10113" s="51" t="s">
        <v>394</v>
      </c>
      <c r="B10113" s="55" t="n">
        <v>45657</v>
      </c>
      <c r="C10113" s="51" t="s">
        <v>791</v>
      </c>
      <c r="D10113" s="51" t="n">
        <v>-2000000</v>
      </c>
    </row>
    <row r="10114" customFormat="false" ht="15" hidden="true" customHeight="false" outlineLevel="0" collapsed="false">
      <c r="A10114" s="51" t="s">
        <v>399</v>
      </c>
      <c r="B10114" s="55" t="n">
        <v>45657</v>
      </c>
      <c r="C10114" s="51" t="s">
        <v>791</v>
      </c>
      <c r="D10114" s="51" t="n">
        <v>0</v>
      </c>
    </row>
    <row r="10115" customFormat="false" ht="15" hidden="true" customHeight="false" outlineLevel="0" collapsed="false">
      <c r="A10115" s="51" t="s">
        <v>404</v>
      </c>
      <c r="B10115" s="55" t="n">
        <v>45657</v>
      </c>
      <c r="C10115" s="51" t="s">
        <v>791</v>
      </c>
      <c r="D10115" s="51" t="n">
        <v>-1600000</v>
      </c>
    </row>
    <row r="10116" customFormat="false" ht="15" hidden="true" customHeight="false" outlineLevel="0" collapsed="false">
      <c r="A10116" s="51" t="s">
        <v>409</v>
      </c>
      <c r="B10116" s="55" t="n">
        <v>45657</v>
      </c>
      <c r="C10116" s="51" t="s">
        <v>791</v>
      </c>
      <c r="D10116" s="51" t="n">
        <v>0</v>
      </c>
    </row>
    <row r="10117" customFormat="false" ht="15" hidden="true" customHeight="false" outlineLevel="0" collapsed="false">
      <c r="A10117" s="51" t="s">
        <v>414</v>
      </c>
      <c r="B10117" s="55" t="n">
        <v>45657</v>
      </c>
      <c r="C10117" s="51" t="s">
        <v>791</v>
      </c>
      <c r="D10117" s="51" t="n">
        <v>0</v>
      </c>
    </row>
    <row r="10118" customFormat="false" ht="15" hidden="true" customHeight="false" outlineLevel="0" collapsed="false">
      <c r="A10118" s="51" t="s">
        <v>419</v>
      </c>
      <c r="B10118" s="55" t="n">
        <v>45657</v>
      </c>
      <c r="C10118" s="51" t="s">
        <v>791</v>
      </c>
      <c r="D10118" s="51" t="n">
        <v>0</v>
      </c>
    </row>
    <row r="10119" customFormat="false" ht="15" hidden="true" customHeight="false" outlineLevel="0" collapsed="false">
      <c r="A10119" s="51" t="s">
        <v>424</v>
      </c>
      <c r="B10119" s="55" t="n">
        <v>45657</v>
      </c>
      <c r="C10119" s="51" t="s">
        <v>791</v>
      </c>
      <c r="D10119" s="51" t="n">
        <v>0</v>
      </c>
    </row>
    <row r="10120" customFormat="false" ht="15" hidden="true" customHeight="false" outlineLevel="0" collapsed="false">
      <c r="A10120" s="51" t="s">
        <v>429</v>
      </c>
      <c r="B10120" s="55" t="n">
        <v>45657</v>
      </c>
      <c r="C10120" s="51" t="s">
        <v>791</v>
      </c>
      <c r="D10120" s="51" t="n">
        <v>0</v>
      </c>
    </row>
    <row r="10121" customFormat="false" ht="15" hidden="true" customHeight="false" outlineLevel="0" collapsed="false">
      <c r="A10121" s="51" t="s">
        <v>434</v>
      </c>
      <c r="B10121" s="55" t="n">
        <v>45657</v>
      </c>
      <c r="C10121" s="51" t="s">
        <v>791</v>
      </c>
      <c r="D10121" s="51" t="n">
        <v>-1000000</v>
      </c>
    </row>
    <row r="10122" customFormat="false" ht="15" hidden="true" customHeight="false" outlineLevel="0" collapsed="false">
      <c r="A10122" s="51" t="s">
        <v>438</v>
      </c>
      <c r="B10122" s="55" t="n">
        <v>45657</v>
      </c>
      <c r="C10122" s="51" t="s">
        <v>791</v>
      </c>
      <c r="D10122" s="51" t="n">
        <v>-600000</v>
      </c>
    </row>
    <row r="10123" customFormat="false" ht="15" hidden="true" customHeight="false" outlineLevel="0" collapsed="false">
      <c r="A10123" s="51" t="s">
        <v>443</v>
      </c>
      <c r="B10123" s="55" t="n">
        <v>45657</v>
      </c>
      <c r="C10123" s="51" t="s">
        <v>791</v>
      </c>
      <c r="D10123" s="51" t="n">
        <v>0</v>
      </c>
    </row>
    <row r="10124" customFormat="false" ht="15" hidden="true" customHeight="false" outlineLevel="0" collapsed="false">
      <c r="A10124" s="51" t="s">
        <v>448</v>
      </c>
      <c r="B10124" s="55" t="n">
        <v>45657</v>
      </c>
      <c r="C10124" s="51" t="s">
        <v>791</v>
      </c>
      <c r="D10124" s="51" t="n">
        <v>0</v>
      </c>
    </row>
    <row r="10125" customFormat="false" ht="15" hidden="true" customHeight="false" outlineLevel="0" collapsed="false">
      <c r="A10125" s="51" t="s">
        <v>453</v>
      </c>
      <c r="B10125" s="55" t="n">
        <v>45657</v>
      </c>
      <c r="C10125" s="51" t="s">
        <v>791</v>
      </c>
      <c r="D10125" s="51" t="n">
        <v>-500000</v>
      </c>
    </row>
    <row r="10126" customFormat="false" ht="15" hidden="true" customHeight="false" outlineLevel="0" collapsed="false">
      <c r="A10126" s="51" t="s">
        <v>458</v>
      </c>
      <c r="B10126" s="55" t="n">
        <v>45657</v>
      </c>
      <c r="C10126" s="51" t="s">
        <v>791</v>
      </c>
      <c r="D10126" s="51" t="n">
        <v>-678549</v>
      </c>
    </row>
    <row r="10127" customFormat="false" ht="15" hidden="true" customHeight="false" outlineLevel="0" collapsed="false">
      <c r="A10127" s="51" t="s">
        <v>473</v>
      </c>
      <c r="B10127" s="55" t="n">
        <v>45657</v>
      </c>
      <c r="C10127" s="51" t="s">
        <v>791</v>
      </c>
      <c r="D10127" s="51" t="n">
        <v>0</v>
      </c>
    </row>
    <row r="10128" customFormat="false" ht="15" hidden="true" customHeight="false" outlineLevel="0" collapsed="false">
      <c r="A10128" s="51" t="s">
        <v>479</v>
      </c>
      <c r="B10128" s="55" t="n">
        <v>45657</v>
      </c>
      <c r="C10128" s="51" t="s">
        <v>791</v>
      </c>
      <c r="D10128" s="51" t="n">
        <v>0</v>
      </c>
    </row>
    <row r="10129" customFormat="false" ht="15" hidden="true" customHeight="false" outlineLevel="0" collapsed="false">
      <c r="A10129" s="51" t="s">
        <v>484</v>
      </c>
      <c r="B10129" s="55" t="n">
        <v>45657</v>
      </c>
      <c r="C10129" s="51" t="s">
        <v>791</v>
      </c>
      <c r="D10129" s="51" t="n">
        <v>-100000</v>
      </c>
    </row>
    <row r="10130" customFormat="false" ht="15" hidden="true" customHeight="false" outlineLevel="0" collapsed="false">
      <c r="A10130" s="51" t="s">
        <v>489</v>
      </c>
      <c r="B10130" s="55" t="n">
        <v>45657</v>
      </c>
      <c r="C10130" s="51" t="s">
        <v>791</v>
      </c>
      <c r="D10130" s="51" t="n">
        <v>-172449.63</v>
      </c>
    </row>
    <row r="10131" customFormat="false" ht="15" hidden="true" customHeight="false" outlineLevel="0" collapsed="false">
      <c r="A10131" s="51" t="s">
        <v>494</v>
      </c>
      <c r="B10131" s="55" t="n">
        <v>45657</v>
      </c>
      <c r="C10131" s="51" t="s">
        <v>791</v>
      </c>
      <c r="D10131" s="51" t="n">
        <v>-331338.85</v>
      </c>
    </row>
    <row r="10132" customFormat="false" ht="15" hidden="true" customHeight="false" outlineLevel="0" collapsed="false">
      <c r="A10132" s="51" t="s">
        <v>499</v>
      </c>
      <c r="B10132" s="55" t="n">
        <v>45657</v>
      </c>
      <c r="C10132" s="51" t="s">
        <v>791</v>
      </c>
      <c r="D10132" s="51" t="n">
        <v>0</v>
      </c>
    </row>
    <row r="10133" customFormat="false" ht="15" hidden="true" customHeight="false" outlineLevel="0" collapsed="false">
      <c r="A10133" s="51" t="s">
        <v>504</v>
      </c>
      <c r="B10133" s="55" t="n">
        <v>45657</v>
      </c>
      <c r="C10133" s="51" t="s">
        <v>791</v>
      </c>
      <c r="D10133" s="51" t="n">
        <v>0</v>
      </c>
    </row>
    <row r="10134" customFormat="false" ht="15" hidden="true" customHeight="false" outlineLevel="0" collapsed="false">
      <c r="A10134" s="51" t="s">
        <v>509</v>
      </c>
      <c r="B10134" s="55" t="n">
        <v>45657</v>
      </c>
      <c r="C10134" s="51" t="s">
        <v>791</v>
      </c>
      <c r="D10134" s="51" t="n">
        <v>-440300</v>
      </c>
    </row>
    <row r="10135" customFormat="false" ht="15" hidden="true" customHeight="false" outlineLevel="0" collapsed="false">
      <c r="A10135" s="51" t="s">
        <v>515</v>
      </c>
      <c r="B10135" s="55" t="n">
        <v>45657</v>
      </c>
      <c r="C10135" s="51" t="s">
        <v>791</v>
      </c>
      <c r="D10135" s="51" t="n">
        <v>-1214226.72</v>
      </c>
    </row>
    <row r="10136" customFormat="false" ht="15" hidden="true" customHeight="false" outlineLevel="0" collapsed="false">
      <c r="A10136" s="51" t="s">
        <v>520</v>
      </c>
      <c r="B10136" s="55" t="n">
        <v>45657</v>
      </c>
      <c r="C10136" s="51" t="s">
        <v>791</v>
      </c>
      <c r="D10136" s="51" t="n">
        <v>-700000</v>
      </c>
    </row>
    <row r="10137" customFormat="false" ht="15" hidden="true" customHeight="false" outlineLevel="0" collapsed="false">
      <c r="A10137" s="51" t="s">
        <v>525</v>
      </c>
      <c r="B10137" s="55" t="n">
        <v>45657</v>
      </c>
      <c r="C10137" s="51" t="s">
        <v>791</v>
      </c>
      <c r="D10137" s="51" t="n">
        <v>-300000</v>
      </c>
    </row>
    <row r="10138" customFormat="false" ht="15" hidden="true" customHeight="false" outlineLevel="0" collapsed="false">
      <c r="A10138" s="51" t="s">
        <v>531</v>
      </c>
      <c r="B10138" s="55" t="n">
        <v>45657</v>
      </c>
      <c r="C10138" s="51" t="s">
        <v>791</v>
      </c>
      <c r="D10138" s="51" t="n">
        <v>-800000</v>
      </c>
    </row>
    <row r="10139" customFormat="false" ht="15" hidden="true" customHeight="false" outlineLevel="0" collapsed="false">
      <c r="A10139" s="51" t="s">
        <v>536</v>
      </c>
      <c r="B10139" s="55" t="n">
        <v>45657</v>
      </c>
      <c r="C10139" s="51" t="s">
        <v>791</v>
      </c>
      <c r="D10139" s="51" t="n">
        <v>-250000</v>
      </c>
    </row>
    <row r="10140" customFormat="false" ht="15" hidden="true" customHeight="false" outlineLevel="0" collapsed="false">
      <c r="A10140" s="51" t="s">
        <v>541</v>
      </c>
      <c r="B10140" s="55" t="n">
        <v>45657</v>
      </c>
      <c r="C10140" s="51" t="s">
        <v>791</v>
      </c>
      <c r="D10140" s="51" t="n">
        <v>-700000</v>
      </c>
    </row>
    <row r="10141" customFormat="false" ht="15" hidden="true" customHeight="false" outlineLevel="0" collapsed="false">
      <c r="A10141" s="51" t="s">
        <v>549</v>
      </c>
      <c r="B10141" s="55" t="n">
        <v>45657</v>
      </c>
      <c r="C10141" s="51" t="s">
        <v>791</v>
      </c>
      <c r="D10141" s="51" t="n">
        <v>-1868953.6</v>
      </c>
    </row>
    <row r="10142" customFormat="false" ht="15" hidden="true" customHeight="false" outlineLevel="0" collapsed="false">
      <c r="A10142" s="51" t="s">
        <v>554</v>
      </c>
      <c r="B10142" s="55" t="n">
        <v>45657</v>
      </c>
      <c r="C10142" s="51" t="s">
        <v>791</v>
      </c>
      <c r="D10142" s="51" t="n">
        <v>-1620801.75</v>
      </c>
    </row>
    <row r="10143" customFormat="false" ht="15" hidden="true" customHeight="false" outlineLevel="0" collapsed="false">
      <c r="A10143" s="51" t="s">
        <v>559</v>
      </c>
      <c r="B10143" s="55" t="n">
        <v>45657</v>
      </c>
      <c r="C10143" s="51" t="s">
        <v>791</v>
      </c>
      <c r="D10143" s="51" t="n">
        <v>-500000</v>
      </c>
    </row>
    <row r="10144" customFormat="false" ht="15" hidden="true" customHeight="false" outlineLevel="0" collapsed="false">
      <c r="A10144" s="51" t="s">
        <v>564</v>
      </c>
      <c r="B10144" s="55" t="n">
        <v>45657</v>
      </c>
      <c r="C10144" s="51" t="s">
        <v>791</v>
      </c>
      <c r="D10144" s="51" t="n">
        <v>-250000</v>
      </c>
    </row>
    <row r="10145" customFormat="false" ht="15" hidden="true" customHeight="false" outlineLevel="0" collapsed="false">
      <c r="A10145" s="51" t="s">
        <v>569</v>
      </c>
      <c r="B10145" s="55" t="n">
        <v>45657</v>
      </c>
      <c r="C10145" s="51" t="s">
        <v>791</v>
      </c>
      <c r="D10145" s="51" t="n">
        <v>0</v>
      </c>
    </row>
    <row r="10146" customFormat="false" ht="15" hidden="true" customHeight="false" outlineLevel="0" collapsed="false">
      <c r="A10146" s="51" t="s">
        <v>574</v>
      </c>
      <c r="B10146" s="55" t="n">
        <v>45657</v>
      </c>
      <c r="C10146" s="51" t="s">
        <v>791</v>
      </c>
      <c r="D10146" s="51" t="n">
        <v>-2500000</v>
      </c>
    </row>
    <row r="10147" customFormat="false" ht="15" hidden="true" customHeight="false" outlineLevel="0" collapsed="false">
      <c r="A10147" s="51" t="s">
        <v>579</v>
      </c>
      <c r="B10147" s="55" t="n">
        <v>45657</v>
      </c>
      <c r="C10147" s="51" t="s">
        <v>791</v>
      </c>
      <c r="D10147" s="51" t="n">
        <v>180000</v>
      </c>
    </row>
    <row r="10148" customFormat="false" ht="15" hidden="true" customHeight="false" outlineLevel="0" collapsed="false">
      <c r="A10148" s="51" t="s">
        <v>584</v>
      </c>
      <c r="B10148" s="55" t="n">
        <v>45657</v>
      </c>
      <c r="C10148" s="51" t="s">
        <v>791</v>
      </c>
      <c r="D10148" s="51" t="n">
        <v>-180000</v>
      </c>
    </row>
    <row r="10149" customFormat="false" ht="15" hidden="true" customHeight="false" outlineLevel="0" collapsed="false">
      <c r="A10149" s="51" t="s">
        <v>589</v>
      </c>
      <c r="B10149" s="55" t="n">
        <v>45657</v>
      </c>
      <c r="C10149" s="51" t="s">
        <v>791</v>
      </c>
      <c r="D10149" s="51" t="n">
        <v>-2200000</v>
      </c>
    </row>
    <row r="10150" customFormat="false" ht="15" hidden="true" customHeight="false" outlineLevel="0" collapsed="false">
      <c r="A10150" s="51" t="s">
        <v>756</v>
      </c>
      <c r="B10150" s="55" t="n">
        <v>45657</v>
      </c>
      <c r="C10150" s="51" t="s">
        <v>791</v>
      </c>
      <c r="D10150" s="51" t="n">
        <v>-588627</v>
      </c>
    </row>
    <row r="10151" customFormat="false" ht="15" hidden="true" customHeight="false" outlineLevel="0" collapsed="false">
      <c r="A10151" s="51" t="s">
        <v>594</v>
      </c>
      <c r="B10151" s="55" t="n">
        <v>45657</v>
      </c>
      <c r="C10151" s="51" t="s">
        <v>791</v>
      </c>
      <c r="D10151" s="51" t="n">
        <v>0</v>
      </c>
    </row>
    <row r="10152" customFormat="false" ht="15" hidden="true" customHeight="false" outlineLevel="0" collapsed="false">
      <c r="A10152" s="51" t="s">
        <v>761</v>
      </c>
      <c r="B10152" s="55" t="n">
        <v>45657</v>
      </c>
      <c r="C10152" s="51" t="s">
        <v>791</v>
      </c>
      <c r="D10152" s="51" t="n">
        <v>6449999.99</v>
      </c>
    </row>
    <row r="10153" customFormat="false" ht="15" hidden="true" customHeight="false" outlineLevel="0" collapsed="false">
      <c r="A10153" s="51" t="s">
        <v>599</v>
      </c>
      <c r="B10153" s="55" t="n">
        <v>45657</v>
      </c>
      <c r="C10153" s="51" t="s">
        <v>791</v>
      </c>
      <c r="D10153" s="51" t="n">
        <v>0</v>
      </c>
    </row>
    <row r="10154" customFormat="false" ht="15" hidden="true" customHeight="false" outlineLevel="0" collapsed="false">
      <c r="A10154" s="51" t="s">
        <v>604</v>
      </c>
      <c r="B10154" s="55" t="n">
        <v>45657</v>
      </c>
      <c r="C10154" s="51" t="s">
        <v>791</v>
      </c>
      <c r="D10154" s="51" t="n">
        <v>1450000</v>
      </c>
    </row>
    <row r="10155" customFormat="false" ht="15" hidden="true" customHeight="false" outlineLevel="0" collapsed="false">
      <c r="A10155" s="51" t="s">
        <v>609</v>
      </c>
      <c r="B10155" s="55" t="n">
        <v>45657</v>
      </c>
      <c r="C10155" s="51" t="s">
        <v>791</v>
      </c>
      <c r="D10155" s="51" t="n">
        <v>0</v>
      </c>
    </row>
    <row r="10156" customFormat="false" ht="15" hidden="true" customHeight="false" outlineLevel="0" collapsed="false">
      <c r="A10156" s="51" t="s">
        <v>614</v>
      </c>
      <c r="B10156" s="55" t="n">
        <v>45657</v>
      </c>
      <c r="C10156" s="51" t="s">
        <v>791</v>
      </c>
      <c r="D10156" s="51" t="n">
        <v>0</v>
      </c>
    </row>
    <row r="10157" customFormat="false" ht="15" hidden="true" customHeight="false" outlineLevel="0" collapsed="false">
      <c r="A10157" s="51" t="s">
        <v>619</v>
      </c>
      <c r="B10157" s="55" t="n">
        <v>45657</v>
      </c>
      <c r="C10157" s="51" t="s">
        <v>791</v>
      </c>
      <c r="D10157" s="51" t="n">
        <v>0</v>
      </c>
    </row>
    <row r="10158" customFormat="false" ht="15" hidden="true" customHeight="false" outlineLevel="0" collapsed="false">
      <c r="A10158" s="51" t="s">
        <v>624</v>
      </c>
      <c r="B10158" s="55" t="n">
        <v>45657</v>
      </c>
      <c r="C10158" s="51" t="s">
        <v>791</v>
      </c>
      <c r="D10158" s="51" t="n">
        <v>0</v>
      </c>
    </row>
    <row r="10159" customFormat="false" ht="15" hidden="true" customHeight="false" outlineLevel="0" collapsed="false">
      <c r="A10159" s="51" t="s">
        <v>629</v>
      </c>
      <c r="B10159" s="55" t="n">
        <v>45657</v>
      </c>
      <c r="C10159" s="51" t="s">
        <v>791</v>
      </c>
      <c r="D10159" s="51" t="n">
        <v>0</v>
      </c>
    </row>
    <row r="10160" customFormat="false" ht="15" hidden="true" customHeight="false" outlineLevel="0" collapsed="false">
      <c r="A10160" s="51" t="s">
        <v>633</v>
      </c>
      <c r="B10160" s="55" t="n">
        <v>45657</v>
      </c>
      <c r="C10160" s="51" t="s">
        <v>791</v>
      </c>
      <c r="D10160" s="51" t="n">
        <v>0</v>
      </c>
    </row>
    <row r="10161" customFormat="false" ht="15" hidden="true" customHeight="false" outlineLevel="0" collapsed="false">
      <c r="A10161" s="51" t="s">
        <v>638</v>
      </c>
      <c r="B10161" s="55" t="n">
        <v>45657</v>
      </c>
      <c r="C10161" s="51" t="s">
        <v>791</v>
      </c>
      <c r="D10161" s="51" t="n">
        <v>0</v>
      </c>
    </row>
    <row r="10162" customFormat="false" ht="15" hidden="true" customHeight="false" outlineLevel="0" collapsed="false">
      <c r="A10162" s="51" t="s">
        <v>642</v>
      </c>
      <c r="B10162" s="55" t="n">
        <v>45657</v>
      </c>
      <c r="C10162" s="51" t="s">
        <v>791</v>
      </c>
      <c r="D10162" s="51" t="n">
        <v>0</v>
      </c>
    </row>
    <row r="10163" customFormat="false" ht="15" hidden="true" customHeight="false" outlineLevel="0" collapsed="false">
      <c r="A10163" s="51" t="s">
        <v>646</v>
      </c>
      <c r="B10163" s="55" t="n">
        <v>45657</v>
      </c>
      <c r="C10163" s="51" t="s">
        <v>791</v>
      </c>
      <c r="D10163" s="51" t="n">
        <v>0</v>
      </c>
    </row>
    <row r="10164" customFormat="false" ht="15" hidden="true" customHeight="false" outlineLevel="0" collapsed="false">
      <c r="A10164" s="51" t="s">
        <v>651</v>
      </c>
      <c r="B10164" s="55" t="n">
        <v>45657</v>
      </c>
      <c r="C10164" s="51" t="s">
        <v>791</v>
      </c>
      <c r="D10164" s="51" t="n">
        <v>0</v>
      </c>
    </row>
    <row r="10165" customFormat="false" ht="15" hidden="true" customHeight="false" outlineLevel="0" collapsed="false">
      <c r="A10165" s="51" t="s">
        <v>656</v>
      </c>
      <c r="B10165" s="55" t="n">
        <v>45657</v>
      </c>
      <c r="C10165" s="51" t="s">
        <v>791</v>
      </c>
      <c r="D10165" s="51" t="n">
        <v>0</v>
      </c>
    </row>
    <row r="10166" customFormat="false" ht="15" hidden="true" customHeight="false" outlineLevel="0" collapsed="false">
      <c r="A10166" s="51" t="s">
        <v>661</v>
      </c>
      <c r="B10166" s="55" t="n">
        <v>45657</v>
      </c>
      <c r="C10166" s="51" t="s">
        <v>791</v>
      </c>
      <c r="D10166" s="51" t="n">
        <v>0</v>
      </c>
    </row>
    <row r="10167" customFormat="false" ht="15" hidden="true" customHeight="false" outlineLevel="0" collapsed="false">
      <c r="A10167" s="51" t="s">
        <v>666</v>
      </c>
      <c r="B10167" s="55" t="n">
        <v>45657</v>
      </c>
      <c r="C10167" s="51" t="s">
        <v>791</v>
      </c>
      <c r="D10167" s="51" t="n">
        <v>0</v>
      </c>
    </row>
    <row r="10168" customFormat="false" ht="15" hidden="true" customHeight="false" outlineLevel="0" collapsed="false">
      <c r="A10168" s="51" t="s">
        <v>671</v>
      </c>
      <c r="B10168" s="55" t="n">
        <v>45657</v>
      </c>
      <c r="C10168" s="51" t="s">
        <v>791</v>
      </c>
      <c r="D10168" s="51" t="n">
        <v>0</v>
      </c>
    </row>
    <row r="10169" customFormat="false" ht="15" hidden="true" customHeight="false" outlineLevel="0" collapsed="false">
      <c r="A10169" s="51" t="s">
        <v>676</v>
      </c>
      <c r="B10169" s="55" t="n">
        <v>45657</v>
      </c>
      <c r="C10169" s="51" t="s">
        <v>791</v>
      </c>
      <c r="D10169" s="51" t="n">
        <v>0</v>
      </c>
    </row>
    <row r="10170" customFormat="false" ht="15" hidden="true" customHeight="false" outlineLevel="0" collapsed="false">
      <c r="A10170" s="51" t="s">
        <v>681</v>
      </c>
      <c r="B10170" s="55" t="n">
        <v>45657</v>
      </c>
      <c r="C10170" s="51" t="s">
        <v>791</v>
      </c>
      <c r="D10170" s="51" t="n">
        <v>0</v>
      </c>
    </row>
    <row r="10171" customFormat="false" ht="15" hidden="true" customHeight="false" outlineLevel="0" collapsed="false">
      <c r="A10171" s="51" t="s">
        <v>686</v>
      </c>
      <c r="B10171" s="55" t="n">
        <v>45657</v>
      </c>
      <c r="C10171" s="51" t="s">
        <v>791</v>
      </c>
      <c r="D10171" s="51" t="n">
        <v>0</v>
      </c>
    </row>
    <row r="10172" customFormat="false" ht="15" hidden="true" customHeight="false" outlineLevel="0" collapsed="false">
      <c r="A10172" s="51" t="s">
        <v>691</v>
      </c>
      <c r="B10172" s="55" t="n">
        <v>45657</v>
      </c>
      <c r="C10172" s="51" t="s">
        <v>791</v>
      </c>
      <c r="D10172" s="51" t="n">
        <v>0</v>
      </c>
    </row>
    <row r="10173" customFormat="false" ht="15" hidden="true" customHeight="false" outlineLevel="0" collapsed="false">
      <c r="A10173" s="51" t="s">
        <v>696</v>
      </c>
      <c r="B10173" s="55" t="n">
        <v>45657</v>
      </c>
      <c r="C10173" s="51" t="s">
        <v>791</v>
      </c>
      <c r="D10173" s="51" t="n">
        <v>0</v>
      </c>
    </row>
    <row r="10174" customFormat="false" ht="15" hidden="true" customHeight="false" outlineLevel="0" collapsed="false">
      <c r="A10174" s="51" t="s">
        <v>701</v>
      </c>
      <c r="B10174" s="55" t="n">
        <v>45657</v>
      </c>
      <c r="C10174" s="51" t="s">
        <v>791</v>
      </c>
      <c r="D10174" s="51" t="n">
        <v>0</v>
      </c>
    </row>
    <row r="10175" customFormat="false" ht="15" hidden="true" customHeight="false" outlineLevel="0" collapsed="false">
      <c r="A10175" s="51" t="s">
        <v>707</v>
      </c>
      <c r="B10175" s="55" t="n">
        <v>45657</v>
      </c>
      <c r="C10175" s="51" t="s">
        <v>791</v>
      </c>
      <c r="D10175" s="51" t="n">
        <v>0</v>
      </c>
    </row>
    <row r="10176" customFormat="false" ht="15" hidden="true" customHeight="false" outlineLevel="0" collapsed="false">
      <c r="A10176" s="51" t="s">
        <v>712</v>
      </c>
      <c r="B10176" s="55" t="n">
        <v>45657</v>
      </c>
      <c r="C10176" s="51" t="s">
        <v>791</v>
      </c>
      <c r="D10176" s="51" t="n">
        <v>0</v>
      </c>
    </row>
    <row r="10177" customFormat="false" ht="15" hidden="true" customHeight="false" outlineLevel="0" collapsed="false">
      <c r="A10177" s="51" t="s">
        <v>717</v>
      </c>
      <c r="B10177" s="55" t="n">
        <v>45657</v>
      </c>
      <c r="C10177" s="51" t="s">
        <v>791</v>
      </c>
      <c r="D10177" s="51" t="n">
        <v>0</v>
      </c>
    </row>
    <row r="10178" customFormat="false" ht="15" hidden="true" customHeight="false" outlineLevel="0" collapsed="false">
      <c r="A10178" s="51" t="s">
        <v>767</v>
      </c>
      <c r="B10178" s="55" t="n">
        <v>45657</v>
      </c>
      <c r="C10178" s="51" t="s">
        <v>791</v>
      </c>
      <c r="D10178" s="51" t="n">
        <v>0</v>
      </c>
    </row>
    <row r="10179" customFormat="false" ht="15" hidden="true" customHeight="false" outlineLevel="0" collapsed="false">
      <c r="A10179" s="51" t="s">
        <v>722</v>
      </c>
      <c r="B10179" s="55" t="n">
        <v>45657</v>
      </c>
      <c r="C10179" s="51" t="s">
        <v>791</v>
      </c>
      <c r="D10179" s="51" t="n">
        <v>0</v>
      </c>
    </row>
    <row r="10180" customFormat="false" ht="15" hidden="true" customHeight="false" outlineLevel="0" collapsed="false">
      <c r="A10180" s="51" t="s">
        <v>727</v>
      </c>
      <c r="B10180" s="55" t="n">
        <v>45657</v>
      </c>
      <c r="C10180" s="51" t="s">
        <v>791</v>
      </c>
      <c r="D10180" s="51" t="n">
        <v>0</v>
      </c>
    </row>
    <row r="10181" customFormat="false" ht="15" hidden="true" customHeight="false" outlineLevel="0" collapsed="false">
      <c r="A10181" s="51" t="s">
        <v>732</v>
      </c>
      <c r="B10181" s="55" t="n">
        <v>45657</v>
      </c>
      <c r="C10181" s="51" t="s">
        <v>791</v>
      </c>
      <c r="D10181" s="51" t="n">
        <v>0</v>
      </c>
    </row>
    <row r="10182" customFormat="false" ht="15" hidden="true" customHeight="false" outlineLevel="0" collapsed="false">
      <c r="A10182" s="51" t="s">
        <v>736</v>
      </c>
      <c r="B10182" s="55" t="n">
        <v>45657</v>
      </c>
      <c r="C10182" s="51" t="s">
        <v>791</v>
      </c>
      <c r="D10182" s="51" t="n">
        <v>0</v>
      </c>
    </row>
    <row r="10183" customFormat="false" ht="15" hidden="true" customHeight="false" outlineLevel="0" collapsed="false">
      <c r="A10183" s="51" t="s">
        <v>741</v>
      </c>
      <c r="B10183" s="55" t="n">
        <v>45657</v>
      </c>
      <c r="C10183" s="51" t="s">
        <v>791</v>
      </c>
      <c r="D10183" s="51" t="n">
        <v>0</v>
      </c>
    </row>
    <row r="10184" customFormat="false" ht="15" hidden="true" customHeight="false" outlineLevel="0" collapsed="false">
      <c r="A10184" s="51" t="s">
        <v>746</v>
      </c>
      <c r="B10184" s="55" t="n">
        <v>45657</v>
      </c>
      <c r="C10184" s="51" t="s">
        <v>791</v>
      </c>
      <c r="D10184" s="51" t="n">
        <v>0</v>
      </c>
    </row>
    <row r="10185" customFormat="false" ht="15" hidden="true" customHeight="false" outlineLevel="0" collapsed="false">
      <c r="A10185" s="51" t="s">
        <v>751</v>
      </c>
      <c r="B10185" s="55" t="n">
        <v>45657</v>
      </c>
      <c r="C10185" s="51" t="s">
        <v>791</v>
      </c>
      <c r="D10185" s="51" t="n">
        <v>0</v>
      </c>
    </row>
    <row r="10186" customFormat="false" ht="15" hidden="false" customHeight="false" outlineLevel="0" collapsed="false">
      <c r="A10186" s="51" t="s">
        <v>781</v>
      </c>
      <c r="B10186" s="55" t="n">
        <v>45746</v>
      </c>
      <c r="C10186" s="51" t="s">
        <v>782</v>
      </c>
      <c r="D10186" s="51" t="n">
        <v>0</v>
      </c>
    </row>
    <row r="10187" customFormat="false" ht="15" hidden="true" customHeight="false" outlineLevel="0" collapsed="false">
      <c r="A10187" s="51" t="s">
        <v>783</v>
      </c>
      <c r="B10187" s="55" t="n">
        <v>45746</v>
      </c>
      <c r="C10187" s="51" t="s">
        <v>782</v>
      </c>
      <c r="D10187" s="51" t="n">
        <v>0</v>
      </c>
    </row>
    <row r="10188" customFormat="false" ht="15" hidden="true" customHeight="false" outlineLevel="0" collapsed="false">
      <c r="A10188" s="51" t="s">
        <v>96</v>
      </c>
      <c r="B10188" s="55" t="n">
        <v>45746</v>
      </c>
      <c r="C10188" s="51" t="s">
        <v>782</v>
      </c>
      <c r="D10188" s="51" t="n">
        <v>0</v>
      </c>
    </row>
    <row r="10189" customFormat="false" ht="15" hidden="true" customHeight="false" outlineLevel="0" collapsed="false">
      <c r="A10189" s="51" t="s">
        <v>101</v>
      </c>
      <c r="B10189" s="55" t="n">
        <v>45746</v>
      </c>
      <c r="C10189" s="51" t="s">
        <v>782</v>
      </c>
      <c r="D10189" s="51" t="n">
        <v>0</v>
      </c>
    </row>
    <row r="10190" customFormat="false" ht="15" hidden="true" customHeight="false" outlineLevel="0" collapsed="false">
      <c r="A10190" s="51" t="s">
        <v>106</v>
      </c>
      <c r="B10190" s="55" t="n">
        <v>45746</v>
      </c>
      <c r="C10190" s="51" t="s">
        <v>782</v>
      </c>
      <c r="D10190" s="51" t="n">
        <v>0</v>
      </c>
    </row>
    <row r="10191" customFormat="false" ht="15" hidden="true" customHeight="false" outlineLevel="0" collapsed="false">
      <c r="A10191" s="51" t="s">
        <v>110</v>
      </c>
      <c r="B10191" s="55" t="n">
        <v>45746</v>
      </c>
      <c r="C10191" s="51" t="s">
        <v>782</v>
      </c>
      <c r="D10191" s="51" t="n">
        <v>0</v>
      </c>
    </row>
    <row r="10192" customFormat="false" ht="15" hidden="true" customHeight="false" outlineLevel="0" collapsed="false">
      <c r="A10192" s="51" t="s">
        <v>115</v>
      </c>
      <c r="B10192" s="55" t="n">
        <v>45746</v>
      </c>
      <c r="C10192" s="51" t="s">
        <v>782</v>
      </c>
      <c r="D10192" s="51" t="n">
        <v>0</v>
      </c>
    </row>
    <row r="10193" customFormat="false" ht="15" hidden="true" customHeight="false" outlineLevel="0" collapsed="false">
      <c r="A10193" s="51" t="s">
        <v>120</v>
      </c>
      <c r="B10193" s="55" t="n">
        <v>45746</v>
      </c>
      <c r="C10193" s="51" t="s">
        <v>782</v>
      </c>
      <c r="D10193" s="51" t="n">
        <v>0</v>
      </c>
    </row>
    <row r="10194" customFormat="false" ht="15" hidden="true" customHeight="false" outlineLevel="0" collapsed="false">
      <c r="A10194" s="51" t="s">
        <v>124</v>
      </c>
      <c r="B10194" s="55" t="n">
        <v>45746</v>
      </c>
      <c r="C10194" s="51" t="s">
        <v>782</v>
      </c>
      <c r="D10194" s="51" t="n">
        <v>0</v>
      </c>
    </row>
    <row r="10195" customFormat="false" ht="15" hidden="true" customHeight="false" outlineLevel="0" collapsed="false">
      <c r="A10195" s="51" t="s">
        <v>129</v>
      </c>
      <c r="B10195" s="55" t="n">
        <v>45746</v>
      </c>
      <c r="C10195" s="51" t="s">
        <v>782</v>
      </c>
      <c r="D10195" s="51" t="n">
        <v>0</v>
      </c>
    </row>
    <row r="10196" customFormat="false" ht="15" hidden="true" customHeight="false" outlineLevel="0" collapsed="false">
      <c r="A10196" s="51" t="s">
        <v>134</v>
      </c>
      <c r="B10196" s="55" t="n">
        <v>45746</v>
      </c>
      <c r="C10196" s="51" t="s">
        <v>782</v>
      </c>
      <c r="D10196" s="51" t="n">
        <v>0</v>
      </c>
    </row>
    <row r="10197" customFormat="false" ht="15" hidden="true" customHeight="false" outlineLevel="0" collapsed="false">
      <c r="A10197" s="51" t="s">
        <v>141</v>
      </c>
      <c r="B10197" s="55" t="n">
        <v>45746</v>
      </c>
      <c r="C10197" s="51" t="s">
        <v>782</v>
      </c>
      <c r="D10197" s="51" t="n">
        <v>0</v>
      </c>
    </row>
    <row r="10198" customFormat="false" ht="15" hidden="true" customHeight="false" outlineLevel="0" collapsed="false">
      <c r="A10198" s="51" t="s">
        <v>146</v>
      </c>
      <c r="B10198" s="55" t="n">
        <v>45746</v>
      </c>
      <c r="C10198" s="51" t="s">
        <v>782</v>
      </c>
      <c r="D10198" s="51" t="n">
        <v>0</v>
      </c>
    </row>
    <row r="10199" customFormat="false" ht="15" hidden="true" customHeight="false" outlineLevel="0" collapsed="false">
      <c r="A10199" s="51" t="s">
        <v>151</v>
      </c>
      <c r="B10199" s="55" t="n">
        <v>45746</v>
      </c>
      <c r="C10199" s="51" t="s">
        <v>782</v>
      </c>
      <c r="D10199" s="51" t="n">
        <v>0</v>
      </c>
    </row>
    <row r="10200" customFormat="false" ht="15" hidden="true" customHeight="false" outlineLevel="0" collapsed="false">
      <c r="A10200" s="51" t="s">
        <v>156</v>
      </c>
      <c r="B10200" s="55" t="n">
        <v>45746</v>
      </c>
      <c r="C10200" s="51" t="s">
        <v>782</v>
      </c>
      <c r="D10200" s="51" t="n">
        <v>0</v>
      </c>
    </row>
    <row r="10201" customFormat="false" ht="15" hidden="true" customHeight="false" outlineLevel="0" collapsed="false">
      <c r="A10201" s="51" t="s">
        <v>161</v>
      </c>
      <c r="B10201" s="55" t="n">
        <v>45746</v>
      </c>
      <c r="C10201" s="51" t="s">
        <v>782</v>
      </c>
      <c r="D10201" s="51" t="n">
        <v>0</v>
      </c>
    </row>
    <row r="10202" customFormat="false" ht="15" hidden="true" customHeight="false" outlineLevel="0" collapsed="false">
      <c r="A10202" s="51" t="s">
        <v>166</v>
      </c>
      <c r="B10202" s="55" t="n">
        <v>45746</v>
      </c>
      <c r="C10202" s="51" t="s">
        <v>782</v>
      </c>
      <c r="D10202" s="51" t="n">
        <v>0</v>
      </c>
    </row>
    <row r="10203" customFormat="false" ht="15" hidden="true" customHeight="false" outlineLevel="0" collapsed="false">
      <c r="A10203" s="51" t="s">
        <v>171</v>
      </c>
      <c r="B10203" s="55" t="n">
        <v>45746</v>
      </c>
      <c r="C10203" s="51" t="s">
        <v>782</v>
      </c>
      <c r="D10203" s="51" t="n">
        <v>0</v>
      </c>
    </row>
    <row r="10204" customFormat="false" ht="15" hidden="true" customHeight="false" outlineLevel="0" collapsed="false">
      <c r="A10204" s="51" t="s">
        <v>176</v>
      </c>
      <c r="B10204" s="55" t="n">
        <v>45746</v>
      </c>
      <c r="C10204" s="51" t="s">
        <v>782</v>
      </c>
      <c r="D10204" s="51" t="n">
        <v>0</v>
      </c>
    </row>
    <row r="10205" customFormat="false" ht="15" hidden="true" customHeight="false" outlineLevel="0" collapsed="false">
      <c r="A10205" s="51" t="s">
        <v>181</v>
      </c>
      <c r="B10205" s="55" t="n">
        <v>45746</v>
      </c>
      <c r="C10205" s="51" t="s">
        <v>782</v>
      </c>
      <c r="D10205" s="51" t="n">
        <v>0</v>
      </c>
    </row>
    <row r="10206" customFormat="false" ht="15" hidden="true" customHeight="false" outlineLevel="0" collapsed="false">
      <c r="A10206" s="51" t="s">
        <v>186</v>
      </c>
      <c r="B10206" s="55" t="n">
        <v>45746</v>
      </c>
      <c r="C10206" s="51" t="s">
        <v>782</v>
      </c>
      <c r="D10206" s="51" t="n">
        <v>0</v>
      </c>
    </row>
    <row r="10207" customFormat="false" ht="15" hidden="true" customHeight="false" outlineLevel="0" collapsed="false">
      <c r="A10207" s="51" t="s">
        <v>191</v>
      </c>
      <c r="B10207" s="55" t="n">
        <v>45746</v>
      </c>
      <c r="C10207" s="51" t="s">
        <v>782</v>
      </c>
      <c r="D10207" s="51" t="n">
        <v>0</v>
      </c>
    </row>
    <row r="10208" customFormat="false" ht="15" hidden="true" customHeight="false" outlineLevel="0" collapsed="false">
      <c r="A10208" s="51" t="s">
        <v>196</v>
      </c>
      <c r="B10208" s="55" t="n">
        <v>45746</v>
      </c>
      <c r="C10208" s="51" t="s">
        <v>782</v>
      </c>
      <c r="D10208" s="51" t="n">
        <v>0</v>
      </c>
    </row>
    <row r="10209" customFormat="false" ht="15" hidden="true" customHeight="false" outlineLevel="0" collapsed="false">
      <c r="A10209" s="51" t="s">
        <v>201</v>
      </c>
      <c r="B10209" s="55" t="n">
        <v>45746</v>
      </c>
      <c r="C10209" s="51" t="s">
        <v>782</v>
      </c>
      <c r="D10209" s="51" t="n">
        <v>0</v>
      </c>
    </row>
    <row r="10210" customFormat="false" ht="15" hidden="true" customHeight="false" outlineLevel="0" collapsed="false">
      <c r="A10210" s="51" t="s">
        <v>206</v>
      </c>
      <c r="B10210" s="55" t="n">
        <v>45746</v>
      </c>
      <c r="C10210" s="51" t="s">
        <v>782</v>
      </c>
      <c r="D10210" s="51" t="n">
        <v>0</v>
      </c>
    </row>
    <row r="10211" customFormat="false" ht="15" hidden="true" customHeight="false" outlineLevel="0" collapsed="false">
      <c r="A10211" s="51" t="s">
        <v>210</v>
      </c>
      <c r="B10211" s="55" t="n">
        <v>45746</v>
      </c>
      <c r="C10211" s="51" t="s">
        <v>782</v>
      </c>
      <c r="D10211" s="51" t="n">
        <v>0</v>
      </c>
    </row>
    <row r="10212" customFormat="false" ht="15" hidden="true" customHeight="false" outlineLevel="0" collapsed="false">
      <c r="A10212" s="51" t="s">
        <v>215</v>
      </c>
      <c r="B10212" s="55" t="n">
        <v>45746</v>
      </c>
      <c r="C10212" s="51" t="s">
        <v>782</v>
      </c>
      <c r="D10212" s="51" t="n">
        <v>0</v>
      </c>
    </row>
    <row r="10213" customFormat="false" ht="15" hidden="true" customHeight="false" outlineLevel="0" collapsed="false">
      <c r="A10213" s="51" t="s">
        <v>790</v>
      </c>
      <c r="B10213" s="55" t="n">
        <v>45746</v>
      </c>
      <c r="C10213" s="51" t="s">
        <v>782</v>
      </c>
      <c r="D10213" s="51" t="n">
        <v>0</v>
      </c>
    </row>
    <row r="10214" customFormat="false" ht="15" hidden="true" customHeight="false" outlineLevel="0" collapsed="false">
      <c r="A10214" s="51" t="s">
        <v>225</v>
      </c>
      <c r="B10214" s="55" t="n">
        <v>45746</v>
      </c>
      <c r="C10214" s="51" t="s">
        <v>782</v>
      </c>
      <c r="D10214" s="51" t="n">
        <v>0</v>
      </c>
    </row>
    <row r="10215" customFormat="false" ht="15" hidden="true" customHeight="false" outlineLevel="0" collapsed="false">
      <c r="A10215" s="51" t="s">
        <v>230</v>
      </c>
      <c r="B10215" s="55" t="n">
        <v>45746</v>
      </c>
      <c r="C10215" s="51" t="s">
        <v>782</v>
      </c>
      <c r="D10215" s="51" t="n">
        <v>0</v>
      </c>
    </row>
    <row r="10216" customFormat="false" ht="15" hidden="true" customHeight="false" outlineLevel="0" collapsed="false">
      <c r="A10216" s="51" t="s">
        <v>235</v>
      </c>
      <c r="B10216" s="55" t="n">
        <v>45746</v>
      </c>
      <c r="C10216" s="51" t="s">
        <v>782</v>
      </c>
      <c r="D10216" s="51" t="n">
        <v>0</v>
      </c>
    </row>
    <row r="10217" customFormat="false" ht="15" hidden="true" customHeight="false" outlineLevel="0" collapsed="false">
      <c r="A10217" s="51" t="s">
        <v>240</v>
      </c>
      <c r="B10217" s="55" t="n">
        <v>45746</v>
      </c>
      <c r="C10217" s="51" t="s">
        <v>782</v>
      </c>
      <c r="D10217" s="51" t="n">
        <v>0</v>
      </c>
    </row>
    <row r="10218" customFormat="false" ht="15" hidden="true" customHeight="false" outlineLevel="0" collapsed="false">
      <c r="A10218" s="51" t="s">
        <v>246</v>
      </c>
      <c r="B10218" s="55" t="n">
        <v>45746</v>
      </c>
      <c r="C10218" s="51" t="s">
        <v>782</v>
      </c>
      <c r="D10218" s="51" t="n">
        <v>0</v>
      </c>
    </row>
    <row r="10219" customFormat="false" ht="15" hidden="true" customHeight="false" outlineLevel="0" collapsed="false">
      <c r="A10219" s="51" t="s">
        <v>252</v>
      </c>
      <c r="B10219" s="55" t="n">
        <v>45746</v>
      </c>
      <c r="C10219" s="51" t="s">
        <v>782</v>
      </c>
      <c r="D10219" s="51" t="n">
        <v>0</v>
      </c>
    </row>
    <row r="10220" customFormat="false" ht="15" hidden="true" customHeight="false" outlineLevel="0" collapsed="false">
      <c r="A10220" s="51" t="s">
        <v>257</v>
      </c>
      <c r="B10220" s="55" t="n">
        <v>45746</v>
      </c>
      <c r="C10220" s="51" t="s">
        <v>782</v>
      </c>
      <c r="D10220" s="51" t="n">
        <v>0</v>
      </c>
    </row>
    <row r="10221" customFormat="false" ht="15" hidden="true" customHeight="false" outlineLevel="0" collapsed="false">
      <c r="A10221" s="51" t="s">
        <v>262</v>
      </c>
      <c r="B10221" s="55" t="n">
        <v>45746</v>
      </c>
      <c r="C10221" s="51" t="s">
        <v>782</v>
      </c>
      <c r="D10221" s="51" t="n">
        <v>0</v>
      </c>
    </row>
    <row r="10222" customFormat="false" ht="15" hidden="true" customHeight="false" outlineLevel="0" collapsed="false">
      <c r="A10222" s="51" t="s">
        <v>267</v>
      </c>
      <c r="B10222" s="55" t="n">
        <v>45746</v>
      </c>
      <c r="C10222" s="51" t="s">
        <v>782</v>
      </c>
      <c r="D10222" s="51" t="n">
        <v>0</v>
      </c>
    </row>
    <row r="10223" customFormat="false" ht="15" hidden="true" customHeight="false" outlineLevel="0" collapsed="false">
      <c r="A10223" s="51" t="s">
        <v>272</v>
      </c>
      <c r="B10223" s="55" t="n">
        <v>45746</v>
      </c>
      <c r="C10223" s="51" t="s">
        <v>782</v>
      </c>
      <c r="D10223" s="51" t="n">
        <v>0</v>
      </c>
    </row>
    <row r="10224" customFormat="false" ht="15" hidden="true" customHeight="false" outlineLevel="0" collapsed="false">
      <c r="A10224" s="51" t="s">
        <v>277</v>
      </c>
      <c r="B10224" s="55" t="n">
        <v>45746</v>
      </c>
      <c r="C10224" s="51" t="s">
        <v>782</v>
      </c>
      <c r="D10224" s="51" t="n">
        <v>0</v>
      </c>
    </row>
    <row r="10225" customFormat="false" ht="15" hidden="true" customHeight="false" outlineLevel="0" collapsed="false">
      <c r="A10225" s="51" t="s">
        <v>282</v>
      </c>
      <c r="B10225" s="55" t="n">
        <v>45746</v>
      </c>
      <c r="C10225" s="51" t="s">
        <v>782</v>
      </c>
      <c r="D10225" s="51" t="n">
        <v>0</v>
      </c>
    </row>
    <row r="10226" customFormat="false" ht="15" hidden="true" customHeight="false" outlineLevel="0" collapsed="false">
      <c r="A10226" s="51" t="s">
        <v>287</v>
      </c>
      <c r="B10226" s="55" t="n">
        <v>45746</v>
      </c>
      <c r="C10226" s="51" t="s">
        <v>782</v>
      </c>
      <c r="D10226" s="51" t="n">
        <v>0</v>
      </c>
    </row>
    <row r="10227" customFormat="false" ht="15" hidden="true" customHeight="false" outlineLevel="0" collapsed="false">
      <c r="A10227" s="51" t="s">
        <v>292</v>
      </c>
      <c r="B10227" s="55" t="n">
        <v>45746</v>
      </c>
      <c r="C10227" s="51" t="s">
        <v>782</v>
      </c>
      <c r="D10227" s="51" t="n">
        <v>0</v>
      </c>
    </row>
    <row r="10228" customFormat="false" ht="15" hidden="true" customHeight="false" outlineLevel="0" collapsed="false">
      <c r="A10228" s="51" t="s">
        <v>297</v>
      </c>
      <c r="B10228" s="55" t="n">
        <v>45746</v>
      </c>
      <c r="C10228" s="51" t="s">
        <v>782</v>
      </c>
      <c r="D10228" s="51" t="n">
        <v>0</v>
      </c>
    </row>
    <row r="10229" customFormat="false" ht="15" hidden="true" customHeight="false" outlineLevel="0" collapsed="false">
      <c r="A10229" s="51" t="s">
        <v>302</v>
      </c>
      <c r="B10229" s="55" t="n">
        <v>45746</v>
      </c>
      <c r="C10229" s="51" t="s">
        <v>782</v>
      </c>
      <c r="D10229" s="51" t="n">
        <v>0</v>
      </c>
    </row>
    <row r="10230" customFormat="false" ht="15" hidden="true" customHeight="false" outlineLevel="0" collapsed="false">
      <c r="A10230" s="51" t="s">
        <v>307</v>
      </c>
      <c r="B10230" s="55" t="n">
        <v>45746</v>
      </c>
      <c r="C10230" s="51" t="s">
        <v>782</v>
      </c>
      <c r="D10230" s="51" t="n">
        <v>0</v>
      </c>
    </row>
    <row r="10231" customFormat="false" ht="15" hidden="true" customHeight="false" outlineLevel="0" collapsed="false">
      <c r="A10231" s="51" t="s">
        <v>311</v>
      </c>
      <c r="B10231" s="55" t="n">
        <v>45746</v>
      </c>
      <c r="C10231" s="51" t="s">
        <v>782</v>
      </c>
      <c r="D10231" s="51" t="n">
        <v>0</v>
      </c>
    </row>
    <row r="10232" customFormat="false" ht="15" hidden="true" customHeight="false" outlineLevel="0" collapsed="false">
      <c r="A10232" s="51" t="s">
        <v>317</v>
      </c>
      <c r="B10232" s="55" t="n">
        <v>45746</v>
      </c>
      <c r="C10232" s="51" t="s">
        <v>782</v>
      </c>
      <c r="D10232" s="51" t="n">
        <v>0</v>
      </c>
    </row>
    <row r="10233" customFormat="false" ht="15" hidden="true" customHeight="false" outlineLevel="0" collapsed="false">
      <c r="A10233" s="51" t="s">
        <v>322</v>
      </c>
      <c r="B10233" s="55" t="n">
        <v>45746</v>
      </c>
      <c r="C10233" s="51" t="s">
        <v>782</v>
      </c>
      <c r="D10233" s="51" t="n">
        <v>0</v>
      </c>
    </row>
    <row r="10234" customFormat="false" ht="15" hidden="true" customHeight="false" outlineLevel="0" collapsed="false">
      <c r="A10234" s="51" t="s">
        <v>327</v>
      </c>
      <c r="B10234" s="55" t="n">
        <v>45746</v>
      </c>
      <c r="C10234" s="51" t="s">
        <v>782</v>
      </c>
      <c r="D10234" s="51" t="n">
        <v>0</v>
      </c>
    </row>
    <row r="10235" customFormat="false" ht="15" hidden="true" customHeight="false" outlineLevel="0" collapsed="false">
      <c r="A10235" s="51" t="s">
        <v>332</v>
      </c>
      <c r="B10235" s="55" t="n">
        <v>45746</v>
      </c>
      <c r="C10235" s="51" t="s">
        <v>782</v>
      </c>
      <c r="D10235" s="51" t="n">
        <v>0</v>
      </c>
    </row>
    <row r="10236" customFormat="false" ht="15" hidden="true" customHeight="false" outlineLevel="0" collapsed="false">
      <c r="A10236" s="51" t="s">
        <v>339</v>
      </c>
      <c r="B10236" s="55" t="n">
        <v>45746</v>
      </c>
      <c r="C10236" s="51" t="s">
        <v>782</v>
      </c>
      <c r="D10236" s="51" t="n">
        <v>0</v>
      </c>
    </row>
    <row r="10237" customFormat="false" ht="15" hidden="true" customHeight="false" outlineLevel="0" collapsed="false">
      <c r="A10237" s="51" t="s">
        <v>344</v>
      </c>
      <c r="B10237" s="55" t="n">
        <v>45746</v>
      </c>
      <c r="C10237" s="51" t="s">
        <v>782</v>
      </c>
      <c r="D10237" s="51" t="n">
        <v>0</v>
      </c>
    </row>
    <row r="10238" customFormat="false" ht="15" hidden="true" customHeight="false" outlineLevel="0" collapsed="false">
      <c r="A10238" s="51" t="s">
        <v>349</v>
      </c>
      <c r="B10238" s="55" t="n">
        <v>45746</v>
      </c>
      <c r="C10238" s="51" t="s">
        <v>782</v>
      </c>
      <c r="D10238" s="51" t="n">
        <v>0</v>
      </c>
    </row>
    <row r="10239" customFormat="false" ht="15" hidden="true" customHeight="false" outlineLevel="0" collapsed="false">
      <c r="A10239" s="51" t="s">
        <v>354</v>
      </c>
      <c r="B10239" s="55" t="n">
        <v>45746</v>
      </c>
      <c r="C10239" s="51" t="s">
        <v>782</v>
      </c>
      <c r="D10239" s="51" t="n">
        <v>0</v>
      </c>
    </row>
    <row r="10240" customFormat="false" ht="15" hidden="true" customHeight="false" outlineLevel="0" collapsed="false">
      <c r="A10240" s="51" t="s">
        <v>359</v>
      </c>
      <c r="B10240" s="55" t="n">
        <v>45746</v>
      </c>
      <c r="C10240" s="51" t="s">
        <v>782</v>
      </c>
      <c r="D10240" s="51" t="n">
        <v>0</v>
      </c>
    </row>
    <row r="10241" customFormat="false" ht="15" hidden="true" customHeight="false" outlineLevel="0" collapsed="false">
      <c r="A10241" s="51" t="s">
        <v>364</v>
      </c>
      <c r="B10241" s="55" t="n">
        <v>45746</v>
      </c>
      <c r="C10241" s="51" t="s">
        <v>782</v>
      </c>
      <c r="D10241" s="51" t="n">
        <v>0</v>
      </c>
    </row>
    <row r="10242" customFormat="false" ht="15" hidden="true" customHeight="false" outlineLevel="0" collapsed="false">
      <c r="A10242" s="51" t="s">
        <v>369</v>
      </c>
      <c r="B10242" s="55" t="n">
        <v>45746</v>
      </c>
      <c r="C10242" s="51" t="s">
        <v>782</v>
      </c>
      <c r="D10242" s="51" t="n">
        <v>0</v>
      </c>
    </row>
    <row r="10243" customFormat="false" ht="15" hidden="true" customHeight="false" outlineLevel="0" collapsed="false">
      <c r="A10243" s="51" t="s">
        <v>374</v>
      </c>
      <c r="B10243" s="55" t="n">
        <v>45746</v>
      </c>
      <c r="C10243" s="51" t="s">
        <v>782</v>
      </c>
      <c r="D10243" s="51" t="n">
        <v>0</v>
      </c>
    </row>
    <row r="10244" customFormat="false" ht="15" hidden="true" customHeight="false" outlineLevel="0" collapsed="false">
      <c r="A10244" s="51" t="s">
        <v>379</v>
      </c>
      <c r="B10244" s="55" t="n">
        <v>45746</v>
      </c>
      <c r="C10244" s="51" t="s">
        <v>782</v>
      </c>
      <c r="D10244" s="51" t="n">
        <v>0</v>
      </c>
    </row>
    <row r="10245" customFormat="false" ht="15" hidden="true" customHeight="false" outlineLevel="0" collapsed="false">
      <c r="A10245" s="51" t="s">
        <v>384</v>
      </c>
      <c r="B10245" s="55" t="n">
        <v>45746</v>
      </c>
      <c r="C10245" s="51" t="s">
        <v>782</v>
      </c>
      <c r="D10245" s="51" t="n">
        <v>0</v>
      </c>
    </row>
    <row r="10246" customFormat="false" ht="15" hidden="true" customHeight="false" outlineLevel="0" collapsed="false">
      <c r="A10246" s="51" t="s">
        <v>389</v>
      </c>
      <c r="B10246" s="55" t="n">
        <v>45746</v>
      </c>
      <c r="C10246" s="51" t="s">
        <v>782</v>
      </c>
      <c r="D10246" s="51" t="n">
        <v>0</v>
      </c>
    </row>
    <row r="10247" customFormat="false" ht="15" hidden="true" customHeight="false" outlineLevel="0" collapsed="false">
      <c r="A10247" s="51" t="s">
        <v>394</v>
      </c>
      <c r="B10247" s="55" t="n">
        <v>45746</v>
      </c>
      <c r="C10247" s="51" t="s">
        <v>782</v>
      </c>
      <c r="D10247" s="51" t="n">
        <v>0</v>
      </c>
    </row>
    <row r="10248" customFormat="false" ht="15" hidden="true" customHeight="false" outlineLevel="0" collapsed="false">
      <c r="A10248" s="51" t="s">
        <v>399</v>
      </c>
      <c r="B10248" s="55" t="n">
        <v>45746</v>
      </c>
      <c r="C10248" s="51" t="s">
        <v>782</v>
      </c>
      <c r="D10248" s="51" t="n">
        <v>0</v>
      </c>
    </row>
    <row r="10249" customFormat="false" ht="15" hidden="true" customHeight="false" outlineLevel="0" collapsed="false">
      <c r="A10249" s="51" t="s">
        <v>404</v>
      </c>
      <c r="B10249" s="55" t="n">
        <v>45746</v>
      </c>
      <c r="C10249" s="51" t="s">
        <v>782</v>
      </c>
      <c r="D10249" s="51" t="n">
        <v>0</v>
      </c>
    </row>
    <row r="10250" customFormat="false" ht="15" hidden="true" customHeight="false" outlineLevel="0" collapsed="false">
      <c r="A10250" s="51" t="s">
        <v>409</v>
      </c>
      <c r="B10250" s="55" t="n">
        <v>45746</v>
      </c>
      <c r="C10250" s="51" t="s">
        <v>782</v>
      </c>
      <c r="D10250" s="51" t="n">
        <v>0</v>
      </c>
    </row>
    <row r="10251" customFormat="false" ht="15" hidden="true" customHeight="false" outlineLevel="0" collapsed="false">
      <c r="A10251" s="51" t="s">
        <v>414</v>
      </c>
      <c r="B10251" s="55" t="n">
        <v>45746</v>
      </c>
      <c r="C10251" s="51" t="s">
        <v>782</v>
      </c>
      <c r="D10251" s="51" t="n">
        <v>0</v>
      </c>
    </row>
    <row r="10252" customFormat="false" ht="15" hidden="true" customHeight="false" outlineLevel="0" collapsed="false">
      <c r="A10252" s="51" t="s">
        <v>419</v>
      </c>
      <c r="B10252" s="55" t="n">
        <v>45746</v>
      </c>
      <c r="C10252" s="51" t="s">
        <v>782</v>
      </c>
      <c r="D10252" s="51" t="n">
        <v>0</v>
      </c>
    </row>
    <row r="10253" customFormat="false" ht="15" hidden="true" customHeight="false" outlineLevel="0" collapsed="false">
      <c r="A10253" s="51" t="s">
        <v>424</v>
      </c>
      <c r="B10253" s="55" t="n">
        <v>45746</v>
      </c>
      <c r="C10253" s="51" t="s">
        <v>782</v>
      </c>
      <c r="D10253" s="51" t="n">
        <v>0</v>
      </c>
    </row>
    <row r="10254" customFormat="false" ht="15" hidden="true" customHeight="false" outlineLevel="0" collapsed="false">
      <c r="A10254" s="51" t="s">
        <v>429</v>
      </c>
      <c r="B10254" s="55" t="n">
        <v>45746</v>
      </c>
      <c r="C10254" s="51" t="s">
        <v>782</v>
      </c>
      <c r="D10254" s="51" t="n">
        <v>0</v>
      </c>
    </row>
    <row r="10255" customFormat="false" ht="15" hidden="true" customHeight="false" outlineLevel="0" collapsed="false">
      <c r="A10255" s="51" t="s">
        <v>434</v>
      </c>
      <c r="B10255" s="55" t="n">
        <v>45746</v>
      </c>
      <c r="C10255" s="51" t="s">
        <v>782</v>
      </c>
      <c r="D10255" s="51" t="n">
        <v>0</v>
      </c>
    </row>
    <row r="10256" customFormat="false" ht="15" hidden="true" customHeight="false" outlineLevel="0" collapsed="false">
      <c r="A10256" s="51" t="s">
        <v>438</v>
      </c>
      <c r="B10256" s="55" t="n">
        <v>45746</v>
      </c>
      <c r="C10256" s="51" t="s">
        <v>782</v>
      </c>
      <c r="D10256" s="51" t="n">
        <v>0</v>
      </c>
    </row>
    <row r="10257" customFormat="false" ht="15" hidden="true" customHeight="false" outlineLevel="0" collapsed="false">
      <c r="A10257" s="51" t="s">
        <v>443</v>
      </c>
      <c r="B10257" s="55" t="n">
        <v>45746</v>
      </c>
      <c r="C10257" s="51" t="s">
        <v>782</v>
      </c>
      <c r="D10257" s="51" t="n">
        <v>0</v>
      </c>
    </row>
    <row r="10258" customFormat="false" ht="15" hidden="true" customHeight="false" outlineLevel="0" collapsed="false">
      <c r="A10258" s="51" t="s">
        <v>448</v>
      </c>
      <c r="B10258" s="55" t="n">
        <v>45746</v>
      </c>
      <c r="C10258" s="51" t="s">
        <v>782</v>
      </c>
      <c r="D10258" s="51" t="n">
        <v>0</v>
      </c>
    </row>
    <row r="10259" customFormat="false" ht="15" hidden="true" customHeight="false" outlineLevel="0" collapsed="false">
      <c r="A10259" s="51" t="s">
        <v>453</v>
      </c>
      <c r="B10259" s="55" t="n">
        <v>45746</v>
      </c>
      <c r="C10259" s="51" t="s">
        <v>782</v>
      </c>
      <c r="D10259" s="51" t="n">
        <v>0</v>
      </c>
    </row>
    <row r="10260" customFormat="false" ht="15" hidden="true" customHeight="false" outlineLevel="0" collapsed="false">
      <c r="A10260" s="51" t="s">
        <v>458</v>
      </c>
      <c r="B10260" s="55" t="n">
        <v>45746</v>
      </c>
      <c r="C10260" s="51" t="s">
        <v>782</v>
      </c>
      <c r="D10260" s="51" t="n">
        <v>0</v>
      </c>
    </row>
    <row r="10261" customFormat="false" ht="15" hidden="true" customHeight="false" outlineLevel="0" collapsed="false">
      <c r="A10261" s="51" t="s">
        <v>473</v>
      </c>
      <c r="B10261" s="55" t="n">
        <v>45746</v>
      </c>
      <c r="C10261" s="51" t="s">
        <v>782</v>
      </c>
      <c r="D10261" s="51" t="n">
        <v>0</v>
      </c>
    </row>
    <row r="10262" customFormat="false" ht="15" hidden="true" customHeight="false" outlineLevel="0" collapsed="false">
      <c r="A10262" s="51" t="s">
        <v>479</v>
      </c>
      <c r="B10262" s="55" t="n">
        <v>45746</v>
      </c>
      <c r="C10262" s="51" t="s">
        <v>782</v>
      </c>
      <c r="D10262" s="51" t="n">
        <v>0</v>
      </c>
    </row>
    <row r="10263" customFormat="false" ht="15" hidden="true" customHeight="false" outlineLevel="0" collapsed="false">
      <c r="A10263" s="51" t="s">
        <v>484</v>
      </c>
      <c r="B10263" s="55" t="n">
        <v>45746</v>
      </c>
      <c r="C10263" s="51" t="s">
        <v>782</v>
      </c>
      <c r="D10263" s="51" t="n">
        <v>0</v>
      </c>
    </row>
    <row r="10264" customFormat="false" ht="15" hidden="true" customHeight="false" outlineLevel="0" collapsed="false">
      <c r="A10264" s="51" t="s">
        <v>489</v>
      </c>
      <c r="B10264" s="55" t="n">
        <v>45746</v>
      </c>
      <c r="C10264" s="51" t="s">
        <v>782</v>
      </c>
      <c r="D10264" s="51" t="n">
        <v>0</v>
      </c>
    </row>
    <row r="10265" customFormat="false" ht="15" hidden="true" customHeight="false" outlineLevel="0" collapsed="false">
      <c r="A10265" s="51" t="s">
        <v>494</v>
      </c>
      <c r="B10265" s="55" t="n">
        <v>45746</v>
      </c>
      <c r="C10265" s="51" t="s">
        <v>782</v>
      </c>
      <c r="D10265" s="51" t="n">
        <v>0</v>
      </c>
    </row>
    <row r="10266" customFormat="false" ht="15" hidden="true" customHeight="false" outlineLevel="0" collapsed="false">
      <c r="A10266" s="51" t="s">
        <v>499</v>
      </c>
      <c r="B10266" s="55" t="n">
        <v>45746</v>
      </c>
      <c r="C10266" s="51" t="s">
        <v>782</v>
      </c>
      <c r="D10266" s="51" t="n">
        <v>0</v>
      </c>
    </row>
    <row r="10267" customFormat="false" ht="15" hidden="true" customHeight="false" outlineLevel="0" collapsed="false">
      <c r="A10267" s="51" t="s">
        <v>504</v>
      </c>
      <c r="B10267" s="55" t="n">
        <v>45746</v>
      </c>
      <c r="C10267" s="51" t="s">
        <v>782</v>
      </c>
      <c r="D10267" s="51" t="n">
        <v>0</v>
      </c>
    </row>
    <row r="10268" customFormat="false" ht="15" hidden="true" customHeight="false" outlineLevel="0" collapsed="false">
      <c r="A10268" s="51" t="s">
        <v>509</v>
      </c>
      <c r="B10268" s="55" t="n">
        <v>45746</v>
      </c>
      <c r="C10268" s="51" t="s">
        <v>782</v>
      </c>
      <c r="D10268" s="51" t="n">
        <v>0</v>
      </c>
    </row>
    <row r="10269" customFormat="false" ht="15" hidden="true" customHeight="false" outlineLevel="0" collapsed="false">
      <c r="A10269" s="51" t="s">
        <v>515</v>
      </c>
      <c r="B10269" s="55" t="n">
        <v>45746</v>
      </c>
      <c r="C10269" s="51" t="s">
        <v>782</v>
      </c>
      <c r="D10269" s="51" t="n">
        <v>0</v>
      </c>
    </row>
    <row r="10270" customFormat="false" ht="15" hidden="true" customHeight="false" outlineLevel="0" collapsed="false">
      <c r="A10270" s="51" t="s">
        <v>520</v>
      </c>
      <c r="B10270" s="55" t="n">
        <v>45746</v>
      </c>
      <c r="C10270" s="51" t="s">
        <v>782</v>
      </c>
      <c r="D10270" s="51" t="n">
        <v>0</v>
      </c>
    </row>
    <row r="10271" customFormat="false" ht="15" hidden="true" customHeight="false" outlineLevel="0" collapsed="false">
      <c r="A10271" s="51" t="s">
        <v>525</v>
      </c>
      <c r="B10271" s="55" t="n">
        <v>45746</v>
      </c>
      <c r="C10271" s="51" t="s">
        <v>782</v>
      </c>
      <c r="D10271" s="51" t="n">
        <v>0</v>
      </c>
    </row>
    <row r="10272" customFormat="false" ht="15" hidden="true" customHeight="false" outlineLevel="0" collapsed="false">
      <c r="A10272" s="51" t="s">
        <v>531</v>
      </c>
      <c r="B10272" s="55" t="n">
        <v>45746</v>
      </c>
      <c r="C10272" s="51" t="s">
        <v>782</v>
      </c>
      <c r="D10272" s="51" t="n">
        <v>0</v>
      </c>
    </row>
    <row r="10273" customFormat="false" ht="15" hidden="true" customHeight="false" outlineLevel="0" collapsed="false">
      <c r="A10273" s="51" t="s">
        <v>536</v>
      </c>
      <c r="B10273" s="55" t="n">
        <v>45746</v>
      </c>
      <c r="C10273" s="51" t="s">
        <v>782</v>
      </c>
      <c r="D10273" s="51" t="n">
        <v>0</v>
      </c>
    </row>
    <row r="10274" customFormat="false" ht="15" hidden="true" customHeight="false" outlineLevel="0" collapsed="false">
      <c r="A10274" s="51" t="s">
        <v>541</v>
      </c>
      <c r="B10274" s="55" t="n">
        <v>45746</v>
      </c>
      <c r="C10274" s="51" t="s">
        <v>782</v>
      </c>
      <c r="D10274" s="51" t="n">
        <v>0</v>
      </c>
    </row>
    <row r="10275" customFormat="false" ht="15" hidden="true" customHeight="false" outlineLevel="0" collapsed="false">
      <c r="A10275" s="51" t="s">
        <v>549</v>
      </c>
      <c r="B10275" s="55" t="n">
        <v>45746</v>
      </c>
      <c r="C10275" s="51" t="s">
        <v>782</v>
      </c>
      <c r="D10275" s="51" t="n">
        <v>0</v>
      </c>
    </row>
    <row r="10276" customFormat="false" ht="15" hidden="true" customHeight="false" outlineLevel="0" collapsed="false">
      <c r="A10276" s="51" t="s">
        <v>554</v>
      </c>
      <c r="B10276" s="55" t="n">
        <v>45746</v>
      </c>
      <c r="C10276" s="51" t="s">
        <v>782</v>
      </c>
      <c r="D10276" s="51" t="n">
        <v>0</v>
      </c>
    </row>
    <row r="10277" customFormat="false" ht="15" hidden="true" customHeight="false" outlineLevel="0" collapsed="false">
      <c r="A10277" s="51" t="s">
        <v>559</v>
      </c>
      <c r="B10277" s="55" t="n">
        <v>45746</v>
      </c>
      <c r="C10277" s="51" t="s">
        <v>782</v>
      </c>
      <c r="D10277" s="51" t="n">
        <v>0</v>
      </c>
    </row>
    <row r="10278" customFormat="false" ht="15" hidden="true" customHeight="false" outlineLevel="0" collapsed="false">
      <c r="A10278" s="51" t="s">
        <v>564</v>
      </c>
      <c r="B10278" s="55" t="n">
        <v>45746</v>
      </c>
      <c r="C10278" s="51" t="s">
        <v>782</v>
      </c>
      <c r="D10278" s="51" t="n">
        <v>0</v>
      </c>
    </row>
    <row r="10279" customFormat="false" ht="15" hidden="true" customHeight="false" outlineLevel="0" collapsed="false">
      <c r="A10279" s="51" t="s">
        <v>569</v>
      </c>
      <c r="B10279" s="55" t="n">
        <v>45746</v>
      </c>
      <c r="C10279" s="51" t="s">
        <v>782</v>
      </c>
      <c r="D10279" s="51" t="n">
        <v>0</v>
      </c>
    </row>
    <row r="10280" customFormat="false" ht="15" hidden="true" customHeight="false" outlineLevel="0" collapsed="false">
      <c r="A10280" s="51" t="s">
        <v>574</v>
      </c>
      <c r="B10280" s="55" t="n">
        <v>45746</v>
      </c>
      <c r="C10280" s="51" t="s">
        <v>782</v>
      </c>
      <c r="D10280" s="51" t="n">
        <v>0</v>
      </c>
    </row>
    <row r="10281" customFormat="false" ht="15" hidden="true" customHeight="false" outlineLevel="0" collapsed="false">
      <c r="A10281" s="51" t="s">
        <v>579</v>
      </c>
      <c r="B10281" s="55" t="n">
        <v>45746</v>
      </c>
      <c r="C10281" s="51" t="s">
        <v>782</v>
      </c>
      <c r="D10281" s="51" t="n">
        <v>0</v>
      </c>
    </row>
    <row r="10282" customFormat="false" ht="15" hidden="true" customHeight="false" outlineLevel="0" collapsed="false">
      <c r="A10282" s="51" t="s">
        <v>584</v>
      </c>
      <c r="B10282" s="55" t="n">
        <v>45746</v>
      </c>
      <c r="C10282" s="51" t="s">
        <v>782</v>
      </c>
      <c r="D10282" s="51" t="n">
        <v>0</v>
      </c>
    </row>
    <row r="10283" customFormat="false" ht="15" hidden="true" customHeight="false" outlineLevel="0" collapsed="false">
      <c r="A10283" s="51" t="s">
        <v>589</v>
      </c>
      <c r="B10283" s="55" t="n">
        <v>45746</v>
      </c>
      <c r="C10283" s="51" t="s">
        <v>782</v>
      </c>
      <c r="D10283" s="51" t="n">
        <v>0</v>
      </c>
    </row>
    <row r="10284" customFormat="false" ht="15" hidden="true" customHeight="false" outlineLevel="0" collapsed="false">
      <c r="A10284" s="51" t="s">
        <v>756</v>
      </c>
      <c r="B10284" s="55" t="n">
        <v>45746</v>
      </c>
      <c r="C10284" s="51" t="s">
        <v>782</v>
      </c>
      <c r="D10284" s="51" t="n">
        <v>0</v>
      </c>
    </row>
    <row r="10285" customFormat="false" ht="15" hidden="true" customHeight="false" outlineLevel="0" collapsed="false">
      <c r="A10285" s="51" t="s">
        <v>594</v>
      </c>
      <c r="B10285" s="55" t="n">
        <v>45746</v>
      </c>
      <c r="C10285" s="51" t="s">
        <v>782</v>
      </c>
      <c r="D10285" s="51" t="n">
        <v>0</v>
      </c>
    </row>
    <row r="10286" customFormat="false" ht="15" hidden="true" customHeight="false" outlineLevel="0" collapsed="false">
      <c r="A10286" s="51" t="s">
        <v>761</v>
      </c>
      <c r="B10286" s="55" t="n">
        <v>45746</v>
      </c>
      <c r="C10286" s="51" t="s">
        <v>782</v>
      </c>
      <c r="D10286" s="51" t="n">
        <v>0</v>
      </c>
    </row>
    <row r="10287" customFormat="false" ht="15" hidden="true" customHeight="false" outlineLevel="0" collapsed="false">
      <c r="A10287" s="51" t="s">
        <v>599</v>
      </c>
      <c r="B10287" s="55" t="n">
        <v>45746</v>
      </c>
      <c r="C10287" s="51" t="s">
        <v>782</v>
      </c>
      <c r="D10287" s="51" t="n">
        <v>2250000</v>
      </c>
    </row>
    <row r="10288" customFormat="false" ht="15" hidden="true" customHeight="false" outlineLevel="0" collapsed="false">
      <c r="A10288" s="51" t="s">
        <v>604</v>
      </c>
      <c r="B10288" s="55" t="n">
        <v>45746</v>
      </c>
      <c r="C10288" s="51" t="s">
        <v>782</v>
      </c>
      <c r="D10288" s="51" t="n">
        <v>0</v>
      </c>
    </row>
    <row r="10289" customFormat="false" ht="15" hidden="true" customHeight="false" outlineLevel="0" collapsed="false">
      <c r="A10289" s="51" t="s">
        <v>609</v>
      </c>
      <c r="B10289" s="55" t="n">
        <v>45746</v>
      </c>
      <c r="C10289" s="51" t="s">
        <v>782</v>
      </c>
      <c r="D10289" s="51" t="n">
        <v>150000</v>
      </c>
    </row>
    <row r="10290" customFormat="false" ht="15" hidden="true" customHeight="false" outlineLevel="0" collapsed="false">
      <c r="A10290" s="51" t="s">
        <v>614</v>
      </c>
      <c r="B10290" s="55" t="n">
        <v>45746</v>
      </c>
      <c r="C10290" s="51" t="s">
        <v>782</v>
      </c>
      <c r="D10290" s="51" t="n">
        <v>4800000</v>
      </c>
    </row>
    <row r="10291" customFormat="false" ht="15" hidden="true" customHeight="false" outlineLevel="0" collapsed="false">
      <c r="A10291" s="51" t="s">
        <v>619</v>
      </c>
      <c r="B10291" s="55" t="n">
        <v>45746</v>
      </c>
      <c r="C10291" s="51" t="s">
        <v>782</v>
      </c>
      <c r="D10291" s="51" t="n">
        <v>162000</v>
      </c>
    </row>
    <row r="10292" customFormat="false" ht="15" hidden="true" customHeight="false" outlineLevel="0" collapsed="false">
      <c r="A10292" s="51" t="s">
        <v>624</v>
      </c>
      <c r="B10292" s="55" t="n">
        <v>45746</v>
      </c>
      <c r="C10292" s="51" t="s">
        <v>782</v>
      </c>
      <c r="D10292" s="51" t="n">
        <v>350000</v>
      </c>
    </row>
    <row r="10293" customFormat="false" ht="15" hidden="true" customHeight="false" outlineLevel="0" collapsed="false">
      <c r="A10293" s="51" t="s">
        <v>629</v>
      </c>
      <c r="B10293" s="55" t="n">
        <v>45746</v>
      </c>
      <c r="C10293" s="51" t="s">
        <v>782</v>
      </c>
      <c r="D10293" s="51" t="n">
        <v>250000</v>
      </c>
    </row>
    <row r="10294" customFormat="false" ht="15" hidden="true" customHeight="false" outlineLevel="0" collapsed="false">
      <c r="A10294" s="51" t="s">
        <v>633</v>
      </c>
      <c r="B10294" s="55" t="n">
        <v>45746</v>
      </c>
      <c r="C10294" s="51" t="s">
        <v>782</v>
      </c>
      <c r="D10294" s="51" t="n">
        <v>0</v>
      </c>
    </row>
    <row r="10295" customFormat="false" ht="15" hidden="true" customHeight="false" outlineLevel="0" collapsed="false">
      <c r="A10295" s="51" t="s">
        <v>638</v>
      </c>
      <c r="B10295" s="55" t="n">
        <v>45746</v>
      </c>
      <c r="C10295" s="51" t="s">
        <v>782</v>
      </c>
      <c r="D10295" s="51" t="n">
        <v>0</v>
      </c>
    </row>
    <row r="10296" customFormat="false" ht="15" hidden="true" customHeight="false" outlineLevel="0" collapsed="false">
      <c r="A10296" s="51" t="s">
        <v>642</v>
      </c>
      <c r="B10296" s="55" t="n">
        <v>45746</v>
      </c>
      <c r="C10296" s="51" t="s">
        <v>782</v>
      </c>
      <c r="D10296" s="51" t="n">
        <v>0</v>
      </c>
    </row>
    <row r="10297" customFormat="false" ht="15" hidden="true" customHeight="false" outlineLevel="0" collapsed="false">
      <c r="A10297" s="51" t="s">
        <v>646</v>
      </c>
      <c r="B10297" s="55" t="n">
        <v>45746</v>
      </c>
      <c r="C10297" s="51" t="s">
        <v>782</v>
      </c>
      <c r="D10297" s="51" t="n">
        <v>175000</v>
      </c>
    </row>
    <row r="10298" customFormat="false" ht="15" hidden="true" customHeight="false" outlineLevel="0" collapsed="false">
      <c r="A10298" s="51" t="s">
        <v>651</v>
      </c>
      <c r="B10298" s="55" t="n">
        <v>45746</v>
      </c>
      <c r="C10298" s="51" t="s">
        <v>782</v>
      </c>
      <c r="D10298" s="51" t="n">
        <v>0</v>
      </c>
    </row>
    <row r="10299" customFormat="false" ht="15" hidden="true" customHeight="false" outlineLevel="0" collapsed="false">
      <c r="A10299" s="51" t="s">
        <v>656</v>
      </c>
      <c r="B10299" s="55" t="n">
        <v>45746</v>
      </c>
      <c r="C10299" s="51" t="s">
        <v>782</v>
      </c>
      <c r="D10299" s="51" t="n">
        <v>0</v>
      </c>
    </row>
    <row r="10300" customFormat="false" ht="15" hidden="true" customHeight="false" outlineLevel="0" collapsed="false">
      <c r="A10300" s="51" t="s">
        <v>661</v>
      </c>
      <c r="B10300" s="55" t="n">
        <v>45746</v>
      </c>
      <c r="C10300" s="51" t="s">
        <v>782</v>
      </c>
      <c r="D10300" s="51" t="n">
        <v>0</v>
      </c>
    </row>
    <row r="10301" customFormat="false" ht="15" hidden="true" customHeight="false" outlineLevel="0" collapsed="false">
      <c r="A10301" s="51" t="s">
        <v>666</v>
      </c>
      <c r="B10301" s="55" t="n">
        <v>45746</v>
      </c>
      <c r="C10301" s="51" t="s">
        <v>782</v>
      </c>
      <c r="D10301" s="51" t="n">
        <v>0</v>
      </c>
    </row>
    <row r="10302" customFormat="false" ht="15" hidden="true" customHeight="false" outlineLevel="0" collapsed="false">
      <c r="A10302" s="51" t="s">
        <v>671</v>
      </c>
      <c r="B10302" s="55" t="n">
        <v>45746</v>
      </c>
      <c r="C10302" s="51" t="s">
        <v>782</v>
      </c>
      <c r="D10302" s="51" t="n">
        <v>0</v>
      </c>
    </row>
    <row r="10303" customFormat="false" ht="15" hidden="true" customHeight="false" outlineLevel="0" collapsed="false">
      <c r="A10303" s="51" t="s">
        <v>676</v>
      </c>
      <c r="B10303" s="55" t="n">
        <v>45746</v>
      </c>
      <c r="C10303" s="51" t="s">
        <v>782</v>
      </c>
      <c r="D10303" s="51" t="n">
        <v>0</v>
      </c>
    </row>
    <row r="10304" customFormat="false" ht="15" hidden="true" customHeight="false" outlineLevel="0" collapsed="false">
      <c r="A10304" s="51" t="s">
        <v>681</v>
      </c>
      <c r="B10304" s="55" t="n">
        <v>45746</v>
      </c>
      <c r="C10304" s="51" t="s">
        <v>782</v>
      </c>
      <c r="D10304" s="51" t="n">
        <v>0</v>
      </c>
    </row>
    <row r="10305" customFormat="false" ht="15" hidden="true" customHeight="false" outlineLevel="0" collapsed="false">
      <c r="A10305" s="51" t="s">
        <v>686</v>
      </c>
      <c r="B10305" s="55" t="n">
        <v>45746</v>
      </c>
      <c r="C10305" s="51" t="s">
        <v>782</v>
      </c>
      <c r="D10305" s="51" t="n">
        <v>0</v>
      </c>
    </row>
    <row r="10306" customFormat="false" ht="15" hidden="true" customHeight="false" outlineLevel="0" collapsed="false">
      <c r="A10306" s="51" t="s">
        <v>691</v>
      </c>
      <c r="B10306" s="55" t="n">
        <v>45746</v>
      </c>
      <c r="C10306" s="51" t="s">
        <v>782</v>
      </c>
      <c r="D10306" s="51" t="n">
        <v>0</v>
      </c>
    </row>
    <row r="10307" customFormat="false" ht="15" hidden="true" customHeight="false" outlineLevel="0" collapsed="false">
      <c r="A10307" s="51" t="s">
        <v>696</v>
      </c>
      <c r="B10307" s="55" t="n">
        <v>45746</v>
      </c>
      <c r="C10307" s="51" t="s">
        <v>782</v>
      </c>
      <c r="D10307" s="51" t="n">
        <v>0</v>
      </c>
    </row>
    <row r="10308" customFormat="false" ht="15" hidden="true" customHeight="false" outlineLevel="0" collapsed="false">
      <c r="A10308" s="51" t="s">
        <v>701</v>
      </c>
      <c r="B10308" s="55" t="n">
        <v>45746</v>
      </c>
      <c r="C10308" s="51" t="s">
        <v>782</v>
      </c>
      <c r="D10308" s="51" t="n">
        <v>0</v>
      </c>
    </row>
    <row r="10309" customFormat="false" ht="15" hidden="true" customHeight="false" outlineLevel="0" collapsed="false">
      <c r="A10309" s="51" t="s">
        <v>707</v>
      </c>
      <c r="B10309" s="55" t="n">
        <v>45746</v>
      </c>
      <c r="C10309" s="51" t="s">
        <v>782</v>
      </c>
      <c r="D10309" s="51" t="n">
        <v>0</v>
      </c>
    </row>
    <row r="10310" customFormat="false" ht="15" hidden="true" customHeight="false" outlineLevel="0" collapsed="false">
      <c r="A10310" s="51" t="s">
        <v>712</v>
      </c>
      <c r="B10310" s="55" t="n">
        <v>45746</v>
      </c>
      <c r="C10310" s="51" t="s">
        <v>782</v>
      </c>
      <c r="D10310" s="51" t="n">
        <v>0</v>
      </c>
    </row>
    <row r="10311" customFormat="false" ht="15" hidden="true" customHeight="false" outlineLevel="0" collapsed="false">
      <c r="A10311" s="51" t="s">
        <v>717</v>
      </c>
      <c r="B10311" s="55" t="n">
        <v>45746</v>
      </c>
      <c r="C10311" s="51" t="s">
        <v>782</v>
      </c>
      <c r="D10311" s="51" t="n">
        <v>0</v>
      </c>
    </row>
    <row r="10312" customFormat="false" ht="15" hidden="true" customHeight="false" outlineLevel="0" collapsed="false">
      <c r="A10312" s="51" t="s">
        <v>767</v>
      </c>
      <c r="B10312" s="55" t="n">
        <v>45746</v>
      </c>
      <c r="C10312" s="51" t="s">
        <v>782</v>
      </c>
      <c r="D10312" s="51" t="n">
        <v>0</v>
      </c>
    </row>
    <row r="10313" customFormat="false" ht="15" hidden="true" customHeight="false" outlineLevel="0" collapsed="false">
      <c r="A10313" s="51" t="s">
        <v>722</v>
      </c>
      <c r="B10313" s="55" t="n">
        <v>45746</v>
      </c>
      <c r="C10313" s="51" t="s">
        <v>782</v>
      </c>
      <c r="D10313" s="51" t="n">
        <v>0</v>
      </c>
    </row>
    <row r="10314" customFormat="false" ht="15" hidden="true" customHeight="false" outlineLevel="0" collapsed="false">
      <c r="A10314" s="51" t="s">
        <v>727</v>
      </c>
      <c r="B10314" s="55" t="n">
        <v>45746</v>
      </c>
      <c r="C10314" s="51" t="s">
        <v>782</v>
      </c>
      <c r="D10314" s="51" t="n">
        <v>0</v>
      </c>
    </row>
    <row r="10315" customFormat="false" ht="15" hidden="true" customHeight="false" outlineLevel="0" collapsed="false">
      <c r="A10315" s="51" t="s">
        <v>732</v>
      </c>
      <c r="B10315" s="55" t="n">
        <v>45746</v>
      </c>
      <c r="C10315" s="51" t="s">
        <v>782</v>
      </c>
      <c r="D10315" s="51" t="n">
        <v>0</v>
      </c>
    </row>
    <row r="10316" customFormat="false" ht="15" hidden="true" customHeight="false" outlineLevel="0" collapsed="false">
      <c r="A10316" s="51" t="s">
        <v>736</v>
      </c>
      <c r="B10316" s="55" t="n">
        <v>45746</v>
      </c>
      <c r="C10316" s="51" t="s">
        <v>782</v>
      </c>
      <c r="D10316" s="51" t="n">
        <v>0</v>
      </c>
    </row>
    <row r="10317" customFormat="false" ht="15" hidden="true" customHeight="false" outlineLevel="0" collapsed="false">
      <c r="A10317" s="51" t="s">
        <v>741</v>
      </c>
      <c r="B10317" s="55" t="n">
        <v>45746</v>
      </c>
      <c r="C10317" s="51" t="s">
        <v>782</v>
      </c>
      <c r="D10317" s="51" t="n">
        <v>0</v>
      </c>
    </row>
    <row r="10318" customFormat="false" ht="15" hidden="true" customHeight="false" outlineLevel="0" collapsed="false">
      <c r="A10318" s="51" t="s">
        <v>746</v>
      </c>
      <c r="B10318" s="55" t="n">
        <v>45746</v>
      </c>
      <c r="C10318" s="51" t="s">
        <v>782</v>
      </c>
      <c r="D10318" s="51" t="n">
        <v>0</v>
      </c>
    </row>
    <row r="10319" customFormat="false" ht="15" hidden="true" customHeight="false" outlineLevel="0" collapsed="false">
      <c r="A10319" s="51" t="s">
        <v>751</v>
      </c>
      <c r="B10319" s="55" t="n">
        <v>45746</v>
      </c>
      <c r="C10319" s="51" t="s">
        <v>782</v>
      </c>
      <c r="D10319" s="51" t="n">
        <v>0</v>
      </c>
    </row>
    <row r="10320" customFormat="false" ht="15" hidden="false" customHeight="false" outlineLevel="0" collapsed="false">
      <c r="A10320" s="51" t="s">
        <v>781</v>
      </c>
      <c r="B10320" s="55" t="n">
        <v>45746</v>
      </c>
      <c r="C10320" s="51" t="s">
        <v>82</v>
      </c>
      <c r="D10320" s="51" t="n">
        <v>0</v>
      </c>
    </row>
    <row r="10321" customFormat="false" ht="15" hidden="true" customHeight="false" outlineLevel="0" collapsed="false">
      <c r="A10321" s="51" t="s">
        <v>783</v>
      </c>
      <c r="B10321" s="55" t="n">
        <v>45746</v>
      </c>
      <c r="C10321" s="51" t="s">
        <v>82</v>
      </c>
      <c r="D10321" s="51" t="n">
        <v>0</v>
      </c>
    </row>
    <row r="10322" customFormat="false" ht="15" hidden="true" customHeight="false" outlineLevel="0" collapsed="false">
      <c r="A10322" s="51" t="s">
        <v>96</v>
      </c>
      <c r="B10322" s="55" t="n">
        <v>45746</v>
      </c>
      <c r="C10322" s="51" t="s">
        <v>82</v>
      </c>
      <c r="D10322" s="51" t="n">
        <v>0</v>
      </c>
    </row>
    <row r="10323" customFormat="false" ht="15" hidden="true" customHeight="false" outlineLevel="0" collapsed="false">
      <c r="A10323" s="51" t="s">
        <v>101</v>
      </c>
      <c r="B10323" s="55" t="n">
        <v>45746</v>
      </c>
      <c r="C10323" s="51" t="s">
        <v>82</v>
      </c>
      <c r="D10323" s="51" t="n">
        <v>0</v>
      </c>
    </row>
    <row r="10324" customFormat="false" ht="15" hidden="true" customHeight="false" outlineLevel="0" collapsed="false">
      <c r="A10324" s="51" t="s">
        <v>106</v>
      </c>
      <c r="B10324" s="55" t="n">
        <v>45746</v>
      </c>
      <c r="C10324" s="51" t="s">
        <v>82</v>
      </c>
      <c r="D10324" s="51" t="n">
        <v>0</v>
      </c>
    </row>
    <row r="10325" customFormat="false" ht="15" hidden="true" customHeight="false" outlineLevel="0" collapsed="false">
      <c r="A10325" s="51" t="s">
        <v>110</v>
      </c>
      <c r="B10325" s="55" t="n">
        <v>45746</v>
      </c>
      <c r="C10325" s="51" t="s">
        <v>82</v>
      </c>
      <c r="D10325" s="51" t="n">
        <v>0</v>
      </c>
    </row>
    <row r="10326" customFormat="false" ht="15" hidden="true" customHeight="false" outlineLevel="0" collapsed="false">
      <c r="A10326" s="51" t="s">
        <v>115</v>
      </c>
      <c r="B10326" s="55" t="n">
        <v>45746</v>
      </c>
      <c r="C10326" s="51" t="s">
        <v>82</v>
      </c>
      <c r="D10326" s="51" t="n">
        <v>0</v>
      </c>
    </row>
    <row r="10327" customFormat="false" ht="15" hidden="true" customHeight="false" outlineLevel="0" collapsed="false">
      <c r="A10327" s="51" t="s">
        <v>120</v>
      </c>
      <c r="B10327" s="55" t="n">
        <v>45746</v>
      </c>
      <c r="C10327" s="51" t="s">
        <v>82</v>
      </c>
      <c r="D10327" s="51" t="n">
        <v>0</v>
      </c>
    </row>
    <row r="10328" customFormat="false" ht="15" hidden="true" customHeight="false" outlineLevel="0" collapsed="false">
      <c r="A10328" s="51" t="s">
        <v>124</v>
      </c>
      <c r="B10328" s="55" t="n">
        <v>45746</v>
      </c>
      <c r="C10328" s="51" t="s">
        <v>82</v>
      </c>
      <c r="D10328" s="51" t="n">
        <v>0</v>
      </c>
    </row>
    <row r="10329" customFormat="false" ht="15" hidden="true" customHeight="false" outlineLevel="0" collapsed="false">
      <c r="A10329" s="51" t="s">
        <v>129</v>
      </c>
      <c r="B10329" s="55" t="n">
        <v>45746</v>
      </c>
      <c r="C10329" s="51" t="s">
        <v>82</v>
      </c>
      <c r="D10329" s="51" t="n">
        <v>0</v>
      </c>
    </row>
    <row r="10330" customFormat="false" ht="15" hidden="true" customHeight="false" outlineLevel="0" collapsed="false">
      <c r="A10330" s="51" t="s">
        <v>134</v>
      </c>
      <c r="B10330" s="55" t="n">
        <v>45746</v>
      </c>
      <c r="C10330" s="51" t="s">
        <v>82</v>
      </c>
      <c r="D10330" s="51" t="n">
        <v>0</v>
      </c>
    </row>
    <row r="10331" customFormat="false" ht="15" hidden="true" customHeight="false" outlineLevel="0" collapsed="false">
      <c r="A10331" s="51" t="s">
        <v>141</v>
      </c>
      <c r="B10331" s="55" t="n">
        <v>45746</v>
      </c>
      <c r="C10331" s="51" t="s">
        <v>82</v>
      </c>
      <c r="D10331" s="51" t="n">
        <v>0</v>
      </c>
    </row>
    <row r="10332" customFormat="false" ht="15" hidden="true" customHeight="false" outlineLevel="0" collapsed="false">
      <c r="A10332" s="51" t="s">
        <v>146</v>
      </c>
      <c r="B10332" s="55" t="n">
        <v>45746</v>
      </c>
      <c r="C10332" s="51" t="s">
        <v>82</v>
      </c>
      <c r="D10332" s="51" t="n">
        <v>0</v>
      </c>
    </row>
    <row r="10333" customFormat="false" ht="15" hidden="true" customHeight="false" outlineLevel="0" collapsed="false">
      <c r="A10333" s="51" t="s">
        <v>151</v>
      </c>
      <c r="B10333" s="55" t="n">
        <v>45746</v>
      </c>
      <c r="C10333" s="51" t="s">
        <v>82</v>
      </c>
      <c r="D10333" s="51" t="n">
        <v>0</v>
      </c>
    </row>
    <row r="10334" customFormat="false" ht="15" hidden="true" customHeight="false" outlineLevel="0" collapsed="false">
      <c r="A10334" s="51" t="s">
        <v>156</v>
      </c>
      <c r="B10334" s="55" t="n">
        <v>45746</v>
      </c>
      <c r="C10334" s="51" t="s">
        <v>82</v>
      </c>
      <c r="D10334" s="51" t="n">
        <v>0</v>
      </c>
    </row>
    <row r="10335" customFormat="false" ht="15" hidden="true" customHeight="false" outlineLevel="0" collapsed="false">
      <c r="A10335" s="51" t="s">
        <v>161</v>
      </c>
      <c r="B10335" s="55" t="n">
        <v>45746</v>
      </c>
      <c r="C10335" s="51" t="s">
        <v>82</v>
      </c>
      <c r="D10335" s="51" t="n">
        <v>0</v>
      </c>
    </row>
    <row r="10336" customFormat="false" ht="15" hidden="true" customHeight="false" outlineLevel="0" collapsed="false">
      <c r="A10336" s="51" t="s">
        <v>166</v>
      </c>
      <c r="B10336" s="55" t="n">
        <v>45746</v>
      </c>
      <c r="C10336" s="51" t="s">
        <v>82</v>
      </c>
      <c r="D10336" s="51" t="n">
        <v>0</v>
      </c>
    </row>
    <row r="10337" customFormat="false" ht="15" hidden="true" customHeight="false" outlineLevel="0" collapsed="false">
      <c r="A10337" s="51" t="s">
        <v>171</v>
      </c>
      <c r="B10337" s="55" t="n">
        <v>45746</v>
      </c>
      <c r="C10337" s="51" t="s">
        <v>82</v>
      </c>
      <c r="D10337" s="51" t="n">
        <v>0</v>
      </c>
    </row>
    <row r="10338" customFormat="false" ht="15" hidden="true" customHeight="false" outlineLevel="0" collapsed="false">
      <c r="A10338" s="51" t="s">
        <v>176</v>
      </c>
      <c r="B10338" s="55" t="n">
        <v>45746</v>
      </c>
      <c r="C10338" s="51" t="s">
        <v>82</v>
      </c>
      <c r="D10338" s="51" t="n">
        <v>0</v>
      </c>
    </row>
    <row r="10339" customFormat="false" ht="15" hidden="true" customHeight="false" outlineLevel="0" collapsed="false">
      <c r="A10339" s="51" t="s">
        <v>181</v>
      </c>
      <c r="B10339" s="55" t="n">
        <v>45746</v>
      </c>
      <c r="C10339" s="51" t="s">
        <v>82</v>
      </c>
      <c r="D10339" s="51" t="n">
        <v>0</v>
      </c>
    </row>
    <row r="10340" customFormat="false" ht="15" hidden="true" customHeight="false" outlineLevel="0" collapsed="false">
      <c r="A10340" s="51" t="s">
        <v>186</v>
      </c>
      <c r="B10340" s="55" t="n">
        <v>45746</v>
      </c>
      <c r="C10340" s="51" t="s">
        <v>82</v>
      </c>
      <c r="D10340" s="51" t="n">
        <v>0</v>
      </c>
    </row>
    <row r="10341" customFormat="false" ht="15" hidden="true" customHeight="false" outlineLevel="0" collapsed="false">
      <c r="A10341" s="51" t="s">
        <v>191</v>
      </c>
      <c r="B10341" s="55" t="n">
        <v>45746</v>
      </c>
      <c r="C10341" s="51" t="s">
        <v>82</v>
      </c>
      <c r="D10341" s="51" t="n">
        <v>0</v>
      </c>
    </row>
    <row r="10342" customFormat="false" ht="15" hidden="true" customHeight="false" outlineLevel="0" collapsed="false">
      <c r="A10342" s="51" t="s">
        <v>196</v>
      </c>
      <c r="B10342" s="55" t="n">
        <v>45746</v>
      </c>
      <c r="C10342" s="51" t="s">
        <v>82</v>
      </c>
      <c r="D10342" s="51" t="n">
        <v>0</v>
      </c>
    </row>
    <row r="10343" customFormat="false" ht="15" hidden="true" customHeight="false" outlineLevel="0" collapsed="false">
      <c r="A10343" s="51" t="s">
        <v>201</v>
      </c>
      <c r="B10343" s="55" t="n">
        <v>45746</v>
      </c>
      <c r="C10343" s="51" t="s">
        <v>82</v>
      </c>
      <c r="D10343" s="51" t="n">
        <v>0</v>
      </c>
    </row>
    <row r="10344" customFormat="false" ht="15" hidden="true" customHeight="false" outlineLevel="0" collapsed="false">
      <c r="A10344" s="51" t="s">
        <v>206</v>
      </c>
      <c r="B10344" s="55" t="n">
        <v>45746</v>
      </c>
      <c r="C10344" s="51" t="s">
        <v>82</v>
      </c>
      <c r="D10344" s="51" t="n">
        <v>0</v>
      </c>
    </row>
    <row r="10345" customFormat="false" ht="15" hidden="true" customHeight="false" outlineLevel="0" collapsed="false">
      <c r="A10345" s="51" t="s">
        <v>210</v>
      </c>
      <c r="B10345" s="55" t="n">
        <v>45746</v>
      </c>
      <c r="C10345" s="51" t="s">
        <v>82</v>
      </c>
      <c r="D10345" s="51" t="n">
        <v>0</v>
      </c>
    </row>
    <row r="10346" customFormat="false" ht="15" hidden="true" customHeight="false" outlineLevel="0" collapsed="false">
      <c r="A10346" s="51" t="s">
        <v>215</v>
      </c>
      <c r="B10346" s="55" t="n">
        <v>45746</v>
      </c>
      <c r="C10346" s="51" t="s">
        <v>82</v>
      </c>
      <c r="D10346" s="51" t="n">
        <v>0</v>
      </c>
    </row>
    <row r="10347" customFormat="false" ht="15" hidden="true" customHeight="false" outlineLevel="0" collapsed="false">
      <c r="A10347" s="51" t="s">
        <v>790</v>
      </c>
      <c r="B10347" s="55" t="n">
        <v>45746</v>
      </c>
      <c r="C10347" s="51" t="s">
        <v>82</v>
      </c>
      <c r="D10347" s="51" t="n">
        <v>0</v>
      </c>
    </row>
    <row r="10348" customFormat="false" ht="15" hidden="true" customHeight="false" outlineLevel="0" collapsed="false">
      <c r="A10348" s="51" t="s">
        <v>225</v>
      </c>
      <c r="B10348" s="55" t="n">
        <v>45746</v>
      </c>
      <c r="C10348" s="51" t="s">
        <v>82</v>
      </c>
      <c r="D10348" s="51" t="n">
        <v>0</v>
      </c>
    </row>
    <row r="10349" customFormat="false" ht="15" hidden="true" customHeight="false" outlineLevel="0" collapsed="false">
      <c r="A10349" s="51" t="s">
        <v>230</v>
      </c>
      <c r="B10349" s="55" t="n">
        <v>45746</v>
      </c>
      <c r="C10349" s="51" t="s">
        <v>82</v>
      </c>
      <c r="D10349" s="51" t="n">
        <v>0</v>
      </c>
    </row>
    <row r="10350" customFormat="false" ht="15" hidden="true" customHeight="false" outlineLevel="0" collapsed="false">
      <c r="A10350" s="51" t="s">
        <v>235</v>
      </c>
      <c r="B10350" s="55" t="n">
        <v>45746</v>
      </c>
      <c r="C10350" s="51" t="s">
        <v>82</v>
      </c>
      <c r="D10350" s="51" t="n">
        <v>0</v>
      </c>
    </row>
    <row r="10351" customFormat="false" ht="15" hidden="true" customHeight="false" outlineLevel="0" collapsed="false">
      <c r="A10351" s="51" t="s">
        <v>240</v>
      </c>
      <c r="B10351" s="55" t="n">
        <v>45746</v>
      </c>
      <c r="C10351" s="51" t="s">
        <v>82</v>
      </c>
      <c r="D10351" s="51" t="n">
        <v>0</v>
      </c>
    </row>
    <row r="10352" customFormat="false" ht="15" hidden="true" customHeight="false" outlineLevel="0" collapsed="false">
      <c r="A10352" s="51" t="s">
        <v>246</v>
      </c>
      <c r="B10352" s="55" t="n">
        <v>45746</v>
      </c>
      <c r="C10352" s="51" t="s">
        <v>82</v>
      </c>
      <c r="D10352" s="51" t="n">
        <v>0</v>
      </c>
    </row>
    <row r="10353" customFormat="false" ht="15" hidden="true" customHeight="false" outlineLevel="0" collapsed="false">
      <c r="A10353" s="51" t="s">
        <v>252</v>
      </c>
      <c r="B10353" s="55" t="n">
        <v>45746</v>
      </c>
      <c r="C10353" s="51" t="s">
        <v>82</v>
      </c>
      <c r="D10353" s="51" t="n">
        <v>0</v>
      </c>
    </row>
    <row r="10354" customFormat="false" ht="15" hidden="true" customHeight="false" outlineLevel="0" collapsed="false">
      <c r="A10354" s="51" t="s">
        <v>257</v>
      </c>
      <c r="B10354" s="55" t="n">
        <v>45746</v>
      </c>
      <c r="C10354" s="51" t="s">
        <v>82</v>
      </c>
      <c r="D10354" s="51" t="n">
        <v>0</v>
      </c>
    </row>
    <row r="10355" customFormat="false" ht="15" hidden="true" customHeight="false" outlineLevel="0" collapsed="false">
      <c r="A10355" s="51" t="s">
        <v>262</v>
      </c>
      <c r="B10355" s="55" t="n">
        <v>45746</v>
      </c>
      <c r="C10355" s="51" t="s">
        <v>82</v>
      </c>
      <c r="D10355" s="51" t="n">
        <v>0</v>
      </c>
    </row>
    <row r="10356" customFormat="false" ht="15" hidden="true" customHeight="false" outlineLevel="0" collapsed="false">
      <c r="A10356" s="51" t="s">
        <v>267</v>
      </c>
      <c r="B10356" s="55" t="n">
        <v>45746</v>
      </c>
      <c r="C10356" s="51" t="s">
        <v>82</v>
      </c>
      <c r="D10356" s="51" t="n">
        <v>0</v>
      </c>
    </row>
    <row r="10357" customFormat="false" ht="15" hidden="true" customHeight="false" outlineLevel="0" collapsed="false">
      <c r="A10357" s="51" t="s">
        <v>272</v>
      </c>
      <c r="B10357" s="55" t="n">
        <v>45746</v>
      </c>
      <c r="C10357" s="51" t="s">
        <v>82</v>
      </c>
      <c r="D10357" s="51" t="n">
        <v>0</v>
      </c>
    </row>
    <row r="10358" customFormat="false" ht="15" hidden="true" customHeight="false" outlineLevel="0" collapsed="false">
      <c r="A10358" s="51" t="s">
        <v>277</v>
      </c>
      <c r="B10358" s="55" t="n">
        <v>45746</v>
      </c>
      <c r="C10358" s="51" t="s">
        <v>82</v>
      </c>
      <c r="D10358" s="51" t="n">
        <v>0</v>
      </c>
    </row>
    <row r="10359" customFormat="false" ht="15" hidden="true" customHeight="false" outlineLevel="0" collapsed="false">
      <c r="A10359" s="51" t="s">
        <v>282</v>
      </c>
      <c r="B10359" s="55" t="n">
        <v>45746</v>
      </c>
      <c r="C10359" s="51" t="s">
        <v>82</v>
      </c>
      <c r="D10359" s="51" t="n">
        <v>0</v>
      </c>
    </row>
    <row r="10360" customFormat="false" ht="15" hidden="true" customHeight="false" outlineLevel="0" collapsed="false">
      <c r="A10360" s="51" t="s">
        <v>287</v>
      </c>
      <c r="B10360" s="55" t="n">
        <v>45746</v>
      </c>
      <c r="C10360" s="51" t="s">
        <v>82</v>
      </c>
      <c r="D10360" s="51" t="n">
        <v>0</v>
      </c>
    </row>
    <row r="10361" customFormat="false" ht="15" hidden="true" customHeight="false" outlineLevel="0" collapsed="false">
      <c r="A10361" s="51" t="s">
        <v>292</v>
      </c>
      <c r="B10361" s="55" t="n">
        <v>45746</v>
      </c>
      <c r="C10361" s="51" t="s">
        <v>82</v>
      </c>
      <c r="D10361" s="51" t="n">
        <v>0</v>
      </c>
    </row>
    <row r="10362" customFormat="false" ht="15" hidden="true" customHeight="false" outlineLevel="0" collapsed="false">
      <c r="A10362" s="51" t="s">
        <v>297</v>
      </c>
      <c r="B10362" s="55" t="n">
        <v>45746</v>
      </c>
      <c r="C10362" s="51" t="s">
        <v>82</v>
      </c>
      <c r="D10362" s="51" t="n">
        <v>0</v>
      </c>
    </row>
    <row r="10363" customFormat="false" ht="15" hidden="true" customHeight="false" outlineLevel="0" collapsed="false">
      <c r="A10363" s="51" t="s">
        <v>302</v>
      </c>
      <c r="B10363" s="55" t="n">
        <v>45746</v>
      </c>
      <c r="C10363" s="51" t="s">
        <v>82</v>
      </c>
      <c r="D10363" s="51" t="n">
        <v>0</v>
      </c>
    </row>
    <row r="10364" customFormat="false" ht="15" hidden="true" customHeight="false" outlineLevel="0" collapsed="false">
      <c r="A10364" s="51" t="s">
        <v>307</v>
      </c>
      <c r="B10364" s="55" t="n">
        <v>45746</v>
      </c>
      <c r="C10364" s="51" t="s">
        <v>82</v>
      </c>
      <c r="D10364" s="51" t="n">
        <v>0</v>
      </c>
    </row>
    <row r="10365" customFormat="false" ht="15" hidden="true" customHeight="false" outlineLevel="0" collapsed="false">
      <c r="A10365" s="51" t="s">
        <v>311</v>
      </c>
      <c r="B10365" s="55" t="n">
        <v>45746</v>
      </c>
      <c r="C10365" s="51" t="s">
        <v>82</v>
      </c>
      <c r="D10365" s="51" t="n">
        <v>0</v>
      </c>
    </row>
    <row r="10366" customFormat="false" ht="15" hidden="true" customHeight="false" outlineLevel="0" collapsed="false">
      <c r="A10366" s="51" t="s">
        <v>317</v>
      </c>
      <c r="B10366" s="55" t="n">
        <v>45746</v>
      </c>
      <c r="C10366" s="51" t="s">
        <v>82</v>
      </c>
      <c r="D10366" s="51" t="n">
        <v>0</v>
      </c>
    </row>
    <row r="10367" customFormat="false" ht="15" hidden="true" customHeight="false" outlineLevel="0" collapsed="false">
      <c r="A10367" s="51" t="s">
        <v>322</v>
      </c>
      <c r="B10367" s="55" t="n">
        <v>45746</v>
      </c>
      <c r="C10367" s="51" t="s">
        <v>82</v>
      </c>
      <c r="D10367" s="51" t="n">
        <v>0</v>
      </c>
    </row>
    <row r="10368" customFormat="false" ht="15" hidden="true" customHeight="false" outlineLevel="0" collapsed="false">
      <c r="A10368" s="51" t="s">
        <v>327</v>
      </c>
      <c r="B10368" s="55" t="n">
        <v>45746</v>
      </c>
      <c r="C10368" s="51" t="s">
        <v>82</v>
      </c>
      <c r="D10368" s="51" t="n">
        <v>0</v>
      </c>
    </row>
    <row r="10369" customFormat="false" ht="15" hidden="true" customHeight="false" outlineLevel="0" collapsed="false">
      <c r="A10369" s="51" t="s">
        <v>332</v>
      </c>
      <c r="B10369" s="55" t="n">
        <v>45746</v>
      </c>
      <c r="C10369" s="51" t="s">
        <v>82</v>
      </c>
      <c r="D10369" s="51" t="n">
        <v>0</v>
      </c>
    </row>
    <row r="10370" customFormat="false" ht="15" hidden="true" customHeight="false" outlineLevel="0" collapsed="false">
      <c r="A10370" s="51" t="s">
        <v>339</v>
      </c>
      <c r="B10370" s="55" t="n">
        <v>45746</v>
      </c>
      <c r="C10370" s="51" t="s">
        <v>82</v>
      </c>
      <c r="D10370" s="51" t="n">
        <v>0</v>
      </c>
    </row>
    <row r="10371" customFormat="false" ht="15" hidden="true" customHeight="false" outlineLevel="0" collapsed="false">
      <c r="A10371" s="51" t="s">
        <v>344</v>
      </c>
      <c r="B10371" s="55" t="n">
        <v>45746</v>
      </c>
      <c r="C10371" s="51" t="s">
        <v>82</v>
      </c>
      <c r="D10371" s="51" t="n">
        <v>0</v>
      </c>
    </row>
    <row r="10372" customFormat="false" ht="15" hidden="true" customHeight="false" outlineLevel="0" collapsed="false">
      <c r="A10372" s="51" t="s">
        <v>349</v>
      </c>
      <c r="B10372" s="55" t="n">
        <v>45746</v>
      </c>
      <c r="C10372" s="51" t="s">
        <v>82</v>
      </c>
      <c r="D10372" s="51" t="n">
        <v>0</v>
      </c>
    </row>
    <row r="10373" customFormat="false" ht="15" hidden="true" customHeight="false" outlineLevel="0" collapsed="false">
      <c r="A10373" s="51" t="s">
        <v>354</v>
      </c>
      <c r="B10373" s="55" t="n">
        <v>45746</v>
      </c>
      <c r="C10373" s="51" t="s">
        <v>82</v>
      </c>
      <c r="D10373" s="51" t="n">
        <v>0</v>
      </c>
    </row>
    <row r="10374" customFormat="false" ht="15" hidden="true" customHeight="false" outlineLevel="0" collapsed="false">
      <c r="A10374" s="51" t="s">
        <v>359</v>
      </c>
      <c r="B10374" s="55" t="n">
        <v>45746</v>
      </c>
      <c r="C10374" s="51" t="s">
        <v>82</v>
      </c>
      <c r="D10374" s="51" t="n">
        <v>0</v>
      </c>
    </row>
    <row r="10375" customFormat="false" ht="15" hidden="true" customHeight="false" outlineLevel="0" collapsed="false">
      <c r="A10375" s="51" t="s">
        <v>364</v>
      </c>
      <c r="B10375" s="55" t="n">
        <v>45746</v>
      </c>
      <c r="C10375" s="51" t="s">
        <v>82</v>
      </c>
      <c r="D10375" s="51" t="n">
        <v>0</v>
      </c>
    </row>
    <row r="10376" customFormat="false" ht="15" hidden="true" customHeight="false" outlineLevel="0" collapsed="false">
      <c r="A10376" s="51" t="s">
        <v>369</v>
      </c>
      <c r="B10376" s="55" t="n">
        <v>45746</v>
      </c>
      <c r="C10376" s="51" t="s">
        <v>82</v>
      </c>
      <c r="D10376" s="51" t="n">
        <v>0</v>
      </c>
    </row>
    <row r="10377" customFormat="false" ht="15" hidden="true" customHeight="false" outlineLevel="0" collapsed="false">
      <c r="A10377" s="51" t="s">
        <v>374</v>
      </c>
      <c r="B10377" s="55" t="n">
        <v>45746</v>
      </c>
      <c r="C10377" s="51" t="s">
        <v>82</v>
      </c>
      <c r="D10377" s="51" t="n">
        <v>0</v>
      </c>
    </row>
    <row r="10378" customFormat="false" ht="15" hidden="true" customHeight="false" outlineLevel="0" collapsed="false">
      <c r="A10378" s="51" t="s">
        <v>379</v>
      </c>
      <c r="B10378" s="55" t="n">
        <v>45746</v>
      </c>
      <c r="C10378" s="51" t="s">
        <v>82</v>
      </c>
      <c r="D10378" s="51" t="n">
        <v>0</v>
      </c>
    </row>
    <row r="10379" customFormat="false" ht="15" hidden="true" customHeight="false" outlineLevel="0" collapsed="false">
      <c r="A10379" s="51" t="s">
        <v>384</v>
      </c>
      <c r="B10379" s="55" t="n">
        <v>45746</v>
      </c>
      <c r="C10379" s="51" t="s">
        <v>82</v>
      </c>
      <c r="D10379" s="51" t="n">
        <v>0</v>
      </c>
    </row>
    <row r="10380" customFormat="false" ht="15" hidden="true" customHeight="false" outlineLevel="0" collapsed="false">
      <c r="A10380" s="51" t="s">
        <v>389</v>
      </c>
      <c r="B10380" s="55" t="n">
        <v>45746</v>
      </c>
      <c r="C10380" s="51" t="s">
        <v>82</v>
      </c>
      <c r="D10380" s="51" t="n">
        <v>0</v>
      </c>
    </row>
    <row r="10381" customFormat="false" ht="15" hidden="true" customHeight="false" outlineLevel="0" collapsed="false">
      <c r="A10381" s="51" t="s">
        <v>394</v>
      </c>
      <c r="B10381" s="55" t="n">
        <v>45746</v>
      </c>
      <c r="C10381" s="51" t="s">
        <v>82</v>
      </c>
      <c r="D10381" s="51" t="n">
        <v>0</v>
      </c>
    </row>
    <row r="10382" customFormat="false" ht="15" hidden="true" customHeight="false" outlineLevel="0" collapsed="false">
      <c r="A10382" s="51" t="s">
        <v>399</v>
      </c>
      <c r="B10382" s="55" t="n">
        <v>45746</v>
      </c>
      <c r="C10382" s="51" t="s">
        <v>82</v>
      </c>
      <c r="D10382" s="51" t="n">
        <v>0</v>
      </c>
    </row>
    <row r="10383" customFormat="false" ht="15" hidden="true" customHeight="false" outlineLevel="0" collapsed="false">
      <c r="A10383" s="51" t="s">
        <v>404</v>
      </c>
      <c r="B10383" s="55" t="n">
        <v>45746</v>
      </c>
      <c r="C10383" s="51" t="s">
        <v>82</v>
      </c>
      <c r="D10383" s="51" t="n">
        <v>0</v>
      </c>
    </row>
    <row r="10384" customFormat="false" ht="15" hidden="true" customHeight="false" outlineLevel="0" collapsed="false">
      <c r="A10384" s="51" t="s">
        <v>409</v>
      </c>
      <c r="B10384" s="55" t="n">
        <v>45746</v>
      </c>
      <c r="C10384" s="51" t="s">
        <v>82</v>
      </c>
      <c r="D10384" s="51" t="n">
        <v>0</v>
      </c>
    </row>
    <row r="10385" customFormat="false" ht="15" hidden="true" customHeight="false" outlineLevel="0" collapsed="false">
      <c r="A10385" s="51" t="s">
        <v>414</v>
      </c>
      <c r="B10385" s="55" t="n">
        <v>45746</v>
      </c>
      <c r="C10385" s="51" t="s">
        <v>82</v>
      </c>
      <c r="D10385" s="51" t="n">
        <v>0</v>
      </c>
    </row>
    <row r="10386" customFormat="false" ht="15" hidden="true" customHeight="false" outlineLevel="0" collapsed="false">
      <c r="A10386" s="51" t="s">
        <v>419</v>
      </c>
      <c r="B10386" s="55" t="n">
        <v>45746</v>
      </c>
      <c r="C10386" s="51" t="s">
        <v>82</v>
      </c>
      <c r="D10386" s="51" t="n">
        <v>0</v>
      </c>
    </row>
    <row r="10387" customFormat="false" ht="15" hidden="true" customHeight="false" outlineLevel="0" collapsed="false">
      <c r="A10387" s="51" t="s">
        <v>424</v>
      </c>
      <c r="B10387" s="55" t="n">
        <v>45746</v>
      </c>
      <c r="C10387" s="51" t="s">
        <v>82</v>
      </c>
      <c r="D10387" s="51" t="n">
        <v>0</v>
      </c>
    </row>
    <row r="10388" customFormat="false" ht="15" hidden="true" customHeight="false" outlineLevel="0" collapsed="false">
      <c r="A10388" s="51" t="s">
        <v>429</v>
      </c>
      <c r="B10388" s="55" t="n">
        <v>45746</v>
      </c>
      <c r="C10388" s="51" t="s">
        <v>82</v>
      </c>
      <c r="D10388" s="51" t="n">
        <v>0</v>
      </c>
    </row>
    <row r="10389" customFormat="false" ht="15" hidden="true" customHeight="false" outlineLevel="0" collapsed="false">
      <c r="A10389" s="51" t="s">
        <v>434</v>
      </c>
      <c r="B10389" s="55" t="n">
        <v>45746</v>
      </c>
      <c r="C10389" s="51" t="s">
        <v>82</v>
      </c>
      <c r="D10389" s="51" t="n">
        <v>0</v>
      </c>
    </row>
    <row r="10390" customFormat="false" ht="15" hidden="true" customHeight="false" outlineLevel="0" collapsed="false">
      <c r="A10390" s="51" t="s">
        <v>438</v>
      </c>
      <c r="B10390" s="55" t="n">
        <v>45746</v>
      </c>
      <c r="C10390" s="51" t="s">
        <v>82</v>
      </c>
      <c r="D10390" s="51" t="n">
        <v>0</v>
      </c>
    </row>
    <row r="10391" customFormat="false" ht="15" hidden="true" customHeight="false" outlineLevel="0" collapsed="false">
      <c r="A10391" s="51" t="s">
        <v>443</v>
      </c>
      <c r="B10391" s="55" t="n">
        <v>45746</v>
      </c>
      <c r="C10391" s="51" t="s">
        <v>82</v>
      </c>
      <c r="D10391" s="51" t="n">
        <v>0</v>
      </c>
    </row>
    <row r="10392" customFormat="false" ht="15" hidden="true" customHeight="false" outlineLevel="0" collapsed="false">
      <c r="A10392" s="51" t="s">
        <v>448</v>
      </c>
      <c r="B10392" s="55" t="n">
        <v>45746</v>
      </c>
      <c r="C10392" s="51" t="s">
        <v>82</v>
      </c>
      <c r="D10392" s="51" t="n">
        <v>0</v>
      </c>
    </row>
    <row r="10393" customFormat="false" ht="15" hidden="true" customHeight="false" outlineLevel="0" collapsed="false">
      <c r="A10393" s="51" t="s">
        <v>453</v>
      </c>
      <c r="B10393" s="55" t="n">
        <v>45746</v>
      </c>
      <c r="C10393" s="51" t="s">
        <v>82</v>
      </c>
      <c r="D10393" s="51" t="n">
        <v>0</v>
      </c>
    </row>
    <row r="10394" customFormat="false" ht="15" hidden="true" customHeight="false" outlineLevel="0" collapsed="false">
      <c r="A10394" s="51" t="s">
        <v>458</v>
      </c>
      <c r="B10394" s="55" t="n">
        <v>45746</v>
      </c>
      <c r="C10394" s="51" t="s">
        <v>82</v>
      </c>
      <c r="D10394" s="51" t="n">
        <v>0</v>
      </c>
    </row>
    <row r="10395" customFormat="false" ht="15" hidden="true" customHeight="false" outlineLevel="0" collapsed="false">
      <c r="A10395" s="51" t="s">
        <v>473</v>
      </c>
      <c r="B10395" s="55" t="n">
        <v>45746</v>
      </c>
      <c r="C10395" s="51" t="s">
        <v>82</v>
      </c>
      <c r="D10395" s="51" t="n">
        <v>0</v>
      </c>
    </row>
    <row r="10396" customFormat="false" ht="15" hidden="true" customHeight="false" outlineLevel="0" collapsed="false">
      <c r="A10396" s="51" t="s">
        <v>479</v>
      </c>
      <c r="B10396" s="55" t="n">
        <v>45746</v>
      </c>
      <c r="C10396" s="51" t="s">
        <v>82</v>
      </c>
      <c r="D10396" s="51" t="n">
        <v>0</v>
      </c>
    </row>
    <row r="10397" customFormat="false" ht="15" hidden="true" customHeight="false" outlineLevel="0" collapsed="false">
      <c r="A10397" s="51" t="s">
        <v>484</v>
      </c>
      <c r="B10397" s="55" t="n">
        <v>45746</v>
      </c>
      <c r="C10397" s="51" t="s">
        <v>82</v>
      </c>
      <c r="D10397" s="51" t="n">
        <v>0</v>
      </c>
    </row>
    <row r="10398" customFormat="false" ht="15" hidden="true" customHeight="false" outlineLevel="0" collapsed="false">
      <c r="A10398" s="51" t="s">
        <v>489</v>
      </c>
      <c r="B10398" s="55" t="n">
        <v>45746</v>
      </c>
      <c r="C10398" s="51" t="s">
        <v>82</v>
      </c>
      <c r="D10398" s="51" t="n">
        <v>0</v>
      </c>
    </row>
    <row r="10399" customFormat="false" ht="15" hidden="true" customHeight="false" outlineLevel="0" collapsed="false">
      <c r="A10399" s="51" t="s">
        <v>494</v>
      </c>
      <c r="B10399" s="55" t="n">
        <v>45746</v>
      </c>
      <c r="C10399" s="51" t="s">
        <v>82</v>
      </c>
      <c r="D10399" s="51" t="n">
        <v>0</v>
      </c>
    </row>
    <row r="10400" customFormat="false" ht="15" hidden="true" customHeight="false" outlineLevel="0" collapsed="false">
      <c r="A10400" s="51" t="s">
        <v>499</v>
      </c>
      <c r="B10400" s="55" t="n">
        <v>45746</v>
      </c>
      <c r="C10400" s="51" t="s">
        <v>82</v>
      </c>
      <c r="D10400" s="51" t="n">
        <v>0</v>
      </c>
    </row>
    <row r="10401" customFormat="false" ht="15" hidden="true" customHeight="false" outlineLevel="0" collapsed="false">
      <c r="A10401" s="51" t="s">
        <v>504</v>
      </c>
      <c r="B10401" s="55" t="n">
        <v>45746</v>
      </c>
      <c r="C10401" s="51" t="s">
        <v>82</v>
      </c>
      <c r="D10401" s="51" t="n">
        <v>0</v>
      </c>
    </row>
    <row r="10402" customFormat="false" ht="15" hidden="true" customHeight="false" outlineLevel="0" collapsed="false">
      <c r="A10402" s="51" t="s">
        <v>509</v>
      </c>
      <c r="B10402" s="55" t="n">
        <v>45746</v>
      </c>
      <c r="C10402" s="51" t="s">
        <v>82</v>
      </c>
      <c r="D10402" s="51" t="n">
        <v>0</v>
      </c>
    </row>
    <row r="10403" customFormat="false" ht="15" hidden="true" customHeight="false" outlineLevel="0" collapsed="false">
      <c r="A10403" s="51" t="s">
        <v>515</v>
      </c>
      <c r="B10403" s="55" t="n">
        <v>45746</v>
      </c>
      <c r="C10403" s="51" t="s">
        <v>82</v>
      </c>
      <c r="D10403" s="51" t="n">
        <v>0</v>
      </c>
    </row>
    <row r="10404" customFormat="false" ht="15" hidden="true" customHeight="false" outlineLevel="0" collapsed="false">
      <c r="A10404" s="51" t="s">
        <v>520</v>
      </c>
      <c r="B10404" s="55" t="n">
        <v>45746</v>
      </c>
      <c r="C10404" s="51" t="s">
        <v>82</v>
      </c>
      <c r="D10404" s="51" t="n">
        <v>0</v>
      </c>
    </row>
    <row r="10405" customFormat="false" ht="15" hidden="true" customHeight="false" outlineLevel="0" collapsed="false">
      <c r="A10405" s="51" t="s">
        <v>525</v>
      </c>
      <c r="B10405" s="55" t="n">
        <v>45746</v>
      </c>
      <c r="C10405" s="51" t="s">
        <v>82</v>
      </c>
      <c r="D10405" s="51" t="n">
        <v>0</v>
      </c>
    </row>
    <row r="10406" customFormat="false" ht="15" hidden="true" customHeight="false" outlineLevel="0" collapsed="false">
      <c r="A10406" s="51" t="s">
        <v>531</v>
      </c>
      <c r="B10406" s="55" t="n">
        <v>45746</v>
      </c>
      <c r="C10406" s="51" t="s">
        <v>82</v>
      </c>
      <c r="D10406" s="51" t="n">
        <v>0</v>
      </c>
    </row>
    <row r="10407" customFormat="false" ht="15" hidden="true" customHeight="false" outlineLevel="0" collapsed="false">
      <c r="A10407" s="51" t="s">
        <v>536</v>
      </c>
      <c r="B10407" s="55" t="n">
        <v>45746</v>
      </c>
      <c r="C10407" s="51" t="s">
        <v>82</v>
      </c>
      <c r="D10407" s="51" t="n">
        <v>0</v>
      </c>
    </row>
    <row r="10408" customFormat="false" ht="15" hidden="true" customHeight="false" outlineLevel="0" collapsed="false">
      <c r="A10408" s="51" t="s">
        <v>541</v>
      </c>
      <c r="B10408" s="55" t="n">
        <v>45746</v>
      </c>
      <c r="C10408" s="51" t="s">
        <v>82</v>
      </c>
      <c r="D10408" s="51" t="n">
        <v>0</v>
      </c>
    </row>
    <row r="10409" customFormat="false" ht="15" hidden="true" customHeight="false" outlineLevel="0" collapsed="false">
      <c r="A10409" s="51" t="s">
        <v>549</v>
      </c>
      <c r="B10409" s="55" t="n">
        <v>45746</v>
      </c>
      <c r="C10409" s="51" t="s">
        <v>82</v>
      </c>
      <c r="D10409" s="51" t="n">
        <v>0</v>
      </c>
    </row>
    <row r="10410" customFormat="false" ht="15" hidden="true" customHeight="false" outlineLevel="0" collapsed="false">
      <c r="A10410" s="51" t="s">
        <v>554</v>
      </c>
      <c r="B10410" s="55" t="n">
        <v>45746</v>
      </c>
      <c r="C10410" s="51" t="s">
        <v>82</v>
      </c>
      <c r="D10410" s="51" t="n">
        <v>0</v>
      </c>
    </row>
    <row r="10411" customFormat="false" ht="15" hidden="true" customHeight="false" outlineLevel="0" collapsed="false">
      <c r="A10411" s="51" t="s">
        <v>559</v>
      </c>
      <c r="B10411" s="55" t="n">
        <v>45746</v>
      </c>
      <c r="C10411" s="51" t="s">
        <v>82</v>
      </c>
      <c r="D10411" s="51" t="n">
        <v>0</v>
      </c>
    </row>
    <row r="10412" customFormat="false" ht="15" hidden="true" customHeight="false" outlineLevel="0" collapsed="false">
      <c r="A10412" s="51" t="s">
        <v>564</v>
      </c>
      <c r="B10412" s="55" t="n">
        <v>45746</v>
      </c>
      <c r="C10412" s="51" t="s">
        <v>82</v>
      </c>
      <c r="D10412" s="51" t="n">
        <v>0</v>
      </c>
    </row>
    <row r="10413" customFormat="false" ht="15" hidden="true" customHeight="false" outlineLevel="0" collapsed="false">
      <c r="A10413" s="51" t="s">
        <v>569</v>
      </c>
      <c r="B10413" s="55" t="n">
        <v>45746</v>
      </c>
      <c r="C10413" s="51" t="s">
        <v>82</v>
      </c>
      <c r="D10413" s="51" t="n">
        <v>0</v>
      </c>
    </row>
    <row r="10414" customFormat="false" ht="15" hidden="true" customHeight="false" outlineLevel="0" collapsed="false">
      <c r="A10414" s="51" t="s">
        <v>574</v>
      </c>
      <c r="B10414" s="55" t="n">
        <v>45746</v>
      </c>
      <c r="C10414" s="51" t="s">
        <v>82</v>
      </c>
      <c r="D10414" s="51" t="n">
        <v>0</v>
      </c>
    </row>
    <row r="10415" customFormat="false" ht="15" hidden="true" customHeight="false" outlineLevel="0" collapsed="false">
      <c r="A10415" s="51" t="s">
        <v>579</v>
      </c>
      <c r="B10415" s="55" t="n">
        <v>45746</v>
      </c>
      <c r="C10415" s="51" t="s">
        <v>82</v>
      </c>
      <c r="D10415" s="51" t="n">
        <v>0</v>
      </c>
    </row>
    <row r="10416" customFormat="false" ht="15" hidden="true" customHeight="false" outlineLevel="0" collapsed="false">
      <c r="A10416" s="51" t="s">
        <v>584</v>
      </c>
      <c r="B10416" s="55" t="n">
        <v>45746</v>
      </c>
      <c r="C10416" s="51" t="s">
        <v>82</v>
      </c>
      <c r="D10416" s="51" t="n">
        <v>0</v>
      </c>
    </row>
    <row r="10417" customFormat="false" ht="15" hidden="true" customHeight="false" outlineLevel="0" collapsed="false">
      <c r="A10417" s="51" t="s">
        <v>589</v>
      </c>
      <c r="B10417" s="55" t="n">
        <v>45746</v>
      </c>
      <c r="C10417" s="51" t="s">
        <v>82</v>
      </c>
      <c r="D10417" s="51" t="n">
        <v>0</v>
      </c>
    </row>
    <row r="10418" customFormat="false" ht="15" hidden="true" customHeight="false" outlineLevel="0" collapsed="false">
      <c r="A10418" s="51" t="s">
        <v>756</v>
      </c>
      <c r="B10418" s="55" t="n">
        <v>45746</v>
      </c>
      <c r="C10418" s="51" t="s">
        <v>82</v>
      </c>
      <c r="D10418" s="51" t="n">
        <v>0</v>
      </c>
    </row>
    <row r="10419" customFormat="false" ht="15" hidden="true" customHeight="false" outlineLevel="0" collapsed="false">
      <c r="A10419" s="51" t="s">
        <v>594</v>
      </c>
      <c r="B10419" s="55" t="n">
        <v>45746</v>
      </c>
      <c r="C10419" s="51" t="s">
        <v>82</v>
      </c>
      <c r="D10419" s="51" t="n">
        <v>0</v>
      </c>
    </row>
    <row r="10420" customFormat="false" ht="15" hidden="true" customHeight="false" outlineLevel="0" collapsed="false">
      <c r="A10420" s="51" t="s">
        <v>761</v>
      </c>
      <c r="B10420" s="55" t="n">
        <v>45746</v>
      </c>
      <c r="C10420" s="51" t="s">
        <v>82</v>
      </c>
      <c r="D10420" s="51" t="n">
        <v>0</v>
      </c>
    </row>
    <row r="10421" customFormat="false" ht="15" hidden="true" customHeight="false" outlineLevel="0" collapsed="false">
      <c r="A10421" s="51" t="s">
        <v>599</v>
      </c>
      <c r="B10421" s="55" t="n">
        <v>45746</v>
      </c>
      <c r="C10421" s="51" t="s">
        <v>82</v>
      </c>
      <c r="D10421" s="51" t="n">
        <v>2250000</v>
      </c>
    </row>
    <row r="10422" customFormat="false" ht="15" hidden="true" customHeight="false" outlineLevel="0" collapsed="false">
      <c r="A10422" s="51" t="s">
        <v>604</v>
      </c>
      <c r="B10422" s="55" t="n">
        <v>45746</v>
      </c>
      <c r="C10422" s="51" t="s">
        <v>82</v>
      </c>
      <c r="D10422" s="51" t="n">
        <v>0</v>
      </c>
    </row>
    <row r="10423" customFormat="false" ht="15" hidden="true" customHeight="false" outlineLevel="0" collapsed="false">
      <c r="A10423" s="51" t="s">
        <v>609</v>
      </c>
      <c r="B10423" s="55" t="n">
        <v>45746</v>
      </c>
      <c r="C10423" s="51" t="s">
        <v>82</v>
      </c>
      <c r="D10423" s="51" t="n">
        <v>150000</v>
      </c>
    </row>
    <row r="10424" customFormat="false" ht="15" hidden="true" customHeight="false" outlineLevel="0" collapsed="false">
      <c r="A10424" s="51" t="s">
        <v>614</v>
      </c>
      <c r="B10424" s="55" t="n">
        <v>45746</v>
      </c>
      <c r="C10424" s="51" t="s">
        <v>82</v>
      </c>
      <c r="D10424" s="51" t="n">
        <v>4800000</v>
      </c>
    </row>
    <row r="10425" customFormat="false" ht="15" hidden="true" customHeight="false" outlineLevel="0" collapsed="false">
      <c r="A10425" s="51" t="s">
        <v>619</v>
      </c>
      <c r="B10425" s="55" t="n">
        <v>45746</v>
      </c>
      <c r="C10425" s="51" t="s">
        <v>82</v>
      </c>
      <c r="D10425" s="51" t="n">
        <v>162000</v>
      </c>
    </row>
    <row r="10426" customFormat="false" ht="15" hidden="true" customHeight="false" outlineLevel="0" collapsed="false">
      <c r="A10426" s="51" t="s">
        <v>624</v>
      </c>
      <c r="B10426" s="55" t="n">
        <v>45746</v>
      </c>
      <c r="C10426" s="51" t="s">
        <v>82</v>
      </c>
      <c r="D10426" s="51" t="n">
        <v>350000</v>
      </c>
    </row>
    <row r="10427" customFormat="false" ht="15" hidden="true" customHeight="false" outlineLevel="0" collapsed="false">
      <c r="A10427" s="51" t="s">
        <v>629</v>
      </c>
      <c r="B10427" s="55" t="n">
        <v>45746</v>
      </c>
      <c r="C10427" s="51" t="s">
        <v>82</v>
      </c>
      <c r="D10427" s="51" t="n">
        <v>250000</v>
      </c>
    </row>
    <row r="10428" customFormat="false" ht="15" hidden="true" customHeight="false" outlineLevel="0" collapsed="false">
      <c r="A10428" s="51" t="s">
        <v>633</v>
      </c>
      <c r="B10428" s="55" t="n">
        <v>45746</v>
      </c>
      <c r="C10428" s="51" t="s">
        <v>82</v>
      </c>
      <c r="D10428" s="51" t="n">
        <v>0</v>
      </c>
    </row>
    <row r="10429" customFormat="false" ht="15" hidden="true" customHeight="false" outlineLevel="0" collapsed="false">
      <c r="A10429" s="51" t="s">
        <v>638</v>
      </c>
      <c r="B10429" s="55" t="n">
        <v>45746</v>
      </c>
      <c r="C10429" s="51" t="s">
        <v>82</v>
      </c>
      <c r="D10429" s="51" t="n">
        <v>0</v>
      </c>
    </row>
    <row r="10430" customFormat="false" ht="15" hidden="true" customHeight="false" outlineLevel="0" collapsed="false">
      <c r="A10430" s="51" t="s">
        <v>642</v>
      </c>
      <c r="B10430" s="55" t="n">
        <v>45746</v>
      </c>
      <c r="C10430" s="51" t="s">
        <v>82</v>
      </c>
      <c r="D10430" s="51" t="n">
        <v>0</v>
      </c>
    </row>
    <row r="10431" customFormat="false" ht="15" hidden="true" customHeight="false" outlineLevel="0" collapsed="false">
      <c r="A10431" s="51" t="s">
        <v>646</v>
      </c>
      <c r="B10431" s="55" t="n">
        <v>45746</v>
      </c>
      <c r="C10431" s="51" t="s">
        <v>82</v>
      </c>
      <c r="D10431" s="51" t="n">
        <v>175000</v>
      </c>
    </row>
    <row r="10432" customFormat="false" ht="15" hidden="true" customHeight="false" outlineLevel="0" collapsed="false">
      <c r="A10432" s="51" t="s">
        <v>651</v>
      </c>
      <c r="B10432" s="55" t="n">
        <v>45746</v>
      </c>
      <c r="C10432" s="51" t="s">
        <v>82</v>
      </c>
      <c r="D10432" s="51" t="n">
        <v>0</v>
      </c>
    </row>
    <row r="10433" customFormat="false" ht="15" hidden="true" customHeight="false" outlineLevel="0" collapsed="false">
      <c r="A10433" s="51" t="s">
        <v>656</v>
      </c>
      <c r="B10433" s="55" t="n">
        <v>45746</v>
      </c>
      <c r="C10433" s="51" t="s">
        <v>82</v>
      </c>
      <c r="D10433" s="51" t="n">
        <v>0</v>
      </c>
    </row>
    <row r="10434" customFormat="false" ht="15" hidden="true" customHeight="false" outlineLevel="0" collapsed="false">
      <c r="A10434" s="51" t="s">
        <v>661</v>
      </c>
      <c r="B10434" s="55" t="n">
        <v>45746</v>
      </c>
      <c r="C10434" s="51" t="s">
        <v>82</v>
      </c>
      <c r="D10434" s="51" t="n">
        <v>0</v>
      </c>
    </row>
    <row r="10435" customFormat="false" ht="15" hidden="true" customHeight="false" outlineLevel="0" collapsed="false">
      <c r="A10435" s="51" t="s">
        <v>666</v>
      </c>
      <c r="B10435" s="55" t="n">
        <v>45746</v>
      </c>
      <c r="C10435" s="51" t="s">
        <v>82</v>
      </c>
      <c r="D10435" s="51" t="n">
        <v>0</v>
      </c>
    </row>
    <row r="10436" customFormat="false" ht="15" hidden="true" customHeight="false" outlineLevel="0" collapsed="false">
      <c r="A10436" s="51" t="s">
        <v>671</v>
      </c>
      <c r="B10436" s="55" t="n">
        <v>45746</v>
      </c>
      <c r="C10436" s="51" t="s">
        <v>82</v>
      </c>
      <c r="D10436" s="51" t="n">
        <v>0</v>
      </c>
    </row>
    <row r="10437" customFormat="false" ht="15" hidden="true" customHeight="false" outlineLevel="0" collapsed="false">
      <c r="A10437" s="51" t="s">
        <v>676</v>
      </c>
      <c r="B10437" s="55" t="n">
        <v>45746</v>
      </c>
      <c r="C10437" s="51" t="s">
        <v>82</v>
      </c>
      <c r="D10437" s="51" t="n">
        <v>0</v>
      </c>
    </row>
    <row r="10438" customFormat="false" ht="15" hidden="true" customHeight="false" outlineLevel="0" collapsed="false">
      <c r="A10438" s="51" t="s">
        <v>681</v>
      </c>
      <c r="B10438" s="55" t="n">
        <v>45746</v>
      </c>
      <c r="C10438" s="51" t="s">
        <v>82</v>
      </c>
      <c r="D10438" s="51" t="n">
        <v>0</v>
      </c>
    </row>
    <row r="10439" customFormat="false" ht="15" hidden="true" customHeight="false" outlineLevel="0" collapsed="false">
      <c r="A10439" s="51" t="s">
        <v>686</v>
      </c>
      <c r="B10439" s="55" t="n">
        <v>45746</v>
      </c>
      <c r="C10439" s="51" t="s">
        <v>82</v>
      </c>
      <c r="D10439" s="51" t="n">
        <v>0</v>
      </c>
    </row>
    <row r="10440" customFormat="false" ht="15" hidden="true" customHeight="false" outlineLevel="0" collapsed="false">
      <c r="A10440" s="51" t="s">
        <v>691</v>
      </c>
      <c r="B10440" s="55" t="n">
        <v>45746</v>
      </c>
      <c r="C10440" s="51" t="s">
        <v>82</v>
      </c>
      <c r="D10440" s="51" t="n">
        <v>0</v>
      </c>
    </row>
    <row r="10441" customFormat="false" ht="15" hidden="true" customHeight="false" outlineLevel="0" collapsed="false">
      <c r="A10441" s="51" t="s">
        <v>696</v>
      </c>
      <c r="B10441" s="55" t="n">
        <v>45746</v>
      </c>
      <c r="C10441" s="51" t="s">
        <v>82</v>
      </c>
      <c r="D10441" s="51" t="n">
        <v>0</v>
      </c>
    </row>
    <row r="10442" customFormat="false" ht="15" hidden="true" customHeight="false" outlineLevel="0" collapsed="false">
      <c r="A10442" s="51" t="s">
        <v>701</v>
      </c>
      <c r="B10442" s="55" t="n">
        <v>45746</v>
      </c>
      <c r="C10442" s="51" t="s">
        <v>82</v>
      </c>
      <c r="D10442" s="51" t="n">
        <v>0</v>
      </c>
    </row>
    <row r="10443" customFormat="false" ht="15" hidden="true" customHeight="false" outlineLevel="0" collapsed="false">
      <c r="A10443" s="51" t="s">
        <v>707</v>
      </c>
      <c r="B10443" s="55" t="n">
        <v>45746</v>
      </c>
      <c r="C10443" s="51" t="s">
        <v>82</v>
      </c>
      <c r="D10443" s="51" t="n">
        <v>0</v>
      </c>
    </row>
    <row r="10444" customFormat="false" ht="15" hidden="true" customHeight="false" outlineLevel="0" collapsed="false">
      <c r="A10444" s="51" t="s">
        <v>712</v>
      </c>
      <c r="B10444" s="55" t="n">
        <v>45746</v>
      </c>
      <c r="C10444" s="51" t="s">
        <v>82</v>
      </c>
      <c r="D10444" s="51" t="n">
        <v>0</v>
      </c>
    </row>
    <row r="10445" customFormat="false" ht="15" hidden="true" customHeight="false" outlineLevel="0" collapsed="false">
      <c r="A10445" s="51" t="s">
        <v>717</v>
      </c>
      <c r="B10445" s="55" t="n">
        <v>45746</v>
      </c>
      <c r="C10445" s="51" t="s">
        <v>82</v>
      </c>
      <c r="D10445" s="51" t="n">
        <v>0</v>
      </c>
    </row>
    <row r="10446" customFormat="false" ht="15" hidden="true" customHeight="false" outlineLevel="0" collapsed="false">
      <c r="A10446" s="51" t="s">
        <v>767</v>
      </c>
      <c r="B10446" s="55" t="n">
        <v>45746</v>
      </c>
      <c r="C10446" s="51" t="s">
        <v>82</v>
      </c>
      <c r="D10446" s="51" t="n">
        <v>0</v>
      </c>
    </row>
    <row r="10447" customFormat="false" ht="15" hidden="true" customHeight="false" outlineLevel="0" collapsed="false">
      <c r="A10447" s="51" t="s">
        <v>722</v>
      </c>
      <c r="B10447" s="55" t="n">
        <v>45746</v>
      </c>
      <c r="C10447" s="51" t="s">
        <v>82</v>
      </c>
      <c r="D10447" s="51" t="n">
        <v>0</v>
      </c>
    </row>
    <row r="10448" customFormat="false" ht="15" hidden="true" customHeight="false" outlineLevel="0" collapsed="false">
      <c r="A10448" s="51" t="s">
        <v>727</v>
      </c>
      <c r="B10448" s="55" t="n">
        <v>45746</v>
      </c>
      <c r="C10448" s="51" t="s">
        <v>82</v>
      </c>
      <c r="D10448" s="51" t="n">
        <v>0</v>
      </c>
    </row>
    <row r="10449" customFormat="false" ht="15" hidden="true" customHeight="false" outlineLevel="0" collapsed="false">
      <c r="A10449" s="51" t="s">
        <v>732</v>
      </c>
      <c r="B10449" s="55" t="n">
        <v>45746</v>
      </c>
      <c r="C10449" s="51" t="s">
        <v>82</v>
      </c>
      <c r="D10449" s="51" t="n">
        <v>0</v>
      </c>
    </row>
    <row r="10450" customFormat="false" ht="15" hidden="true" customHeight="false" outlineLevel="0" collapsed="false">
      <c r="A10450" s="51" t="s">
        <v>736</v>
      </c>
      <c r="B10450" s="55" t="n">
        <v>45746</v>
      </c>
      <c r="C10450" s="51" t="s">
        <v>82</v>
      </c>
      <c r="D10450" s="51" t="n">
        <v>0</v>
      </c>
    </row>
    <row r="10451" customFormat="false" ht="15" hidden="true" customHeight="false" outlineLevel="0" collapsed="false">
      <c r="A10451" s="51" t="s">
        <v>741</v>
      </c>
      <c r="B10451" s="55" t="n">
        <v>45746</v>
      </c>
      <c r="C10451" s="51" t="s">
        <v>82</v>
      </c>
      <c r="D10451" s="51" t="n">
        <v>0</v>
      </c>
    </row>
    <row r="10452" customFormat="false" ht="15" hidden="true" customHeight="false" outlineLevel="0" collapsed="false">
      <c r="A10452" s="51" t="s">
        <v>746</v>
      </c>
      <c r="B10452" s="55" t="n">
        <v>45746</v>
      </c>
      <c r="C10452" s="51" t="s">
        <v>82</v>
      </c>
      <c r="D10452" s="51" t="n">
        <v>0</v>
      </c>
    </row>
    <row r="10453" customFormat="false" ht="15" hidden="true" customHeight="false" outlineLevel="0" collapsed="false">
      <c r="A10453" s="51" t="s">
        <v>751</v>
      </c>
      <c r="B10453" s="55" t="n">
        <v>45746</v>
      </c>
      <c r="C10453" s="51" t="s">
        <v>82</v>
      </c>
      <c r="D10453" s="51" t="n">
        <v>0</v>
      </c>
    </row>
    <row r="10454" customFormat="false" ht="15" hidden="false" customHeight="false" outlineLevel="0" collapsed="false">
      <c r="A10454" s="51" t="s">
        <v>781</v>
      </c>
      <c r="B10454" s="55" t="n">
        <v>45746</v>
      </c>
      <c r="C10454" s="51" t="s">
        <v>73</v>
      </c>
      <c r="D10454" s="51" t="n">
        <v>0</v>
      </c>
    </row>
    <row r="10455" customFormat="false" ht="15" hidden="true" customHeight="false" outlineLevel="0" collapsed="false">
      <c r="A10455" s="51" t="s">
        <v>783</v>
      </c>
      <c r="B10455" s="55" t="n">
        <v>45746</v>
      </c>
      <c r="C10455" s="51" t="s">
        <v>73</v>
      </c>
      <c r="D10455" s="51" t="n">
        <v>0</v>
      </c>
    </row>
    <row r="10456" customFormat="false" ht="15" hidden="true" customHeight="false" outlineLevel="0" collapsed="false">
      <c r="A10456" s="51" t="s">
        <v>96</v>
      </c>
      <c r="B10456" s="55" t="n">
        <v>45746</v>
      </c>
      <c r="C10456" s="51" t="s">
        <v>73</v>
      </c>
      <c r="D10456" s="51" t="n">
        <v>0</v>
      </c>
    </row>
    <row r="10457" customFormat="false" ht="15" hidden="true" customHeight="false" outlineLevel="0" collapsed="false">
      <c r="A10457" s="51" t="s">
        <v>101</v>
      </c>
      <c r="B10457" s="55" t="n">
        <v>45746</v>
      </c>
      <c r="C10457" s="51" t="s">
        <v>73</v>
      </c>
      <c r="D10457" s="51" t="n">
        <v>0</v>
      </c>
    </row>
    <row r="10458" customFormat="false" ht="15" hidden="true" customHeight="false" outlineLevel="0" collapsed="false">
      <c r="A10458" s="51" t="s">
        <v>106</v>
      </c>
      <c r="B10458" s="55" t="n">
        <v>45746</v>
      </c>
      <c r="C10458" s="51" t="s">
        <v>73</v>
      </c>
      <c r="D10458" s="51" t="n">
        <v>0</v>
      </c>
    </row>
    <row r="10459" customFormat="false" ht="15" hidden="true" customHeight="false" outlineLevel="0" collapsed="false">
      <c r="A10459" s="51" t="s">
        <v>110</v>
      </c>
      <c r="B10459" s="55" t="n">
        <v>45746</v>
      </c>
      <c r="C10459" s="51" t="s">
        <v>73</v>
      </c>
      <c r="D10459" s="51" t="n">
        <v>0</v>
      </c>
    </row>
    <row r="10460" customFormat="false" ht="15" hidden="true" customHeight="false" outlineLevel="0" collapsed="false">
      <c r="A10460" s="51" t="s">
        <v>115</v>
      </c>
      <c r="B10460" s="55" t="n">
        <v>45746</v>
      </c>
      <c r="C10460" s="51" t="s">
        <v>73</v>
      </c>
      <c r="D10460" s="51" t="n">
        <v>0</v>
      </c>
    </row>
    <row r="10461" customFormat="false" ht="15" hidden="true" customHeight="false" outlineLevel="0" collapsed="false">
      <c r="A10461" s="51" t="s">
        <v>120</v>
      </c>
      <c r="B10461" s="55" t="n">
        <v>45746</v>
      </c>
      <c r="C10461" s="51" t="s">
        <v>73</v>
      </c>
      <c r="D10461" s="51" t="n">
        <v>0</v>
      </c>
    </row>
    <row r="10462" customFormat="false" ht="15" hidden="true" customHeight="false" outlineLevel="0" collapsed="false">
      <c r="A10462" s="51" t="s">
        <v>124</v>
      </c>
      <c r="B10462" s="55" t="n">
        <v>45746</v>
      </c>
      <c r="C10462" s="51" t="s">
        <v>73</v>
      </c>
      <c r="D10462" s="51" t="n">
        <v>0</v>
      </c>
    </row>
    <row r="10463" customFormat="false" ht="15" hidden="true" customHeight="false" outlineLevel="0" collapsed="false">
      <c r="A10463" s="51" t="s">
        <v>129</v>
      </c>
      <c r="B10463" s="55" t="n">
        <v>45746</v>
      </c>
      <c r="C10463" s="51" t="s">
        <v>73</v>
      </c>
      <c r="D10463" s="51" t="n">
        <v>0</v>
      </c>
    </row>
    <row r="10464" customFormat="false" ht="15" hidden="true" customHeight="false" outlineLevel="0" collapsed="false">
      <c r="A10464" s="51" t="s">
        <v>134</v>
      </c>
      <c r="B10464" s="55" t="n">
        <v>45746</v>
      </c>
      <c r="C10464" s="51" t="s">
        <v>73</v>
      </c>
      <c r="D10464" s="51" t="n">
        <v>0</v>
      </c>
    </row>
    <row r="10465" customFormat="false" ht="15" hidden="true" customHeight="false" outlineLevel="0" collapsed="false">
      <c r="A10465" s="51" t="s">
        <v>141</v>
      </c>
      <c r="B10465" s="55" t="n">
        <v>45746</v>
      </c>
      <c r="C10465" s="51" t="s">
        <v>73</v>
      </c>
      <c r="D10465" s="51" t="n">
        <v>0</v>
      </c>
    </row>
    <row r="10466" customFormat="false" ht="15" hidden="true" customHeight="false" outlineLevel="0" collapsed="false">
      <c r="A10466" s="51" t="s">
        <v>146</v>
      </c>
      <c r="B10466" s="55" t="n">
        <v>45746</v>
      </c>
      <c r="C10466" s="51" t="s">
        <v>73</v>
      </c>
      <c r="D10466" s="51" t="n">
        <v>0</v>
      </c>
    </row>
    <row r="10467" customFormat="false" ht="15" hidden="true" customHeight="false" outlineLevel="0" collapsed="false">
      <c r="A10467" s="51" t="s">
        <v>151</v>
      </c>
      <c r="B10467" s="55" t="n">
        <v>45746</v>
      </c>
      <c r="C10467" s="51" t="s">
        <v>73</v>
      </c>
      <c r="D10467" s="51" t="n">
        <v>0</v>
      </c>
    </row>
    <row r="10468" customFormat="false" ht="15" hidden="true" customHeight="false" outlineLevel="0" collapsed="false">
      <c r="A10468" s="51" t="s">
        <v>156</v>
      </c>
      <c r="B10468" s="55" t="n">
        <v>45746</v>
      </c>
      <c r="C10468" s="51" t="s">
        <v>73</v>
      </c>
      <c r="D10468" s="51" t="n">
        <v>0</v>
      </c>
    </row>
    <row r="10469" customFormat="false" ht="15" hidden="true" customHeight="false" outlineLevel="0" collapsed="false">
      <c r="A10469" s="51" t="s">
        <v>161</v>
      </c>
      <c r="B10469" s="55" t="n">
        <v>45746</v>
      </c>
      <c r="C10469" s="51" t="s">
        <v>73</v>
      </c>
      <c r="D10469" s="51" t="n">
        <v>0</v>
      </c>
    </row>
    <row r="10470" customFormat="false" ht="15" hidden="true" customHeight="false" outlineLevel="0" collapsed="false">
      <c r="A10470" s="51" t="s">
        <v>166</v>
      </c>
      <c r="B10470" s="55" t="n">
        <v>45746</v>
      </c>
      <c r="C10470" s="51" t="s">
        <v>73</v>
      </c>
      <c r="D10470" s="51" t="n">
        <v>0</v>
      </c>
    </row>
    <row r="10471" customFormat="false" ht="15" hidden="true" customHeight="false" outlineLevel="0" collapsed="false">
      <c r="A10471" s="51" t="s">
        <v>171</v>
      </c>
      <c r="B10471" s="55" t="n">
        <v>45746</v>
      </c>
      <c r="C10471" s="51" t="s">
        <v>73</v>
      </c>
      <c r="D10471" s="51" t="n">
        <v>0</v>
      </c>
    </row>
    <row r="10472" customFormat="false" ht="15" hidden="true" customHeight="false" outlineLevel="0" collapsed="false">
      <c r="A10472" s="51" t="s">
        <v>176</v>
      </c>
      <c r="B10472" s="55" t="n">
        <v>45746</v>
      </c>
      <c r="C10472" s="51" t="s">
        <v>73</v>
      </c>
      <c r="D10472" s="51" t="n">
        <v>0</v>
      </c>
    </row>
    <row r="10473" customFormat="false" ht="15" hidden="true" customHeight="false" outlineLevel="0" collapsed="false">
      <c r="A10473" s="51" t="s">
        <v>181</v>
      </c>
      <c r="B10473" s="55" t="n">
        <v>45746</v>
      </c>
      <c r="C10473" s="51" t="s">
        <v>73</v>
      </c>
      <c r="D10473" s="51" t="n">
        <v>0</v>
      </c>
    </row>
    <row r="10474" customFormat="false" ht="15" hidden="true" customHeight="false" outlineLevel="0" collapsed="false">
      <c r="A10474" s="51" t="s">
        <v>186</v>
      </c>
      <c r="B10474" s="55" t="n">
        <v>45746</v>
      </c>
      <c r="C10474" s="51" t="s">
        <v>73</v>
      </c>
      <c r="D10474" s="51" t="n">
        <v>0</v>
      </c>
    </row>
    <row r="10475" customFormat="false" ht="15" hidden="true" customHeight="false" outlineLevel="0" collapsed="false">
      <c r="A10475" s="51" t="s">
        <v>191</v>
      </c>
      <c r="B10475" s="55" t="n">
        <v>45746</v>
      </c>
      <c r="C10475" s="51" t="s">
        <v>73</v>
      </c>
      <c r="D10475" s="51" t="n">
        <v>0</v>
      </c>
    </row>
    <row r="10476" customFormat="false" ht="15" hidden="true" customHeight="false" outlineLevel="0" collapsed="false">
      <c r="A10476" s="51" t="s">
        <v>196</v>
      </c>
      <c r="B10476" s="55" t="n">
        <v>45746</v>
      </c>
      <c r="C10476" s="51" t="s">
        <v>73</v>
      </c>
      <c r="D10476" s="51" t="n">
        <v>0</v>
      </c>
    </row>
    <row r="10477" customFormat="false" ht="15" hidden="true" customHeight="false" outlineLevel="0" collapsed="false">
      <c r="A10477" s="51" t="s">
        <v>201</v>
      </c>
      <c r="B10477" s="55" t="n">
        <v>45746</v>
      </c>
      <c r="C10477" s="51" t="s">
        <v>73</v>
      </c>
      <c r="D10477" s="51" t="n">
        <v>0</v>
      </c>
    </row>
    <row r="10478" customFormat="false" ht="15" hidden="true" customHeight="false" outlineLevel="0" collapsed="false">
      <c r="A10478" s="51" t="s">
        <v>206</v>
      </c>
      <c r="B10478" s="55" t="n">
        <v>45746</v>
      </c>
      <c r="C10478" s="51" t="s">
        <v>73</v>
      </c>
      <c r="D10478" s="51" t="n">
        <v>0</v>
      </c>
    </row>
    <row r="10479" customFormat="false" ht="15" hidden="true" customHeight="false" outlineLevel="0" collapsed="false">
      <c r="A10479" s="51" t="s">
        <v>210</v>
      </c>
      <c r="B10479" s="55" t="n">
        <v>45746</v>
      </c>
      <c r="C10479" s="51" t="s">
        <v>73</v>
      </c>
      <c r="D10479" s="51" t="n">
        <v>0</v>
      </c>
    </row>
    <row r="10480" customFormat="false" ht="15" hidden="true" customHeight="false" outlineLevel="0" collapsed="false">
      <c r="A10480" s="51" t="s">
        <v>215</v>
      </c>
      <c r="B10480" s="55" t="n">
        <v>45746</v>
      </c>
      <c r="C10480" s="51" t="s">
        <v>73</v>
      </c>
      <c r="D10480" s="51" t="n">
        <v>0</v>
      </c>
    </row>
    <row r="10481" customFormat="false" ht="15" hidden="true" customHeight="false" outlineLevel="0" collapsed="false">
      <c r="A10481" s="51" t="s">
        <v>790</v>
      </c>
      <c r="B10481" s="55" t="n">
        <v>45746</v>
      </c>
      <c r="C10481" s="51" t="s">
        <v>73</v>
      </c>
      <c r="D10481" s="51" t="n">
        <v>0</v>
      </c>
    </row>
    <row r="10482" customFormat="false" ht="15" hidden="true" customHeight="false" outlineLevel="0" collapsed="false">
      <c r="A10482" s="51" t="s">
        <v>225</v>
      </c>
      <c r="B10482" s="55" t="n">
        <v>45746</v>
      </c>
      <c r="C10482" s="51" t="s">
        <v>73</v>
      </c>
      <c r="D10482" s="51" t="n">
        <v>0</v>
      </c>
    </row>
    <row r="10483" customFormat="false" ht="15" hidden="true" customHeight="false" outlineLevel="0" collapsed="false">
      <c r="A10483" s="51" t="s">
        <v>230</v>
      </c>
      <c r="B10483" s="55" t="n">
        <v>45746</v>
      </c>
      <c r="C10483" s="51" t="s">
        <v>73</v>
      </c>
      <c r="D10483" s="51" t="n">
        <v>0</v>
      </c>
    </row>
    <row r="10484" customFormat="false" ht="15" hidden="true" customHeight="false" outlineLevel="0" collapsed="false">
      <c r="A10484" s="51" t="s">
        <v>235</v>
      </c>
      <c r="B10484" s="55" t="n">
        <v>45746</v>
      </c>
      <c r="C10484" s="51" t="s">
        <v>73</v>
      </c>
      <c r="D10484" s="51" t="n">
        <v>0</v>
      </c>
    </row>
    <row r="10485" customFormat="false" ht="15" hidden="true" customHeight="false" outlineLevel="0" collapsed="false">
      <c r="A10485" s="51" t="s">
        <v>240</v>
      </c>
      <c r="B10485" s="55" t="n">
        <v>45746</v>
      </c>
      <c r="C10485" s="51" t="s">
        <v>73</v>
      </c>
      <c r="D10485" s="51" t="n">
        <v>0</v>
      </c>
    </row>
    <row r="10486" customFormat="false" ht="15" hidden="true" customHeight="false" outlineLevel="0" collapsed="false">
      <c r="A10486" s="51" t="s">
        <v>246</v>
      </c>
      <c r="B10486" s="55" t="n">
        <v>45746</v>
      </c>
      <c r="C10486" s="51" t="s">
        <v>73</v>
      </c>
      <c r="D10486" s="51" t="n">
        <v>0</v>
      </c>
    </row>
    <row r="10487" customFormat="false" ht="15" hidden="true" customHeight="false" outlineLevel="0" collapsed="false">
      <c r="A10487" s="51" t="s">
        <v>252</v>
      </c>
      <c r="B10487" s="55" t="n">
        <v>45746</v>
      </c>
      <c r="C10487" s="51" t="s">
        <v>73</v>
      </c>
      <c r="D10487" s="51" t="n">
        <v>0</v>
      </c>
    </row>
    <row r="10488" customFormat="false" ht="15" hidden="true" customHeight="false" outlineLevel="0" collapsed="false">
      <c r="A10488" s="51" t="s">
        <v>257</v>
      </c>
      <c r="B10488" s="55" t="n">
        <v>45746</v>
      </c>
      <c r="C10488" s="51" t="s">
        <v>73</v>
      </c>
      <c r="D10488" s="51" t="n">
        <v>0</v>
      </c>
    </row>
    <row r="10489" customFormat="false" ht="15" hidden="true" customHeight="false" outlineLevel="0" collapsed="false">
      <c r="A10489" s="51" t="s">
        <v>262</v>
      </c>
      <c r="B10489" s="55" t="n">
        <v>45746</v>
      </c>
      <c r="C10489" s="51" t="s">
        <v>73</v>
      </c>
      <c r="D10489" s="51" t="n">
        <v>0</v>
      </c>
    </row>
    <row r="10490" customFormat="false" ht="15" hidden="true" customHeight="false" outlineLevel="0" collapsed="false">
      <c r="A10490" s="51" t="s">
        <v>267</v>
      </c>
      <c r="B10490" s="55" t="n">
        <v>45746</v>
      </c>
      <c r="C10490" s="51" t="s">
        <v>73</v>
      </c>
      <c r="D10490" s="51" t="n">
        <v>0</v>
      </c>
    </row>
    <row r="10491" customFormat="false" ht="15" hidden="true" customHeight="false" outlineLevel="0" collapsed="false">
      <c r="A10491" s="51" t="s">
        <v>272</v>
      </c>
      <c r="B10491" s="55" t="n">
        <v>45746</v>
      </c>
      <c r="C10491" s="51" t="s">
        <v>73</v>
      </c>
      <c r="D10491" s="51" t="n">
        <v>0</v>
      </c>
    </row>
    <row r="10492" customFormat="false" ht="15" hidden="true" customHeight="false" outlineLevel="0" collapsed="false">
      <c r="A10492" s="51" t="s">
        <v>277</v>
      </c>
      <c r="B10492" s="55" t="n">
        <v>45746</v>
      </c>
      <c r="C10492" s="51" t="s">
        <v>73</v>
      </c>
      <c r="D10492" s="51" t="n">
        <v>0</v>
      </c>
    </row>
    <row r="10493" customFormat="false" ht="15" hidden="true" customHeight="false" outlineLevel="0" collapsed="false">
      <c r="A10493" s="51" t="s">
        <v>282</v>
      </c>
      <c r="B10493" s="55" t="n">
        <v>45746</v>
      </c>
      <c r="C10493" s="51" t="s">
        <v>73</v>
      </c>
      <c r="D10493" s="51" t="n">
        <v>0</v>
      </c>
    </row>
    <row r="10494" customFormat="false" ht="15" hidden="true" customHeight="false" outlineLevel="0" collapsed="false">
      <c r="A10494" s="51" t="s">
        <v>287</v>
      </c>
      <c r="B10494" s="55" t="n">
        <v>45746</v>
      </c>
      <c r="C10494" s="51" t="s">
        <v>73</v>
      </c>
      <c r="D10494" s="51" t="n">
        <v>0</v>
      </c>
    </row>
    <row r="10495" customFormat="false" ht="15" hidden="true" customHeight="false" outlineLevel="0" collapsed="false">
      <c r="A10495" s="51" t="s">
        <v>292</v>
      </c>
      <c r="B10495" s="55" t="n">
        <v>45746</v>
      </c>
      <c r="C10495" s="51" t="s">
        <v>73</v>
      </c>
      <c r="D10495" s="51" t="n">
        <v>0</v>
      </c>
    </row>
    <row r="10496" customFormat="false" ht="15" hidden="true" customHeight="false" outlineLevel="0" collapsed="false">
      <c r="A10496" s="51" t="s">
        <v>297</v>
      </c>
      <c r="B10496" s="55" t="n">
        <v>45746</v>
      </c>
      <c r="C10496" s="51" t="s">
        <v>73</v>
      </c>
      <c r="D10496" s="51" t="n">
        <v>0</v>
      </c>
    </row>
    <row r="10497" customFormat="false" ht="15" hidden="true" customHeight="false" outlineLevel="0" collapsed="false">
      <c r="A10497" s="51" t="s">
        <v>302</v>
      </c>
      <c r="B10497" s="55" t="n">
        <v>45746</v>
      </c>
      <c r="C10497" s="51" t="s">
        <v>73</v>
      </c>
      <c r="D10497" s="51" t="n">
        <v>0</v>
      </c>
    </row>
    <row r="10498" customFormat="false" ht="15" hidden="true" customHeight="false" outlineLevel="0" collapsed="false">
      <c r="A10498" s="51" t="s">
        <v>307</v>
      </c>
      <c r="B10498" s="55" t="n">
        <v>45746</v>
      </c>
      <c r="C10498" s="51" t="s">
        <v>73</v>
      </c>
      <c r="D10498" s="51" t="n">
        <v>0</v>
      </c>
    </row>
    <row r="10499" customFormat="false" ht="15" hidden="true" customHeight="false" outlineLevel="0" collapsed="false">
      <c r="A10499" s="51" t="s">
        <v>311</v>
      </c>
      <c r="B10499" s="55" t="n">
        <v>45746</v>
      </c>
      <c r="C10499" s="51" t="s">
        <v>73</v>
      </c>
      <c r="D10499" s="51" t="n">
        <v>0</v>
      </c>
    </row>
    <row r="10500" customFormat="false" ht="15" hidden="true" customHeight="false" outlineLevel="0" collapsed="false">
      <c r="A10500" s="51" t="s">
        <v>317</v>
      </c>
      <c r="B10500" s="55" t="n">
        <v>45746</v>
      </c>
      <c r="C10500" s="51" t="s">
        <v>73</v>
      </c>
      <c r="D10500" s="51" t="n">
        <v>0</v>
      </c>
    </row>
    <row r="10501" customFormat="false" ht="15" hidden="true" customHeight="false" outlineLevel="0" collapsed="false">
      <c r="A10501" s="51" t="s">
        <v>322</v>
      </c>
      <c r="B10501" s="55" t="n">
        <v>45746</v>
      </c>
      <c r="C10501" s="51" t="s">
        <v>73</v>
      </c>
      <c r="D10501" s="51" t="n">
        <v>0</v>
      </c>
    </row>
    <row r="10502" customFormat="false" ht="15" hidden="true" customHeight="false" outlineLevel="0" collapsed="false">
      <c r="A10502" s="51" t="s">
        <v>327</v>
      </c>
      <c r="B10502" s="55" t="n">
        <v>45746</v>
      </c>
      <c r="C10502" s="51" t="s">
        <v>73</v>
      </c>
      <c r="D10502" s="51" t="n">
        <v>0</v>
      </c>
    </row>
    <row r="10503" customFormat="false" ht="15" hidden="true" customHeight="false" outlineLevel="0" collapsed="false">
      <c r="A10503" s="51" t="s">
        <v>332</v>
      </c>
      <c r="B10503" s="55" t="n">
        <v>45746</v>
      </c>
      <c r="C10503" s="51" t="s">
        <v>73</v>
      </c>
      <c r="D10503" s="51" t="n">
        <v>0</v>
      </c>
    </row>
    <row r="10504" customFormat="false" ht="15" hidden="true" customHeight="false" outlineLevel="0" collapsed="false">
      <c r="A10504" s="51" t="s">
        <v>339</v>
      </c>
      <c r="B10504" s="55" t="n">
        <v>45746</v>
      </c>
      <c r="C10504" s="51" t="s">
        <v>73</v>
      </c>
      <c r="D10504" s="51" t="n">
        <v>0</v>
      </c>
    </row>
    <row r="10505" customFormat="false" ht="15" hidden="true" customHeight="false" outlineLevel="0" collapsed="false">
      <c r="A10505" s="51" t="s">
        <v>344</v>
      </c>
      <c r="B10505" s="55" t="n">
        <v>45746</v>
      </c>
      <c r="C10505" s="51" t="s">
        <v>73</v>
      </c>
      <c r="D10505" s="51" t="n">
        <v>0</v>
      </c>
    </row>
    <row r="10506" customFormat="false" ht="15" hidden="true" customHeight="false" outlineLevel="0" collapsed="false">
      <c r="A10506" s="51" t="s">
        <v>349</v>
      </c>
      <c r="B10506" s="55" t="n">
        <v>45746</v>
      </c>
      <c r="C10506" s="51" t="s">
        <v>73</v>
      </c>
      <c r="D10506" s="51" t="n">
        <v>0</v>
      </c>
    </row>
    <row r="10507" customFormat="false" ht="15" hidden="true" customHeight="false" outlineLevel="0" collapsed="false">
      <c r="A10507" s="51" t="s">
        <v>354</v>
      </c>
      <c r="B10507" s="55" t="n">
        <v>45746</v>
      </c>
      <c r="C10507" s="51" t="s">
        <v>73</v>
      </c>
      <c r="D10507" s="51" t="n">
        <v>0</v>
      </c>
    </row>
    <row r="10508" customFormat="false" ht="15" hidden="true" customHeight="false" outlineLevel="0" collapsed="false">
      <c r="A10508" s="51" t="s">
        <v>359</v>
      </c>
      <c r="B10508" s="55" t="n">
        <v>45746</v>
      </c>
      <c r="C10508" s="51" t="s">
        <v>73</v>
      </c>
      <c r="D10508" s="51" t="n">
        <v>0</v>
      </c>
    </row>
    <row r="10509" customFormat="false" ht="15" hidden="true" customHeight="false" outlineLevel="0" collapsed="false">
      <c r="A10509" s="51" t="s">
        <v>364</v>
      </c>
      <c r="B10509" s="55" t="n">
        <v>45746</v>
      </c>
      <c r="C10509" s="51" t="s">
        <v>73</v>
      </c>
      <c r="D10509" s="51" t="n">
        <v>0</v>
      </c>
    </row>
    <row r="10510" customFormat="false" ht="15" hidden="true" customHeight="false" outlineLevel="0" collapsed="false">
      <c r="A10510" s="51" t="s">
        <v>369</v>
      </c>
      <c r="B10510" s="55" t="n">
        <v>45746</v>
      </c>
      <c r="C10510" s="51" t="s">
        <v>73</v>
      </c>
      <c r="D10510" s="51" t="n">
        <v>0</v>
      </c>
    </row>
    <row r="10511" customFormat="false" ht="15" hidden="true" customHeight="false" outlineLevel="0" collapsed="false">
      <c r="A10511" s="51" t="s">
        <v>374</v>
      </c>
      <c r="B10511" s="55" t="n">
        <v>45746</v>
      </c>
      <c r="C10511" s="51" t="s">
        <v>73</v>
      </c>
      <c r="D10511" s="51" t="n">
        <v>0</v>
      </c>
    </row>
    <row r="10512" customFormat="false" ht="15" hidden="true" customHeight="false" outlineLevel="0" collapsed="false">
      <c r="A10512" s="51" t="s">
        <v>379</v>
      </c>
      <c r="B10512" s="55" t="n">
        <v>45746</v>
      </c>
      <c r="C10512" s="51" t="s">
        <v>73</v>
      </c>
      <c r="D10512" s="51" t="n">
        <v>0</v>
      </c>
    </row>
    <row r="10513" customFormat="false" ht="15" hidden="true" customHeight="false" outlineLevel="0" collapsed="false">
      <c r="A10513" s="51" t="s">
        <v>384</v>
      </c>
      <c r="B10513" s="55" t="n">
        <v>45746</v>
      </c>
      <c r="C10513" s="51" t="s">
        <v>73</v>
      </c>
      <c r="D10513" s="51" t="n">
        <v>0</v>
      </c>
    </row>
    <row r="10514" customFormat="false" ht="15" hidden="true" customHeight="false" outlineLevel="0" collapsed="false">
      <c r="A10514" s="51" t="s">
        <v>389</v>
      </c>
      <c r="B10514" s="55" t="n">
        <v>45746</v>
      </c>
      <c r="C10514" s="51" t="s">
        <v>73</v>
      </c>
      <c r="D10514" s="51" t="n">
        <v>750000</v>
      </c>
    </row>
    <row r="10515" customFormat="false" ht="15" hidden="true" customHeight="false" outlineLevel="0" collapsed="false">
      <c r="A10515" s="51" t="s">
        <v>394</v>
      </c>
      <c r="B10515" s="55" t="n">
        <v>45746</v>
      </c>
      <c r="C10515" s="51" t="s">
        <v>73</v>
      </c>
      <c r="D10515" s="51" t="n">
        <v>0</v>
      </c>
    </row>
    <row r="10516" customFormat="false" ht="15" hidden="true" customHeight="false" outlineLevel="0" collapsed="false">
      <c r="A10516" s="51" t="s">
        <v>399</v>
      </c>
      <c r="B10516" s="55" t="n">
        <v>45746</v>
      </c>
      <c r="C10516" s="51" t="s">
        <v>73</v>
      </c>
      <c r="D10516" s="51" t="n">
        <v>0</v>
      </c>
    </row>
    <row r="10517" customFormat="false" ht="15" hidden="true" customHeight="false" outlineLevel="0" collapsed="false">
      <c r="A10517" s="51" t="s">
        <v>404</v>
      </c>
      <c r="B10517" s="55" t="n">
        <v>45746</v>
      </c>
      <c r="C10517" s="51" t="s">
        <v>73</v>
      </c>
      <c r="D10517" s="51" t="n">
        <v>700000</v>
      </c>
    </row>
    <row r="10518" customFormat="false" ht="15" hidden="true" customHeight="false" outlineLevel="0" collapsed="false">
      <c r="A10518" s="51" t="s">
        <v>409</v>
      </c>
      <c r="B10518" s="55" t="n">
        <v>45746</v>
      </c>
      <c r="C10518" s="51" t="s">
        <v>73</v>
      </c>
      <c r="D10518" s="51" t="n">
        <v>0</v>
      </c>
    </row>
    <row r="10519" customFormat="false" ht="15" hidden="true" customHeight="false" outlineLevel="0" collapsed="false">
      <c r="A10519" s="51" t="s">
        <v>414</v>
      </c>
      <c r="B10519" s="55" t="n">
        <v>45746</v>
      </c>
      <c r="C10519" s="51" t="s">
        <v>73</v>
      </c>
      <c r="D10519" s="51" t="n">
        <v>0</v>
      </c>
    </row>
    <row r="10520" customFormat="false" ht="15" hidden="true" customHeight="false" outlineLevel="0" collapsed="false">
      <c r="A10520" s="51" t="s">
        <v>419</v>
      </c>
      <c r="B10520" s="55" t="n">
        <v>45746</v>
      </c>
      <c r="C10520" s="51" t="s">
        <v>73</v>
      </c>
      <c r="D10520" s="51" t="n">
        <v>0</v>
      </c>
    </row>
    <row r="10521" customFormat="false" ht="15" hidden="true" customHeight="false" outlineLevel="0" collapsed="false">
      <c r="A10521" s="51" t="s">
        <v>424</v>
      </c>
      <c r="B10521" s="55" t="n">
        <v>45746</v>
      </c>
      <c r="C10521" s="51" t="s">
        <v>73</v>
      </c>
      <c r="D10521" s="51" t="n">
        <v>0</v>
      </c>
    </row>
    <row r="10522" customFormat="false" ht="15" hidden="true" customHeight="false" outlineLevel="0" collapsed="false">
      <c r="A10522" s="51" t="s">
        <v>429</v>
      </c>
      <c r="B10522" s="55" t="n">
        <v>45746</v>
      </c>
      <c r="C10522" s="51" t="s">
        <v>73</v>
      </c>
      <c r="D10522" s="51" t="n">
        <v>0</v>
      </c>
    </row>
    <row r="10523" customFormat="false" ht="15" hidden="true" customHeight="false" outlineLevel="0" collapsed="false">
      <c r="A10523" s="51" t="s">
        <v>434</v>
      </c>
      <c r="B10523" s="55" t="n">
        <v>45746</v>
      </c>
      <c r="C10523" s="51" t="s">
        <v>73</v>
      </c>
      <c r="D10523" s="51" t="n">
        <v>575000</v>
      </c>
    </row>
    <row r="10524" customFormat="false" ht="15" hidden="true" customHeight="false" outlineLevel="0" collapsed="false">
      <c r="A10524" s="51" t="s">
        <v>438</v>
      </c>
      <c r="B10524" s="55" t="n">
        <v>45746</v>
      </c>
      <c r="C10524" s="51" t="s">
        <v>73</v>
      </c>
      <c r="D10524" s="51" t="n">
        <v>0</v>
      </c>
    </row>
    <row r="10525" customFormat="false" ht="15" hidden="true" customHeight="false" outlineLevel="0" collapsed="false">
      <c r="A10525" s="51" t="s">
        <v>443</v>
      </c>
      <c r="B10525" s="55" t="n">
        <v>45746</v>
      </c>
      <c r="C10525" s="51" t="s">
        <v>73</v>
      </c>
      <c r="D10525" s="51" t="n">
        <v>0</v>
      </c>
    </row>
    <row r="10526" customFormat="false" ht="15" hidden="true" customHeight="false" outlineLevel="0" collapsed="false">
      <c r="A10526" s="51" t="s">
        <v>448</v>
      </c>
      <c r="B10526" s="55" t="n">
        <v>45746</v>
      </c>
      <c r="C10526" s="51" t="s">
        <v>73</v>
      </c>
      <c r="D10526" s="51" t="n">
        <v>0</v>
      </c>
    </row>
    <row r="10527" customFormat="false" ht="15" hidden="true" customHeight="false" outlineLevel="0" collapsed="false">
      <c r="A10527" s="51" t="s">
        <v>453</v>
      </c>
      <c r="B10527" s="55" t="n">
        <v>45746</v>
      </c>
      <c r="C10527" s="51" t="s">
        <v>73</v>
      </c>
      <c r="D10527" s="51" t="n">
        <v>1000000</v>
      </c>
    </row>
    <row r="10528" customFormat="false" ht="15" hidden="true" customHeight="false" outlineLevel="0" collapsed="false">
      <c r="A10528" s="51" t="s">
        <v>458</v>
      </c>
      <c r="B10528" s="55" t="n">
        <v>45746</v>
      </c>
      <c r="C10528" s="51" t="s">
        <v>73</v>
      </c>
      <c r="D10528" s="51" t="n">
        <v>649093</v>
      </c>
    </row>
    <row r="10529" customFormat="false" ht="15" hidden="true" customHeight="false" outlineLevel="0" collapsed="false">
      <c r="A10529" s="51" t="s">
        <v>473</v>
      </c>
      <c r="B10529" s="55" t="n">
        <v>45746</v>
      </c>
      <c r="C10529" s="51" t="s">
        <v>73</v>
      </c>
      <c r="D10529" s="51" t="n">
        <v>0</v>
      </c>
    </row>
    <row r="10530" customFormat="false" ht="15" hidden="true" customHeight="false" outlineLevel="0" collapsed="false">
      <c r="A10530" s="51" t="s">
        <v>479</v>
      </c>
      <c r="B10530" s="55" t="n">
        <v>45746</v>
      </c>
      <c r="C10530" s="51" t="s">
        <v>73</v>
      </c>
      <c r="D10530" s="51" t="n">
        <v>0</v>
      </c>
    </row>
    <row r="10531" customFormat="false" ht="15" hidden="true" customHeight="false" outlineLevel="0" collapsed="false">
      <c r="A10531" s="51" t="s">
        <v>484</v>
      </c>
      <c r="B10531" s="55" t="n">
        <v>45746</v>
      </c>
      <c r="C10531" s="51" t="s">
        <v>73</v>
      </c>
      <c r="D10531" s="51" t="n">
        <v>0</v>
      </c>
    </row>
    <row r="10532" customFormat="false" ht="15" hidden="true" customHeight="false" outlineLevel="0" collapsed="false">
      <c r="A10532" s="51" t="s">
        <v>489</v>
      </c>
      <c r="B10532" s="55" t="n">
        <v>45746</v>
      </c>
      <c r="C10532" s="51" t="s">
        <v>73</v>
      </c>
      <c r="D10532" s="51" t="n">
        <v>0</v>
      </c>
    </row>
    <row r="10533" customFormat="false" ht="15" hidden="true" customHeight="false" outlineLevel="0" collapsed="false">
      <c r="A10533" s="51" t="s">
        <v>494</v>
      </c>
      <c r="B10533" s="55" t="n">
        <v>45746</v>
      </c>
      <c r="C10533" s="51" t="s">
        <v>73</v>
      </c>
      <c r="D10533" s="51" t="n">
        <v>0</v>
      </c>
    </row>
    <row r="10534" customFormat="false" ht="15" hidden="true" customHeight="false" outlineLevel="0" collapsed="false">
      <c r="A10534" s="51" t="s">
        <v>499</v>
      </c>
      <c r="B10534" s="55" t="n">
        <v>45746</v>
      </c>
      <c r="C10534" s="51" t="s">
        <v>73</v>
      </c>
      <c r="D10534" s="51" t="n">
        <v>0</v>
      </c>
    </row>
    <row r="10535" customFormat="false" ht="15" hidden="true" customHeight="false" outlineLevel="0" collapsed="false">
      <c r="A10535" s="51" t="s">
        <v>504</v>
      </c>
      <c r="B10535" s="55" t="n">
        <v>45746</v>
      </c>
      <c r="C10535" s="51" t="s">
        <v>73</v>
      </c>
      <c r="D10535" s="51" t="n">
        <v>0</v>
      </c>
    </row>
    <row r="10536" customFormat="false" ht="15" hidden="true" customHeight="false" outlineLevel="0" collapsed="false">
      <c r="A10536" s="51" t="s">
        <v>509</v>
      </c>
      <c r="B10536" s="55" t="n">
        <v>45746</v>
      </c>
      <c r="C10536" s="51" t="s">
        <v>73</v>
      </c>
      <c r="D10536" s="51" t="n">
        <v>0</v>
      </c>
    </row>
    <row r="10537" customFormat="false" ht="15" hidden="true" customHeight="false" outlineLevel="0" collapsed="false">
      <c r="A10537" s="51" t="s">
        <v>515</v>
      </c>
      <c r="B10537" s="55" t="n">
        <v>45746</v>
      </c>
      <c r="C10537" s="51" t="s">
        <v>73</v>
      </c>
      <c r="D10537" s="51" t="n">
        <v>300073.28</v>
      </c>
    </row>
    <row r="10538" customFormat="false" ht="15" hidden="true" customHeight="false" outlineLevel="0" collapsed="false">
      <c r="A10538" s="51" t="s">
        <v>520</v>
      </c>
      <c r="B10538" s="55" t="n">
        <v>45746</v>
      </c>
      <c r="C10538" s="51" t="s">
        <v>73</v>
      </c>
      <c r="D10538" s="51" t="n">
        <v>0</v>
      </c>
    </row>
    <row r="10539" customFormat="false" ht="15" hidden="true" customHeight="false" outlineLevel="0" collapsed="false">
      <c r="A10539" s="51" t="s">
        <v>525</v>
      </c>
      <c r="B10539" s="55" t="n">
        <v>45746</v>
      </c>
      <c r="C10539" s="51" t="s">
        <v>73</v>
      </c>
      <c r="D10539" s="51" t="n">
        <v>100000</v>
      </c>
    </row>
    <row r="10540" customFormat="false" ht="15" hidden="true" customHeight="false" outlineLevel="0" collapsed="false">
      <c r="A10540" s="51" t="s">
        <v>531</v>
      </c>
      <c r="B10540" s="55" t="n">
        <v>45746</v>
      </c>
      <c r="C10540" s="51" t="s">
        <v>73</v>
      </c>
      <c r="D10540" s="51" t="n">
        <v>0</v>
      </c>
    </row>
    <row r="10541" customFormat="false" ht="15" hidden="true" customHeight="false" outlineLevel="0" collapsed="false">
      <c r="A10541" s="51" t="s">
        <v>536</v>
      </c>
      <c r="B10541" s="55" t="n">
        <v>45746</v>
      </c>
      <c r="C10541" s="51" t="s">
        <v>73</v>
      </c>
      <c r="D10541" s="51" t="n">
        <v>0</v>
      </c>
    </row>
    <row r="10542" customFormat="false" ht="15" hidden="true" customHeight="false" outlineLevel="0" collapsed="false">
      <c r="A10542" s="51" t="s">
        <v>541</v>
      </c>
      <c r="B10542" s="55" t="n">
        <v>45746</v>
      </c>
      <c r="C10542" s="51" t="s">
        <v>73</v>
      </c>
      <c r="D10542" s="51" t="n">
        <v>0</v>
      </c>
    </row>
    <row r="10543" customFormat="false" ht="15" hidden="true" customHeight="false" outlineLevel="0" collapsed="false">
      <c r="A10543" s="51" t="s">
        <v>549</v>
      </c>
      <c r="B10543" s="55" t="n">
        <v>45746</v>
      </c>
      <c r="C10543" s="51" t="s">
        <v>73</v>
      </c>
      <c r="D10543" s="51" t="n">
        <v>1025256.87</v>
      </c>
    </row>
    <row r="10544" customFormat="false" ht="15" hidden="true" customHeight="false" outlineLevel="0" collapsed="false">
      <c r="A10544" s="51" t="s">
        <v>554</v>
      </c>
      <c r="B10544" s="55" t="n">
        <v>45746</v>
      </c>
      <c r="C10544" s="51" t="s">
        <v>73</v>
      </c>
      <c r="D10544" s="51" t="n">
        <v>0</v>
      </c>
    </row>
    <row r="10545" customFormat="false" ht="15" hidden="true" customHeight="false" outlineLevel="0" collapsed="false">
      <c r="A10545" s="51" t="s">
        <v>559</v>
      </c>
      <c r="B10545" s="55" t="n">
        <v>45746</v>
      </c>
      <c r="C10545" s="51" t="s">
        <v>73</v>
      </c>
      <c r="D10545" s="51" t="n">
        <v>0</v>
      </c>
    </row>
    <row r="10546" customFormat="false" ht="15" hidden="true" customHeight="false" outlineLevel="0" collapsed="false">
      <c r="A10546" s="51" t="s">
        <v>564</v>
      </c>
      <c r="B10546" s="55" t="n">
        <v>45746</v>
      </c>
      <c r="C10546" s="51" t="s">
        <v>73</v>
      </c>
      <c r="D10546" s="51" t="n">
        <v>100000</v>
      </c>
    </row>
    <row r="10547" customFormat="false" ht="15" hidden="true" customHeight="false" outlineLevel="0" collapsed="false">
      <c r="A10547" s="51" t="s">
        <v>569</v>
      </c>
      <c r="B10547" s="55" t="n">
        <v>45746</v>
      </c>
      <c r="C10547" s="51" t="s">
        <v>73</v>
      </c>
      <c r="D10547" s="51" t="n">
        <v>0</v>
      </c>
    </row>
    <row r="10548" customFormat="false" ht="15" hidden="true" customHeight="false" outlineLevel="0" collapsed="false">
      <c r="A10548" s="51" t="s">
        <v>574</v>
      </c>
      <c r="B10548" s="55" t="n">
        <v>45746</v>
      </c>
      <c r="C10548" s="51" t="s">
        <v>73</v>
      </c>
      <c r="D10548" s="51" t="n">
        <v>1000000</v>
      </c>
    </row>
    <row r="10549" customFormat="false" ht="15" hidden="true" customHeight="false" outlineLevel="0" collapsed="false">
      <c r="A10549" s="51" t="s">
        <v>579</v>
      </c>
      <c r="B10549" s="55" t="n">
        <v>45746</v>
      </c>
      <c r="C10549" s="51" t="s">
        <v>73</v>
      </c>
      <c r="D10549" s="51" t="n">
        <v>180000</v>
      </c>
    </row>
    <row r="10550" customFormat="false" ht="15" hidden="true" customHeight="false" outlineLevel="0" collapsed="false">
      <c r="A10550" s="51" t="s">
        <v>584</v>
      </c>
      <c r="B10550" s="55" t="n">
        <v>45746</v>
      </c>
      <c r="C10550" s="51" t="s">
        <v>73</v>
      </c>
      <c r="D10550" s="51" t="n">
        <v>0</v>
      </c>
    </row>
    <row r="10551" customFormat="false" ht="15" hidden="true" customHeight="false" outlineLevel="0" collapsed="false">
      <c r="A10551" s="51" t="s">
        <v>589</v>
      </c>
      <c r="B10551" s="55" t="n">
        <v>45746</v>
      </c>
      <c r="C10551" s="51" t="s">
        <v>73</v>
      </c>
      <c r="D10551" s="51" t="n">
        <v>500000</v>
      </c>
    </row>
    <row r="10552" customFormat="false" ht="15" hidden="true" customHeight="false" outlineLevel="0" collapsed="false">
      <c r="A10552" s="51" t="s">
        <v>756</v>
      </c>
      <c r="B10552" s="55" t="n">
        <v>45746</v>
      </c>
      <c r="C10552" s="51" t="s">
        <v>73</v>
      </c>
      <c r="D10552" s="51" t="n">
        <v>0</v>
      </c>
    </row>
    <row r="10553" customFormat="false" ht="15" hidden="true" customHeight="false" outlineLevel="0" collapsed="false">
      <c r="A10553" s="51" t="s">
        <v>594</v>
      </c>
      <c r="B10553" s="55" t="n">
        <v>45746</v>
      </c>
      <c r="C10553" s="51" t="s">
        <v>73</v>
      </c>
      <c r="D10553" s="51" t="n">
        <v>0</v>
      </c>
    </row>
    <row r="10554" customFormat="false" ht="15" hidden="true" customHeight="false" outlineLevel="0" collapsed="false">
      <c r="A10554" s="51" t="s">
        <v>761</v>
      </c>
      <c r="B10554" s="55" t="n">
        <v>45746</v>
      </c>
      <c r="C10554" s="51" t="s">
        <v>73</v>
      </c>
      <c r="D10554" s="51" t="n">
        <v>4749428.78</v>
      </c>
    </row>
    <row r="10555" customFormat="false" ht="15" hidden="true" customHeight="false" outlineLevel="0" collapsed="false">
      <c r="A10555" s="51" t="s">
        <v>599</v>
      </c>
      <c r="B10555" s="55" t="n">
        <v>45746</v>
      </c>
      <c r="C10555" s="51" t="s">
        <v>73</v>
      </c>
      <c r="D10555" s="51" t="n">
        <v>0</v>
      </c>
    </row>
    <row r="10556" customFormat="false" ht="15" hidden="true" customHeight="false" outlineLevel="0" collapsed="false">
      <c r="A10556" s="51" t="s">
        <v>604</v>
      </c>
      <c r="B10556" s="55" t="n">
        <v>45746</v>
      </c>
      <c r="C10556" s="51" t="s">
        <v>73</v>
      </c>
      <c r="D10556" s="51" t="n">
        <v>20000</v>
      </c>
    </row>
    <row r="10557" customFormat="false" ht="15" hidden="true" customHeight="false" outlineLevel="0" collapsed="false">
      <c r="A10557" s="51" t="s">
        <v>609</v>
      </c>
      <c r="B10557" s="55" t="n">
        <v>45746</v>
      </c>
      <c r="C10557" s="51" t="s">
        <v>73</v>
      </c>
      <c r="D10557" s="51" t="n">
        <v>150000</v>
      </c>
    </row>
    <row r="10558" customFormat="false" ht="15" hidden="true" customHeight="false" outlineLevel="0" collapsed="false">
      <c r="A10558" s="51" t="s">
        <v>614</v>
      </c>
      <c r="B10558" s="55" t="n">
        <v>45746</v>
      </c>
      <c r="C10558" s="51" t="s">
        <v>73</v>
      </c>
      <c r="D10558" s="51" t="n">
        <v>3800000</v>
      </c>
    </row>
    <row r="10559" customFormat="false" ht="15" hidden="true" customHeight="false" outlineLevel="0" collapsed="false">
      <c r="A10559" s="51" t="s">
        <v>619</v>
      </c>
      <c r="B10559" s="55" t="n">
        <v>45746</v>
      </c>
      <c r="C10559" s="51" t="s">
        <v>73</v>
      </c>
      <c r="D10559" s="51" t="n">
        <v>162000</v>
      </c>
    </row>
    <row r="10560" customFormat="false" ht="15" hidden="true" customHeight="false" outlineLevel="0" collapsed="false">
      <c r="A10560" s="51" t="s">
        <v>624</v>
      </c>
      <c r="B10560" s="55" t="n">
        <v>45746</v>
      </c>
      <c r="C10560" s="51" t="s">
        <v>73</v>
      </c>
      <c r="D10560" s="51" t="n">
        <v>175000</v>
      </c>
    </row>
    <row r="10561" customFormat="false" ht="15" hidden="true" customHeight="false" outlineLevel="0" collapsed="false">
      <c r="A10561" s="51" t="s">
        <v>629</v>
      </c>
      <c r="B10561" s="55" t="n">
        <v>45746</v>
      </c>
      <c r="C10561" s="51" t="s">
        <v>73</v>
      </c>
      <c r="D10561" s="51" t="n">
        <v>156250</v>
      </c>
    </row>
    <row r="10562" customFormat="false" ht="15" hidden="true" customHeight="false" outlineLevel="0" collapsed="false">
      <c r="A10562" s="51" t="s">
        <v>633</v>
      </c>
      <c r="B10562" s="55" t="n">
        <v>45746</v>
      </c>
      <c r="C10562" s="51" t="s">
        <v>73</v>
      </c>
      <c r="D10562" s="51" t="n">
        <v>0</v>
      </c>
    </row>
    <row r="10563" customFormat="false" ht="15" hidden="true" customHeight="false" outlineLevel="0" collapsed="false">
      <c r="A10563" s="51" t="s">
        <v>638</v>
      </c>
      <c r="B10563" s="55" t="n">
        <v>45746</v>
      </c>
      <c r="C10563" s="51" t="s">
        <v>73</v>
      </c>
      <c r="D10563" s="51" t="n">
        <v>0</v>
      </c>
    </row>
    <row r="10564" customFormat="false" ht="15" hidden="true" customHeight="false" outlineLevel="0" collapsed="false">
      <c r="A10564" s="51" t="s">
        <v>642</v>
      </c>
      <c r="B10564" s="55" t="n">
        <v>45746</v>
      </c>
      <c r="C10564" s="51" t="s">
        <v>73</v>
      </c>
      <c r="D10564" s="51" t="n">
        <v>0</v>
      </c>
    </row>
    <row r="10565" customFormat="false" ht="15" hidden="true" customHeight="false" outlineLevel="0" collapsed="false">
      <c r="A10565" s="51" t="s">
        <v>646</v>
      </c>
      <c r="B10565" s="55" t="n">
        <v>45746</v>
      </c>
      <c r="C10565" s="51" t="s">
        <v>73</v>
      </c>
      <c r="D10565" s="51" t="n">
        <v>0</v>
      </c>
    </row>
    <row r="10566" customFormat="false" ht="15" hidden="true" customHeight="false" outlineLevel="0" collapsed="false">
      <c r="A10566" s="51" t="s">
        <v>651</v>
      </c>
      <c r="B10566" s="55" t="n">
        <v>45746</v>
      </c>
      <c r="C10566" s="51" t="s">
        <v>73</v>
      </c>
      <c r="D10566" s="51" t="n">
        <v>0</v>
      </c>
    </row>
    <row r="10567" customFormat="false" ht="15" hidden="true" customHeight="false" outlineLevel="0" collapsed="false">
      <c r="A10567" s="51" t="s">
        <v>656</v>
      </c>
      <c r="B10567" s="55" t="n">
        <v>45746</v>
      </c>
      <c r="C10567" s="51" t="s">
        <v>73</v>
      </c>
      <c r="D10567" s="51" t="n">
        <v>0</v>
      </c>
    </row>
    <row r="10568" customFormat="false" ht="15" hidden="true" customHeight="false" outlineLevel="0" collapsed="false">
      <c r="A10568" s="51" t="s">
        <v>661</v>
      </c>
      <c r="B10568" s="55" t="n">
        <v>45746</v>
      </c>
      <c r="C10568" s="51" t="s">
        <v>73</v>
      </c>
      <c r="D10568" s="51" t="n">
        <v>0</v>
      </c>
    </row>
    <row r="10569" customFormat="false" ht="15" hidden="true" customHeight="false" outlineLevel="0" collapsed="false">
      <c r="A10569" s="51" t="s">
        <v>666</v>
      </c>
      <c r="B10569" s="55" t="n">
        <v>45746</v>
      </c>
      <c r="C10569" s="51" t="s">
        <v>73</v>
      </c>
      <c r="D10569" s="51" t="n">
        <v>0</v>
      </c>
    </row>
    <row r="10570" customFormat="false" ht="15" hidden="true" customHeight="false" outlineLevel="0" collapsed="false">
      <c r="A10570" s="51" t="s">
        <v>671</v>
      </c>
      <c r="B10570" s="55" t="n">
        <v>45746</v>
      </c>
      <c r="C10570" s="51" t="s">
        <v>73</v>
      </c>
      <c r="D10570" s="51" t="n">
        <v>0</v>
      </c>
    </row>
    <row r="10571" customFormat="false" ht="15" hidden="true" customHeight="false" outlineLevel="0" collapsed="false">
      <c r="A10571" s="51" t="s">
        <v>676</v>
      </c>
      <c r="B10571" s="55" t="n">
        <v>45746</v>
      </c>
      <c r="C10571" s="51" t="s">
        <v>73</v>
      </c>
      <c r="D10571" s="51" t="n">
        <v>0</v>
      </c>
    </row>
    <row r="10572" customFormat="false" ht="15" hidden="true" customHeight="false" outlineLevel="0" collapsed="false">
      <c r="A10572" s="51" t="s">
        <v>681</v>
      </c>
      <c r="B10572" s="55" t="n">
        <v>45746</v>
      </c>
      <c r="C10572" s="51" t="s">
        <v>73</v>
      </c>
      <c r="D10572" s="51" t="n">
        <v>0</v>
      </c>
    </row>
    <row r="10573" customFormat="false" ht="15" hidden="true" customHeight="false" outlineLevel="0" collapsed="false">
      <c r="A10573" s="51" t="s">
        <v>686</v>
      </c>
      <c r="B10573" s="55" t="n">
        <v>45746</v>
      </c>
      <c r="C10573" s="51" t="s">
        <v>73</v>
      </c>
      <c r="D10573" s="51" t="n">
        <v>0</v>
      </c>
    </row>
    <row r="10574" customFormat="false" ht="15" hidden="true" customHeight="false" outlineLevel="0" collapsed="false">
      <c r="A10574" s="51" t="s">
        <v>691</v>
      </c>
      <c r="B10574" s="55" t="n">
        <v>45746</v>
      </c>
      <c r="C10574" s="51" t="s">
        <v>73</v>
      </c>
      <c r="D10574" s="51" t="n">
        <v>0</v>
      </c>
    </row>
    <row r="10575" customFormat="false" ht="15" hidden="true" customHeight="false" outlineLevel="0" collapsed="false">
      <c r="A10575" s="51" t="s">
        <v>696</v>
      </c>
      <c r="B10575" s="55" t="n">
        <v>45746</v>
      </c>
      <c r="C10575" s="51" t="s">
        <v>73</v>
      </c>
      <c r="D10575" s="51" t="n">
        <v>0</v>
      </c>
    </row>
    <row r="10576" customFormat="false" ht="15" hidden="true" customHeight="false" outlineLevel="0" collapsed="false">
      <c r="A10576" s="51" t="s">
        <v>701</v>
      </c>
      <c r="B10576" s="55" t="n">
        <v>45746</v>
      </c>
      <c r="C10576" s="51" t="s">
        <v>73</v>
      </c>
      <c r="D10576" s="51" t="n">
        <v>0</v>
      </c>
    </row>
    <row r="10577" customFormat="false" ht="15" hidden="true" customHeight="false" outlineLevel="0" collapsed="false">
      <c r="A10577" s="51" t="s">
        <v>707</v>
      </c>
      <c r="B10577" s="55" t="n">
        <v>45746</v>
      </c>
      <c r="C10577" s="51" t="s">
        <v>73</v>
      </c>
      <c r="D10577" s="51" t="n">
        <v>0</v>
      </c>
    </row>
    <row r="10578" customFormat="false" ht="15" hidden="true" customHeight="false" outlineLevel="0" collapsed="false">
      <c r="A10578" s="51" t="s">
        <v>712</v>
      </c>
      <c r="B10578" s="55" t="n">
        <v>45746</v>
      </c>
      <c r="C10578" s="51" t="s">
        <v>73</v>
      </c>
      <c r="D10578" s="51" t="n">
        <v>0</v>
      </c>
    </row>
    <row r="10579" customFormat="false" ht="15" hidden="true" customHeight="false" outlineLevel="0" collapsed="false">
      <c r="A10579" s="51" t="s">
        <v>717</v>
      </c>
      <c r="B10579" s="55" t="n">
        <v>45746</v>
      </c>
      <c r="C10579" s="51" t="s">
        <v>73</v>
      </c>
      <c r="D10579" s="51" t="n">
        <v>0</v>
      </c>
    </row>
    <row r="10580" customFormat="false" ht="15" hidden="true" customHeight="false" outlineLevel="0" collapsed="false">
      <c r="A10580" s="51" t="s">
        <v>767</v>
      </c>
      <c r="B10580" s="55" t="n">
        <v>45746</v>
      </c>
      <c r="C10580" s="51" t="s">
        <v>73</v>
      </c>
      <c r="D10580" s="51" t="n">
        <v>0</v>
      </c>
    </row>
    <row r="10581" customFormat="false" ht="15" hidden="true" customHeight="false" outlineLevel="0" collapsed="false">
      <c r="A10581" s="51" t="s">
        <v>722</v>
      </c>
      <c r="B10581" s="55" t="n">
        <v>45746</v>
      </c>
      <c r="C10581" s="51" t="s">
        <v>73</v>
      </c>
      <c r="D10581" s="51" t="n">
        <v>0</v>
      </c>
    </row>
    <row r="10582" customFormat="false" ht="15" hidden="true" customHeight="false" outlineLevel="0" collapsed="false">
      <c r="A10582" s="51" t="s">
        <v>727</v>
      </c>
      <c r="B10582" s="55" t="n">
        <v>45746</v>
      </c>
      <c r="C10582" s="51" t="s">
        <v>73</v>
      </c>
      <c r="D10582" s="51" t="n">
        <v>0</v>
      </c>
    </row>
    <row r="10583" customFormat="false" ht="15" hidden="true" customHeight="false" outlineLevel="0" collapsed="false">
      <c r="A10583" s="51" t="s">
        <v>732</v>
      </c>
      <c r="B10583" s="55" t="n">
        <v>45746</v>
      </c>
      <c r="C10583" s="51" t="s">
        <v>73</v>
      </c>
      <c r="D10583" s="51" t="n">
        <v>0</v>
      </c>
    </row>
    <row r="10584" customFormat="false" ht="15" hidden="true" customHeight="false" outlineLevel="0" collapsed="false">
      <c r="A10584" s="51" t="s">
        <v>736</v>
      </c>
      <c r="B10584" s="55" t="n">
        <v>45746</v>
      </c>
      <c r="C10584" s="51" t="s">
        <v>73</v>
      </c>
      <c r="D10584" s="51" t="n">
        <v>0</v>
      </c>
    </row>
    <row r="10585" customFormat="false" ht="15" hidden="true" customHeight="false" outlineLevel="0" collapsed="false">
      <c r="A10585" s="51" t="s">
        <v>741</v>
      </c>
      <c r="B10585" s="55" t="n">
        <v>45746</v>
      </c>
      <c r="C10585" s="51" t="s">
        <v>73</v>
      </c>
      <c r="D10585" s="51" t="n">
        <v>0</v>
      </c>
    </row>
    <row r="10586" customFormat="false" ht="15" hidden="true" customHeight="false" outlineLevel="0" collapsed="false">
      <c r="A10586" s="51" t="s">
        <v>746</v>
      </c>
      <c r="B10586" s="55" t="n">
        <v>45746</v>
      </c>
      <c r="C10586" s="51" t="s">
        <v>73</v>
      </c>
      <c r="D10586" s="51" t="n">
        <v>0</v>
      </c>
    </row>
    <row r="10587" customFormat="false" ht="15" hidden="true" customHeight="false" outlineLevel="0" collapsed="false">
      <c r="A10587" s="51" t="s">
        <v>751</v>
      </c>
      <c r="B10587" s="55" t="n">
        <v>45746</v>
      </c>
      <c r="C10587" s="51" t="s">
        <v>73</v>
      </c>
      <c r="D10587" s="51" t="n">
        <v>0</v>
      </c>
    </row>
    <row r="10588" customFormat="false" ht="15" hidden="false" customHeight="false" outlineLevel="0" collapsed="false">
      <c r="A10588" s="51" t="s">
        <v>781</v>
      </c>
      <c r="B10588" s="55" t="n">
        <v>45746</v>
      </c>
      <c r="C10588" s="51" t="s">
        <v>791</v>
      </c>
      <c r="D10588" s="51" t="n">
        <v>0</v>
      </c>
    </row>
    <row r="10589" customFormat="false" ht="15" hidden="true" customHeight="false" outlineLevel="0" collapsed="false">
      <c r="A10589" s="51" t="s">
        <v>783</v>
      </c>
      <c r="B10589" s="55" t="n">
        <v>45746</v>
      </c>
      <c r="C10589" s="51" t="s">
        <v>791</v>
      </c>
      <c r="D10589" s="51" t="n">
        <v>0</v>
      </c>
    </row>
    <row r="10590" customFormat="false" ht="15" hidden="true" customHeight="false" outlineLevel="0" collapsed="false">
      <c r="A10590" s="51" t="s">
        <v>96</v>
      </c>
      <c r="B10590" s="55" t="n">
        <v>45746</v>
      </c>
      <c r="C10590" s="51" t="s">
        <v>791</v>
      </c>
      <c r="D10590" s="51" t="n">
        <v>0</v>
      </c>
    </row>
    <row r="10591" customFormat="false" ht="15" hidden="true" customHeight="false" outlineLevel="0" collapsed="false">
      <c r="A10591" s="51" t="s">
        <v>101</v>
      </c>
      <c r="B10591" s="55" t="n">
        <v>45746</v>
      </c>
      <c r="C10591" s="51" t="s">
        <v>791</v>
      </c>
      <c r="D10591" s="51" t="n">
        <v>0</v>
      </c>
    </row>
    <row r="10592" customFormat="false" ht="15" hidden="true" customHeight="false" outlineLevel="0" collapsed="false">
      <c r="A10592" s="51" t="s">
        <v>106</v>
      </c>
      <c r="B10592" s="55" t="n">
        <v>45746</v>
      </c>
      <c r="C10592" s="51" t="s">
        <v>791</v>
      </c>
      <c r="D10592" s="51" t="n">
        <v>0</v>
      </c>
    </row>
    <row r="10593" customFormat="false" ht="15" hidden="true" customHeight="false" outlineLevel="0" collapsed="false">
      <c r="A10593" s="51" t="s">
        <v>110</v>
      </c>
      <c r="B10593" s="55" t="n">
        <v>45746</v>
      </c>
      <c r="C10593" s="51" t="s">
        <v>791</v>
      </c>
      <c r="D10593" s="51" t="n">
        <v>0</v>
      </c>
    </row>
    <row r="10594" customFormat="false" ht="15" hidden="true" customHeight="false" outlineLevel="0" collapsed="false">
      <c r="A10594" s="51" t="s">
        <v>115</v>
      </c>
      <c r="B10594" s="55" t="n">
        <v>45746</v>
      </c>
      <c r="C10594" s="51" t="s">
        <v>791</v>
      </c>
      <c r="D10594" s="51" t="n">
        <v>0</v>
      </c>
    </row>
    <row r="10595" customFormat="false" ht="15" hidden="true" customHeight="false" outlineLevel="0" collapsed="false">
      <c r="A10595" s="51" t="s">
        <v>120</v>
      </c>
      <c r="B10595" s="55" t="n">
        <v>45746</v>
      </c>
      <c r="C10595" s="51" t="s">
        <v>791</v>
      </c>
      <c r="D10595" s="51" t="n">
        <v>0</v>
      </c>
    </row>
    <row r="10596" customFormat="false" ht="15" hidden="true" customHeight="false" outlineLevel="0" collapsed="false">
      <c r="A10596" s="51" t="s">
        <v>124</v>
      </c>
      <c r="B10596" s="55" t="n">
        <v>45746</v>
      </c>
      <c r="C10596" s="51" t="s">
        <v>791</v>
      </c>
      <c r="D10596" s="51" t="n">
        <v>0</v>
      </c>
    </row>
    <row r="10597" customFormat="false" ht="15" hidden="true" customHeight="false" outlineLevel="0" collapsed="false">
      <c r="A10597" s="51" t="s">
        <v>129</v>
      </c>
      <c r="B10597" s="55" t="n">
        <v>45746</v>
      </c>
      <c r="C10597" s="51" t="s">
        <v>791</v>
      </c>
      <c r="D10597" s="51" t="n">
        <v>0</v>
      </c>
    </row>
    <row r="10598" customFormat="false" ht="15" hidden="true" customHeight="false" outlineLevel="0" collapsed="false">
      <c r="A10598" s="51" t="s">
        <v>134</v>
      </c>
      <c r="B10598" s="55" t="n">
        <v>45746</v>
      </c>
      <c r="C10598" s="51" t="s">
        <v>791</v>
      </c>
      <c r="D10598" s="51" t="n">
        <v>0</v>
      </c>
    </row>
    <row r="10599" customFormat="false" ht="15" hidden="true" customHeight="false" outlineLevel="0" collapsed="false">
      <c r="A10599" s="51" t="s">
        <v>141</v>
      </c>
      <c r="B10599" s="55" t="n">
        <v>45746</v>
      </c>
      <c r="C10599" s="51" t="s">
        <v>791</v>
      </c>
      <c r="D10599" s="51" t="n">
        <v>0</v>
      </c>
    </row>
    <row r="10600" customFormat="false" ht="15" hidden="true" customHeight="false" outlineLevel="0" collapsed="false">
      <c r="A10600" s="51" t="s">
        <v>146</v>
      </c>
      <c r="B10600" s="55" t="n">
        <v>45746</v>
      </c>
      <c r="C10600" s="51" t="s">
        <v>791</v>
      </c>
      <c r="D10600" s="51" t="n">
        <v>0</v>
      </c>
    </row>
    <row r="10601" customFormat="false" ht="15" hidden="true" customHeight="false" outlineLevel="0" collapsed="false">
      <c r="A10601" s="51" t="s">
        <v>151</v>
      </c>
      <c r="B10601" s="55" t="n">
        <v>45746</v>
      </c>
      <c r="C10601" s="51" t="s">
        <v>791</v>
      </c>
      <c r="D10601" s="51" t="n">
        <v>0</v>
      </c>
    </row>
    <row r="10602" customFormat="false" ht="15" hidden="true" customHeight="false" outlineLevel="0" collapsed="false">
      <c r="A10602" s="51" t="s">
        <v>156</v>
      </c>
      <c r="B10602" s="55" t="n">
        <v>45746</v>
      </c>
      <c r="C10602" s="51" t="s">
        <v>791</v>
      </c>
      <c r="D10602" s="51" t="n">
        <v>0</v>
      </c>
    </row>
    <row r="10603" customFormat="false" ht="15" hidden="true" customHeight="false" outlineLevel="0" collapsed="false">
      <c r="A10603" s="51" t="s">
        <v>161</v>
      </c>
      <c r="B10603" s="55" t="n">
        <v>45746</v>
      </c>
      <c r="C10603" s="51" t="s">
        <v>791</v>
      </c>
      <c r="D10603" s="51" t="n">
        <v>0</v>
      </c>
    </row>
    <row r="10604" customFormat="false" ht="15" hidden="true" customHeight="false" outlineLevel="0" collapsed="false">
      <c r="A10604" s="51" t="s">
        <v>166</v>
      </c>
      <c r="B10604" s="55" t="n">
        <v>45746</v>
      </c>
      <c r="C10604" s="51" t="s">
        <v>791</v>
      </c>
      <c r="D10604" s="51" t="n">
        <v>0</v>
      </c>
    </row>
    <row r="10605" customFormat="false" ht="15" hidden="true" customHeight="false" outlineLevel="0" collapsed="false">
      <c r="A10605" s="51" t="s">
        <v>171</v>
      </c>
      <c r="B10605" s="55" t="n">
        <v>45746</v>
      </c>
      <c r="C10605" s="51" t="s">
        <v>791</v>
      </c>
      <c r="D10605" s="51" t="n">
        <v>0</v>
      </c>
    </row>
    <row r="10606" customFormat="false" ht="15" hidden="true" customHeight="false" outlineLevel="0" collapsed="false">
      <c r="A10606" s="51" t="s">
        <v>176</v>
      </c>
      <c r="B10606" s="55" t="n">
        <v>45746</v>
      </c>
      <c r="C10606" s="51" t="s">
        <v>791</v>
      </c>
      <c r="D10606" s="51" t="n">
        <v>0</v>
      </c>
    </row>
    <row r="10607" customFormat="false" ht="15" hidden="true" customHeight="false" outlineLevel="0" collapsed="false">
      <c r="A10607" s="51" t="s">
        <v>181</v>
      </c>
      <c r="B10607" s="55" t="n">
        <v>45746</v>
      </c>
      <c r="C10607" s="51" t="s">
        <v>791</v>
      </c>
      <c r="D10607" s="51" t="n">
        <v>0</v>
      </c>
    </row>
    <row r="10608" customFormat="false" ht="15" hidden="true" customHeight="false" outlineLevel="0" collapsed="false">
      <c r="A10608" s="51" t="s">
        <v>186</v>
      </c>
      <c r="B10608" s="55" t="n">
        <v>45746</v>
      </c>
      <c r="C10608" s="51" t="s">
        <v>791</v>
      </c>
      <c r="D10608" s="51" t="n">
        <v>0</v>
      </c>
    </row>
    <row r="10609" customFormat="false" ht="15" hidden="true" customHeight="false" outlineLevel="0" collapsed="false">
      <c r="A10609" s="51" t="s">
        <v>191</v>
      </c>
      <c r="B10609" s="55" t="n">
        <v>45746</v>
      </c>
      <c r="C10609" s="51" t="s">
        <v>791</v>
      </c>
      <c r="D10609" s="51" t="n">
        <v>0</v>
      </c>
    </row>
    <row r="10610" customFormat="false" ht="15" hidden="true" customHeight="false" outlineLevel="0" collapsed="false">
      <c r="A10610" s="51" t="s">
        <v>196</v>
      </c>
      <c r="B10610" s="55" t="n">
        <v>45746</v>
      </c>
      <c r="C10610" s="51" t="s">
        <v>791</v>
      </c>
      <c r="D10610" s="51" t="n">
        <v>0</v>
      </c>
    </row>
    <row r="10611" customFormat="false" ht="15" hidden="true" customHeight="false" outlineLevel="0" collapsed="false">
      <c r="A10611" s="51" t="s">
        <v>201</v>
      </c>
      <c r="B10611" s="55" t="n">
        <v>45746</v>
      </c>
      <c r="C10611" s="51" t="s">
        <v>791</v>
      </c>
      <c r="D10611" s="51" t="n">
        <v>0</v>
      </c>
    </row>
    <row r="10612" customFormat="false" ht="15" hidden="true" customHeight="false" outlineLevel="0" collapsed="false">
      <c r="A10612" s="51" t="s">
        <v>206</v>
      </c>
      <c r="B10612" s="55" t="n">
        <v>45746</v>
      </c>
      <c r="C10612" s="51" t="s">
        <v>791</v>
      </c>
      <c r="D10612" s="51" t="n">
        <v>0</v>
      </c>
    </row>
    <row r="10613" customFormat="false" ht="15" hidden="true" customHeight="false" outlineLevel="0" collapsed="false">
      <c r="A10613" s="51" t="s">
        <v>210</v>
      </c>
      <c r="B10613" s="55" t="n">
        <v>45746</v>
      </c>
      <c r="C10613" s="51" t="s">
        <v>791</v>
      </c>
      <c r="D10613" s="51" t="n">
        <v>0</v>
      </c>
    </row>
    <row r="10614" customFormat="false" ht="15" hidden="true" customHeight="false" outlineLevel="0" collapsed="false">
      <c r="A10614" s="51" t="s">
        <v>215</v>
      </c>
      <c r="B10614" s="55" t="n">
        <v>45746</v>
      </c>
      <c r="C10614" s="51" t="s">
        <v>791</v>
      </c>
      <c r="D10614" s="51" t="n">
        <v>0</v>
      </c>
    </row>
    <row r="10615" customFormat="false" ht="15" hidden="true" customHeight="false" outlineLevel="0" collapsed="false">
      <c r="A10615" s="51" t="s">
        <v>790</v>
      </c>
      <c r="B10615" s="55" t="n">
        <v>45746</v>
      </c>
      <c r="C10615" s="51" t="s">
        <v>791</v>
      </c>
      <c r="D10615" s="51" t="n">
        <v>0</v>
      </c>
    </row>
    <row r="10616" customFormat="false" ht="15" hidden="true" customHeight="false" outlineLevel="0" collapsed="false">
      <c r="A10616" s="51" t="s">
        <v>225</v>
      </c>
      <c r="B10616" s="55" t="n">
        <v>45746</v>
      </c>
      <c r="C10616" s="51" t="s">
        <v>791</v>
      </c>
      <c r="D10616" s="51" t="n">
        <v>0</v>
      </c>
    </row>
    <row r="10617" customFormat="false" ht="15" hidden="true" customHeight="false" outlineLevel="0" collapsed="false">
      <c r="A10617" s="51" t="s">
        <v>230</v>
      </c>
      <c r="B10617" s="55" t="n">
        <v>45746</v>
      </c>
      <c r="C10617" s="51" t="s">
        <v>791</v>
      </c>
      <c r="D10617" s="51" t="n">
        <v>0</v>
      </c>
    </row>
    <row r="10618" customFormat="false" ht="15" hidden="true" customHeight="false" outlineLevel="0" collapsed="false">
      <c r="A10618" s="51" t="s">
        <v>235</v>
      </c>
      <c r="B10618" s="55" t="n">
        <v>45746</v>
      </c>
      <c r="C10618" s="51" t="s">
        <v>791</v>
      </c>
      <c r="D10618" s="51" t="n">
        <v>0</v>
      </c>
    </row>
    <row r="10619" customFormat="false" ht="15" hidden="true" customHeight="false" outlineLevel="0" collapsed="false">
      <c r="A10619" s="51" t="s">
        <v>240</v>
      </c>
      <c r="B10619" s="55" t="n">
        <v>45746</v>
      </c>
      <c r="C10619" s="51" t="s">
        <v>791</v>
      </c>
      <c r="D10619" s="51" t="n">
        <v>0</v>
      </c>
    </row>
    <row r="10620" customFormat="false" ht="15" hidden="true" customHeight="false" outlineLevel="0" collapsed="false">
      <c r="A10620" s="51" t="s">
        <v>246</v>
      </c>
      <c r="B10620" s="55" t="n">
        <v>45746</v>
      </c>
      <c r="C10620" s="51" t="s">
        <v>791</v>
      </c>
      <c r="D10620" s="51" t="n">
        <v>0</v>
      </c>
    </row>
    <row r="10621" customFormat="false" ht="15" hidden="true" customHeight="false" outlineLevel="0" collapsed="false">
      <c r="A10621" s="51" t="s">
        <v>252</v>
      </c>
      <c r="B10621" s="55" t="n">
        <v>45746</v>
      </c>
      <c r="C10621" s="51" t="s">
        <v>791</v>
      </c>
      <c r="D10621" s="51" t="n">
        <v>0</v>
      </c>
    </row>
    <row r="10622" customFormat="false" ht="15" hidden="true" customHeight="false" outlineLevel="0" collapsed="false">
      <c r="A10622" s="51" t="s">
        <v>257</v>
      </c>
      <c r="B10622" s="55" t="n">
        <v>45746</v>
      </c>
      <c r="C10622" s="51" t="s">
        <v>791</v>
      </c>
      <c r="D10622" s="51" t="n">
        <v>0</v>
      </c>
    </row>
    <row r="10623" customFormat="false" ht="15" hidden="true" customHeight="false" outlineLevel="0" collapsed="false">
      <c r="A10623" s="51" t="s">
        <v>262</v>
      </c>
      <c r="B10623" s="55" t="n">
        <v>45746</v>
      </c>
      <c r="C10623" s="51" t="s">
        <v>791</v>
      </c>
      <c r="D10623" s="51" t="n">
        <v>0</v>
      </c>
    </row>
    <row r="10624" customFormat="false" ht="15" hidden="true" customHeight="false" outlineLevel="0" collapsed="false">
      <c r="A10624" s="51" t="s">
        <v>267</v>
      </c>
      <c r="B10624" s="55" t="n">
        <v>45746</v>
      </c>
      <c r="C10624" s="51" t="s">
        <v>791</v>
      </c>
      <c r="D10624" s="51" t="n">
        <v>0</v>
      </c>
    </row>
    <row r="10625" customFormat="false" ht="15" hidden="true" customHeight="false" outlineLevel="0" collapsed="false">
      <c r="A10625" s="51" t="s">
        <v>272</v>
      </c>
      <c r="B10625" s="55" t="n">
        <v>45746</v>
      </c>
      <c r="C10625" s="51" t="s">
        <v>791</v>
      </c>
      <c r="D10625" s="51" t="n">
        <v>0</v>
      </c>
    </row>
    <row r="10626" customFormat="false" ht="15" hidden="true" customHeight="false" outlineLevel="0" collapsed="false">
      <c r="A10626" s="51" t="s">
        <v>277</v>
      </c>
      <c r="B10626" s="55" t="n">
        <v>45746</v>
      </c>
      <c r="C10626" s="51" t="s">
        <v>791</v>
      </c>
      <c r="D10626" s="51" t="n">
        <v>0</v>
      </c>
    </row>
    <row r="10627" customFormat="false" ht="15" hidden="true" customHeight="false" outlineLevel="0" collapsed="false">
      <c r="A10627" s="51" t="s">
        <v>282</v>
      </c>
      <c r="B10627" s="55" t="n">
        <v>45746</v>
      </c>
      <c r="C10627" s="51" t="s">
        <v>791</v>
      </c>
      <c r="D10627" s="51" t="n">
        <v>0</v>
      </c>
    </row>
    <row r="10628" customFormat="false" ht="15" hidden="true" customHeight="false" outlineLevel="0" collapsed="false">
      <c r="A10628" s="51" t="s">
        <v>287</v>
      </c>
      <c r="B10628" s="55" t="n">
        <v>45746</v>
      </c>
      <c r="C10628" s="51" t="s">
        <v>791</v>
      </c>
      <c r="D10628" s="51" t="n">
        <v>0</v>
      </c>
    </row>
    <row r="10629" customFormat="false" ht="15" hidden="true" customHeight="false" outlineLevel="0" collapsed="false">
      <c r="A10629" s="51" t="s">
        <v>292</v>
      </c>
      <c r="B10629" s="55" t="n">
        <v>45746</v>
      </c>
      <c r="C10629" s="51" t="s">
        <v>791</v>
      </c>
      <c r="D10629" s="51" t="n">
        <v>0</v>
      </c>
    </row>
    <row r="10630" customFormat="false" ht="15" hidden="true" customHeight="false" outlineLevel="0" collapsed="false">
      <c r="A10630" s="51" t="s">
        <v>297</v>
      </c>
      <c r="B10630" s="55" t="n">
        <v>45746</v>
      </c>
      <c r="C10630" s="51" t="s">
        <v>791</v>
      </c>
      <c r="D10630" s="51" t="n">
        <v>0</v>
      </c>
    </row>
    <row r="10631" customFormat="false" ht="15" hidden="true" customHeight="false" outlineLevel="0" collapsed="false">
      <c r="A10631" s="51" t="s">
        <v>302</v>
      </c>
      <c r="B10631" s="55" t="n">
        <v>45746</v>
      </c>
      <c r="C10631" s="51" t="s">
        <v>791</v>
      </c>
      <c r="D10631" s="51" t="n">
        <v>0</v>
      </c>
    </row>
    <row r="10632" customFormat="false" ht="15" hidden="true" customHeight="false" outlineLevel="0" collapsed="false">
      <c r="A10632" s="51" t="s">
        <v>307</v>
      </c>
      <c r="B10632" s="55" t="n">
        <v>45746</v>
      </c>
      <c r="C10632" s="51" t="s">
        <v>791</v>
      </c>
      <c r="D10632" s="51" t="n">
        <v>0</v>
      </c>
    </row>
    <row r="10633" customFormat="false" ht="15" hidden="true" customHeight="false" outlineLevel="0" collapsed="false">
      <c r="A10633" s="51" t="s">
        <v>311</v>
      </c>
      <c r="B10633" s="55" t="n">
        <v>45746</v>
      </c>
      <c r="C10633" s="51" t="s">
        <v>791</v>
      </c>
      <c r="D10633" s="51" t="n">
        <v>0</v>
      </c>
    </row>
    <row r="10634" customFormat="false" ht="15" hidden="true" customHeight="false" outlineLevel="0" collapsed="false">
      <c r="A10634" s="51" t="s">
        <v>317</v>
      </c>
      <c r="B10634" s="55" t="n">
        <v>45746</v>
      </c>
      <c r="C10634" s="51" t="s">
        <v>791</v>
      </c>
      <c r="D10634" s="51" t="n">
        <v>0</v>
      </c>
    </row>
    <row r="10635" customFormat="false" ht="15" hidden="true" customHeight="false" outlineLevel="0" collapsed="false">
      <c r="A10635" s="51" t="s">
        <v>322</v>
      </c>
      <c r="B10635" s="55" t="n">
        <v>45746</v>
      </c>
      <c r="C10635" s="51" t="s">
        <v>791</v>
      </c>
      <c r="D10635" s="51" t="n">
        <v>0</v>
      </c>
    </row>
    <row r="10636" customFormat="false" ht="15" hidden="true" customHeight="false" outlineLevel="0" collapsed="false">
      <c r="A10636" s="51" t="s">
        <v>327</v>
      </c>
      <c r="B10636" s="55" t="n">
        <v>45746</v>
      </c>
      <c r="C10636" s="51" t="s">
        <v>791</v>
      </c>
      <c r="D10636" s="51" t="n">
        <v>0</v>
      </c>
    </row>
    <row r="10637" customFormat="false" ht="15" hidden="true" customHeight="false" outlineLevel="0" collapsed="false">
      <c r="A10637" s="51" t="s">
        <v>332</v>
      </c>
      <c r="B10637" s="55" t="n">
        <v>45746</v>
      </c>
      <c r="C10637" s="51" t="s">
        <v>791</v>
      </c>
      <c r="D10637" s="51" t="n">
        <v>0</v>
      </c>
    </row>
    <row r="10638" customFormat="false" ht="15" hidden="true" customHeight="false" outlineLevel="0" collapsed="false">
      <c r="A10638" s="51" t="s">
        <v>339</v>
      </c>
      <c r="B10638" s="55" t="n">
        <v>45746</v>
      </c>
      <c r="C10638" s="51" t="s">
        <v>791</v>
      </c>
      <c r="D10638" s="51" t="n">
        <v>0</v>
      </c>
    </row>
    <row r="10639" customFormat="false" ht="15" hidden="true" customHeight="false" outlineLevel="0" collapsed="false">
      <c r="A10639" s="51" t="s">
        <v>344</v>
      </c>
      <c r="B10639" s="55" t="n">
        <v>45746</v>
      </c>
      <c r="C10639" s="51" t="s">
        <v>791</v>
      </c>
      <c r="D10639" s="51" t="n">
        <v>0</v>
      </c>
    </row>
    <row r="10640" customFormat="false" ht="15" hidden="true" customHeight="false" outlineLevel="0" collapsed="false">
      <c r="A10640" s="51" t="s">
        <v>349</v>
      </c>
      <c r="B10640" s="55" t="n">
        <v>45746</v>
      </c>
      <c r="C10640" s="51" t="s">
        <v>791</v>
      </c>
      <c r="D10640" s="51" t="n">
        <v>0</v>
      </c>
    </row>
    <row r="10641" customFormat="false" ht="15" hidden="true" customHeight="false" outlineLevel="0" collapsed="false">
      <c r="A10641" s="51" t="s">
        <v>354</v>
      </c>
      <c r="B10641" s="55" t="n">
        <v>45746</v>
      </c>
      <c r="C10641" s="51" t="s">
        <v>791</v>
      </c>
      <c r="D10641" s="51" t="n">
        <v>0</v>
      </c>
    </row>
    <row r="10642" customFormat="false" ht="15" hidden="true" customHeight="false" outlineLevel="0" collapsed="false">
      <c r="A10642" s="51" t="s">
        <v>359</v>
      </c>
      <c r="B10642" s="55" t="n">
        <v>45746</v>
      </c>
      <c r="C10642" s="51" t="s">
        <v>791</v>
      </c>
      <c r="D10642" s="51" t="n">
        <v>0</v>
      </c>
    </row>
    <row r="10643" customFormat="false" ht="15" hidden="true" customHeight="false" outlineLevel="0" collapsed="false">
      <c r="A10643" s="51" t="s">
        <v>364</v>
      </c>
      <c r="B10643" s="55" t="n">
        <v>45746</v>
      </c>
      <c r="C10643" s="51" t="s">
        <v>791</v>
      </c>
      <c r="D10643" s="51" t="n">
        <v>0</v>
      </c>
    </row>
    <row r="10644" customFormat="false" ht="15" hidden="true" customHeight="false" outlineLevel="0" collapsed="false">
      <c r="A10644" s="51" t="s">
        <v>369</v>
      </c>
      <c r="B10644" s="55" t="n">
        <v>45746</v>
      </c>
      <c r="C10644" s="51" t="s">
        <v>791</v>
      </c>
      <c r="D10644" s="51" t="n">
        <v>0</v>
      </c>
    </row>
    <row r="10645" customFormat="false" ht="15" hidden="true" customHeight="false" outlineLevel="0" collapsed="false">
      <c r="A10645" s="51" t="s">
        <v>374</v>
      </c>
      <c r="B10645" s="55" t="n">
        <v>45746</v>
      </c>
      <c r="C10645" s="51" t="s">
        <v>791</v>
      </c>
      <c r="D10645" s="51" t="n">
        <v>0</v>
      </c>
    </row>
    <row r="10646" customFormat="false" ht="15" hidden="true" customHeight="false" outlineLevel="0" collapsed="false">
      <c r="A10646" s="51" t="s">
        <v>379</v>
      </c>
      <c r="B10646" s="55" t="n">
        <v>45746</v>
      </c>
      <c r="C10646" s="51" t="s">
        <v>791</v>
      </c>
      <c r="D10646" s="51" t="n">
        <v>0</v>
      </c>
    </row>
    <row r="10647" customFormat="false" ht="15" hidden="true" customHeight="false" outlineLevel="0" collapsed="false">
      <c r="A10647" s="51" t="s">
        <v>384</v>
      </c>
      <c r="B10647" s="55" t="n">
        <v>45746</v>
      </c>
      <c r="C10647" s="51" t="s">
        <v>791</v>
      </c>
      <c r="D10647" s="51" t="n">
        <v>0</v>
      </c>
    </row>
    <row r="10648" customFormat="false" ht="15" hidden="true" customHeight="false" outlineLevel="0" collapsed="false">
      <c r="A10648" s="51" t="s">
        <v>389</v>
      </c>
      <c r="B10648" s="55" t="n">
        <v>45746</v>
      </c>
      <c r="C10648" s="51" t="s">
        <v>791</v>
      </c>
      <c r="D10648" s="51" t="n">
        <v>-750000</v>
      </c>
    </row>
    <row r="10649" customFormat="false" ht="15" hidden="true" customHeight="false" outlineLevel="0" collapsed="false">
      <c r="A10649" s="51" t="s">
        <v>394</v>
      </c>
      <c r="B10649" s="55" t="n">
        <v>45746</v>
      </c>
      <c r="C10649" s="51" t="s">
        <v>791</v>
      </c>
      <c r="D10649" s="51" t="n">
        <v>0</v>
      </c>
    </row>
    <row r="10650" customFormat="false" ht="15" hidden="true" customHeight="false" outlineLevel="0" collapsed="false">
      <c r="A10650" s="51" t="s">
        <v>399</v>
      </c>
      <c r="B10650" s="55" t="n">
        <v>45746</v>
      </c>
      <c r="C10650" s="51" t="s">
        <v>791</v>
      </c>
      <c r="D10650" s="51" t="n">
        <v>0</v>
      </c>
    </row>
    <row r="10651" customFormat="false" ht="15" hidden="true" customHeight="false" outlineLevel="0" collapsed="false">
      <c r="A10651" s="51" t="s">
        <v>404</v>
      </c>
      <c r="B10651" s="55" t="n">
        <v>45746</v>
      </c>
      <c r="C10651" s="51" t="s">
        <v>791</v>
      </c>
      <c r="D10651" s="51" t="n">
        <v>-700000</v>
      </c>
    </row>
    <row r="10652" customFormat="false" ht="15" hidden="true" customHeight="false" outlineLevel="0" collapsed="false">
      <c r="A10652" s="51" t="s">
        <v>409</v>
      </c>
      <c r="B10652" s="55" t="n">
        <v>45746</v>
      </c>
      <c r="C10652" s="51" t="s">
        <v>791</v>
      </c>
      <c r="D10652" s="51" t="n">
        <v>0</v>
      </c>
    </row>
    <row r="10653" customFormat="false" ht="15" hidden="true" customHeight="false" outlineLevel="0" collapsed="false">
      <c r="A10653" s="51" t="s">
        <v>414</v>
      </c>
      <c r="B10653" s="55" t="n">
        <v>45746</v>
      </c>
      <c r="C10653" s="51" t="s">
        <v>791</v>
      </c>
      <c r="D10653" s="51" t="n">
        <v>0</v>
      </c>
    </row>
    <row r="10654" customFormat="false" ht="15" hidden="true" customHeight="false" outlineLevel="0" collapsed="false">
      <c r="A10654" s="51" t="s">
        <v>419</v>
      </c>
      <c r="B10654" s="55" t="n">
        <v>45746</v>
      </c>
      <c r="C10654" s="51" t="s">
        <v>791</v>
      </c>
      <c r="D10654" s="51" t="n">
        <v>0</v>
      </c>
    </row>
    <row r="10655" customFormat="false" ht="15" hidden="true" customHeight="false" outlineLevel="0" collapsed="false">
      <c r="A10655" s="51" t="s">
        <v>424</v>
      </c>
      <c r="B10655" s="55" t="n">
        <v>45746</v>
      </c>
      <c r="C10655" s="51" t="s">
        <v>791</v>
      </c>
      <c r="D10655" s="51" t="n">
        <v>0</v>
      </c>
    </row>
    <row r="10656" customFormat="false" ht="15" hidden="true" customHeight="false" outlineLevel="0" collapsed="false">
      <c r="A10656" s="51" t="s">
        <v>429</v>
      </c>
      <c r="B10656" s="55" t="n">
        <v>45746</v>
      </c>
      <c r="C10656" s="51" t="s">
        <v>791</v>
      </c>
      <c r="D10656" s="51" t="n">
        <v>0</v>
      </c>
    </row>
    <row r="10657" customFormat="false" ht="15" hidden="true" customHeight="false" outlineLevel="0" collapsed="false">
      <c r="A10657" s="51" t="s">
        <v>434</v>
      </c>
      <c r="B10657" s="55" t="n">
        <v>45746</v>
      </c>
      <c r="C10657" s="51" t="s">
        <v>791</v>
      </c>
      <c r="D10657" s="51" t="n">
        <v>-575000</v>
      </c>
    </row>
    <row r="10658" customFormat="false" ht="15" hidden="true" customHeight="false" outlineLevel="0" collapsed="false">
      <c r="A10658" s="51" t="s">
        <v>438</v>
      </c>
      <c r="B10658" s="55" t="n">
        <v>45746</v>
      </c>
      <c r="C10658" s="51" t="s">
        <v>791</v>
      </c>
      <c r="D10658" s="51" t="n">
        <v>0</v>
      </c>
    </row>
    <row r="10659" customFormat="false" ht="15" hidden="true" customHeight="false" outlineLevel="0" collapsed="false">
      <c r="A10659" s="51" t="s">
        <v>443</v>
      </c>
      <c r="B10659" s="55" t="n">
        <v>45746</v>
      </c>
      <c r="C10659" s="51" t="s">
        <v>791</v>
      </c>
      <c r="D10659" s="51" t="n">
        <v>0</v>
      </c>
    </row>
    <row r="10660" customFormat="false" ht="15" hidden="true" customHeight="false" outlineLevel="0" collapsed="false">
      <c r="A10660" s="51" t="s">
        <v>448</v>
      </c>
      <c r="B10660" s="55" t="n">
        <v>45746</v>
      </c>
      <c r="C10660" s="51" t="s">
        <v>791</v>
      </c>
      <c r="D10660" s="51" t="n">
        <v>0</v>
      </c>
    </row>
    <row r="10661" customFormat="false" ht="15" hidden="true" customHeight="false" outlineLevel="0" collapsed="false">
      <c r="A10661" s="51" t="s">
        <v>453</v>
      </c>
      <c r="B10661" s="55" t="n">
        <v>45746</v>
      </c>
      <c r="C10661" s="51" t="s">
        <v>791</v>
      </c>
      <c r="D10661" s="51" t="n">
        <v>-1000000</v>
      </c>
    </row>
    <row r="10662" customFormat="false" ht="15" hidden="true" customHeight="false" outlineLevel="0" collapsed="false">
      <c r="A10662" s="51" t="s">
        <v>458</v>
      </c>
      <c r="B10662" s="55" t="n">
        <v>45746</v>
      </c>
      <c r="C10662" s="51" t="s">
        <v>791</v>
      </c>
      <c r="D10662" s="51" t="n">
        <v>-649093</v>
      </c>
    </row>
    <row r="10663" customFormat="false" ht="15" hidden="true" customHeight="false" outlineLevel="0" collapsed="false">
      <c r="A10663" s="51" t="s">
        <v>473</v>
      </c>
      <c r="B10663" s="55" t="n">
        <v>45746</v>
      </c>
      <c r="C10663" s="51" t="s">
        <v>791</v>
      </c>
      <c r="D10663" s="51" t="n">
        <v>0</v>
      </c>
    </row>
    <row r="10664" customFormat="false" ht="15" hidden="true" customHeight="false" outlineLevel="0" collapsed="false">
      <c r="A10664" s="51" t="s">
        <v>479</v>
      </c>
      <c r="B10664" s="55" t="n">
        <v>45746</v>
      </c>
      <c r="C10664" s="51" t="s">
        <v>791</v>
      </c>
      <c r="D10664" s="51" t="n">
        <v>0</v>
      </c>
    </row>
    <row r="10665" customFormat="false" ht="15" hidden="true" customHeight="false" outlineLevel="0" collapsed="false">
      <c r="A10665" s="51" t="s">
        <v>484</v>
      </c>
      <c r="B10665" s="55" t="n">
        <v>45746</v>
      </c>
      <c r="C10665" s="51" t="s">
        <v>791</v>
      </c>
      <c r="D10665" s="51" t="n">
        <v>0</v>
      </c>
    </row>
    <row r="10666" customFormat="false" ht="15" hidden="true" customHeight="false" outlineLevel="0" collapsed="false">
      <c r="A10666" s="51" t="s">
        <v>489</v>
      </c>
      <c r="B10666" s="55" t="n">
        <v>45746</v>
      </c>
      <c r="C10666" s="51" t="s">
        <v>791</v>
      </c>
      <c r="D10666" s="51" t="n">
        <v>0</v>
      </c>
    </row>
    <row r="10667" customFormat="false" ht="15" hidden="true" customHeight="false" outlineLevel="0" collapsed="false">
      <c r="A10667" s="51" t="s">
        <v>494</v>
      </c>
      <c r="B10667" s="55" t="n">
        <v>45746</v>
      </c>
      <c r="C10667" s="51" t="s">
        <v>791</v>
      </c>
      <c r="D10667" s="51" t="n">
        <v>0</v>
      </c>
    </row>
    <row r="10668" customFormat="false" ht="15" hidden="true" customHeight="false" outlineLevel="0" collapsed="false">
      <c r="A10668" s="51" t="s">
        <v>499</v>
      </c>
      <c r="B10668" s="55" t="n">
        <v>45746</v>
      </c>
      <c r="C10668" s="51" t="s">
        <v>791</v>
      </c>
      <c r="D10668" s="51" t="n">
        <v>0</v>
      </c>
    </row>
    <row r="10669" customFormat="false" ht="15" hidden="true" customHeight="false" outlineLevel="0" collapsed="false">
      <c r="A10669" s="51" t="s">
        <v>504</v>
      </c>
      <c r="B10669" s="55" t="n">
        <v>45746</v>
      </c>
      <c r="C10669" s="51" t="s">
        <v>791</v>
      </c>
      <c r="D10669" s="51" t="n">
        <v>0</v>
      </c>
    </row>
    <row r="10670" customFormat="false" ht="15" hidden="true" customHeight="false" outlineLevel="0" collapsed="false">
      <c r="A10670" s="51" t="s">
        <v>509</v>
      </c>
      <c r="B10670" s="55" t="n">
        <v>45746</v>
      </c>
      <c r="C10670" s="51" t="s">
        <v>791</v>
      </c>
      <c r="D10670" s="51" t="n">
        <v>0</v>
      </c>
    </row>
    <row r="10671" customFormat="false" ht="15" hidden="true" customHeight="false" outlineLevel="0" collapsed="false">
      <c r="A10671" s="51" t="s">
        <v>515</v>
      </c>
      <c r="B10671" s="55" t="n">
        <v>45746</v>
      </c>
      <c r="C10671" s="51" t="s">
        <v>791</v>
      </c>
      <c r="D10671" s="51" t="n">
        <v>-300073.28</v>
      </c>
    </row>
    <row r="10672" customFormat="false" ht="15" hidden="true" customHeight="false" outlineLevel="0" collapsed="false">
      <c r="A10672" s="51" t="s">
        <v>520</v>
      </c>
      <c r="B10672" s="55" t="n">
        <v>45746</v>
      </c>
      <c r="C10672" s="51" t="s">
        <v>791</v>
      </c>
      <c r="D10672" s="51" t="n">
        <v>0</v>
      </c>
    </row>
    <row r="10673" customFormat="false" ht="15" hidden="true" customHeight="false" outlineLevel="0" collapsed="false">
      <c r="A10673" s="51" t="s">
        <v>525</v>
      </c>
      <c r="B10673" s="55" t="n">
        <v>45746</v>
      </c>
      <c r="C10673" s="51" t="s">
        <v>791</v>
      </c>
      <c r="D10673" s="51" t="n">
        <v>-100000</v>
      </c>
    </row>
    <row r="10674" customFormat="false" ht="15" hidden="true" customHeight="false" outlineLevel="0" collapsed="false">
      <c r="A10674" s="51" t="s">
        <v>531</v>
      </c>
      <c r="B10674" s="55" t="n">
        <v>45746</v>
      </c>
      <c r="C10674" s="51" t="s">
        <v>791</v>
      </c>
      <c r="D10674" s="51" t="n">
        <v>0</v>
      </c>
    </row>
    <row r="10675" customFormat="false" ht="15" hidden="true" customHeight="false" outlineLevel="0" collapsed="false">
      <c r="A10675" s="51" t="s">
        <v>536</v>
      </c>
      <c r="B10675" s="55" t="n">
        <v>45746</v>
      </c>
      <c r="C10675" s="51" t="s">
        <v>791</v>
      </c>
      <c r="D10675" s="51" t="n">
        <v>0</v>
      </c>
    </row>
    <row r="10676" customFormat="false" ht="15" hidden="true" customHeight="false" outlineLevel="0" collapsed="false">
      <c r="A10676" s="51" t="s">
        <v>541</v>
      </c>
      <c r="B10676" s="55" t="n">
        <v>45746</v>
      </c>
      <c r="C10676" s="51" t="s">
        <v>791</v>
      </c>
      <c r="D10676" s="51" t="n">
        <v>0</v>
      </c>
    </row>
    <row r="10677" customFormat="false" ht="15" hidden="true" customHeight="false" outlineLevel="0" collapsed="false">
      <c r="A10677" s="51" t="s">
        <v>549</v>
      </c>
      <c r="B10677" s="55" t="n">
        <v>45746</v>
      </c>
      <c r="C10677" s="51" t="s">
        <v>791</v>
      </c>
      <c r="D10677" s="51" t="n">
        <v>-1025256.87</v>
      </c>
    </row>
    <row r="10678" customFormat="false" ht="15" hidden="true" customHeight="false" outlineLevel="0" collapsed="false">
      <c r="A10678" s="51" t="s">
        <v>554</v>
      </c>
      <c r="B10678" s="55" t="n">
        <v>45746</v>
      </c>
      <c r="C10678" s="51" t="s">
        <v>791</v>
      </c>
      <c r="D10678" s="51" t="n">
        <v>0</v>
      </c>
    </row>
    <row r="10679" customFormat="false" ht="15" hidden="true" customHeight="false" outlineLevel="0" collapsed="false">
      <c r="A10679" s="51" t="s">
        <v>559</v>
      </c>
      <c r="B10679" s="55" t="n">
        <v>45746</v>
      </c>
      <c r="C10679" s="51" t="s">
        <v>791</v>
      </c>
      <c r="D10679" s="51" t="n">
        <v>0</v>
      </c>
    </row>
    <row r="10680" customFormat="false" ht="15" hidden="true" customHeight="false" outlineLevel="0" collapsed="false">
      <c r="A10680" s="51" t="s">
        <v>564</v>
      </c>
      <c r="B10680" s="55" t="n">
        <v>45746</v>
      </c>
      <c r="C10680" s="51" t="s">
        <v>791</v>
      </c>
      <c r="D10680" s="51" t="n">
        <v>-100000</v>
      </c>
    </row>
    <row r="10681" customFormat="false" ht="15" hidden="true" customHeight="false" outlineLevel="0" collapsed="false">
      <c r="A10681" s="51" t="s">
        <v>569</v>
      </c>
      <c r="B10681" s="55" t="n">
        <v>45746</v>
      </c>
      <c r="C10681" s="51" t="s">
        <v>791</v>
      </c>
      <c r="D10681" s="51" t="n">
        <v>0</v>
      </c>
    </row>
    <row r="10682" customFormat="false" ht="15" hidden="true" customHeight="false" outlineLevel="0" collapsed="false">
      <c r="A10682" s="51" t="s">
        <v>574</v>
      </c>
      <c r="B10682" s="55" t="n">
        <v>45746</v>
      </c>
      <c r="C10682" s="51" t="s">
        <v>791</v>
      </c>
      <c r="D10682" s="51" t="n">
        <v>-1000000</v>
      </c>
    </row>
    <row r="10683" customFormat="false" ht="15" hidden="true" customHeight="false" outlineLevel="0" collapsed="false">
      <c r="A10683" s="51" t="s">
        <v>579</v>
      </c>
      <c r="B10683" s="55" t="n">
        <v>45746</v>
      </c>
      <c r="C10683" s="51" t="s">
        <v>791</v>
      </c>
      <c r="D10683" s="51" t="n">
        <v>-180000</v>
      </c>
    </row>
    <row r="10684" customFormat="false" ht="15" hidden="true" customHeight="false" outlineLevel="0" collapsed="false">
      <c r="A10684" s="51" t="s">
        <v>584</v>
      </c>
      <c r="B10684" s="55" t="n">
        <v>45746</v>
      </c>
      <c r="C10684" s="51" t="s">
        <v>791</v>
      </c>
      <c r="D10684" s="51" t="n">
        <v>0</v>
      </c>
    </row>
    <row r="10685" customFormat="false" ht="15" hidden="true" customHeight="false" outlineLevel="0" collapsed="false">
      <c r="A10685" s="51" t="s">
        <v>589</v>
      </c>
      <c r="B10685" s="55" t="n">
        <v>45746</v>
      </c>
      <c r="C10685" s="51" t="s">
        <v>791</v>
      </c>
      <c r="D10685" s="51" t="n">
        <v>-500000</v>
      </c>
    </row>
    <row r="10686" customFormat="false" ht="15" hidden="true" customHeight="false" outlineLevel="0" collapsed="false">
      <c r="A10686" s="51" t="s">
        <v>756</v>
      </c>
      <c r="B10686" s="55" t="n">
        <v>45746</v>
      </c>
      <c r="C10686" s="51" t="s">
        <v>791</v>
      </c>
      <c r="D10686" s="51" t="n">
        <v>0</v>
      </c>
    </row>
    <row r="10687" customFormat="false" ht="15" hidden="true" customHeight="false" outlineLevel="0" collapsed="false">
      <c r="A10687" s="51" t="s">
        <v>594</v>
      </c>
      <c r="B10687" s="55" t="n">
        <v>45746</v>
      </c>
      <c r="C10687" s="51" t="s">
        <v>791</v>
      </c>
      <c r="D10687" s="51" t="n">
        <v>0</v>
      </c>
    </row>
    <row r="10688" customFormat="false" ht="15" hidden="true" customHeight="false" outlineLevel="0" collapsed="false">
      <c r="A10688" s="51" t="s">
        <v>761</v>
      </c>
      <c r="B10688" s="55" t="n">
        <v>45746</v>
      </c>
      <c r="C10688" s="51" t="s">
        <v>791</v>
      </c>
      <c r="D10688" s="51" t="n">
        <v>-4749428.78</v>
      </c>
    </row>
    <row r="10689" customFormat="false" ht="15" hidden="true" customHeight="false" outlineLevel="0" collapsed="false">
      <c r="A10689" s="51" t="s">
        <v>599</v>
      </c>
      <c r="B10689" s="55" t="n">
        <v>45746</v>
      </c>
      <c r="C10689" s="51" t="s">
        <v>791</v>
      </c>
      <c r="D10689" s="51" t="n">
        <v>2250000</v>
      </c>
    </row>
    <row r="10690" customFormat="false" ht="15" hidden="true" customHeight="false" outlineLevel="0" collapsed="false">
      <c r="A10690" s="51" t="s">
        <v>604</v>
      </c>
      <c r="B10690" s="55" t="n">
        <v>45746</v>
      </c>
      <c r="C10690" s="51" t="s">
        <v>791</v>
      </c>
      <c r="D10690" s="51" t="n">
        <v>-20000</v>
      </c>
    </row>
    <row r="10691" customFormat="false" ht="15" hidden="true" customHeight="false" outlineLevel="0" collapsed="false">
      <c r="A10691" s="51" t="s">
        <v>609</v>
      </c>
      <c r="B10691" s="55" t="n">
        <v>45746</v>
      </c>
      <c r="C10691" s="51" t="s">
        <v>791</v>
      </c>
      <c r="D10691" s="51" t="n">
        <v>0</v>
      </c>
    </row>
    <row r="10692" customFormat="false" ht="15" hidden="true" customHeight="false" outlineLevel="0" collapsed="false">
      <c r="A10692" s="51" t="s">
        <v>614</v>
      </c>
      <c r="B10692" s="55" t="n">
        <v>45746</v>
      </c>
      <c r="C10692" s="51" t="s">
        <v>791</v>
      </c>
      <c r="D10692" s="51" t="n">
        <v>1000000</v>
      </c>
    </row>
    <row r="10693" customFormat="false" ht="15" hidden="true" customHeight="false" outlineLevel="0" collapsed="false">
      <c r="A10693" s="51" t="s">
        <v>619</v>
      </c>
      <c r="B10693" s="55" t="n">
        <v>45746</v>
      </c>
      <c r="C10693" s="51" t="s">
        <v>791</v>
      </c>
      <c r="D10693" s="51" t="n">
        <v>0</v>
      </c>
    </row>
    <row r="10694" customFormat="false" ht="15" hidden="true" customHeight="false" outlineLevel="0" collapsed="false">
      <c r="A10694" s="51" t="s">
        <v>624</v>
      </c>
      <c r="B10694" s="55" t="n">
        <v>45746</v>
      </c>
      <c r="C10694" s="51" t="s">
        <v>791</v>
      </c>
      <c r="D10694" s="51" t="n">
        <v>175000</v>
      </c>
    </row>
    <row r="10695" customFormat="false" ht="15" hidden="true" customHeight="false" outlineLevel="0" collapsed="false">
      <c r="A10695" s="51" t="s">
        <v>629</v>
      </c>
      <c r="B10695" s="55" t="n">
        <v>45746</v>
      </c>
      <c r="C10695" s="51" t="s">
        <v>791</v>
      </c>
      <c r="D10695" s="51" t="n">
        <v>93750</v>
      </c>
    </row>
    <row r="10696" customFormat="false" ht="15" hidden="true" customHeight="false" outlineLevel="0" collapsed="false">
      <c r="A10696" s="51" t="s">
        <v>633</v>
      </c>
      <c r="B10696" s="55" t="n">
        <v>45746</v>
      </c>
      <c r="C10696" s="51" t="s">
        <v>791</v>
      </c>
      <c r="D10696" s="51" t="n">
        <v>0</v>
      </c>
    </row>
    <row r="10697" customFormat="false" ht="15" hidden="true" customHeight="false" outlineLevel="0" collapsed="false">
      <c r="A10697" s="51" t="s">
        <v>638</v>
      </c>
      <c r="B10697" s="55" t="n">
        <v>45746</v>
      </c>
      <c r="C10697" s="51" t="s">
        <v>791</v>
      </c>
      <c r="D10697" s="51" t="n">
        <v>0</v>
      </c>
    </row>
    <row r="10698" customFormat="false" ht="15" hidden="true" customHeight="false" outlineLevel="0" collapsed="false">
      <c r="A10698" s="51" t="s">
        <v>642</v>
      </c>
      <c r="B10698" s="55" t="n">
        <v>45746</v>
      </c>
      <c r="C10698" s="51" t="s">
        <v>791</v>
      </c>
      <c r="D10698" s="51" t="n">
        <v>0</v>
      </c>
    </row>
    <row r="10699" customFormat="false" ht="15" hidden="true" customHeight="false" outlineLevel="0" collapsed="false">
      <c r="A10699" s="51" t="s">
        <v>646</v>
      </c>
      <c r="B10699" s="55" t="n">
        <v>45746</v>
      </c>
      <c r="C10699" s="51" t="s">
        <v>791</v>
      </c>
      <c r="D10699" s="51" t="n">
        <v>175000</v>
      </c>
    </row>
    <row r="10700" customFormat="false" ht="15" hidden="true" customHeight="false" outlineLevel="0" collapsed="false">
      <c r="A10700" s="51" t="s">
        <v>651</v>
      </c>
      <c r="B10700" s="55" t="n">
        <v>45746</v>
      </c>
      <c r="C10700" s="51" t="s">
        <v>791</v>
      </c>
      <c r="D10700" s="51" t="n">
        <v>0</v>
      </c>
    </row>
    <row r="10701" customFormat="false" ht="15" hidden="true" customHeight="false" outlineLevel="0" collapsed="false">
      <c r="A10701" s="51" t="s">
        <v>656</v>
      </c>
      <c r="B10701" s="55" t="n">
        <v>45746</v>
      </c>
      <c r="C10701" s="51" t="s">
        <v>791</v>
      </c>
      <c r="D10701" s="51" t="n">
        <v>0</v>
      </c>
    </row>
    <row r="10702" customFormat="false" ht="15" hidden="true" customHeight="false" outlineLevel="0" collapsed="false">
      <c r="A10702" s="51" t="s">
        <v>661</v>
      </c>
      <c r="B10702" s="55" t="n">
        <v>45746</v>
      </c>
      <c r="C10702" s="51" t="s">
        <v>791</v>
      </c>
      <c r="D10702" s="51" t="n">
        <v>0</v>
      </c>
    </row>
    <row r="10703" customFormat="false" ht="15" hidden="true" customHeight="false" outlineLevel="0" collapsed="false">
      <c r="A10703" s="51" t="s">
        <v>666</v>
      </c>
      <c r="B10703" s="55" t="n">
        <v>45746</v>
      </c>
      <c r="C10703" s="51" t="s">
        <v>791</v>
      </c>
      <c r="D10703" s="51" t="n">
        <v>0</v>
      </c>
    </row>
    <row r="10704" customFormat="false" ht="15" hidden="true" customHeight="false" outlineLevel="0" collapsed="false">
      <c r="A10704" s="51" t="s">
        <v>671</v>
      </c>
      <c r="B10704" s="55" t="n">
        <v>45746</v>
      </c>
      <c r="C10704" s="51" t="s">
        <v>791</v>
      </c>
      <c r="D10704" s="51" t="n">
        <v>0</v>
      </c>
    </row>
    <row r="10705" customFormat="false" ht="15" hidden="true" customHeight="false" outlineLevel="0" collapsed="false">
      <c r="A10705" s="51" t="s">
        <v>676</v>
      </c>
      <c r="B10705" s="55" t="n">
        <v>45746</v>
      </c>
      <c r="C10705" s="51" t="s">
        <v>791</v>
      </c>
      <c r="D10705" s="51" t="n">
        <v>0</v>
      </c>
    </row>
    <row r="10706" customFormat="false" ht="15" hidden="true" customHeight="false" outlineLevel="0" collapsed="false">
      <c r="A10706" s="51" t="s">
        <v>681</v>
      </c>
      <c r="B10706" s="55" t="n">
        <v>45746</v>
      </c>
      <c r="C10706" s="51" t="s">
        <v>791</v>
      </c>
      <c r="D10706" s="51" t="n">
        <v>0</v>
      </c>
    </row>
    <row r="10707" customFormat="false" ht="15" hidden="true" customHeight="false" outlineLevel="0" collapsed="false">
      <c r="A10707" s="51" t="s">
        <v>686</v>
      </c>
      <c r="B10707" s="55" t="n">
        <v>45746</v>
      </c>
      <c r="C10707" s="51" t="s">
        <v>791</v>
      </c>
      <c r="D10707" s="51" t="n">
        <v>0</v>
      </c>
    </row>
    <row r="10708" customFormat="false" ht="15" hidden="true" customHeight="false" outlineLevel="0" collapsed="false">
      <c r="A10708" s="51" t="s">
        <v>691</v>
      </c>
      <c r="B10708" s="55" t="n">
        <v>45746</v>
      </c>
      <c r="C10708" s="51" t="s">
        <v>791</v>
      </c>
      <c r="D10708" s="51" t="n">
        <v>0</v>
      </c>
    </row>
    <row r="10709" customFormat="false" ht="15" hidden="true" customHeight="false" outlineLevel="0" collapsed="false">
      <c r="A10709" s="51" t="s">
        <v>696</v>
      </c>
      <c r="B10709" s="55" t="n">
        <v>45746</v>
      </c>
      <c r="C10709" s="51" t="s">
        <v>791</v>
      </c>
      <c r="D10709" s="51" t="n">
        <v>0</v>
      </c>
    </row>
    <row r="10710" customFormat="false" ht="15" hidden="true" customHeight="false" outlineLevel="0" collapsed="false">
      <c r="A10710" s="51" t="s">
        <v>701</v>
      </c>
      <c r="B10710" s="55" t="n">
        <v>45746</v>
      </c>
      <c r="C10710" s="51" t="s">
        <v>791</v>
      </c>
      <c r="D10710" s="51" t="n">
        <v>0</v>
      </c>
    </row>
    <row r="10711" customFormat="false" ht="15" hidden="true" customHeight="false" outlineLevel="0" collapsed="false">
      <c r="A10711" s="51" t="s">
        <v>707</v>
      </c>
      <c r="B10711" s="55" t="n">
        <v>45746</v>
      </c>
      <c r="C10711" s="51" t="s">
        <v>791</v>
      </c>
      <c r="D10711" s="51" t="n">
        <v>0</v>
      </c>
    </row>
    <row r="10712" customFormat="false" ht="15" hidden="true" customHeight="false" outlineLevel="0" collapsed="false">
      <c r="A10712" s="51" t="s">
        <v>712</v>
      </c>
      <c r="B10712" s="55" t="n">
        <v>45746</v>
      </c>
      <c r="C10712" s="51" t="s">
        <v>791</v>
      </c>
      <c r="D10712" s="51" t="n">
        <v>0</v>
      </c>
    </row>
    <row r="10713" customFormat="false" ht="15" hidden="true" customHeight="false" outlineLevel="0" collapsed="false">
      <c r="A10713" s="51" t="s">
        <v>717</v>
      </c>
      <c r="B10713" s="55" t="n">
        <v>45746</v>
      </c>
      <c r="C10713" s="51" t="s">
        <v>791</v>
      </c>
      <c r="D10713" s="51" t="n">
        <v>0</v>
      </c>
    </row>
    <row r="10714" customFormat="false" ht="15" hidden="true" customHeight="false" outlineLevel="0" collapsed="false">
      <c r="A10714" s="51" t="s">
        <v>767</v>
      </c>
      <c r="B10714" s="55" t="n">
        <v>45746</v>
      </c>
      <c r="C10714" s="51" t="s">
        <v>791</v>
      </c>
      <c r="D10714" s="51" t="n">
        <v>0</v>
      </c>
    </row>
    <row r="10715" customFormat="false" ht="15" hidden="true" customHeight="false" outlineLevel="0" collapsed="false">
      <c r="A10715" s="51" t="s">
        <v>722</v>
      </c>
      <c r="B10715" s="55" t="n">
        <v>45746</v>
      </c>
      <c r="C10715" s="51" t="s">
        <v>791</v>
      </c>
      <c r="D10715" s="51" t="n">
        <v>0</v>
      </c>
    </row>
    <row r="10716" customFormat="false" ht="15" hidden="true" customHeight="false" outlineLevel="0" collapsed="false">
      <c r="A10716" s="51" t="s">
        <v>727</v>
      </c>
      <c r="B10716" s="55" t="n">
        <v>45746</v>
      </c>
      <c r="C10716" s="51" t="s">
        <v>791</v>
      </c>
      <c r="D10716" s="51" t="n">
        <v>0</v>
      </c>
    </row>
    <row r="10717" customFormat="false" ht="15" hidden="true" customHeight="false" outlineLevel="0" collapsed="false">
      <c r="A10717" s="51" t="s">
        <v>732</v>
      </c>
      <c r="B10717" s="55" t="n">
        <v>45746</v>
      </c>
      <c r="C10717" s="51" t="s">
        <v>791</v>
      </c>
      <c r="D10717" s="51" t="n">
        <v>0</v>
      </c>
    </row>
    <row r="10718" customFormat="false" ht="15" hidden="true" customHeight="false" outlineLevel="0" collapsed="false">
      <c r="A10718" s="51" t="s">
        <v>736</v>
      </c>
      <c r="B10718" s="55" t="n">
        <v>45746</v>
      </c>
      <c r="C10718" s="51" t="s">
        <v>791</v>
      </c>
      <c r="D10718" s="51" t="n">
        <v>0</v>
      </c>
    </row>
    <row r="10719" customFormat="false" ht="15" hidden="true" customHeight="false" outlineLevel="0" collapsed="false">
      <c r="A10719" s="51" t="s">
        <v>741</v>
      </c>
      <c r="B10719" s="55" t="n">
        <v>45746</v>
      </c>
      <c r="C10719" s="51" t="s">
        <v>791</v>
      </c>
      <c r="D10719" s="51" t="n">
        <v>0</v>
      </c>
    </row>
    <row r="10720" customFormat="false" ht="15" hidden="true" customHeight="false" outlineLevel="0" collapsed="false">
      <c r="A10720" s="51" t="s">
        <v>746</v>
      </c>
      <c r="B10720" s="55" t="n">
        <v>45746</v>
      </c>
      <c r="C10720" s="51" t="s">
        <v>791</v>
      </c>
      <c r="D10720" s="51" t="n">
        <v>0</v>
      </c>
    </row>
    <row r="10721" customFormat="false" ht="15" hidden="true" customHeight="false" outlineLevel="0" collapsed="false">
      <c r="A10721" s="51" t="s">
        <v>751</v>
      </c>
      <c r="B10721" s="55" t="n">
        <v>45746</v>
      </c>
      <c r="C10721" s="51" t="s">
        <v>791</v>
      </c>
      <c r="D10721" s="51" t="n">
        <v>0</v>
      </c>
    </row>
    <row r="10722" customFormat="false" ht="15" hidden="false" customHeight="false" outlineLevel="0" collapsed="false">
      <c r="A10722" s="51" t="s">
        <v>781</v>
      </c>
      <c r="B10722" s="55" t="n">
        <v>45838</v>
      </c>
      <c r="C10722" s="51" t="s">
        <v>782</v>
      </c>
      <c r="D10722" s="51" t="n">
        <v>0</v>
      </c>
    </row>
    <row r="10723" customFormat="false" ht="15" hidden="true" customHeight="false" outlineLevel="0" collapsed="false">
      <c r="A10723" s="51" t="s">
        <v>783</v>
      </c>
      <c r="B10723" s="55" t="n">
        <v>45838</v>
      </c>
      <c r="C10723" s="51" t="s">
        <v>782</v>
      </c>
      <c r="D10723" s="51" t="n">
        <v>0</v>
      </c>
    </row>
    <row r="10724" customFormat="false" ht="15" hidden="true" customHeight="false" outlineLevel="0" collapsed="false">
      <c r="A10724" s="51" t="s">
        <v>96</v>
      </c>
      <c r="B10724" s="55" t="n">
        <v>45838</v>
      </c>
      <c r="C10724" s="51" t="s">
        <v>782</v>
      </c>
      <c r="D10724" s="51" t="n">
        <v>0</v>
      </c>
    </row>
    <row r="10725" customFormat="false" ht="15" hidden="true" customHeight="false" outlineLevel="0" collapsed="false">
      <c r="A10725" s="51" t="s">
        <v>101</v>
      </c>
      <c r="B10725" s="55" t="n">
        <v>45838</v>
      </c>
      <c r="C10725" s="51" t="s">
        <v>782</v>
      </c>
      <c r="D10725" s="51" t="n">
        <v>0</v>
      </c>
    </row>
    <row r="10726" customFormat="false" ht="15" hidden="true" customHeight="false" outlineLevel="0" collapsed="false">
      <c r="A10726" s="51" t="s">
        <v>106</v>
      </c>
      <c r="B10726" s="55" t="n">
        <v>45838</v>
      </c>
      <c r="C10726" s="51" t="s">
        <v>782</v>
      </c>
      <c r="D10726" s="51" t="n">
        <v>0</v>
      </c>
    </row>
    <row r="10727" customFormat="false" ht="15" hidden="true" customHeight="false" outlineLevel="0" collapsed="false">
      <c r="A10727" s="51" t="s">
        <v>110</v>
      </c>
      <c r="B10727" s="55" t="n">
        <v>45838</v>
      </c>
      <c r="C10727" s="51" t="s">
        <v>782</v>
      </c>
      <c r="D10727" s="51" t="n">
        <v>0</v>
      </c>
    </row>
    <row r="10728" customFormat="false" ht="15" hidden="true" customHeight="false" outlineLevel="0" collapsed="false">
      <c r="A10728" s="51" t="s">
        <v>115</v>
      </c>
      <c r="B10728" s="55" t="n">
        <v>45838</v>
      </c>
      <c r="C10728" s="51" t="s">
        <v>782</v>
      </c>
      <c r="D10728" s="51" t="n">
        <v>0</v>
      </c>
    </row>
    <row r="10729" customFormat="false" ht="15" hidden="true" customHeight="false" outlineLevel="0" collapsed="false">
      <c r="A10729" s="51" t="s">
        <v>120</v>
      </c>
      <c r="B10729" s="55" t="n">
        <v>45838</v>
      </c>
      <c r="C10729" s="51" t="s">
        <v>782</v>
      </c>
      <c r="D10729" s="51" t="n">
        <v>0</v>
      </c>
    </row>
    <row r="10730" customFormat="false" ht="15" hidden="true" customHeight="false" outlineLevel="0" collapsed="false">
      <c r="A10730" s="51" t="s">
        <v>124</v>
      </c>
      <c r="B10730" s="55" t="n">
        <v>45838</v>
      </c>
      <c r="C10730" s="51" t="s">
        <v>782</v>
      </c>
      <c r="D10730" s="51" t="n">
        <v>0</v>
      </c>
    </row>
    <row r="10731" customFormat="false" ht="15" hidden="true" customHeight="false" outlineLevel="0" collapsed="false">
      <c r="A10731" s="51" t="s">
        <v>129</v>
      </c>
      <c r="B10731" s="55" t="n">
        <v>45838</v>
      </c>
      <c r="C10731" s="51" t="s">
        <v>782</v>
      </c>
      <c r="D10731" s="51" t="n">
        <v>0</v>
      </c>
    </row>
    <row r="10732" customFormat="false" ht="15" hidden="true" customHeight="false" outlineLevel="0" collapsed="false">
      <c r="A10732" s="51" t="s">
        <v>134</v>
      </c>
      <c r="B10732" s="55" t="n">
        <v>45838</v>
      </c>
      <c r="C10732" s="51" t="s">
        <v>782</v>
      </c>
      <c r="D10732" s="51" t="n">
        <v>0</v>
      </c>
    </row>
    <row r="10733" customFormat="false" ht="15" hidden="true" customHeight="false" outlineLevel="0" collapsed="false">
      <c r="A10733" s="51" t="s">
        <v>141</v>
      </c>
      <c r="B10733" s="55" t="n">
        <v>45838</v>
      </c>
      <c r="C10733" s="51" t="s">
        <v>782</v>
      </c>
      <c r="D10733" s="51" t="n">
        <v>0</v>
      </c>
    </row>
    <row r="10734" customFormat="false" ht="15" hidden="true" customHeight="false" outlineLevel="0" collapsed="false">
      <c r="A10734" s="51" t="s">
        <v>146</v>
      </c>
      <c r="B10734" s="55" t="n">
        <v>45838</v>
      </c>
      <c r="C10734" s="51" t="s">
        <v>782</v>
      </c>
      <c r="D10734" s="51" t="n">
        <v>0</v>
      </c>
    </row>
    <row r="10735" customFormat="false" ht="15" hidden="true" customHeight="false" outlineLevel="0" collapsed="false">
      <c r="A10735" s="51" t="s">
        <v>151</v>
      </c>
      <c r="B10735" s="55" t="n">
        <v>45838</v>
      </c>
      <c r="C10735" s="51" t="s">
        <v>782</v>
      </c>
      <c r="D10735" s="51" t="n">
        <v>0</v>
      </c>
    </row>
    <row r="10736" customFormat="false" ht="15" hidden="true" customHeight="false" outlineLevel="0" collapsed="false">
      <c r="A10736" s="51" t="s">
        <v>156</v>
      </c>
      <c r="B10736" s="55" t="n">
        <v>45838</v>
      </c>
      <c r="C10736" s="51" t="s">
        <v>782</v>
      </c>
      <c r="D10736" s="51" t="n">
        <v>0</v>
      </c>
    </row>
    <row r="10737" customFormat="false" ht="15" hidden="true" customHeight="false" outlineLevel="0" collapsed="false">
      <c r="A10737" s="51" t="s">
        <v>161</v>
      </c>
      <c r="B10737" s="55" t="n">
        <v>45838</v>
      </c>
      <c r="C10737" s="51" t="s">
        <v>782</v>
      </c>
      <c r="D10737" s="51" t="n">
        <v>0</v>
      </c>
    </row>
    <row r="10738" customFormat="false" ht="15" hidden="true" customHeight="false" outlineLevel="0" collapsed="false">
      <c r="A10738" s="51" t="s">
        <v>166</v>
      </c>
      <c r="B10738" s="55" t="n">
        <v>45838</v>
      </c>
      <c r="C10738" s="51" t="s">
        <v>782</v>
      </c>
      <c r="D10738" s="51" t="n">
        <v>0</v>
      </c>
    </row>
    <row r="10739" customFormat="false" ht="15" hidden="true" customHeight="false" outlineLevel="0" collapsed="false">
      <c r="A10739" s="51" t="s">
        <v>171</v>
      </c>
      <c r="B10739" s="55" t="n">
        <v>45838</v>
      </c>
      <c r="C10739" s="51" t="s">
        <v>782</v>
      </c>
      <c r="D10739" s="51" t="n">
        <v>0</v>
      </c>
    </row>
    <row r="10740" customFormat="false" ht="15" hidden="true" customHeight="false" outlineLevel="0" collapsed="false">
      <c r="A10740" s="51" t="s">
        <v>176</v>
      </c>
      <c r="B10740" s="55" t="n">
        <v>45838</v>
      </c>
      <c r="C10740" s="51" t="s">
        <v>782</v>
      </c>
      <c r="D10740" s="51" t="n">
        <v>0</v>
      </c>
    </row>
    <row r="10741" customFormat="false" ht="15" hidden="true" customHeight="false" outlineLevel="0" collapsed="false">
      <c r="A10741" s="51" t="s">
        <v>181</v>
      </c>
      <c r="B10741" s="55" t="n">
        <v>45838</v>
      </c>
      <c r="C10741" s="51" t="s">
        <v>782</v>
      </c>
      <c r="D10741" s="51" t="n">
        <v>0</v>
      </c>
    </row>
    <row r="10742" customFormat="false" ht="15" hidden="true" customHeight="false" outlineLevel="0" collapsed="false">
      <c r="A10742" s="51" t="s">
        <v>186</v>
      </c>
      <c r="B10742" s="55" t="n">
        <v>45838</v>
      </c>
      <c r="C10742" s="51" t="s">
        <v>782</v>
      </c>
      <c r="D10742" s="51" t="n">
        <v>0</v>
      </c>
    </row>
    <row r="10743" customFormat="false" ht="15" hidden="true" customHeight="false" outlineLevel="0" collapsed="false">
      <c r="A10743" s="51" t="s">
        <v>191</v>
      </c>
      <c r="B10743" s="55" t="n">
        <v>45838</v>
      </c>
      <c r="C10743" s="51" t="s">
        <v>782</v>
      </c>
      <c r="D10743" s="51" t="n">
        <v>0</v>
      </c>
    </row>
    <row r="10744" customFormat="false" ht="15" hidden="true" customHeight="false" outlineLevel="0" collapsed="false">
      <c r="A10744" s="51" t="s">
        <v>196</v>
      </c>
      <c r="B10744" s="55" t="n">
        <v>45838</v>
      </c>
      <c r="C10744" s="51" t="s">
        <v>782</v>
      </c>
      <c r="D10744" s="51" t="n">
        <v>0</v>
      </c>
    </row>
    <row r="10745" customFormat="false" ht="15" hidden="true" customHeight="false" outlineLevel="0" collapsed="false">
      <c r="A10745" s="51" t="s">
        <v>201</v>
      </c>
      <c r="B10745" s="55" t="n">
        <v>45838</v>
      </c>
      <c r="C10745" s="51" t="s">
        <v>782</v>
      </c>
      <c r="D10745" s="51" t="n">
        <v>0</v>
      </c>
    </row>
    <row r="10746" customFormat="false" ht="15" hidden="true" customHeight="false" outlineLevel="0" collapsed="false">
      <c r="A10746" s="51" t="s">
        <v>206</v>
      </c>
      <c r="B10746" s="55" t="n">
        <v>45838</v>
      </c>
      <c r="C10746" s="51" t="s">
        <v>782</v>
      </c>
      <c r="D10746" s="51" t="n">
        <v>0</v>
      </c>
    </row>
    <row r="10747" customFormat="false" ht="15" hidden="true" customHeight="false" outlineLevel="0" collapsed="false">
      <c r="A10747" s="51" t="s">
        <v>210</v>
      </c>
      <c r="B10747" s="55" t="n">
        <v>45838</v>
      </c>
      <c r="C10747" s="51" t="s">
        <v>782</v>
      </c>
      <c r="D10747" s="51" t="n">
        <v>0</v>
      </c>
    </row>
    <row r="10748" customFormat="false" ht="15" hidden="true" customHeight="false" outlineLevel="0" collapsed="false">
      <c r="A10748" s="51" t="s">
        <v>215</v>
      </c>
      <c r="B10748" s="55" t="n">
        <v>45838</v>
      </c>
      <c r="C10748" s="51" t="s">
        <v>782</v>
      </c>
      <c r="D10748" s="51" t="n">
        <v>0</v>
      </c>
    </row>
    <row r="10749" customFormat="false" ht="15" hidden="true" customHeight="false" outlineLevel="0" collapsed="false">
      <c r="A10749" s="51" t="s">
        <v>790</v>
      </c>
      <c r="B10749" s="55" t="n">
        <v>45838</v>
      </c>
      <c r="C10749" s="51" t="s">
        <v>782</v>
      </c>
      <c r="D10749" s="51" t="n">
        <v>0</v>
      </c>
    </row>
    <row r="10750" customFormat="false" ht="15" hidden="true" customHeight="false" outlineLevel="0" collapsed="false">
      <c r="A10750" s="51" t="s">
        <v>225</v>
      </c>
      <c r="B10750" s="55" t="n">
        <v>45838</v>
      </c>
      <c r="C10750" s="51" t="s">
        <v>782</v>
      </c>
      <c r="D10750" s="51" t="n">
        <v>0</v>
      </c>
    </row>
    <row r="10751" customFormat="false" ht="15" hidden="true" customHeight="false" outlineLevel="0" collapsed="false">
      <c r="A10751" s="51" t="s">
        <v>230</v>
      </c>
      <c r="B10751" s="55" t="n">
        <v>45838</v>
      </c>
      <c r="C10751" s="51" t="s">
        <v>782</v>
      </c>
      <c r="D10751" s="51" t="n">
        <v>0</v>
      </c>
    </row>
    <row r="10752" customFormat="false" ht="15" hidden="true" customHeight="false" outlineLevel="0" collapsed="false">
      <c r="A10752" s="51" t="s">
        <v>235</v>
      </c>
      <c r="B10752" s="55" t="n">
        <v>45838</v>
      </c>
      <c r="C10752" s="51" t="s">
        <v>782</v>
      </c>
      <c r="D10752" s="51" t="n">
        <v>0</v>
      </c>
    </row>
    <row r="10753" customFormat="false" ht="15" hidden="true" customHeight="false" outlineLevel="0" collapsed="false">
      <c r="A10753" s="51" t="s">
        <v>240</v>
      </c>
      <c r="B10753" s="55" t="n">
        <v>45838</v>
      </c>
      <c r="C10753" s="51" t="s">
        <v>782</v>
      </c>
      <c r="D10753" s="51" t="n">
        <v>0</v>
      </c>
    </row>
    <row r="10754" customFormat="false" ht="15" hidden="true" customHeight="false" outlineLevel="0" collapsed="false">
      <c r="A10754" s="51" t="s">
        <v>246</v>
      </c>
      <c r="B10754" s="55" t="n">
        <v>45838</v>
      </c>
      <c r="C10754" s="51" t="s">
        <v>782</v>
      </c>
      <c r="D10754" s="51" t="n">
        <v>0</v>
      </c>
    </row>
    <row r="10755" customFormat="false" ht="15" hidden="true" customHeight="false" outlineLevel="0" collapsed="false">
      <c r="A10755" s="51" t="s">
        <v>252</v>
      </c>
      <c r="B10755" s="55" t="n">
        <v>45838</v>
      </c>
      <c r="C10755" s="51" t="s">
        <v>782</v>
      </c>
      <c r="D10755" s="51" t="n">
        <v>0</v>
      </c>
    </row>
    <row r="10756" customFormat="false" ht="15" hidden="true" customHeight="false" outlineLevel="0" collapsed="false">
      <c r="A10756" s="51" t="s">
        <v>257</v>
      </c>
      <c r="B10756" s="55" t="n">
        <v>45838</v>
      </c>
      <c r="C10756" s="51" t="s">
        <v>782</v>
      </c>
      <c r="D10756" s="51" t="n">
        <v>0</v>
      </c>
    </row>
    <row r="10757" customFormat="false" ht="15" hidden="true" customHeight="false" outlineLevel="0" collapsed="false">
      <c r="A10757" s="51" t="s">
        <v>262</v>
      </c>
      <c r="B10757" s="55" t="n">
        <v>45838</v>
      </c>
      <c r="C10757" s="51" t="s">
        <v>782</v>
      </c>
      <c r="D10757" s="51" t="n">
        <v>0</v>
      </c>
    </row>
    <row r="10758" customFormat="false" ht="15" hidden="true" customHeight="false" outlineLevel="0" collapsed="false">
      <c r="A10758" s="51" t="s">
        <v>267</v>
      </c>
      <c r="B10758" s="55" t="n">
        <v>45838</v>
      </c>
      <c r="C10758" s="51" t="s">
        <v>782</v>
      </c>
      <c r="D10758" s="51" t="n">
        <v>0</v>
      </c>
    </row>
    <row r="10759" customFormat="false" ht="15" hidden="true" customHeight="false" outlineLevel="0" collapsed="false">
      <c r="A10759" s="51" t="s">
        <v>272</v>
      </c>
      <c r="B10759" s="55" t="n">
        <v>45838</v>
      </c>
      <c r="C10759" s="51" t="s">
        <v>782</v>
      </c>
      <c r="D10759" s="51" t="n">
        <v>0</v>
      </c>
    </row>
    <row r="10760" customFormat="false" ht="15" hidden="true" customHeight="false" outlineLevel="0" collapsed="false">
      <c r="A10760" s="51" t="s">
        <v>277</v>
      </c>
      <c r="B10760" s="55" t="n">
        <v>45838</v>
      </c>
      <c r="C10760" s="51" t="s">
        <v>782</v>
      </c>
      <c r="D10760" s="51" t="n">
        <v>0</v>
      </c>
    </row>
    <row r="10761" customFormat="false" ht="15" hidden="true" customHeight="false" outlineLevel="0" collapsed="false">
      <c r="A10761" s="51" t="s">
        <v>282</v>
      </c>
      <c r="B10761" s="55" t="n">
        <v>45838</v>
      </c>
      <c r="C10761" s="51" t="s">
        <v>782</v>
      </c>
      <c r="D10761" s="51" t="n">
        <v>0</v>
      </c>
    </row>
    <row r="10762" customFormat="false" ht="15" hidden="true" customHeight="false" outlineLevel="0" collapsed="false">
      <c r="A10762" s="51" t="s">
        <v>287</v>
      </c>
      <c r="B10762" s="55" t="n">
        <v>45838</v>
      </c>
      <c r="C10762" s="51" t="s">
        <v>782</v>
      </c>
      <c r="D10762" s="51" t="n">
        <v>0</v>
      </c>
    </row>
    <row r="10763" customFormat="false" ht="15" hidden="true" customHeight="false" outlineLevel="0" collapsed="false">
      <c r="A10763" s="51" t="s">
        <v>292</v>
      </c>
      <c r="B10763" s="55" t="n">
        <v>45838</v>
      </c>
      <c r="C10763" s="51" t="s">
        <v>782</v>
      </c>
      <c r="D10763" s="51" t="n">
        <v>0</v>
      </c>
    </row>
    <row r="10764" customFormat="false" ht="15" hidden="true" customHeight="false" outlineLevel="0" collapsed="false">
      <c r="A10764" s="51" t="s">
        <v>297</v>
      </c>
      <c r="B10764" s="55" t="n">
        <v>45838</v>
      </c>
      <c r="C10764" s="51" t="s">
        <v>782</v>
      </c>
      <c r="D10764" s="51" t="n">
        <v>0</v>
      </c>
    </row>
    <row r="10765" customFormat="false" ht="15" hidden="true" customHeight="false" outlineLevel="0" collapsed="false">
      <c r="A10765" s="51" t="s">
        <v>302</v>
      </c>
      <c r="B10765" s="55" t="n">
        <v>45838</v>
      </c>
      <c r="C10765" s="51" t="s">
        <v>782</v>
      </c>
      <c r="D10765" s="51" t="n">
        <v>0</v>
      </c>
    </row>
    <row r="10766" customFormat="false" ht="15" hidden="true" customHeight="false" outlineLevel="0" collapsed="false">
      <c r="A10766" s="51" t="s">
        <v>307</v>
      </c>
      <c r="B10766" s="55" t="n">
        <v>45838</v>
      </c>
      <c r="C10766" s="51" t="s">
        <v>782</v>
      </c>
      <c r="D10766" s="51" t="n">
        <v>0</v>
      </c>
    </row>
    <row r="10767" customFormat="false" ht="15" hidden="true" customHeight="false" outlineLevel="0" collapsed="false">
      <c r="A10767" s="51" t="s">
        <v>311</v>
      </c>
      <c r="B10767" s="55" t="n">
        <v>45838</v>
      </c>
      <c r="C10767" s="51" t="s">
        <v>782</v>
      </c>
      <c r="D10767" s="51" t="n">
        <v>0</v>
      </c>
    </row>
    <row r="10768" customFormat="false" ht="15" hidden="true" customHeight="false" outlineLevel="0" collapsed="false">
      <c r="A10768" s="51" t="s">
        <v>317</v>
      </c>
      <c r="B10768" s="55" t="n">
        <v>45838</v>
      </c>
      <c r="C10768" s="51" t="s">
        <v>782</v>
      </c>
      <c r="D10768" s="51" t="n">
        <v>0</v>
      </c>
    </row>
    <row r="10769" customFormat="false" ht="15" hidden="true" customHeight="false" outlineLevel="0" collapsed="false">
      <c r="A10769" s="51" t="s">
        <v>322</v>
      </c>
      <c r="B10769" s="55" t="n">
        <v>45838</v>
      </c>
      <c r="C10769" s="51" t="s">
        <v>782</v>
      </c>
      <c r="D10769" s="51" t="n">
        <v>0</v>
      </c>
    </row>
    <row r="10770" customFormat="false" ht="15" hidden="true" customHeight="false" outlineLevel="0" collapsed="false">
      <c r="A10770" s="51" t="s">
        <v>327</v>
      </c>
      <c r="B10770" s="55" t="n">
        <v>45838</v>
      </c>
      <c r="C10770" s="51" t="s">
        <v>782</v>
      </c>
      <c r="D10770" s="51" t="n">
        <v>0</v>
      </c>
    </row>
    <row r="10771" customFormat="false" ht="15" hidden="true" customHeight="false" outlineLevel="0" collapsed="false">
      <c r="A10771" s="51" t="s">
        <v>332</v>
      </c>
      <c r="B10771" s="55" t="n">
        <v>45838</v>
      </c>
      <c r="C10771" s="51" t="s">
        <v>782</v>
      </c>
      <c r="D10771" s="51" t="n">
        <v>0</v>
      </c>
    </row>
    <row r="10772" customFormat="false" ht="15" hidden="true" customHeight="false" outlineLevel="0" collapsed="false">
      <c r="A10772" s="51" t="s">
        <v>339</v>
      </c>
      <c r="B10772" s="55" t="n">
        <v>45838</v>
      </c>
      <c r="C10772" s="51" t="s">
        <v>782</v>
      </c>
      <c r="D10772" s="51" t="n">
        <v>0</v>
      </c>
    </row>
    <row r="10773" customFormat="false" ht="15" hidden="true" customHeight="false" outlineLevel="0" collapsed="false">
      <c r="A10773" s="51" t="s">
        <v>344</v>
      </c>
      <c r="B10773" s="55" t="n">
        <v>45838</v>
      </c>
      <c r="C10773" s="51" t="s">
        <v>782</v>
      </c>
      <c r="D10773" s="51" t="n">
        <v>0</v>
      </c>
    </row>
    <row r="10774" customFormat="false" ht="15" hidden="true" customHeight="false" outlineLevel="0" collapsed="false">
      <c r="A10774" s="51" t="s">
        <v>349</v>
      </c>
      <c r="B10774" s="55" t="n">
        <v>45838</v>
      </c>
      <c r="C10774" s="51" t="s">
        <v>782</v>
      </c>
      <c r="D10774" s="51" t="n">
        <v>0</v>
      </c>
    </row>
    <row r="10775" customFormat="false" ht="15" hidden="true" customHeight="false" outlineLevel="0" collapsed="false">
      <c r="A10775" s="51" t="s">
        <v>354</v>
      </c>
      <c r="B10775" s="55" t="n">
        <v>45838</v>
      </c>
      <c r="C10775" s="51" t="s">
        <v>782</v>
      </c>
      <c r="D10775" s="51" t="n">
        <v>0</v>
      </c>
    </row>
    <row r="10776" customFormat="false" ht="15" hidden="true" customHeight="false" outlineLevel="0" collapsed="false">
      <c r="A10776" s="51" t="s">
        <v>359</v>
      </c>
      <c r="B10776" s="55" t="n">
        <v>45838</v>
      </c>
      <c r="C10776" s="51" t="s">
        <v>782</v>
      </c>
      <c r="D10776" s="51" t="n">
        <v>0</v>
      </c>
    </row>
    <row r="10777" customFormat="false" ht="15" hidden="true" customHeight="false" outlineLevel="0" collapsed="false">
      <c r="A10777" s="51" t="s">
        <v>364</v>
      </c>
      <c r="B10777" s="55" t="n">
        <v>45838</v>
      </c>
      <c r="C10777" s="51" t="s">
        <v>782</v>
      </c>
      <c r="D10777" s="51" t="n">
        <v>0</v>
      </c>
    </row>
    <row r="10778" customFormat="false" ht="15" hidden="true" customHeight="false" outlineLevel="0" collapsed="false">
      <c r="A10778" s="51" t="s">
        <v>369</v>
      </c>
      <c r="B10778" s="55" t="n">
        <v>45838</v>
      </c>
      <c r="C10778" s="51" t="s">
        <v>782</v>
      </c>
      <c r="D10778" s="51" t="n">
        <v>0</v>
      </c>
    </row>
    <row r="10779" customFormat="false" ht="15" hidden="true" customHeight="false" outlineLevel="0" collapsed="false">
      <c r="A10779" s="51" t="s">
        <v>374</v>
      </c>
      <c r="B10779" s="55" t="n">
        <v>45838</v>
      </c>
      <c r="C10779" s="51" t="s">
        <v>782</v>
      </c>
      <c r="D10779" s="51" t="n">
        <v>0</v>
      </c>
    </row>
    <row r="10780" customFormat="false" ht="15" hidden="true" customHeight="false" outlineLevel="0" collapsed="false">
      <c r="A10780" s="51" t="s">
        <v>379</v>
      </c>
      <c r="B10780" s="55" t="n">
        <v>45838</v>
      </c>
      <c r="C10780" s="51" t="s">
        <v>782</v>
      </c>
      <c r="D10780" s="51" t="n">
        <v>0</v>
      </c>
    </row>
    <row r="10781" customFormat="false" ht="15" hidden="true" customHeight="false" outlineLevel="0" collapsed="false">
      <c r="A10781" s="51" t="s">
        <v>384</v>
      </c>
      <c r="B10781" s="55" t="n">
        <v>45838</v>
      </c>
      <c r="C10781" s="51" t="s">
        <v>782</v>
      </c>
      <c r="D10781" s="51" t="n">
        <v>0</v>
      </c>
    </row>
    <row r="10782" customFormat="false" ht="15" hidden="true" customHeight="false" outlineLevel="0" collapsed="false">
      <c r="A10782" s="51" t="s">
        <v>389</v>
      </c>
      <c r="B10782" s="55" t="n">
        <v>45838</v>
      </c>
      <c r="C10782" s="51" t="s">
        <v>782</v>
      </c>
      <c r="D10782" s="51" t="n">
        <v>0</v>
      </c>
    </row>
    <row r="10783" customFormat="false" ht="15" hidden="true" customHeight="false" outlineLevel="0" collapsed="false">
      <c r="A10783" s="51" t="s">
        <v>394</v>
      </c>
      <c r="B10783" s="55" t="n">
        <v>45838</v>
      </c>
      <c r="C10783" s="51" t="s">
        <v>782</v>
      </c>
      <c r="D10783" s="51" t="n">
        <v>0</v>
      </c>
    </row>
    <row r="10784" customFormat="false" ht="15" hidden="true" customHeight="false" outlineLevel="0" collapsed="false">
      <c r="A10784" s="51" t="s">
        <v>399</v>
      </c>
      <c r="B10784" s="55" t="n">
        <v>45838</v>
      </c>
      <c r="C10784" s="51" t="s">
        <v>782</v>
      </c>
      <c r="D10784" s="51" t="n">
        <v>0</v>
      </c>
    </row>
    <row r="10785" customFormat="false" ht="15" hidden="true" customHeight="false" outlineLevel="0" collapsed="false">
      <c r="A10785" s="51" t="s">
        <v>404</v>
      </c>
      <c r="B10785" s="55" t="n">
        <v>45838</v>
      </c>
      <c r="C10785" s="51" t="s">
        <v>782</v>
      </c>
      <c r="D10785" s="51" t="n">
        <v>0</v>
      </c>
    </row>
    <row r="10786" customFormat="false" ht="15" hidden="true" customHeight="false" outlineLevel="0" collapsed="false">
      <c r="A10786" s="51" t="s">
        <v>409</v>
      </c>
      <c r="B10786" s="55" t="n">
        <v>45838</v>
      </c>
      <c r="C10786" s="51" t="s">
        <v>782</v>
      </c>
      <c r="D10786" s="51" t="n">
        <v>0</v>
      </c>
    </row>
    <row r="10787" customFormat="false" ht="15" hidden="true" customHeight="false" outlineLevel="0" collapsed="false">
      <c r="A10787" s="51" t="s">
        <v>414</v>
      </c>
      <c r="B10787" s="55" t="n">
        <v>45838</v>
      </c>
      <c r="C10787" s="51" t="s">
        <v>782</v>
      </c>
      <c r="D10787" s="51" t="n">
        <v>0</v>
      </c>
    </row>
    <row r="10788" customFormat="false" ht="15" hidden="true" customHeight="false" outlineLevel="0" collapsed="false">
      <c r="A10788" s="51" t="s">
        <v>419</v>
      </c>
      <c r="B10788" s="55" t="n">
        <v>45838</v>
      </c>
      <c r="C10788" s="51" t="s">
        <v>782</v>
      </c>
      <c r="D10788" s="51" t="n">
        <v>0</v>
      </c>
    </row>
    <row r="10789" customFormat="false" ht="15" hidden="true" customHeight="false" outlineLevel="0" collapsed="false">
      <c r="A10789" s="51" t="s">
        <v>424</v>
      </c>
      <c r="B10789" s="55" t="n">
        <v>45838</v>
      </c>
      <c r="C10789" s="51" t="s">
        <v>782</v>
      </c>
      <c r="D10789" s="51" t="n">
        <v>0</v>
      </c>
    </row>
    <row r="10790" customFormat="false" ht="15" hidden="true" customHeight="false" outlineLevel="0" collapsed="false">
      <c r="A10790" s="51" t="s">
        <v>429</v>
      </c>
      <c r="B10790" s="55" t="n">
        <v>45838</v>
      </c>
      <c r="C10790" s="51" t="s">
        <v>782</v>
      </c>
      <c r="D10790" s="51" t="n">
        <v>0</v>
      </c>
    </row>
    <row r="10791" customFormat="false" ht="15" hidden="true" customHeight="false" outlineLevel="0" collapsed="false">
      <c r="A10791" s="51" t="s">
        <v>434</v>
      </c>
      <c r="B10791" s="55" t="n">
        <v>45838</v>
      </c>
      <c r="C10791" s="51" t="s">
        <v>782</v>
      </c>
      <c r="D10791" s="51" t="n">
        <v>0</v>
      </c>
    </row>
    <row r="10792" customFormat="false" ht="15" hidden="true" customHeight="false" outlineLevel="0" collapsed="false">
      <c r="A10792" s="51" t="s">
        <v>438</v>
      </c>
      <c r="B10792" s="55" t="n">
        <v>45838</v>
      </c>
      <c r="C10792" s="51" t="s">
        <v>782</v>
      </c>
      <c r="D10792" s="51" t="n">
        <v>0</v>
      </c>
    </row>
    <row r="10793" customFormat="false" ht="15" hidden="true" customHeight="false" outlineLevel="0" collapsed="false">
      <c r="A10793" s="51" t="s">
        <v>443</v>
      </c>
      <c r="B10793" s="55" t="n">
        <v>45838</v>
      </c>
      <c r="C10793" s="51" t="s">
        <v>782</v>
      </c>
      <c r="D10793" s="51" t="n">
        <v>0</v>
      </c>
    </row>
    <row r="10794" customFormat="false" ht="15" hidden="true" customHeight="false" outlineLevel="0" collapsed="false">
      <c r="A10794" s="51" t="s">
        <v>448</v>
      </c>
      <c r="B10794" s="55" t="n">
        <v>45838</v>
      </c>
      <c r="C10794" s="51" t="s">
        <v>782</v>
      </c>
      <c r="D10794" s="51" t="n">
        <v>0</v>
      </c>
    </row>
    <row r="10795" customFormat="false" ht="15" hidden="true" customHeight="false" outlineLevel="0" collapsed="false">
      <c r="A10795" s="51" t="s">
        <v>453</v>
      </c>
      <c r="B10795" s="55" t="n">
        <v>45838</v>
      </c>
      <c r="C10795" s="51" t="s">
        <v>782</v>
      </c>
      <c r="D10795" s="51" t="n">
        <v>0</v>
      </c>
    </row>
    <row r="10796" customFormat="false" ht="15" hidden="true" customHeight="false" outlineLevel="0" collapsed="false">
      <c r="A10796" s="51" t="s">
        <v>458</v>
      </c>
      <c r="B10796" s="55" t="n">
        <v>45838</v>
      </c>
      <c r="C10796" s="51" t="s">
        <v>782</v>
      </c>
      <c r="D10796" s="51" t="n">
        <v>0</v>
      </c>
    </row>
    <row r="10797" customFormat="false" ht="15" hidden="true" customHeight="false" outlineLevel="0" collapsed="false">
      <c r="A10797" s="51" t="s">
        <v>473</v>
      </c>
      <c r="B10797" s="55" t="n">
        <v>45838</v>
      </c>
      <c r="C10797" s="51" t="s">
        <v>782</v>
      </c>
      <c r="D10797" s="51" t="n">
        <v>0</v>
      </c>
    </row>
    <row r="10798" customFormat="false" ht="15" hidden="true" customHeight="false" outlineLevel="0" collapsed="false">
      <c r="A10798" s="51" t="s">
        <v>479</v>
      </c>
      <c r="B10798" s="55" t="n">
        <v>45838</v>
      </c>
      <c r="C10798" s="51" t="s">
        <v>782</v>
      </c>
      <c r="D10798" s="51" t="n">
        <v>0</v>
      </c>
    </row>
    <row r="10799" customFormat="false" ht="15" hidden="true" customHeight="false" outlineLevel="0" collapsed="false">
      <c r="A10799" s="51" t="s">
        <v>484</v>
      </c>
      <c r="B10799" s="55" t="n">
        <v>45838</v>
      </c>
      <c r="C10799" s="51" t="s">
        <v>782</v>
      </c>
      <c r="D10799" s="51" t="n">
        <v>0</v>
      </c>
    </row>
    <row r="10800" customFormat="false" ht="15" hidden="true" customHeight="false" outlineLevel="0" collapsed="false">
      <c r="A10800" s="51" t="s">
        <v>489</v>
      </c>
      <c r="B10800" s="55" t="n">
        <v>45838</v>
      </c>
      <c r="C10800" s="51" t="s">
        <v>782</v>
      </c>
      <c r="D10800" s="51" t="n">
        <v>0</v>
      </c>
    </row>
    <row r="10801" customFormat="false" ht="15" hidden="true" customHeight="false" outlineLevel="0" collapsed="false">
      <c r="A10801" s="51" t="s">
        <v>494</v>
      </c>
      <c r="B10801" s="55" t="n">
        <v>45838</v>
      </c>
      <c r="C10801" s="51" t="s">
        <v>782</v>
      </c>
      <c r="D10801" s="51" t="n">
        <v>0</v>
      </c>
    </row>
    <row r="10802" customFormat="false" ht="15" hidden="true" customHeight="false" outlineLevel="0" collapsed="false">
      <c r="A10802" s="51" t="s">
        <v>499</v>
      </c>
      <c r="B10802" s="55" t="n">
        <v>45838</v>
      </c>
      <c r="C10802" s="51" t="s">
        <v>782</v>
      </c>
      <c r="D10802" s="51" t="n">
        <v>0</v>
      </c>
    </row>
    <row r="10803" customFormat="false" ht="15" hidden="true" customHeight="false" outlineLevel="0" collapsed="false">
      <c r="A10803" s="51" t="s">
        <v>504</v>
      </c>
      <c r="B10803" s="55" t="n">
        <v>45838</v>
      </c>
      <c r="C10803" s="51" t="s">
        <v>782</v>
      </c>
      <c r="D10803" s="51" t="n">
        <v>0</v>
      </c>
    </row>
    <row r="10804" customFormat="false" ht="15" hidden="true" customHeight="false" outlineLevel="0" collapsed="false">
      <c r="A10804" s="51" t="s">
        <v>509</v>
      </c>
      <c r="B10804" s="55" t="n">
        <v>45838</v>
      </c>
      <c r="C10804" s="51" t="s">
        <v>782</v>
      </c>
      <c r="D10804" s="51" t="n">
        <v>0</v>
      </c>
    </row>
    <row r="10805" customFormat="false" ht="15" hidden="true" customHeight="false" outlineLevel="0" collapsed="false">
      <c r="A10805" s="51" t="s">
        <v>515</v>
      </c>
      <c r="B10805" s="55" t="n">
        <v>45838</v>
      </c>
      <c r="C10805" s="51" t="s">
        <v>782</v>
      </c>
      <c r="D10805" s="51" t="n">
        <v>0</v>
      </c>
    </row>
    <row r="10806" customFormat="false" ht="15" hidden="true" customHeight="false" outlineLevel="0" collapsed="false">
      <c r="A10806" s="51" t="s">
        <v>520</v>
      </c>
      <c r="B10806" s="55" t="n">
        <v>45838</v>
      </c>
      <c r="C10806" s="51" t="s">
        <v>782</v>
      </c>
      <c r="D10806" s="51" t="n">
        <v>0</v>
      </c>
    </row>
    <row r="10807" customFormat="false" ht="15" hidden="true" customHeight="false" outlineLevel="0" collapsed="false">
      <c r="A10807" s="51" t="s">
        <v>525</v>
      </c>
      <c r="B10807" s="55" t="n">
        <v>45838</v>
      </c>
      <c r="C10807" s="51" t="s">
        <v>782</v>
      </c>
      <c r="D10807" s="51" t="n">
        <v>0</v>
      </c>
    </row>
    <row r="10808" customFormat="false" ht="15" hidden="true" customHeight="false" outlineLevel="0" collapsed="false">
      <c r="A10808" s="51" t="s">
        <v>531</v>
      </c>
      <c r="B10808" s="55" t="n">
        <v>45838</v>
      </c>
      <c r="C10808" s="51" t="s">
        <v>782</v>
      </c>
      <c r="D10808" s="51" t="n">
        <v>0</v>
      </c>
    </row>
    <row r="10809" customFormat="false" ht="15" hidden="true" customHeight="false" outlineLevel="0" collapsed="false">
      <c r="A10809" s="51" t="s">
        <v>536</v>
      </c>
      <c r="B10809" s="55" t="n">
        <v>45838</v>
      </c>
      <c r="C10809" s="51" t="s">
        <v>782</v>
      </c>
      <c r="D10809" s="51" t="n">
        <v>0</v>
      </c>
    </row>
    <row r="10810" customFormat="false" ht="15" hidden="true" customHeight="false" outlineLevel="0" collapsed="false">
      <c r="A10810" s="51" t="s">
        <v>541</v>
      </c>
      <c r="B10810" s="55" t="n">
        <v>45838</v>
      </c>
      <c r="C10810" s="51" t="s">
        <v>782</v>
      </c>
      <c r="D10810" s="51" t="n">
        <v>0</v>
      </c>
    </row>
    <row r="10811" customFormat="false" ht="15" hidden="true" customHeight="false" outlineLevel="0" collapsed="false">
      <c r="A10811" s="51" t="s">
        <v>549</v>
      </c>
      <c r="B10811" s="55" t="n">
        <v>45838</v>
      </c>
      <c r="C10811" s="51" t="s">
        <v>782</v>
      </c>
      <c r="D10811" s="51" t="n">
        <v>0</v>
      </c>
    </row>
    <row r="10812" customFormat="false" ht="15" hidden="true" customHeight="false" outlineLevel="0" collapsed="false">
      <c r="A10812" s="51" t="s">
        <v>554</v>
      </c>
      <c r="B10812" s="55" t="n">
        <v>45838</v>
      </c>
      <c r="C10812" s="51" t="s">
        <v>782</v>
      </c>
      <c r="D10812" s="51" t="n">
        <v>0</v>
      </c>
    </row>
    <row r="10813" customFormat="false" ht="15" hidden="true" customHeight="false" outlineLevel="0" collapsed="false">
      <c r="A10813" s="51" t="s">
        <v>559</v>
      </c>
      <c r="B10813" s="55" t="n">
        <v>45838</v>
      </c>
      <c r="C10813" s="51" t="s">
        <v>782</v>
      </c>
      <c r="D10813" s="51" t="n">
        <v>0</v>
      </c>
    </row>
    <row r="10814" customFormat="false" ht="15" hidden="true" customHeight="false" outlineLevel="0" collapsed="false">
      <c r="A10814" s="51" t="s">
        <v>564</v>
      </c>
      <c r="B10814" s="55" t="n">
        <v>45838</v>
      </c>
      <c r="C10814" s="51" t="s">
        <v>782</v>
      </c>
      <c r="D10814" s="51" t="n">
        <v>0</v>
      </c>
    </row>
    <row r="10815" customFormat="false" ht="15" hidden="true" customHeight="false" outlineLevel="0" collapsed="false">
      <c r="A10815" s="51" t="s">
        <v>569</v>
      </c>
      <c r="B10815" s="55" t="n">
        <v>45838</v>
      </c>
      <c r="C10815" s="51" t="s">
        <v>782</v>
      </c>
      <c r="D10815" s="51" t="n">
        <v>250000</v>
      </c>
    </row>
    <row r="10816" customFormat="false" ht="15" hidden="true" customHeight="false" outlineLevel="0" collapsed="false">
      <c r="A10816" s="51" t="s">
        <v>574</v>
      </c>
      <c r="B10816" s="55" t="n">
        <v>45838</v>
      </c>
      <c r="C10816" s="51" t="s">
        <v>782</v>
      </c>
      <c r="D10816" s="51" t="n">
        <v>0</v>
      </c>
    </row>
    <row r="10817" customFormat="false" ht="15" hidden="true" customHeight="false" outlineLevel="0" collapsed="false">
      <c r="A10817" s="51" t="s">
        <v>579</v>
      </c>
      <c r="B10817" s="55" t="n">
        <v>45838</v>
      </c>
      <c r="C10817" s="51" t="s">
        <v>782</v>
      </c>
      <c r="D10817" s="51" t="n">
        <v>0</v>
      </c>
    </row>
    <row r="10818" customFormat="false" ht="15" hidden="true" customHeight="false" outlineLevel="0" collapsed="false">
      <c r="A10818" s="51" t="s">
        <v>584</v>
      </c>
      <c r="B10818" s="55" t="n">
        <v>45838</v>
      </c>
      <c r="C10818" s="51" t="s">
        <v>782</v>
      </c>
      <c r="D10818" s="51" t="n">
        <v>0</v>
      </c>
    </row>
    <row r="10819" customFormat="false" ht="15" hidden="true" customHeight="false" outlineLevel="0" collapsed="false">
      <c r="A10819" s="51" t="s">
        <v>589</v>
      </c>
      <c r="B10819" s="55" t="n">
        <v>45838</v>
      </c>
      <c r="C10819" s="51" t="s">
        <v>782</v>
      </c>
      <c r="D10819" s="51" t="n">
        <v>0</v>
      </c>
    </row>
    <row r="10820" customFormat="false" ht="15" hidden="true" customHeight="false" outlineLevel="0" collapsed="false">
      <c r="A10820" s="51" t="s">
        <v>756</v>
      </c>
      <c r="B10820" s="55" t="n">
        <v>45838</v>
      </c>
      <c r="C10820" s="51" t="s">
        <v>782</v>
      </c>
      <c r="D10820" s="51" t="n">
        <v>0</v>
      </c>
    </row>
    <row r="10821" customFormat="false" ht="15" hidden="true" customHeight="false" outlineLevel="0" collapsed="false">
      <c r="A10821" s="51" t="s">
        <v>594</v>
      </c>
      <c r="B10821" s="55" t="n">
        <v>45838</v>
      </c>
      <c r="C10821" s="51" t="s">
        <v>782</v>
      </c>
      <c r="D10821" s="51" t="n">
        <v>0</v>
      </c>
    </row>
    <row r="10822" customFormat="false" ht="15" hidden="true" customHeight="false" outlineLevel="0" collapsed="false">
      <c r="A10822" s="51" t="s">
        <v>761</v>
      </c>
      <c r="B10822" s="55" t="n">
        <v>45838</v>
      </c>
      <c r="C10822" s="51" t="s">
        <v>782</v>
      </c>
      <c r="D10822" s="51" t="n">
        <v>0</v>
      </c>
    </row>
    <row r="10823" customFormat="false" ht="15" hidden="true" customHeight="false" outlineLevel="0" collapsed="false">
      <c r="A10823" s="51" t="s">
        <v>599</v>
      </c>
      <c r="B10823" s="55" t="n">
        <v>45838</v>
      </c>
      <c r="C10823" s="51" t="s">
        <v>782</v>
      </c>
      <c r="D10823" s="51" t="n">
        <v>0</v>
      </c>
    </row>
    <row r="10824" customFormat="false" ht="15" hidden="true" customHeight="false" outlineLevel="0" collapsed="false">
      <c r="A10824" s="51" t="s">
        <v>604</v>
      </c>
      <c r="B10824" s="55" t="n">
        <v>45838</v>
      </c>
      <c r="C10824" s="51" t="s">
        <v>782</v>
      </c>
      <c r="D10824" s="51" t="n">
        <v>0</v>
      </c>
    </row>
    <row r="10825" customFormat="false" ht="15" hidden="true" customHeight="false" outlineLevel="0" collapsed="false">
      <c r="A10825" s="51" t="s">
        <v>609</v>
      </c>
      <c r="B10825" s="55" t="n">
        <v>45838</v>
      </c>
      <c r="C10825" s="51" t="s">
        <v>782</v>
      </c>
      <c r="D10825" s="51" t="n">
        <v>0</v>
      </c>
    </row>
    <row r="10826" customFormat="false" ht="15" hidden="true" customHeight="false" outlineLevel="0" collapsed="false">
      <c r="A10826" s="51" t="s">
        <v>614</v>
      </c>
      <c r="B10826" s="55" t="n">
        <v>45838</v>
      </c>
      <c r="C10826" s="51" t="s">
        <v>782</v>
      </c>
      <c r="D10826" s="51" t="n">
        <v>0</v>
      </c>
    </row>
    <row r="10827" customFormat="false" ht="15" hidden="true" customHeight="false" outlineLevel="0" collapsed="false">
      <c r="A10827" s="51" t="s">
        <v>619</v>
      </c>
      <c r="B10827" s="55" t="n">
        <v>45838</v>
      </c>
      <c r="C10827" s="51" t="s">
        <v>782</v>
      </c>
      <c r="D10827" s="51" t="n">
        <v>0</v>
      </c>
    </row>
    <row r="10828" customFormat="false" ht="15" hidden="true" customHeight="false" outlineLevel="0" collapsed="false">
      <c r="A10828" s="51" t="s">
        <v>624</v>
      </c>
      <c r="B10828" s="55" t="n">
        <v>45838</v>
      </c>
      <c r="C10828" s="51" t="s">
        <v>782</v>
      </c>
      <c r="D10828" s="51" t="n">
        <v>0</v>
      </c>
    </row>
    <row r="10829" customFormat="false" ht="15" hidden="true" customHeight="false" outlineLevel="0" collapsed="false">
      <c r="A10829" s="51" t="s">
        <v>629</v>
      </c>
      <c r="B10829" s="55" t="n">
        <v>45838</v>
      </c>
      <c r="C10829" s="51" t="s">
        <v>782</v>
      </c>
      <c r="D10829" s="51" t="n">
        <v>0</v>
      </c>
    </row>
    <row r="10830" customFormat="false" ht="15" hidden="true" customHeight="false" outlineLevel="0" collapsed="false">
      <c r="A10830" s="51" t="s">
        <v>633</v>
      </c>
      <c r="B10830" s="55" t="n">
        <v>45838</v>
      </c>
      <c r="C10830" s="51" t="s">
        <v>782</v>
      </c>
      <c r="D10830" s="51" t="n">
        <v>1270000</v>
      </c>
    </row>
    <row r="10831" customFormat="false" ht="15" hidden="true" customHeight="false" outlineLevel="0" collapsed="false">
      <c r="A10831" s="51" t="s">
        <v>638</v>
      </c>
      <c r="B10831" s="55" t="n">
        <v>45838</v>
      </c>
      <c r="C10831" s="51" t="s">
        <v>782</v>
      </c>
      <c r="D10831" s="51" t="n">
        <v>500000</v>
      </c>
    </row>
    <row r="10832" customFormat="false" ht="15" hidden="true" customHeight="false" outlineLevel="0" collapsed="false">
      <c r="A10832" s="51" t="s">
        <v>642</v>
      </c>
      <c r="B10832" s="55" t="n">
        <v>45838</v>
      </c>
      <c r="C10832" s="51" t="s">
        <v>782</v>
      </c>
      <c r="D10832" s="51" t="n">
        <v>2255000</v>
      </c>
    </row>
    <row r="10833" customFormat="false" ht="15" hidden="true" customHeight="false" outlineLevel="0" collapsed="false">
      <c r="A10833" s="51" t="s">
        <v>646</v>
      </c>
      <c r="B10833" s="55" t="n">
        <v>45838</v>
      </c>
      <c r="C10833" s="51" t="s">
        <v>782</v>
      </c>
      <c r="D10833" s="51" t="n">
        <v>0</v>
      </c>
    </row>
    <row r="10834" customFormat="false" ht="15" hidden="true" customHeight="false" outlineLevel="0" collapsed="false">
      <c r="A10834" s="51" t="s">
        <v>651</v>
      </c>
      <c r="B10834" s="55" t="n">
        <v>45838</v>
      </c>
      <c r="C10834" s="51" t="s">
        <v>782</v>
      </c>
      <c r="D10834" s="51" t="n">
        <v>250000</v>
      </c>
    </row>
    <row r="10835" customFormat="false" ht="15" hidden="true" customHeight="false" outlineLevel="0" collapsed="false">
      <c r="A10835" s="51" t="s">
        <v>656</v>
      </c>
      <c r="B10835" s="55" t="n">
        <v>45838</v>
      </c>
      <c r="C10835" s="51" t="s">
        <v>782</v>
      </c>
      <c r="D10835" s="51" t="n">
        <v>263736</v>
      </c>
    </row>
    <row r="10836" customFormat="false" ht="15" hidden="true" customHeight="false" outlineLevel="0" collapsed="false">
      <c r="A10836" s="51" t="s">
        <v>661</v>
      </c>
      <c r="B10836" s="55" t="n">
        <v>45838</v>
      </c>
      <c r="C10836" s="51" t="s">
        <v>782</v>
      </c>
      <c r="D10836" s="51" t="n">
        <v>1799829.24</v>
      </c>
    </row>
    <row r="10837" customFormat="false" ht="15" hidden="true" customHeight="false" outlineLevel="0" collapsed="false">
      <c r="A10837" s="51" t="s">
        <v>666</v>
      </c>
      <c r="B10837" s="55" t="n">
        <v>45838</v>
      </c>
      <c r="C10837" s="51" t="s">
        <v>782</v>
      </c>
      <c r="D10837" s="51" t="n">
        <v>0</v>
      </c>
    </row>
    <row r="10838" customFormat="false" ht="15" hidden="true" customHeight="false" outlineLevel="0" collapsed="false">
      <c r="A10838" s="51" t="s">
        <v>671</v>
      </c>
      <c r="B10838" s="55" t="n">
        <v>45838</v>
      </c>
      <c r="C10838" s="51" t="s">
        <v>782</v>
      </c>
      <c r="D10838" s="51" t="n">
        <v>1540000</v>
      </c>
    </row>
    <row r="10839" customFormat="false" ht="15" hidden="true" customHeight="false" outlineLevel="0" collapsed="false">
      <c r="A10839" s="51" t="s">
        <v>676</v>
      </c>
      <c r="B10839" s="55" t="n">
        <v>45838</v>
      </c>
      <c r="C10839" s="51" t="s">
        <v>782</v>
      </c>
      <c r="D10839" s="51" t="n">
        <v>1000000</v>
      </c>
    </row>
    <row r="10840" customFormat="false" ht="15" hidden="true" customHeight="false" outlineLevel="0" collapsed="false">
      <c r="A10840" s="51" t="s">
        <v>681</v>
      </c>
      <c r="B10840" s="55" t="n">
        <v>45838</v>
      </c>
      <c r="C10840" s="51" t="s">
        <v>782</v>
      </c>
      <c r="D10840" s="51" t="n">
        <v>1000000</v>
      </c>
    </row>
    <row r="10841" customFormat="false" ht="15" hidden="true" customHeight="false" outlineLevel="0" collapsed="false">
      <c r="A10841" s="51" t="s">
        <v>686</v>
      </c>
      <c r="B10841" s="55" t="n">
        <v>45838</v>
      </c>
      <c r="C10841" s="51" t="s">
        <v>782</v>
      </c>
      <c r="D10841" s="51" t="n">
        <v>0</v>
      </c>
    </row>
    <row r="10842" customFormat="false" ht="15" hidden="true" customHeight="false" outlineLevel="0" collapsed="false">
      <c r="A10842" s="51" t="s">
        <v>691</v>
      </c>
      <c r="B10842" s="55" t="n">
        <v>45838</v>
      </c>
      <c r="C10842" s="51" t="s">
        <v>782</v>
      </c>
      <c r="D10842" s="51" t="n">
        <v>0</v>
      </c>
    </row>
    <row r="10843" customFormat="false" ht="15" hidden="true" customHeight="false" outlineLevel="0" collapsed="false">
      <c r="A10843" s="51" t="s">
        <v>696</v>
      </c>
      <c r="B10843" s="55" t="n">
        <v>45838</v>
      </c>
      <c r="C10843" s="51" t="s">
        <v>782</v>
      </c>
      <c r="D10843" s="51" t="n">
        <v>0</v>
      </c>
    </row>
    <row r="10844" customFormat="false" ht="15" hidden="true" customHeight="false" outlineLevel="0" collapsed="false">
      <c r="A10844" s="51" t="s">
        <v>701</v>
      </c>
      <c r="B10844" s="55" t="n">
        <v>45838</v>
      </c>
      <c r="C10844" s="51" t="s">
        <v>782</v>
      </c>
      <c r="D10844" s="51" t="n">
        <v>0</v>
      </c>
    </row>
    <row r="10845" customFormat="false" ht="15" hidden="true" customHeight="false" outlineLevel="0" collapsed="false">
      <c r="A10845" s="51" t="s">
        <v>707</v>
      </c>
      <c r="B10845" s="55" t="n">
        <v>45838</v>
      </c>
      <c r="C10845" s="51" t="s">
        <v>782</v>
      </c>
      <c r="D10845" s="51" t="n">
        <v>0</v>
      </c>
    </row>
    <row r="10846" customFormat="false" ht="15" hidden="true" customHeight="false" outlineLevel="0" collapsed="false">
      <c r="A10846" s="51" t="s">
        <v>712</v>
      </c>
      <c r="B10846" s="55" t="n">
        <v>45838</v>
      </c>
      <c r="C10846" s="51" t="s">
        <v>782</v>
      </c>
      <c r="D10846" s="51" t="n">
        <v>0</v>
      </c>
    </row>
    <row r="10847" customFormat="false" ht="15" hidden="true" customHeight="false" outlineLevel="0" collapsed="false">
      <c r="A10847" s="51" t="s">
        <v>717</v>
      </c>
      <c r="B10847" s="55" t="n">
        <v>45838</v>
      </c>
      <c r="C10847" s="51" t="s">
        <v>782</v>
      </c>
      <c r="D10847" s="51" t="n">
        <v>0</v>
      </c>
    </row>
    <row r="10848" customFormat="false" ht="15" hidden="true" customHeight="false" outlineLevel="0" collapsed="false">
      <c r="A10848" s="51" t="s">
        <v>767</v>
      </c>
      <c r="B10848" s="55" t="n">
        <v>45838</v>
      </c>
      <c r="C10848" s="51" t="s">
        <v>782</v>
      </c>
      <c r="D10848" s="51" t="n">
        <v>0</v>
      </c>
    </row>
    <row r="10849" customFormat="false" ht="15" hidden="true" customHeight="false" outlineLevel="0" collapsed="false">
      <c r="A10849" s="51" t="s">
        <v>722</v>
      </c>
      <c r="B10849" s="55" t="n">
        <v>45838</v>
      </c>
      <c r="C10849" s="51" t="s">
        <v>782</v>
      </c>
      <c r="D10849" s="51" t="n">
        <v>0</v>
      </c>
    </row>
    <row r="10850" customFormat="false" ht="15" hidden="true" customHeight="false" outlineLevel="0" collapsed="false">
      <c r="A10850" s="51" t="s">
        <v>727</v>
      </c>
      <c r="B10850" s="55" t="n">
        <v>45838</v>
      </c>
      <c r="C10850" s="51" t="s">
        <v>782</v>
      </c>
      <c r="D10850" s="51" t="n">
        <v>0</v>
      </c>
    </row>
    <row r="10851" customFormat="false" ht="15" hidden="true" customHeight="false" outlineLevel="0" collapsed="false">
      <c r="A10851" s="51" t="s">
        <v>732</v>
      </c>
      <c r="B10851" s="55" t="n">
        <v>45838</v>
      </c>
      <c r="C10851" s="51" t="s">
        <v>782</v>
      </c>
      <c r="D10851" s="51" t="n">
        <v>0</v>
      </c>
    </row>
    <row r="10852" customFormat="false" ht="15" hidden="true" customHeight="false" outlineLevel="0" collapsed="false">
      <c r="A10852" s="51" t="s">
        <v>736</v>
      </c>
      <c r="B10852" s="55" t="n">
        <v>45838</v>
      </c>
      <c r="C10852" s="51" t="s">
        <v>782</v>
      </c>
      <c r="D10852" s="51" t="n">
        <v>0</v>
      </c>
    </row>
    <row r="10853" customFormat="false" ht="15" hidden="true" customHeight="false" outlineLevel="0" collapsed="false">
      <c r="A10853" s="51" t="s">
        <v>741</v>
      </c>
      <c r="B10853" s="55" t="n">
        <v>45838</v>
      </c>
      <c r="C10853" s="51" t="s">
        <v>782</v>
      </c>
      <c r="D10853" s="51" t="n">
        <v>0</v>
      </c>
    </row>
    <row r="10854" customFormat="false" ht="15" hidden="true" customHeight="false" outlineLevel="0" collapsed="false">
      <c r="A10854" s="51" t="s">
        <v>746</v>
      </c>
      <c r="B10854" s="55" t="n">
        <v>45838</v>
      </c>
      <c r="C10854" s="51" t="s">
        <v>782</v>
      </c>
      <c r="D10854" s="51" t="n">
        <v>0</v>
      </c>
    </row>
    <row r="10855" customFormat="false" ht="15" hidden="true" customHeight="false" outlineLevel="0" collapsed="false">
      <c r="A10855" s="51" t="s">
        <v>751</v>
      </c>
      <c r="B10855" s="55" t="n">
        <v>45838</v>
      </c>
      <c r="C10855" s="51" t="s">
        <v>782</v>
      </c>
      <c r="D10855" s="51" t="n">
        <v>0</v>
      </c>
    </row>
    <row r="10856" customFormat="false" ht="15" hidden="false" customHeight="false" outlineLevel="0" collapsed="false">
      <c r="A10856" s="51" t="s">
        <v>781</v>
      </c>
      <c r="B10856" s="55" t="n">
        <v>45838</v>
      </c>
      <c r="C10856" s="51" t="s">
        <v>82</v>
      </c>
      <c r="D10856" s="51" t="n">
        <v>0</v>
      </c>
    </row>
    <row r="10857" customFormat="false" ht="15" hidden="true" customHeight="false" outlineLevel="0" collapsed="false">
      <c r="A10857" s="51" t="s">
        <v>783</v>
      </c>
      <c r="B10857" s="55" t="n">
        <v>45838</v>
      </c>
      <c r="C10857" s="51" t="s">
        <v>82</v>
      </c>
      <c r="D10857" s="51" t="n">
        <v>0</v>
      </c>
    </row>
    <row r="10858" customFormat="false" ht="15" hidden="true" customHeight="false" outlineLevel="0" collapsed="false">
      <c r="A10858" s="51" t="s">
        <v>96</v>
      </c>
      <c r="B10858" s="55" t="n">
        <v>45838</v>
      </c>
      <c r="C10858" s="51" t="s">
        <v>82</v>
      </c>
      <c r="D10858" s="51" t="n">
        <v>0</v>
      </c>
    </row>
    <row r="10859" customFormat="false" ht="15" hidden="true" customHeight="false" outlineLevel="0" collapsed="false">
      <c r="A10859" s="51" t="s">
        <v>101</v>
      </c>
      <c r="B10859" s="55" t="n">
        <v>45838</v>
      </c>
      <c r="C10859" s="51" t="s">
        <v>82</v>
      </c>
      <c r="D10859" s="51" t="n">
        <v>0</v>
      </c>
    </row>
    <row r="10860" customFormat="false" ht="15" hidden="true" customHeight="false" outlineLevel="0" collapsed="false">
      <c r="A10860" s="51" t="s">
        <v>106</v>
      </c>
      <c r="B10860" s="55" t="n">
        <v>45838</v>
      </c>
      <c r="C10860" s="51" t="s">
        <v>82</v>
      </c>
      <c r="D10860" s="51" t="n">
        <v>0</v>
      </c>
    </row>
    <row r="10861" customFormat="false" ht="15" hidden="true" customHeight="false" outlineLevel="0" collapsed="false">
      <c r="A10861" s="51" t="s">
        <v>110</v>
      </c>
      <c r="B10861" s="55" t="n">
        <v>45838</v>
      </c>
      <c r="C10861" s="51" t="s">
        <v>82</v>
      </c>
      <c r="D10861" s="51" t="n">
        <v>0</v>
      </c>
    </row>
    <row r="10862" customFormat="false" ht="15" hidden="true" customHeight="false" outlineLevel="0" collapsed="false">
      <c r="A10862" s="51" t="s">
        <v>115</v>
      </c>
      <c r="B10862" s="55" t="n">
        <v>45838</v>
      </c>
      <c r="C10862" s="51" t="s">
        <v>82</v>
      </c>
      <c r="D10862" s="51" t="n">
        <v>0</v>
      </c>
    </row>
    <row r="10863" customFormat="false" ht="15" hidden="true" customHeight="false" outlineLevel="0" collapsed="false">
      <c r="A10863" s="51" t="s">
        <v>120</v>
      </c>
      <c r="B10863" s="55" t="n">
        <v>45838</v>
      </c>
      <c r="C10863" s="51" t="s">
        <v>82</v>
      </c>
      <c r="D10863" s="51" t="n">
        <v>0</v>
      </c>
    </row>
    <row r="10864" customFormat="false" ht="15" hidden="true" customHeight="false" outlineLevel="0" collapsed="false">
      <c r="A10864" s="51" t="s">
        <v>124</v>
      </c>
      <c r="B10864" s="55" t="n">
        <v>45838</v>
      </c>
      <c r="C10864" s="51" t="s">
        <v>82</v>
      </c>
      <c r="D10864" s="51" t="n">
        <v>0</v>
      </c>
    </row>
    <row r="10865" customFormat="false" ht="15" hidden="true" customHeight="false" outlineLevel="0" collapsed="false">
      <c r="A10865" s="51" t="s">
        <v>129</v>
      </c>
      <c r="B10865" s="55" t="n">
        <v>45838</v>
      </c>
      <c r="C10865" s="51" t="s">
        <v>82</v>
      </c>
      <c r="D10865" s="51" t="n">
        <v>0</v>
      </c>
    </row>
    <row r="10866" customFormat="false" ht="15" hidden="true" customHeight="false" outlineLevel="0" collapsed="false">
      <c r="A10866" s="51" t="s">
        <v>134</v>
      </c>
      <c r="B10866" s="55" t="n">
        <v>45838</v>
      </c>
      <c r="C10866" s="51" t="s">
        <v>82</v>
      </c>
      <c r="D10866" s="51" t="n">
        <v>0</v>
      </c>
    </row>
    <row r="10867" customFormat="false" ht="15" hidden="true" customHeight="false" outlineLevel="0" collapsed="false">
      <c r="A10867" s="51" t="s">
        <v>141</v>
      </c>
      <c r="B10867" s="55" t="n">
        <v>45838</v>
      </c>
      <c r="C10867" s="51" t="s">
        <v>82</v>
      </c>
      <c r="D10867" s="51" t="n">
        <v>0</v>
      </c>
    </row>
    <row r="10868" customFormat="false" ht="15" hidden="true" customHeight="false" outlineLevel="0" collapsed="false">
      <c r="A10868" s="51" t="s">
        <v>146</v>
      </c>
      <c r="B10868" s="55" t="n">
        <v>45838</v>
      </c>
      <c r="C10868" s="51" t="s">
        <v>82</v>
      </c>
      <c r="D10868" s="51" t="n">
        <v>0</v>
      </c>
    </row>
    <row r="10869" customFormat="false" ht="15" hidden="true" customHeight="false" outlineLevel="0" collapsed="false">
      <c r="A10869" s="51" t="s">
        <v>151</v>
      </c>
      <c r="B10869" s="55" t="n">
        <v>45838</v>
      </c>
      <c r="C10869" s="51" t="s">
        <v>82</v>
      </c>
      <c r="D10869" s="51" t="n">
        <v>0</v>
      </c>
    </row>
    <row r="10870" customFormat="false" ht="15" hidden="true" customHeight="false" outlineLevel="0" collapsed="false">
      <c r="A10870" s="51" t="s">
        <v>156</v>
      </c>
      <c r="B10870" s="55" t="n">
        <v>45838</v>
      </c>
      <c r="C10870" s="51" t="s">
        <v>82</v>
      </c>
      <c r="D10870" s="51" t="n">
        <v>0</v>
      </c>
    </row>
    <row r="10871" customFormat="false" ht="15" hidden="true" customHeight="false" outlineLevel="0" collapsed="false">
      <c r="A10871" s="51" t="s">
        <v>161</v>
      </c>
      <c r="B10871" s="55" t="n">
        <v>45838</v>
      </c>
      <c r="C10871" s="51" t="s">
        <v>82</v>
      </c>
      <c r="D10871" s="51" t="n">
        <v>0</v>
      </c>
    </row>
    <row r="10872" customFormat="false" ht="15" hidden="true" customHeight="false" outlineLevel="0" collapsed="false">
      <c r="A10872" s="51" t="s">
        <v>166</v>
      </c>
      <c r="B10872" s="55" t="n">
        <v>45838</v>
      </c>
      <c r="C10872" s="51" t="s">
        <v>82</v>
      </c>
      <c r="D10872" s="51" t="n">
        <v>0</v>
      </c>
    </row>
    <row r="10873" customFormat="false" ht="15" hidden="true" customHeight="false" outlineLevel="0" collapsed="false">
      <c r="A10873" s="51" t="s">
        <v>171</v>
      </c>
      <c r="B10873" s="55" t="n">
        <v>45838</v>
      </c>
      <c r="C10873" s="51" t="s">
        <v>82</v>
      </c>
      <c r="D10873" s="51" t="n">
        <v>0</v>
      </c>
    </row>
    <row r="10874" customFormat="false" ht="15" hidden="true" customHeight="false" outlineLevel="0" collapsed="false">
      <c r="A10874" s="51" t="s">
        <v>176</v>
      </c>
      <c r="B10874" s="55" t="n">
        <v>45838</v>
      </c>
      <c r="C10874" s="51" t="s">
        <v>82</v>
      </c>
      <c r="D10874" s="51" t="n">
        <v>0</v>
      </c>
    </row>
    <row r="10875" customFormat="false" ht="15" hidden="true" customHeight="false" outlineLevel="0" collapsed="false">
      <c r="A10875" s="51" t="s">
        <v>181</v>
      </c>
      <c r="B10875" s="55" t="n">
        <v>45838</v>
      </c>
      <c r="C10875" s="51" t="s">
        <v>82</v>
      </c>
      <c r="D10875" s="51" t="n">
        <v>0</v>
      </c>
    </row>
    <row r="10876" customFormat="false" ht="15" hidden="true" customHeight="false" outlineLevel="0" collapsed="false">
      <c r="A10876" s="51" t="s">
        <v>186</v>
      </c>
      <c r="B10876" s="55" t="n">
        <v>45838</v>
      </c>
      <c r="C10876" s="51" t="s">
        <v>82</v>
      </c>
      <c r="D10876" s="51" t="n">
        <v>0</v>
      </c>
    </row>
    <row r="10877" customFormat="false" ht="15" hidden="true" customHeight="false" outlineLevel="0" collapsed="false">
      <c r="A10877" s="51" t="s">
        <v>191</v>
      </c>
      <c r="B10877" s="55" t="n">
        <v>45838</v>
      </c>
      <c r="C10877" s="51" t="s">
        <v>82</v>
      </c>
      <c r="D10877" s="51" t="n">
        <v>0</v>
      </c>
    </row>
    <row r="10878" customFormat="false" ht="15" hidden="true" customHeight="false" outlineLevel="0" collapsed="false">
      <c r="A10878" s="51" t="s">
        <v>196</v>
      </c>
      <c r="B10878" s="55" t="n">
        <v>45838</v>
      </c>
      <c r="C10878" s="51" t="s">
        <v>82</v>
      </c>
      <c r="D10878" s="51" t="n">
        <v>0</v>
      </c>
    </row>
    <row r="10879" customFormat="false" ht="15" hidden="true" customHeight="false" outlineLevel="0" collapsed="false">
      <c r="A10879" s="51" t="s">
        <v>201</v>
      </c>
      <c r="B10879" s="55" t="n">
        <v>45838</v>
      </c>
      <c r="C10879" s="51" t="s">
        <v>82</v>
      </c>
      <c r="D10879" s="51" t="n">
        <v>0</v>
      </c>
    </row>
    <row r="10880" customFormat="false" ht="15" hidden="true" customHeight="false" outlineLevel="0" collapsed="false">
      <c r="A10880" s="51" t="s">
        <v>206</v>
      </c>
      <c r="B10880" s="55" t="n">
        <v>45838</v>
      </c>
      <c r="C10880" s="51" t="s">
        <v>82</v>
      </c>
      <c r="D10880" s="51" t="n">
        <v>0</v>
      </c>
    </row>
    <row r="10881" customFormat="false" ht="15" hidden="true" customHeight="false" outlineLevel="0" collapsed="false">
      <c r="A10881" s="51" t="s">
        <v>210</v>
      </c>
      <c r="B10881" s="55" t="n">
        <v>45838</v>
      </c>
      <c r="C10881" s="51" t="s">
        <v>82</v>
      </c>
      <c r="D10881" s="51" t="n">
        <v>0</v>
      </c>
    </row>
    <row r="10882" customFormat="false" ht="15" hidden="true" customHeight="false" outlineLevel="0" collapsed="false">
      <c r="A10882" s="51" t="s">
        <v>215</v>
      </c>
      <c r="B10882" s="55" t="n">
        <v>45838</v>
      </c>
      <c r="C10882" s="51" t="s">
        <v>82</v>
      </c>
      <c r="D10882" s="51" t="n">
        <v>0</v>
      </c>
    </row>
    <row r="10883" customFormat="false" ht="15" hidden="true" customHeight="false" outlineLevel="0" collapsed="false">
      <c r="A10883" s="51" t="s">
        <v>790</v>
      </c>
      <c r="B10883" s="55" t="n">
        <v>45838</v>
      </c>
      <c r="C10883" s="51" t="s">
        <v>82</v>
      </c>
      <c r="D10883" s="51" t="n">
        <v>0</v>
      </c>
    </row>
    <row r="10884" customFormat="false" ht="15" hidden="true" customHeight="false" outlineLevel="0" collapsed="false">
      <c r="A10884" s="51" t="s">
        <v>225</v>
      </c>
      <c r="B10884" s="55" t="n">
        <v>45838</v>
      </c>
      <c r="C10884" s="51" t="s">
        <v>82</v>
      </c>
      <c r="D10884" s="51" t="n">
        <v>0</v>
      </c>
    </row>
    <row r="10885" customFormat="false" ht="15" hidden="true" customHeight="false" outlineLevel="0" collapsed="false">
      <c r="A10885" s="51" t="s">
        <v>230</v>
      </c>
      <c r="B10885" s="55" t="n">
        <v>45838</v>
      </c>
      <c r="C10885" s="51" t="s">
        <v>82</v>
      </c>
      <c r="D10885" s="51" t="n">
        <v>0</v>
      </c>
    </row>
    <row r="10886" customFormat="false" ht="15" hidden="true" customHeight="false" outlineLevel="0" collapsed="false">
      <c r="A10886" s="51" t="s">
        <v>235</v>
      </c>
      <c r="B10886" s="55" t="n">
        <v>45838</v>
      </c>
      <c r="C10886" s="51" t="s">
        <v>82</v>
      </c>
      <c r="D10886" s="51" t="n">
        <v>0</v>
      </c>
    </row>
    <row r="10887" customFormat="false" ht="15" hidden="true" customHeight="false" outlineLevel="0" collapsed="false">
      <c r="A10887" s="51" t="s">
        <v>240</v>
      </c>
      <c r="B10887" s="55" t="n">
        <v>45838</v>
      </c>
      <c r="C10887" s="51" t="s">
        <v>82</v>
      </c>
      <c r="D10887" s="51" t="n">
        <v>0</v>
      </c>
    </row>
    <row r="10888" customFormat="false" ht="15" hidden="true" customHeight="false" outlineLevel="0" collapsed="false">
      <c r="A10888" s="51" t="s">
        <v>246</v>
      </c>
      <c r="B10888" s="55" t="n">
        <v>45838</v>
      </c>
      <c r="C10888" s="51" t="s">
        <v>82</v>
      </c>
      <c r="D10888" s="51" t="n">
        <v>0</v>
      </c>
    </row>
    <row r="10889" customFormat="false" ht="15" hidden="true" customHeight="false" outlineLevel="0" collapsed="false">
      <c r="A10889" s="51" t="s">
        <v>252</v>
      </c>
      <c r="B10889" s="55" t="n">
        <v>45838</v>
      </c>
      <c r="C10889" s="51" t="s">
        <v>82</v>
      </c>
      <c r="D10889" s="51" t="n">
        <v>0</v>
      </c>
    </row>
    <row r="10890" customFormat="false" ht="15" hidden="true" customHeight="false" outlineLevel="0" collapsed="false">
      <c r="A10890" s="51" t="s">
        <v>257</v>
      </c>
      <c r="B10890" s="55" t="n">
        <v>45838</v>
      </c>
      <c r="C10890" s="51" t="s">
        <v>82</v>
      </c>
      <c r="D10890" s="51" t="n">
        <v>0</v>
      </c>
    </row>
    <row r="10891" customFormat="false" ht="15" hidden="true" customHeight="false" outlineLevel="0" collapsed="false">
      <c r="A10891" s="51" t="s">
        <v>262</v>
      </c>
      <c r="B10891" s="55" t="n">
        <v>45838</v>
      </c>
      <c r="C10891" s="51" t="s">
        <v>82</v>
      </c>
      <c r="D10891" s="51" t="n">
        <v>0</v>
      </c>
    </row>
    <row r="10892" customFormat="false" ht="15" hidden="true" customHeight="false" outlineLevel="0" collapsed="false">
      <c r="A10892" s="51" t="s">
        <v>267</v>
      </c>
      <c r="B10892" s="55" t="n">
        <v>45838</v>
      </c>
      <c r="C10892" s="51" t="s">
        <v>82</v>
      </c>
      <c r="D10892" s="51" t="n">
        <v>0</v>
      </c>
    </row>
    <row r="10893" customFormat="false" ht="15" hidden="true" customHeight="false" outlineLevel="0" collapsed="false">
      <c r="A10893" s="51" t="s">
        <v>272</v>
      </c>
      <c r="B10893" s="55" t="n">
        <v>45838</v>
      </c>
      <c r="C10893" s="51" t="s">
        <v>82</v>
      </c>
      <c r="D10893" s="51" t="n">
        <v>0</v>
      </c>
    </row>
    <row r="10894" customFormat="false" ht="15" hidden="true" customHeight="false" outlineLevel="0" collapsed="false">
      <c r="A10894" s="51" t="s">
        <v>277</v>
      </c>
      <c r="B10894" s="55" t="n">
        <v>45838</v>
      </c>
      <c r="C10894" s="51" t="s">
        <v>82</v>
      </c>
      <c r="D10894" s="51" t="n">
        <v>0</v>
      </c>
    </row>
    <row r="10895" customFormat="false" ht="15" hidden="true" customHeight="false" outlineLevel="0" collapsed="false">
      <c r="A10895" s="51" t="s">
        <v>282</v>
      </c>
      <c r="B10895" s="55" t="n">
        <v>45838</v>
      </c>
      <c r="C10895" s="51" t="s">
        <v>82</v>
      </c>
      <c r="D10895" s="51" t="n">
        <v>0</v>
      </c>
    </row>
    <row r="10896" customFormat="false" ht="15" hidden="true" customHeight="false" outlineLevel="0" collapsed="false">
      <c r="A10896" s="51" t="s">
        <v>287</v>
      </c>
      <c r="B10896" s="55" t="n">
        <v>45838</v>
      </c>
      <c r="C10896" s="51" t="s">
        <v>82</v>
      </c>
      <c r="D10896" s="51" t="n">
        <v>0</v>
      </c>
    </row>
    <row r="10897" customFormat="false" ht="15" hidden="true" customHeight="false" outlineLevel="0" collapsed="false">
      <c r="A10897" s="51" t="s">
        <v>292</v>
      </c>
      <c r="B10897" s="55" t="n">
        <v>45838</v>
      </c>
      <c r="C10897" s="51" t="s">
        <v>82</v>
      </c>
      <c r="D10897" s="51" t="n">
        <v>0</v>
      </c>
    </row>
    <row r="10898" customFormat="false" ht="15" hidden="true" customHeight="false" outlineLevel="0" collapsed="false">
      <c r="A10898" s="51" t="s">
        <v>297</v>
      </c>
      <c r="B10898" s="55" t="n">
        <v>45838</v>
      </c>
      <c r="C10898" s="51" t="s">
        <v>82</v>
      </c>
      <c r="D10898" s="51" t="n">
        <v>0</v>
      </c>
    </row>
    <row r="10899" customFormat="false" ht="15" hidden="true" customHeight="false" outlineLevel="0" collapsed="false">
      <c r="A10899" s="51" t="s">
        <v>302</v>
      </c>
      <c r="B10899" s="55" t="n">
        <v>45838</v>
      </c>
      <c r="C10899" s="51" t="s">
        <v>82</v>
      </c>
      <c r="D10899" s="51" t="n">
        <v>0</v>
      </c>
    </row>
    <row r="10900" customFormat="false" ht="15" hidden="true" customHeight="false" outlineLevel="0" collapsed="false">
      <c r="A10900" s="51" t="s">
        <v>307</v>
      </c>
      <c r="B10900" s="55" t="n">
        <v>45838</v>
      </c>
      <c r="C10900" s="51" t="s">
        <v>82</v>
      </c>
      <c r="D10900" s="51" t="n">
        <v>0</v>
      </c>
    </row>
    <row r="10901" customFormat="false" ht="15" hidden="true" customHeight="false" outlineLevel="0" collapsed="false">
      <c r="A10901" s="51" t="s">
        <v>311</v>
      </c>
      <c r="B10901" s="55" t="n">
        <v>45838</v>
      </c>
      <c r="C10901" s="51" t="s">
        <v>82</v>
      </c>
      <c r="D10901" s="51" t="n">
        <v>0</v>
      </c>
    </row>
    <row r="10902" customFormat="false" ht="15" hidden="true" customHeight="false" outlineLevel="0" collapsed="false">
      <c r="A10902" s="51" t="s">
        <v>317</v>
      </c>
      <c r="B10902" s="55" t="n">
        <v>45838</v>
      </c>
      <c r="C10902" s="51" t="s">
        <v>82</v>
      </c>
      <c r="D10902" s="51" t="n">
        <v>0</v>
      </c>
    </row>
    <row r="10903" customFormat="false" ht="15" hidden="true" customHeight="false" outlineLevel="0" collapsed="false">
      <c r="A10903" s="51" t="s">
        <v>322</v>
      </c>
      <c r="B10903" s="55" t="n">
        <v>45838</v>
      </c>
      <c r="C10903" s="51" t="s">
        <v>82</v>
      </c>
      <c r="D10903" s="51" t="n">
        <v>0</v>
      </c>
    </row>
    <row r="10904" customFormat="false" ht="15" hidden="true" customHeight="false" outlineLevel="0" collapsed="false">
      <c r="A10904" s="51" t="s">
        <v>327</v>
      </c>
      <c r="B10904" s="55" t="n">
        <v>45838</v>
      </c>
      <c r="C10904" s="51" t="s">
        <v>82</v>
      </c>
      <c r="D10904" s="51" t="n">
        <v>0</v>
      </c>
    </row>
    <row r="10905" customFormat="false" ht="15" hidden="true" customHeight="false" outlineLevel="0" collapsed="false">
      <c r="A10905" s="51" t="s">
        <v>332</v>
      </c>
      <c r="B10905" s="55" t="n">
        <v>45838</v>
      </c>
      <c r="C10905" s="51" t="s">
        <v>82</v>
      </c>
      <c r="D10905" s="51" t="n">
        <v>0</v>
      </c>
    </row>
    <row r="10906" customFormat="false" ht="15" hidden="true" customHeight="false" outlineLevel="0" collapsed="false">
      <c r="A10906" s="51" t="s">
        <v>339</v>
      </c>
      <c r="B10906" s="55" t="n">
        <v>45838</v>
      </c>
      <c r="C10906" s="51" t="s">
        <v>82</v>
      </c>
      <c r="D10906" s="51" t="n">
        <v>0</v>
      </c>
    </row>
    <row r="10907" customFormat="false" ht="15" hidden="true" customHeight="false" outlineLevel="0" collapsed="false">
      <c r="A10907" s="51" t="s">
        <v>344</v>
      </c>
      <c r="B10907" s="55" t="n">
        <v>45838</v>
      </c>
      <c r="C10907" s="51" t="s">
        <v>82</v>
      </c>
      <c r="D10907" s="51" t="n">
        <v>0</v>
      </c>
    </row>
    <row r="10908" customFormat="false" ht="15" hidden="true" customHeight="false" outlineLevel="0" collapsed="false">
      <c r="A10908" s="51" t="s">
        <v>349</v>
      </c>
      <c r="B10908" s="55" t="n">
        <v>45838</v>
      </c>
      <c r="C10908" s="51" t="s">
        <v>82</v>
      </c>
      <c r="D10908" s="51" t="n">
        <v>0</v>
      </c>
    </row>
    <row r="10909" customFormat="false" ht="15" hidden="true" customHeight="false" outlineLevel="0" collapsed="false">
      <c r="A10909" s="51" t="s">
        <v>354</v>
      </c>
      <c r="B10909" s="55" t="n">
        <v>45838</v>
      </c>
      <c r="C10909" s="51" t="s">
        <v>82</v>
      </c>
      <c r="D10909" s="51" t="n">
        <v>0</v>
      </c>
    </row>
    <row r="10910" customFormat="false" ht="15" hidden="true" customHeight="false" outlineLevel="0" collapsed="false">
      <c r="A10910" s="51" t="s">
        <v>359</v>
      </c>
      <c r="B10910" s="55" t="n">
        <v>45838</v>
      </c>
      <c r="C10910" s="51" t="s">
        <v>82</v>
      </c>
      <c r="D10910" s="51" t="n">
        <v>0</v>
      </c>
    </row>
    <row r="10911" customFormat="false" ht="15" hidden="true" customHeight="false" outlineLevel="0" collapsed="false">
      <c r="A10911" s="51" t="s">
        <v>364</v>
      </c>
      <c r="B10911" s="55" t="n">
        <v>45838</v>
      </c>
      <c r="C10911" s="51" t="s">
        <v>82</v>
      </c>
      <c r="D10911" s="51" t="n">
        <v>0</v>
      </c>
    </row>
    <row r="10912" customFormat="false" ht="15" hidden="true" customHeight="false" outlineLevel="0" collapsed="false">
      <c r="A10912" s="51" t="s">
        <v>369</v>
      </c>
      <c r="B10912" s="55" t="n">
        <v>45838</v>
      </c>
      <c r="C10912" s="51" t="s">
        <v>82</v>
      </c>
      <c r="D10912" s="51" t="n">
        <v>0</v>
      </c>
    </row>
    <row r="10913" customFormat="false" ht="15" hidden="true" customHeight="false" outlineLevel="0" collapsed="false">
      <c r="A10913" s="51" t="s">
        <v>374</v>
      </c>
      <c r="B10913" s="55" t="n">
        <v>45838</v>
      </c>
      <c r="C10913" s="51" t="s">
        <v>82</v>
      </c>
      <c r="D10913" s="51" t="n">
        <v>0</v>
      </c>
    </row>
    <row r="10914" customFormat="false" ht="15" hidden="true" customHeight="false" outlineLevel="0" collapsed="false">
      <c r="A10914" s="51" t="s">
        <v>379</v>
      </c>
      <c r="B10914" s="55" t="n">
        <v>45838</v>
      </c>
      <c r="C10914" s="51" t="s">
        <v>82</v>
      </c>
      <c r="D10914" s="51" t="n">
        <v>0</v>
      </c>
    </row>
    <row r="10915" customFormat="false" ht="15" hidden="true" customHeight="false" outlineLevel="0" collapsed="false">
      <c r="A10915" s="51" t="s">
        <v>384</v>
      </c>
      <c r="B10915" s="55" t="n">
        <v>45838</v>
      </c>
      <c r="C10915" s="51" t="s">
        <v>82</v>
      </c>
      <c r="D10915" s="51" t="n">
        <v>0</v>
      </c>
    </row>
    <row r="10916" customFormat="false" ht="15" hidden="true" customHeight="false" outlineLevel="0" collapsed="false">
      <c r="A10916" s="51" t="s">
        <v>389</v>
      </c>
      <c r="B10916" s="55" t="n">
        <v>45838</v>
      </c>
      <c r="C10916" s="51" t="s">
        <v>82</v>
      </c>
      <c r="D10916" s="51" t="n">
        <v>0</v>
      </c>
    </row>
    <row r="10917" customFormat="false" ht="15" hidden="true" customHeight="false" outlineLevel="0" collapsed="false">
      <c r="A10917" s="51" t="s">
        <v>394</v>
      </c>
      <c r="B10917" s="55" t="n">
        <v>45838</v>
      </c>
      <c r="C10917" s="51" t="s">
        <v>82</v>
      </c>
      <c r="D10917" s="51" t="n">
        <v>0</v>
      </c>
    </row>
    <row r="10918" customFormat="false" ht="15" hidden="true" customHeight="false" outlineLevel="0" collapsed="false">
      <c r="A10918" s="51" t="s">
        <v>399</v>
      </c>
      <c r="B10918" s="55" t="n">
        <v>45838</v>
      </c>
      <c r="C10918" s="51" t="s">
        <v>82</v>
      </c>
      <c r="D10918" s="51" t="n">
        <v>0</v>
      </c>
    </row>
    <row r="10919" customFormat="false" ht="15" hidden="true" customHeight="false" outlineLevel="0" collapsed="false">
      <c r="A10919" s="51" t="s">
        <v>404</v>
      </c>
      <c r="B10919" s="55" t="n">
        <v>45838</v>
      </c>
      <c r="C10919" s="51" t="s">
        <v>82</v>
      </c>
      <c r="D10919" s="51" t="n">
        <v>0</v>
      </c>
    </row>
    <row r="10920" customFormat="false" ht="15" hidden="true" customHeight="false" outlineLevel="0" collapsed="false">
      <c r="A10920" s="51" t="s">
        <v>409</v>
      </c>
      <c r="B10920" s="55" t="n">
        <v>45838</v>
      </c>
      <c r="C10920" s="51" t="s">
        <v>82</v>
      </c>
      <c r="D10920" s="51" t="n">
        <v>0</v>
      </c>
    </row>
    <row r="10921" customFormat="false" ht="15" hidden="true" customHeight="false" outlineLevel="0" collapsed="false">
      <c r="A10921" s="51" t="s">
        <v>414</v>
      </c>
      <c r="B10921" s="55" t="n">
        <v>45838</v>
      </c>
      <c r="C10921" s="51" t="s">
        <v>82</v>
      </c>
      <c r="D10921" s="51" t="n">
        <v>0</v>
      </c>
    </row>
    <row r="10922" customFormat="false" ht="15" hidden="true" customHeight="false" outlineLevel="0" collapsed="false">
      <c r="A10922" s="51" t="s">
        <v>419</v>
      </c>
      <c r="B10922" s="55" t="n">
        <v>45838</v>
      </c>
      <c r="C10922" s="51" t="s">
        <v>82</v>
      </c>
      <c r="D10922" s="51" t="n">
        <v>0</v>
      </c>
    </row>
    <row r="10923" customFormat="false" ht="15" hidden="true" customHeight="false" outlineLevel="0" collapsed="false">
      <c r="A10923" s="51" t="s">
        <v>424</v>
      </c>
      <c r="B10923" s="55" t="n">
        <v>45838</v>
      </c>
      <c r="C10923" s="51" t="s">
        <v>82</v>
      </c>
      <c r="D10923" s="51" t="n">
        <v>0</v>
      </c>
    </row>
    <row r="10924" customFormat="false" ht="15" hidden="true" customHeight="false" outlineLevel="0" collapsed="false">
      <c r="A10924" s="51" t="s">
        <v>429</v>
      </c>
      <c r="B10924" s="55" t="n">
        <v>45838</v>
      </c>
      <c r="C10924" s="51" t="s">
        <v>82</v>
      </c>
      <c r="D10924" s="51" t="n">
        <v>0</v>
      </c>
    </row>
    <row r="10925" customFormat="false" ht="15" hidden="true" customHeight="false" outlineLevel="0" collapsed="false">
      <c r="A10925" s="51" t="s">
        <v>434</v>
      </c>
      <c r="B10925" s="55" t="n">
        <v>45838</v>
      </c>
      <c r="C10925" s="51" t="s">
        <v>82</v>
      </c>
      <c r="D10925" s="51" t="n">
        <v>0</v>
      </c>
    </row>
    <row r="10926" customFormat="false" ht="15" hidden="true" customHeight="false" outlineLevel="0" collapsed="false">
      <c r="A10926" s="51" t="s">
        <v>438</v>
      </c>
      <c r="B10926" s="55" t="n">
        <v>45838</v>
      </c>
      <c r="C10926" s="51" t="s">
        <v>82</v>
      </c>
      <c r="D10926" s="51" t="n">
        <v>0</v>
      </c>
    </row>
    <row r="10927" customFormat="false" ht="15" hidden="true" customHeight="false" outlineLevel="0" collapsed="false">
      <c r="A10927" s="51" t="s">
        <v>443</v>
      </c>
      <c r="B10927" s="55" t="n">
        <v>45838</v>
      </c>
      <c r="C10927" s="51" t="s">
        <v>82</v>
      </c>
      <c r="D10927" s="51" t="n">
        <v>0</v>
      </c>
    </row>
    <row r="10928" customFormat="false" ht="15" hidden="true" customHeight="false" outlineLevel="0" collapsed="false">
      <c r="A10928" s="51" t="s">
        <v>448</v>
      </c>
      <c r="B10928" s="55" t="n">
        <v>45838</v>
      </c>
      <c r="C10928" s="51" t="s">
        <v>82</v>
      </c>
      <c r="D10928" s="51" t="n">
        <v>0</v>
      </c>
    </row>
    <row r="10929" customFormat="false" ht="15" hidden="true" customHeight="false" outlineLevel="0" collapsed="false">
      <c r="A10929" s="51" t="s">
        <v>453</v>
      </c>
      <c r="B10929" s="55" t="n">
        <v>45838</v>
      </c>
      <c r="C10929" s="51" t="s">
        <v>82</v>
      </c>
      <c r="D10929" s="51" t="n">
        <v>0</v>
      </c>
    </row>
    <row r="10930" customFormat="false" ht="15" hidden="true" customHeight="false" outlineLevel="0" collapsed="false">
      <c r="A10930" s="51" t="s">
        <v>458</v>
      </c>
      <c r="B10930" s="55" t="n">
        <v>45838</v>
      </c>
      <c r="C10930" s="51" t="s">
        <v>82</v>
      </c>
      <c r="D10930" s="51" t="n">
        <v>0</v>
      </c>
    </row>
    <row r="10931" customFormat="false" ht="15" hidden="true" customHeight="false" outlineLevel="0" collapsed="false">
      <c r="A10931" s="51" t="s">
        <v>473</v>
      </c>
      <c r="B10931" s="55" t="n">
        <v>45838</v>
      </c>
      <c r="C10931" s="51" t="s">
        <v>82</v>
      </c>
      <c r="D10931" s="51" t="n">
        <v>0</v>
      </c>
    </row>
    <row r="10932" customFormat="false" ht="15" hidden="true" customHeight="false" outlineLevel="0" collapsed="false">
      <c r="A10932" s="51" t="s">
        <v>479</v>
      </c>
      <c r="B10932" s="55" t="n">
        <v>45838</v>
      </c>
      <c r="C10932" s="51" t="s">
        <v>82</v>
      </c>
      <c r="D10932" s="51" t="n">
        <v>0</v>
      </c>
    </row>
    <row r="10933" customFormat="false" ht="15" hidden="true" customHeight="false" outlineLevel="0" collapsed="false">
      <c r="A10933" s="51" t="s">
        <v>484</v>
      </c>
      <c r="B10933" s="55" t="n">
        <v>45838</v>
      </c>
      <c r="C10933" s="51" t="s">
        <v>82</v>
      </c>
      <c r="D10933" s="51" t="n">
        <v>0</v>
      </c>
    </row>
    <row r="10934" customFormat="false" ht="15" hidden="true" customHeight="false" outlineLevel="0" collapsed="false">
      <c r="A10934" s="51" t="s">
        <v>489</v>
      </c>
      <c r="B10934" s="55" t="n">
        <v>45838</v>
      </c>
      <c r="C10934" s="51" t="s">
        <v>82</v>
      </c>
      <c r="D10934" s="51" t="n">
        <v>0</v>
      </c>
    </row>
    <row r="10935" customFormat="false" ht="15" hidden="true" customHeight="false" outlineLevel="0" collapsed="false">
      <c r="A10935" s="51" t="s">
        <v>494</v>
      </c>
      <c r="B10935" s="55" t="n">
        <v>45838</v>
      </c>
      <c r="C10935" s="51" t="s">
        <v>82</v>
      </c>
      <c r="D10935" s="51" t="n">
        <v>0</v>
      </c>
    </row>
    <row r="10936" customFormat="false" ht="15" hidden="true" customHeight="false" outlineLevel="0" collapsed="false">
      <c r="A10936" s="51" t="s">
        <v>499</v>
      </c>
      <c r="B10936" s="55" t="n">
        <v>45838</v>
      </c>
      <c r="C10936" s="51" t="s">
        <v>82</v>
      </c>
      <c r="D10936" s="51" t="n">
        <v>0</v>
      </c>
    </row>
    <row r="10937" customFormat="false" ht="15" hidden="true" customHeight="false" outlineLevel="0" collapsed="false">
      <c r="A10937" s="51" t="s">
        <v>504</v>
      </c>
      <c r="B10937" s="55" t="n">
        <v>45838</v>
      </c>
      <c r="C10937" s="51" t="s">
        <v>82</v>
      </c>
      <c r="D10937" s="51" t="n">
        <v>0</v>
      </c>
    </row>
    <row r="10938" customFormat="false" ht="15" hidden="true" customHeight="false" outlineLevel="0" collapsed="false">
      <c r="A10938" s="51" t="s">
        <v>509</v>
      </c>
      <c r="B10938" s="55" t="n">
        <v>45838</v>
      </c>
      <c r="C10938" s="51" t="s">
        <v>82</v>
      </c>
      <c r="D10938" s="51" t="n">
        <v>0</v>
      </c>
    </row>
    <row r="10939" customFormat="false" ht="15" hidden="true" customHeight="false" outlineLevel="0" collapsed="false">
      <c r="A10939" s="51" t="s">
        <v>515</v>
      </c>
      <c r="B10939" s="55" t="n">
        <v>45838</v>
      </c>
      <c r="C10939" s="51" t="s">
        <v>82</v>
      </c>
      <c r="D10939" s="51" t="n">
        <v>0</v>
      </c>
    </row>
    <row r="10940" customFormat="false" ht="15" hidden="true" customHeight="false" outlineLevel="0" collapsed="false">
      <c r="A10940" s="51" t="s">
        <v>520</v>
      </c>
      <c r="B10940" s="55" t="n">
        <v>45838</v>
      </c>
      <c r="C10940" s="51" t="s">
        <v>82</v>
      </c>
      <c r="D10940" s="51" t="n">
        <v>0</v>
      </c>
    </row>
    <row r="10941" customFormat="false" ht="15" hidden="true" customHeight="false" outlineLevel="0" collapsed="false">
      <c r="A10941" s="51" t="s">
        <v>525</v>
      </c>
      <c r="B10941" s="55" t="n">
        <v>45838</v>
      </c>
      <c r="C10941" s="51" t="s">
        <v>82</v>
      </c>
      <c r="D10941" s="51" t="n">
        <v>0</v>
      </c>
    </row>
    <row r="10942" customFormat="false" ht="15" hidden="true" customHeight="false" outlineLevel="0" collapsed="false">
      <c r="A10942" s="51" t="s">
        <v>531</v>
      </c>
      <c r="B10942" s="55" t="n">
        <v>45838</v>
      </c>
      <c r="C10942" s="51" t="s">
        <v>82</v>
      </c>
      <c r="D10942" s="51" t="n">
        <v>0</v>
      </c>
    </row>
    <row r="10943" customFormat="false" ht="15" hidden="true" customHeight="false" outlineLevel="0" collapsed="false">
      <c r="A10943" s="51" t="s">
        <v>536</v>
      </c>
      <c r="B10943" s="55" t="n">
        <v>45838</v>
      </c>
      <c r="C10943" s="51" t="s">
        <v>82</v>
      </c>
      <c r="D10943" s="51" t="n">
        <v>0</v>
      </c>
    </row>
    <row r="10944" customFormat="false" ht="15" hidden="true" customHeight="false" outlineLevel="0" collapsed="false">
      <c r="A10944" s="51" t="s">
        <v>541</v>
      </c>
      <c r="B10944" s="55" t="n">
        <v>45838</v>
      </c>
      <c r="C10944" s="51" t="s">
        <v>82</v>
      </c>
      <c r="D10944" s="51" t="n">
        <v>0</v>
      </c>
    </row>
    <row r="10945" customFormat="false" ht="15" hidden="true" customHeight="false" outlineLevel="0" collapsed="false">
      <c r="A10945" s="51" t="s">
        <v>549</v>
      </c>
      <c r="B10945" s="55" t="n">
        <v>45838</v>
      </c>
      <c r="C10945" s="51" t="s">
        <v>82</v>
      </c>
      <c r="D10945" s="51" t="n">
        <v>0</v>
      </c>
    </row>
    <row r="10946" customFormat="false" ht="15" hidden="true" customHeight="false" outlineLevel="0" collapsed="false">
      <c r="A10946" s="51" t="s">
        <v>554</v>
      </c>
      <c r="B10946" s="55" t="n">
        <v>45838</v>
      </c>
      <c r="C10946" s="51" t="s">
        <v>82</v>
      </c>
      <c r="D10946" s="51" t="n">
        <v>0</v>
      </c>
    </row>
    <row r="10947" customFormat="false" ht="15" hidden="true" customHeight="false" outlineLevel="0" collapsed="false">
      <c r="A10947" s="51" t="s">
        <v>559</v>
      </c>
      <c r="B10947" s="55" t="n">
        <v>45838</v>
      </c>
      <c r="C10947" s="51" t="s">
        <v>82</v>
      </c>
      <c r="D10947" s="51" t="n">
        <v>0</v>
      </c>
    </row>
    <row r="10948" customFormat="false" ht="15" hidden="true" customHeight="false" outlineLevel="0" collapsed="false">
      <c r="A10948" s="51" t="s">
        <v>564</v>
      </c>
      <c r="B10948" s="55" t="n">
        <v>45838</v>
      </c>
      <c r="C10948" s="51" t="s">
        <v>82</v>
      </c>
      <c r="D10948" s="51" t="n">
        <v>0</v>
      </c>
    </row>
    <row r="10949" customFormat="false" ht="15" hidden="true" customHeight="false" outlineLevel="0" collapsed="false">
      <c r="A10949" s="51" t="s">
        <v>569</v>
      </c>
      <c r="B10949" s="55" t="n">
        <v>45838</v>
      </c>
      <c r="C10949" s="51" t="s">
        <v>82</v>
      </c>
      <c r="D10949" s="51" t="n">
        <v>250000</v>
      </c>
    </row>
    <row r="10950" customFormat="false" ht="15" hidden="true" customHeight="false" outlineLevel="0" collapsed="false">
      <c r="A10950" s="51" t="s">
        <v>574</v>
      </c>
      <c r="B10950" s="55" t="n">
        <v>45838</v>
      </c>
      <c r="C10950" s="51" t="s">
        <v>82</v>
      </c>
      <c r="D10950" s="51" t="n">
        <v>0</v>
      </c>
    </row>
    <row r="10951" customFormat="false" ht="15" hidden="true" customHeight="false" outlineLevel="0" collapsed="false">
      <c r="A10951" s="51" t="s">
        <v>579</v>
      </c>
      <c r="B10951" s="55" t="n">
        <v>45838</v>
      </c>
      <c r="C10951" s="51" t="s">
        <v>82</v>
      </c>
      <c r="D10951" s="51" t="n">
        <v>0</v>
      </c>
    </row>
    <row r="10952" customFormat="false" ht="15" hidden="true" customHeight="false" outlineLevel="0" collapsed="false">
      <c r="A10952" s="51" t="s">
        <v>584</v>
      </c>
      <c r="B10952" s="55" t="n">
        <v>45838</v>
      </c>
      <c r="C10952" s="51" t="s">
        <v>82</v>
      </c>
      <c r="D10952" s="51" t="n">
        <v>0</v>
      </c>
    </row>
    <row r="10953" customFormat="false" ht="15" hidden="true" customHeight="false" outlineLevel="0" collapsed="false">
      <c r="A10953" s="51" t="s">
        <v>589</v>
      </c>
      <c r="B10953" s="55" t="n">
        <v>45838</v>
      </c>
      <c r="C10953" s="51" t="s">
        <v>82</v>
      </c>
      <c r="D10953" s="51" t="n">
        <v>0</v>
      </c>
    </row>
    <row r="10954" customFormat="false" ht="15" hidden="true" customHeight="false" outlineLevel="0" collapsed="false">
      <c r="A10954" s="51" t="s">
        <v>756</v>
      </c>
      <c r="B10954" s="55" t="n">
        <v>45838</v>
      </c>
      <c r="C10954" s="51" t="s">
        <v>82</v>
      </c>
      <c r="D10954" s="51" t="n">
        <v>0</v>
      </c>
    </row>
    <row r="10955" customFormat="false" ht="15" hidden="true" customHeight="false" outlineLevel="0" collapsed="false">
      <c r="A10955" s="51" t="s">
        <v>594</v>
      </c>
      <c r="B10955" s="55" t="n">
        <v>45838</v>
      </c>
      <c r="C10955" s="51" t="s">
        <v>82</v>
      </c>
      <c r="D10955" s="51" t="n">
        <v>0</v>
      </c>
    </row>
    <row r="10956" customFormat="false" ht="15" hidden="true" customHeight="false" outlineLevel="0" collapsed="false">
      <c r="A10956" s="51" t="s">
        <v>761</v>
      </c>
      <c r="B10956" s="55" t="n">
        <v>45838</v>
      </c>
      <c r="C10956" s="51" t="s">
        <v>82</v>
      </c>
      <c r="D10956" s="51" t="n">
        <v>0</v>
      </c>
    </row>
    <row r="10957" customFormat="false" ht="15" hidden="true" customHeight="false" outlineLevel="0" collapsed="false">
      <c r="A10957" s="51" t="s">
        <v>599</v>
      </c>
      <c r="B10957" s="55" t="n">
        <v>45838</v>
      </c>
      <c r="C10957" s="51" t="s">
        <v>82</v>
      </c>
      <c r="D10957" s="51" t="n">
        <v>0</v>
      </c>
    </row>
    <row r="10958" customFormat="false" ht="15" hidden="true" customHeight="false" outlineLevel="0" collapsed="false">
      <c r="A10958" s="51" t="s">
        <v>604</v>
      </c>
      <c r="B10958" s="55" t="n">
        <v>45838</v>
      </c>
      <c r="C10958" s="51" t="s">
        <v>82</v>
      </c>
      <c r="D10958" s="51" t="n">
        <v>0</v>
      </c>
    </row>
    <row r="10959" customFormat="false" ht="15" hidden="true" customHeight="false" outlineLevel="0" collapsed="false">
      <c r="A10959" s="51" t="s">
        <v>609</v>
      </c>
      <c r="B10959" s="55" t="n">
        <v>45838</v>
      </c>
      <c r="C10959" s="51" t="s">
        <v>82</v>
      </c>
      <c r="D10959" s="51" t="n">
        <v>0</v>
      </c>
    </row>
    <row r="10960" customFormat="false" ht="15" hidden="true" customHeight="false" outlineLevel="0" collapsed="false">
      <c r="A10960" s="51" t="s">
        <v>614</v>
      </c>
      <c r="B10960" s="55" t="n">
        <v>45838</v>
      </c>
      <c r="C10960" s="51" t="s">
        <v>82</v>
      </c>
      <c r="D10960" s="51" t="n">
        <v>0</v>
      </c>
    </row>
    <row r="10961" customFormat="false" ht="15" hidden="true" customHeight="false" outlineLevel="0" collapsed="false">
      <c r="A10961" s="51" t="s">
        <v>619</v>
      </c>
      <c r="B10961" s="55" t="n">
        <v>45838</v>
      </c>
      <c r="C10961" s="51" t="s">
        <v>82</v>
      </c>
      <c r="D10961" s="51" t="n">
        <v>0</v>
      </c>
    </row>
    <row r="10962" customFormat="false" ht="15" hidden="true" customHeight="false" outlineLevel="0" collapsed="false">
      <c r="A10962" s="51" t="s">
        <v>624</v>
      </c>
      <c r="B10962" s="55" t="n">
        <v>45838</v>
      </c>
      <c r="C10962" s="51" t="s">
        <v>82</v>
      </c>
      <c r="D10962" s="51" t="n">
        <v>0</v>
      </c>
    </row>
    <row r="10963" customFormat="false" ht="15" hidden="true" customHeight="false" outlineLevel="0" collapsed="false">
      <c r="A10963" s="51" t="s">
        <v>629</v>
      </c>
      <c r="B10963" s="55" t="n">
        <v>45838</v>
      </c>
      <c r="C10963" s="51" t="s">
        <v>82</v>
      </c>
      <c r="D10963" s="51" t="n">
        <v>0</v>
      </c>
    </row>
    <row r="10964" customFormat="false" ht="15" hidden="true" customHeight="false" outlineLevel="0" collapsed="false">
      <c r="A10964" s="51" t="s">
        <v>633</v>
      </c>
      <c r="B10964" s="55" t="n">
        <v>45838</v>
      </c>
      <c r="C10964" s="51" t="s">
        <v>82</v>
      </c>
      <c r="D10964" s="51" t="n">
        <v>1270000</v>
      </c>
    </row>
    <row r="10965" customFormat="false" ht="15" hidden="true" customHeight="false" outlineLevel="0" collapsed="false">
      <c r="A10965" s="51" t="s">
        <v>638</v>
      </c>
      <c r="B10965" s="55" t="n">
        <v>45838</v>
      </c>
      <c r="C10965" s="51" t="s">
        <v>82</v>
      </c>
      <c r="D10965" s="51" t="n">
        <v>500000</v>
      </c>
    </row>
    <row r="10966" customFormat="false" ht="15" hidden="true" customHeight="false" outlineLevel="0" collapsed="false">
      <c r="A10966" s="51" t="s">
        <v>642</v>
      </c>
      <c r="B10966" s="55" t="n">
        <v>45838</v>
      </c>
      <c r="C10966" s="51" t="s">
        <v>82</v>
      </c>
      <c r="D10966" s="51" t="n">
        <v>2255000</v>
      </c>
    </row>
    <row r="10967" customFormat="false" ht="15" hidden="true" customHeight="false" outlineLevel="0" collapsed="false">
      <c r="A10967" s="51" t="s">
        <v>646</v>
      </c>
      <c r="B10967" s="55" t="n">
        <v>45838</v>
      </c>
      <c r="C10967" s="51" t="s">
        <v>82</v>
      </c>
      <c r="D10967" s="51" t="n">
        <v>0</v>
      </c>
    </row>
    <row r="10968" customFormat="false" ht="15" hidden="true" customHeight="false" outlineLevel="0" collapsed="false">
      <c r="A10968" s="51" t="s">
        <v>651</v>
      </c>
      <c r="B10968" s="55" t="n">
        <v>45838</v>
      </c>
      <c r="C10968" s="51" t="s">
        <v>82</v>
      </c>
      <c r="D10968" s="51" t="n">
        <v>250000</v>
      </c>
    </row>
    <row r="10969" customFormat="false" ht="15" hidden="true" customHeight="false" outlineLevel="0" collapsed="false">
      <c r="A10969" s="51" t="s">
        <v>656</v>
      </c>
      <c r="B10969" s="55" t="n">
        <v>45838</v>
      </c>
      <c r="C10969" s="51" t="s">
        <v>82</v>
      </c>
      <c r="D10969" s="51" t="n">
        <v>263736</v>
      </c>
    </row>
    <row r="10970" customFormat="false" ht="15" hidden="true" customHeight="false" outlineLevel="0" collapsed="false">
      <c r="A10970" s="51" t="s">
        <v>661</v>
      </c>
      <c r="B10970" s="55" t="n">
        <v>45838</v>
      </c>
      <c r="C10970" s="51" t="s">
        <v>82</v>
      </c>
      <c r="D10970" s="51" t="n">
        <v>1799829.24</v>
      </c>
    </row>
    <row r="10971" customFormat="false" ht="15" hidden="true" customHeight="false" outlineLevel="0" collapsed="false">
      <c r="A10971" s="51" t="s">
        <v>666</v>
      </c>
      <c r="B10971" s="55" t="n">
        <v>45838</v>
      </c>
      <c r="C10971" s="51" t="s">
        <v>82</v>
      </c>
      <c r="D10971" s="51" t="n">
        <v>0</v>
      </c>
    </row>
    <row r="10972" customFormat="false" ht="15" hidden="true" customHeight="false" outlineLevel="0" collapsed="false">
      <c r="A10972" s="51" t="s">
        <v>671</v>
      </c>
      <c r="B10972" s="55" t="n">
        <v>45838</v>
      </c>
      <c r="C10972" s="51" t="s">
        <v>82</v>
      </c>
      <c r="D10972" s="51" t="n">
        <v>1540000</v>
      </c>
    </row>
    <row r="10973" customFormat="false" ht="15" hidden="true" customHeight="false" outlineLevel="0" collapsed="false">
      <c r="A10973" s="51" t="s">
        <v>676</v>
      </c>
      <c r="B10973" s="55" t="n">
        <v>45838</v>
      </c>
      <c r="C10973" s="51" t="s">
        <v>82</v>
      </c>
      <c r="D10973" s="51" t="n">
        <v>1000000</v>
      </c>
    </row>
    <row r="10974" customFormat="false" ht="15" hidden="true" customHeight="false" outlineLevel="0" collapsed="false">
      <c r="A10974" s="51" t="s">
        <v>681</v>
      </c>
      <c r="B10974" s="55" t="n">
        <v>45838</v>
      </c>
      <c r="C10974" s="51" t="s">
        <v>82</v>
      </c>
      <c r="D10974" s="51" t="n">
        <v>1000000</v>
      </c>
    </row>
    <row r="10975" customFormat="false" ht="15" hidden="true" customHeight="false" outlineLevel="0" collapsed="false">
      <c r="A10975" s="51" t="s">
        <v>686</v>
      </c>
      <c r="B10975" s="55" t="n">
        <v>45838</v>
      </c>
      <c r="C10975" s="51" t="s">
        <v>82</v>
      </c>
      <c r="D10975" s="51" t="n">
        <v>0</v>
      </c>
    </row>
    <row r="10976" customFormat="false" ht="15" hidden="true" customHeight="false" outlineLevel="0" collapsed="false">
      <c r="A10976" s="51" t="s">
        <v>691</v>
      </c>
      <c r="B10976" s="55" t="n">
        <v>45838</v>
      </c>
      <c r="C10976" s="51" t="s">
        <v>82</v>
      </c>
      <c r="D10976" s="51" t="n">
        <v>0</v>
      </c>
    </row>
    <row r="10977" customFormat="false" ht="15" hidden="true" customHeight="false" outlineLevel="0" collapsed="false">
      <c r="A10977" s="51" t="s">
        <v>696</v>
      </c>
      <c r="B10977" s="55" t="n">
        <v>45838</v>
      </c>
      <c r="C10977" s="51" t="s">
        <v>82</v>
      </c>
      <c r="D10977" s="51" t="n">
        <v>0</v>
      </c>
    </row>
    <row r="10978" customFormat="false" ht="15" hidden="true" customHeight="false" outlineLevel="0" collapsed="false">
      <c r="A10978" s="51" t="s">
        <v>701</v>
      </c>
      <c r="B10978" s="55" t="n">
        <v>45838</v>
      </c>
      <c r="C10978" s="51" t="s">
        <v>82</v>
      </c>
      <c r="D10978" s="51" t="n">
        <v>0</v>
      </c>
    </row>
    <row r="10979" customFormat="false" ht="15" hidden="true" customHeight="false" outlineLevel="0" collapsed="false">
      <c r="A10979" s="51" t="s">
        <v>707</v>
      </c>
      <c r="B10979" s="55" t="n">
        <v>45838</v>
      </c>
      <c r="C10979" s="51" t="s">
        <v>82</v>
      </c>
      <c r="D10979" s="51" t="n">
        <v>0</v>
      </c>
    </row>
    <row r="10980" customFormat="false" ht="15" hidden="true" customHeight="false" outlineLevel="0" collapsed="false">
      <c r="A10980" s="51" t="s">
        <v>712</v>
      </c>
      <c r="B10980" s="55" t="n">
        <v>45838</v>
      </c>
      <c r="C10980" s="51" t="s">
        <v>82</v>
      </c>
      <c r="D10980" s="51" t="n">
        <v>0</v>
      </c>
    </row>
    <row r="10981" customFormat="false" ht="15" hidden="true" customHeight="false" outlineLevel="0" collapsed="false">
      <c r="A10981" s="51" t="s">
        <v>717</v>
      </c>
      <c r="B10981" s="55" t="n">
        <v>45838</v>
      </c>
      <c r="C10981" s="51" t="s">
        <v>82</v>
      </c>
      <c r="D10981" s="51" t="n">
        <v>0</v>
      </c>
    </row>
    <row r="10982" customFormat="false" ht="15" hidden="true" customHeight="false" outlineLevel="0" collapsed="false">
      <c r="A10982" s="51" t="s">
        <v>767</v>
      </c>
      <c r="B10982" s="55" t="n">
        <v>45838</v>
      </c>
      <c r="C10982" s="51" t="s">
        <v>82</v>
      </c>
      <c r="D10982" s="51" t="n">
        <v>0</v>
      </c>
    </row>
    <row r="10983" customFormat="false" ht="15" hidden="true" customHeight="false" outlineLevel="0" collapsed="false">
      <c r="A10983" s="51" t="s">
        <v>722</v>
      </c>
      <c r="B10983" s="55" t="n">
        <v>45838</v>
      </c>
      <c r="C10983" s="51" t="s">
        <v>82</v>
      </c>
      <c r="D10983" s="51" t="n">
        <v>0</v>
      </c>
    </row>
    <row r="10984" customFormat="false" ht="15" hidden="true" customHeight="false" outlineLevel="0" collapsed="false">
      <c r="A10984" s="51" t="s">
        <v>727</v>
      </c>
      <c r="B10984" s="55" t="n">
        <v>45838</v>
      </c>
      <c r="C10984" s="51" t="s">
        <v>82</v>
      </c>
      <c r="D10984" s="51" t="n">
        <v>0</v>
      </c>
    </row>
    <row r="10985" customFormat="false" ht="15" hidden="true" customHeight="false" outlineLevel="0" collapsed="false">
      <c r="A10985" s="51" t="s">
        <v>732</v>
      </c>
      <c r="B10985" s="55" t="n">
        <v>45838</v>
      </c>
      <c r="C10985" s="51" t="s">
        <v>82</v>
      </c>
      <c r="D10985" s="51" t="n">
        <v>0</v>
      </c>
    </row>
    <row r="10986" customFormat="false" ht="15" hidden="true" customHeight="false" outlineLevel="0" collapsed="false">
      <c r="A10986" s="51" t="s">
        <v>736</v>
      </c>
      <c r="B10986" s="55" t="n">
        <v>45838</v>
      </c>
      <c r="C10986" s="51" t="s">
        <v>82</v>
      </c>
      <c r="D10986" s="51" t="n">
        <v>0</v>
      </c>
    </row>
    <row r="10987" customFormat="false" ht="15" hidden="true" customHeight="false" outlineLevel="0" collapsed="false">
      <c r="A10987" s="51" t="s">
        <v>741</v>
      </c>
      <c r="B10987" s="55" t="n">
        <v>45838</v>
      </c>
      <c r="C10987" s="51" t="s">
        <v>82</v>
      </c>
      <c r="D10987" s="51" t="n">
        <v>0</v>
      </c>
    </row>
    <row r="10988" customFormat="false" ht="15" hidden="true" customHeight="false" outlineLevel="0" collapsed="false">
      <c r="A10988" s="51" t="s">
        <v>746</v>
      </c>
      <c r="B10988" s="55" t="n">
        <v>45838</v>
      </c>
      <c r="C10988" s="51" t="s">
        <v>82</v>
      </c>
      <c r="D10988" s="51" t="n">
        <v>0</v>
      </c>
    </row>
    <row r="10989" customFormat="false" ht="15" hidden="true" customHeight="false" outlineLevel="0" collapsed="false">
      <c r="A10989" s="51" t="s">
        <v>751</v>
      </c>
      <c r="B10989" s="55" t="n">
        <v>45838</v>
      </c>
      <c r="C10989" s="51" t="s">
        <v>82</v>
      </c>
      <c r="D10989" s="51" t="n">
        <v>0</v>
      </c>
    </row>
    <row r="10990" customFormat="false" ht="15" hidden="false" customHeight="false" outlineLevel="0" collapsed="false">
      <c r="A10990" s="51" t="s">
        <v>781</v>
      </c>
      <c r="B10990" s="55" t="n">
        <v>45838</v>
      </c>
      <c r="C10990" s="51" t="s">
        <v>73</v>
      </c>
      <c r="D10990" s="51" t="n">
        <v>0</v>
      </c>
    </row>
    <row r="10991" customFormat="false" ht="15" hidden="true" customHeight="false" outlineLevel="0" collapsed="false">
      <c r="A10991" s="51" t="s">
        <v>783</v>
      </c>
      <c r="B10991" s="55" t="n">
        <v>45838</v>
      </c>
      <c r="C10991" s="51" t="s">
        <v>73</v>
      </c>
      <c r="D10991" s="51" t="n">
        <v>0</v>
      </c>
    </row>
    <row r="10992" customFormat="false" ht="15" hidden="true" customHeight="false" outlineLevel="0" collapsed="false">
      <c r="A10992" s="51" t="s">
        <v>96</v>
      </c>
      <c r="B10992" s="55" t="n">
        <v>45838</v>
      </c>
      <c r="C10992" s="51" t="s">
        <v>73</v>
      </c>
      <c r="D10992" s="51" t="n">
        <v>0</v>
      </c>
    </row>
    <row r="10993" customFormat="false" ht="15" hidden="true" customHeight="false" outlineLevel="0" collapsed="false">
      <c r="A10993" s="51" t="s">
        <v>101</v>
      </c>
      <c r="B10993" s="55" t="n">
        <v>45838</v>
      </c>
      <c r="C10993" s="51" t="s">
        <v>73</v>
      </c>
      <c r="D10993" s="51" t="n">
        <v>0</v>
      </c>
    </row>
    <row r="10994" customFormat="false" ht="15" hidden="true" customHeight="false" outlineLevel="0" collapsed="false">
      <c r="A10994" s="51" t="s">
        <v>106</v>
      </c>
      <c r="B10994" s="55" t="n">
        <v>45838</v>
      </c>
      <c r="C10994" s="51" t="s">
        <v>73</v>
      </c>
      <c r="D10994" s="51" t="n">
        <v>0</v>
      </c>
    </row>
    <row r="10995" customFormat="false" ht="15" hidden="true" customHeight="false" outlineLevel="0" collapsed="false">
      <c r="A10995" s="51" t="s">
        <v>110</v>
      </c>
      <c r="B10995" s="55" t="n">
        <v>45838</v>
      </c>
      <c r="C10995" s="51" t="s">
        <v>73</v>
      </c>
      <c r="D10995" s="51" t="n">
        <v>0</v>
      </c>
    </row>
    <row r="10996" customFormat="false" ht="15" hidden="true" customHeight="false" outlineLevel="0" collapsed="false">
      <c r="A10996" s="51" t="s">
        <v>115</v>
      </c>
      <c r="B10996" s="55" t="n">
        <v>45838</v>
      </c>
      <c r="C10996" s="51" t="s">
        <v>73</v>
      </c>
      <c r="D10996" s="51" t="n">
        <v>0</v>
      </c>
    </row>
    <row r="10997" customFormat="false" ht="15" hidden="true" customHeight="false" outlineLevel="0" collapsed="false">
      <c r="A10997" s="51" t="s">
        <v>120</v>
      </c>
      <c r="B10997" s="55" t="n">
        <v>45838</v>
      </c>
      <c r="C10997" s="51" t="s">
        <v>73</v>
      </c>
      <c r="D10997" s="51" t="n">
        <v>0</v>
      </c>
    </row>
    <row r="10998" customFormat="false" ht="15" hidden="true" customHeight="false" outlineLevel="0" collapsed="false">
      <c r="A10998" s="51" t="s">
        <v>124</v>
      </c>
      <c r="B10998" s="55" t="n">
        <v>45838</v>
      </c>
      <c r="C10998" s="51" t="s">
        <v>73</v>
      </c>
      <c r="D10998" s="51" t="n">
        <v>0</v>
      </c>
    </row>
    <row r="10999" customFormat="false" ht="15" hidden="true" customHeight="false" outlineLevel="0" collapsed="false">
      <c r="A10999" s="51" t="s">
        <v>129</v>
      </c>
      <c r="B10999" s="55" t="n">
        <v>45838</v>
      </c>
      <c r="C10999" s="51" t="s">
        <v>73</v>
      </c>
      <c r="D10999" s="51" t="n">
        <v>0</v>
      </c>
    </row>
    <row r="11000" customFormat="false" ht="15" hidden="true" customHeight="false" outlineLevel="0" collapsed="false">
      <c r="A11000" s="51" t="s">
        <v>134</v>
      </c>
      <c r="B11000" s="55" t="n">
        <v>45838</v>
      </c>
      <c r="C11000" s="51" t="s">
        <v>73</v>
      </c>
      <c r="D11000" s="51" t="n">
        <v>0</v>
      </c>
    </row>
    <row r="11001" customFormat="false" ht="15" hidden="true" customHeight="false" outlineLevel="0" collapsed="false">
      <c r="A11001" s="51" t="s">
        <v>141</v>
      </c>
      <c r="B11001" s="55" t="n">
        <v>45838</v>
      </c>
      <c r="C11001" s="51" t="s">
        <v>73</v>
      </c>
      <c r="D11001" s="51" t="n">
        <v>0</v>
      </c>
    </row>
    <row r="11002" customFormat="false" ht="15" hidden="true" customHeight="false" outlineLevel="0" collapsed="false">
      <c r="A11002" s="51" t="s">
        <v>146</v>
      </c>
      <c r="B11002" s="55" t="n">
        <v>45838</v>
      </c>
      <c r="C11002" s="51" t="s">
        <v>73</v>
      </c>
      <c r="D11002" s="51" t="n">
        <v>0</v>
      </c>
    </row>
    <row r="11003" customFormat="false" ht="15" hidden="true" customHeight="false" outlineLevel="0" collapsed="false">
      <c r="A11003" s="51" t="s">
        <v>151</v>
      </c>
      <c r="B11003" s="55" t="n">
        <v>45838</v>
      </c>
      <c r="C11003" s="51" t="s">
        <v>73</v>
      </c>
      <c r="D11003" s="51" t="n">
        <v>0</v>
      </c>
    </row>
    <row r="11004" customFormat="false" ht="15" hidden="true" customHeight="false" outlineLevel="0" collapsed="false">
      <c r="A11004" s="51" t="s">
        <v>156</v>
      </c>
      <c r="B11004" s="55" t="n">
        <v>45838</v>
      </c>
      <c r="C11004" s="51" t="s">
        <v>73</v>
      </c>
      <c r="D11004" s="51" t="n">
        <v>0</v>
      </c>
    </row>
    <row r="11005" customFormat="false" ht="15" hidden="true" customHeight="false" outlineLevel="0" collapsed="false">
      <c r="A11005" s="51" t="s">
        <v>161</v>
      </c>
      <c r="B11005" s="55" t="n">
        <v>45838</v>
      </c>
      <c r="C11005" s="51" t="s">
        <v>73</v>
      </c>
      <c r="D11005" s="51" t="n">
        <v>0</v>
      </c>
    </row>
    <row r="11006" customFormat="false" ht="15" hidden="true" customHeight="false" outlineLevel="0" collapsed="false">
      <c r="A11006" s="51" t="s">
        <v>166</v>
      </c>
      <c r="B11006" s="55" t="n">
        <v>45838</v>
      </c>
      <c r="C11006" s="51" t="s">
        <v>73</v>
      </c>
      <c r="D11006" s="51" t="n">
        <v>0</v>
      </c>
    </row>
    <row r="11007" customFormat="false" ht="15" hidden="true" customHeight="false" outlineLevel="0" collapsed="false">
      <c r="A11007" s="51" t="s">
        <v>171</v>
      </c>
      <c r="B11007" s="55" t="n">
        <v>45838</v>
      </c>
      <c r="C11007" s="51" t="s">
        <v>73</v>
      </c>
      <c r="D11007" s="51" t="n">
        <v>0</v>
      </c>
    </row>
    <row r="11008" customFormat="false" ht="15" hidden="true" customHeight="false" outlineLevel="0" collapsed="false">
      <c r="A11008" s="51" t="s">
        <v>176</v>
      </c>
      <c r="B11008" s="55" t="n">
        <v>45838</v>
      </c>
      <c r="C11008" s="51" t="s">
        <v>73</v>
      </c>
      <c r="D11008" s="51" t="n">
        <v>0</v>
      </c>
    </row>
    <row r="11009" customFormat="false" ht="15" hidden="true" customHeight="false" outlineLevel="0" collapsed="false">
      <c r="A11009" s="51" t="s">
        <v>181</v>
      </c>
      <c r="B11009" s="55" t="n">
        <v>45838</v>
      </c>
      <c r="C11009" s="51" t="s">
        <v>73</v>
      </c>
      <c r="D11009" s="51" t="n">
        <v>0</v>
      </c>
    </row>
    <row r="11010" customFormat="false" ht="15" hidden="true" customHeight="false" outlineLevel="0" collapsed="false">
      <c r="A11010" s="51" t="s">
        <v>186</v>
      </c>
      <c r="B11010" s="55" t="n">
        <v>45838</v>
      </c>
      <c r="C11010" s="51" t="s">
        <v>73</v>
      </c>
      <c r="D11010" s="51" t="n">
        <v>0</v>
      </c>
    </row>
    <row r="11011" customFormat="false" ht="15" hidden="true" customHeight="false" outlineLevel="0" collapsed="false">
      <c r="A11011" s="51" t="s">
        <v>191</v>
      </c>
      <c r="B11011" s="55" t="n">
        <v>45838</v>
      </c>
      <c r="C11011" s="51" t="s">
        <v>73</v>
      </c>
      <c r="D11011" s="51" t="n">
        <v>0</v>
      </c>
    </row>
    <row r="11012" customFormat="false" ht="15" hidden="true" customHeight="false" outlineLevel="0" collapsed="false">
      <c r="A11012" s="51" t="s">
        <v>196</v>
      </c>
      <c r="B11012" s="55" t="n">
        <v>45838</v>
      </c>
      <c r="C11012" s="51" t="s">
        <v>73</v>
      </c>
      <c r="D11012" s="51" t="n">
        <v>0</v>
      </c>
    </row>
    <row r="11013" customFormat="false" ht="15" hidden="true" customHeight="false" outlineLevel="0" collapsed="false">
      <c r="A11013" s="51" t="s">
        <v>201</v>
      </c>
      <c r="B11013" s="55" t="n">
        <v>45838</v>
      </c>
      <c r="C11013" s="51" t="s">
        <v>73</v>
      </c>
      <c r="D11013" s="51" t="n">
        <v>0</v>
      </c>
    </row>
    <row r="11014" customFormat="false" ht="15" hidden="true" customHeight="false" outlineLevel="0" collapsed="false">
      <c r="A11014" s="51" t="s">
        <v>206</v>
      </c>
      <c r="B11014" s="55" t="n">
        <v>45838</v>
      </c>
      <c r="C11014" s="51" t="s">
        <v>73</v>
      </c>
      <c r="D11014" s="51" t="n">
        <v>0</v>
      </c>
    </row>
    <row r="11015" customFormat="false" ht="15" hidden="true" customHeight="false" outlineLevel="0" collapsed="false">
      <c r="A11015" s="51" t="s">
        <v>210</v>
      </c>
      <c r="B11015" s="55" t="n">
        <v>45838</v>
      </c>
      <c r="C11015" s="51" t="s">
        <v>73</v>
      </c>
      <c r="D11015" s="51" t="n">
        <v>0</v>
      </c>
    </row>
    <row r="11016" customFormat="false" ht="15" hidden="true" customHeight="false" outlineLevel="0" collapsed="false">
      <c r="A11016" s="51" t="s">
        <v>215</v>
      </c>
      <c r="B11016" s="55" t="n">
        <v>45838</v>
      </c>
      <c r="C11016" s="51" t="s">
        <v>73</v>
      </c>
      <c r="D11016" s="51" t="n">
        <v>0</v>
      </c>
    </row>
    <row r="11017" customFormat="false" ht="15" hidden="true" customHeight="false" outlineLevel="0" collapsed="false">
      <c r="A11017" s="51" t="s">
        <v>790</v>
      </c>
      <c r="B11017" s="55" t="n">
        <v>45838</v>
      </c>
      <c r="C11017" s="51" t="s">
        <v>73</v>
      </c>
      <c r="D11017" s="51" t="n">
        <v>0</v>
      </c>
    </row>
    <row r="11018" customFormat="false" ht="15" hidden="true" customHeight="false" outlineLevel="0" collapsed="false">
      <c r="A11018" s="51" t="s">
        <v>225</v>
      </c>
      <c r="B11018" s="55" t="n">
        <v>45838</v>
      </c>
      <c r="C11018" s="51" t="s">
        <v>73</v>
      </c>
      <c r="D11018" s="51" t="n">
        <v>0</v>
      </c>
    </row>
    <row r="11019" customFormat="false" ht="15" hidden="true" customHeight="false" outlineLevel="0" collapsed="false">
      <c r="A11019" s="51" t="s">
        <v>230</v>
      </c>
      <c r="B11019" s="55" t="n">
        <v>45838</v>
      </c>
      <c r="C11019" s="51" t="s">
        <v>73</v>
      </c>
      <c r="D11019" s="51" t="n">
        <v>0</v>
      </c>
    </row>
    <row r="11020" customFormat="false" ht="15" hidden="true" customHeight="false" outlineLevel="0" collapsed="false">
      <c r="A11020" s="51" t="s">
        <v>235</v>
      </c>
      <c r="B11020" s="55" t="n">
        <v>45838</v>
      </c>
      <c r="C11020" s="51" t="s">
        <v>73</v>
      </c>
      <c r="D11020" s="51" t="n">
        <v>0</v>
      </c>
    </row>
    <row r="11021" customFormat="false" ht="15" hidden="true" customHeight="false" outlineLevel="0" collapsed="false">
      <c r="A11021" s="51" t="s">
        <v>240</v>
      </c>
      <c r="B11021" s="55" t="n">
        <v>45838</v>
      </c>
      <c r="C11021" s="51" t="s">
        <v>73</v>
      </c>
      <c r="D11021" s="51" t="n">
        <v>0</v>
      </c>
    </row>
    <row r="11022" customFormat="false" ht="15" hidden="true" customHeight="false" outlineLevel="0" collapsed="false">
      <c r="A11022" s="51" t="s">
        <v>246</v>
      </c>
      <c r="B11022" s="55" t="n">
        <v>45838</v>
      </c>
      <c r="C11022" s="51" t="s">
        <v>73</v>
      </c>
      <c r="D11022" s="51" t="n">
        <v>0</v>
      </c>
    </row>
    <row r="11023" customFormat="false" ht="15" hidden="true" customHeight="false" outlineLevel="0" collapsed="false">
      <c r="A11023" s="51" t="s">
        <v>252</v>
      </c>
      <c r="B11023" s="55" t="n">
        <v>45838</v>
      </c>
      <c r="C11023" s="51" t="s">
        <v>73</v>
      </c>
      <c r="D11023" s="51" t="n">
        <v>0</v>
      </c>
    </row>
    <row r="11024" customFormat="false" ht="15" hidden="true" customHeight="false" outlineLevel="0" collapsed="false">
      <c r="A11024" s="51" t="s">
        <v>257</v>
      </c>
      <c r="B11024" s="55" t="n">
        <v>45838</v>
      </c>
      <c r="C11024" s="51" t="s">
        <v>73</v>
      </c>
      <c r="D11024" s="51" t="n">
        <v>0</v>
      </c>
    </row>
    <row r="11025" customFormat="false" ht="15" hidden="true" customHeight="false" outlineLevel="0" collapsed="false">
      <c r="A11025" s="51" t="s">
        <v>262</v>
      </c>
      <c r="B11025" s="55" t="n">
        <v>45838</v>
      </c>
      <c r="C11025" s="51" t="s">
        <v>73</v>
      </c>
      <c r="D11025" s="51" t="n">
        <v>0</v>
      </c>
    </row>
    <row r="11026" customFormat="false" ht="15" hidden="true" customHeight="false" outlineLevel="0" collapsed="false">
      <c r="A11026" s="51" t="s">
        <v>267</v>
      </c>
      <c r="B11026" s="55" t="n">
        <v>45838</v>
      </c>
      <c r="C11026" s="51" t="s">
        <v>73</v>
      </c>
      <c r="D11026" s="51" t="n">
        <v>0</v>
      </c>
    </row>
    <row r="11027" customFormat="false" ht="15" hidden="true" customHeight="false" outlineLevel="0" collapsed="false">
      <c r="A11027" s="51" t="s">
        <v>272</v>
      </c>
      <c r="B11027" s="55" t="n">
        <v>45838</v>
      </c>
      <c r="C11027" s="51" t="s">
        <v>73</v>
      </c>
      <c r="D11027" s="51" t="n">
        <v>0</v>
      </c>
    </row>
    <row r="11028" customFormat="false" ht="15" hidden="true" customHeight="false" outlineLevel="0" collapsed="false">
      <c r="A11028" s="51" t="s">
        <v>277</v>
      </c>
      <c r="B11028" s="55" t="n">
        <v>45838</v>
      </c>
      <c r="C11028" s="51" t="s">
        <v>73</v>
      </c>
      <c r="D11028" s="51" t="n">
        <v>0</v>
      </c>
    </row>
    <row r="11029" customFormat="false" ht="15" hidden="true" customHeight="false" outlineLevel="0" collapsed="false">
      <c r="A11029" s="51" t="s">
        <v>282</v>
      </c>
      <c r="B11029" s="55" t="n">
        <v>45838</v>
      </c>
      <c r="C11029" s="51" t="s">
        <v>73</v>
      </c>
      <c r="D11029" s="51" t="n">
        <v>0</v>
      </c>
    </row>
    <row r="11030" customFormat="false" ht="15" hidden="true" customHeight="false" outlineLevel="0" collapsed="false">
      <c r="A11030" s="51" t="s">
        <v>287</v>
      </c>
      <c r="B11030" s="55" t="n">
        <v>45838</v>
      </c>
      <c r="C11030" s="51" t="s">
        <v>73</v>
      </c>
      <c r="D11030" s="51" t="n">
        <v>0</v>
      </c>
    </row>
    <row r="11031" customFormat="false" ht="15" hidden="true" customHeight="false" outlineLevel="0" collapsed="false">
      <c r="A11031" s="51" t="s">
        <v>292</v>
      </c>
      <c r="B11031" s="55" t="n">
        <v>45838</v>
      </c>
      <c r="C11031" s="51" t="s">
        <v>73</v>
      </c>
      <c r="D11031" s="51" t="n">
        <v>0</v>
      </c>
    </row>
    <row r="11032" customFormat="false" ht="15" hidden="true" customHeight="false" outlineLevel="0" collapsed="false">
      <c r="A11032" s="51" t="s">
        <v>297</v>
      </c>
      <c r="B11032" s="55" t="n">
        <v>45838</v>
      </c>
      <c r="C11032" s="51" t="s">
        <v>73</v>
      </c>
      <c r="D11032" s="51" t="n">
        <v>0</v>
      </c>
    </row>
    <row r="11033" customFormat="false" ht="15" hidden="true" customHeight="false" outlineLevel="0" collapsed="false">
      <c r="A11033" s="51" t="s">
        <v>302</v>
      </c>
      <c r="B11033" s="55" t="n">
        <v>45838</v>
      </c>
      <c r="C11033" s="51" t="s">
        <v>73</v>
      </c>
      <c r="D11033" s="51" t="n">
        <v>0</v>
      </c>
    </row>
    <row r="11034" customFormat="false" ht="15" hidden="true" customHeight="false" outlineLevel="0" collapsed="false">
      <c r="A11034" s="51" t="s">
        <v>307</v>
      </c>
      <c r="B11034" s="55" t="n">
        <v>45838</v>
      </c>
      <c r="C11034" s="51" t="s">
        <v>73</v>
      </c>
      <c r="D11034" s="51" t="n">
        <v>0</v>
      </c>
    </row>
    <row r="11035" customFormat="false" ht="15" hidden="true" customHeight="false" outlineLevel="0" collapsed="false">
      <c r="A11035" s="51" t="s">
        <v>311</v>
      </c>
      <c r="B11035" s="55" t="n">
        <v>45838</v>
      </c>
      <c r="C11035" s="51" t="s">
        <v>73</v>
      </c>
      <c r="D11035" s="51" t="n">
        <v>0</v>
      </c>
    </row>
    <row r="11036" customFormat="false" ht="15" hidden="true" customHeight="false" outlineLevel="0" collapsed="false">
      <c r="A11036" s="51" t="s">
        <v>317</v>
      </c>
      <c r="B11036" s="55" t="n">
        <v>45838</v>
      </c>
      <c r="C11036" s="51" t="s">
        <v>73</v>
      </c>
      <c r="D11036" s="51" t="n">
        <v>0</v>
      </c>
    </row>
    <row r="11037" customFormat="false" ht="15" hidden="true" customHeight="false" outlineLevel="0" collapsed="false">
      <c r="A11037" s="51" t="s">
        <v>322</v>
      </c>
      <c r="B11037" s="55" t="n">
        <v>45838</v>
      </c>
      <c r="C11037" s="51" t="s">
        <v>73</v>
      </c>
      <c r="D11037" s="51" t="n">
        <v>0</v>
      </c>
    </row>
    <row r="11038" customFormat="false" ht="15" hidden="true" customHeight="false" outlineLevel="0" collapsed="false">
      <c r="A11038" s="51" t="s">
        <v>327</v>
      </c>
      <c r="B11038" s="55" t="n">
        <v>45838</v>
      </c>
      <c r="C11038" s="51" t="s">
        <v>73</v>
      </c>
      <c r="D11038" s="51" t="n">
        <v>0</v>
      </c>
    </row>
    <row r="11039" customFormat="false" ht="15" hidden="true" customHeight="false" outlineLevel="0" collapsed="false">
      <c r="A11039" s="51" t="s">
        <v>332</v>
      </c>
      <c r="B11039" s="55" t="n">
        <v>45838</v>
      </c>
      <c r="C11039" s="51" t="s">
        <v>73</v>
      </c>
      <c r="D11039" s="51" t="n">
        <v>0</v>
      </c>
    </row>
    <row r="11040" customFormat="false" ht="15" hidden="true" customHeight="false" outlineLevel="0" collapsed="false">
      <c r="A11040" s="51" t="s">
        <v>339</v>
      </c>
      <c r="B11040" s="55" t="n">
        <v>45838</v>
      </c>
      <c r="C11040" s="51" t="s">
        <v>73</v>
      </c>
      <c r="D11040" s="51" t="n">
        <v>0</v>
      </c>
    </row>
    <row r="11041" customFormat="false" ht="15" hidden="true" customHeight="false" outlineLevel="0" collapsed="false">
      <c r="A11041" s="51" t="s">
        <v>344</v>
      </c>
      <c r="B11041" s="55" t="n">
        <v>45838</v>
      </c>
      <c r="C11041" s="51" t="s">
        <v>73</v>
      </c>
      <c r="D11041" s="51" t="n">
        <v>0</v>
      </c>
    </row>
    <row r="11042" customFormat="false" ht="15" hidden="true" customHeight="false" outlineLevel="0" collapsed="false">
      <c r="A11042" s="51" t="s">
        <v>349</v>
      </c>
      <c r="B11042" s="55" t="n">
        <v>45838</v>
      </c>
      <c r="C11042" s="51" t="s">
        <v>73</v>
      </c>
      <c r="D11042" s="51" t="n">
        <v>0</v>
      </c>
    </row>
    <row r="11043" customFormat="false" ht="15" hidden="true" customHeight="false" outlineLevel="0" collapsed="false">
      <c r="A11043" s="51" t="s">
        <v>354</v>
      </c>
      <c r="B11043" s="55" t="n">
        <v>45838</v>
      </c>
      <c r="C11043" s="51" t="s">
        <v>73</v>
      </c>
      <c r="D11043" s="51" t="n">
        <v>0</v>
      </c>
    </row>
    <row r="11044" customFormat="false" ht="15" hidden="true" customHeight="false" outlineLevel="0" collapsed="false">
      <c r="A11044" s="51" t="s">
        <v>359</v>
      </c>
      <c r="B11044" s="55" t="n">
        <v>45838</v>
      </c>
      <c r="C11044" s="51" t="s">
        <v>73</v>
      </c>
      <c r="D11044" s="51" t="n">
        <v>0</v>
      </c>
    </row>
    <row r="11045" customFormat="false" ht="15" hidden="true" customHeight="false" outlineLevel="0" collapsed="false">
      <c r="A11045" s="51" t="s">
        <v>364</v>
      </c>
      <c r="B11045" s="55" t="n">
        <v>45838</v>
      </c>
      <c r="C11045" s="51" t="s">
        <v>73</v>
      </c>
      <c r="D11045" s="51" t="n">
        <v>0</v>
      </c>
    </row>
    <row r="11046" customFormat="false" ht="15" hidden="true" customHeight="false" outlineLevel="0" collapsed="false">
      <c r="A11046" s="51" t="s">
        <v>369</v>
      </c>
      <c r="B11046" s="55" t="n">
        <v>45838</v>
      </c>
      <c r="C11046" s="51" t="s">
        <v>73</v>
      </c>
      <c r="D11046" s="51" t="n">
        <v>0</v>
      </c>
    </row>
    <row r="11047" customFormat="false" ht="15" hidden="true" customHeight="false" outlineLevel="0" collapsed="false">
      <c r="A11047" s="51" t="s">
        <v>374</v>
      </c>
      <c r="B11047" s="55" t="n">
        <v>45838</v>
      </c>
      <c r="C11047" s="51" t="s">
        <v>73</v>
      </c>
      <c r="D11047" s="51" t="n">
        <v>0</v>
      </c>
    </row>
    <row r="11048" customFormat="false" ht="15" hidden="true" customHeight="false" outlineLevel="0" collapsed="false">
      <c r="A11048" s="51" t="s">
        <v>379</v>
      </c>
      <c r="B11048" s="55" t="n">
        <v>45838</v>
      </c>
      <c r="C11048" s="51" t="s">
        <v>73</v>
      </c>
      <c r="D11048" s="51" t="n">
        <v>0</v>
      </c>
    </row>
    <row r="11049" customFormat="false" ht="15" hidden="true" customHeight="false" outlineLevel="0" collapsed="false">
      <c r="A11049" s="51" t="s">
        <v>384</v>
      </c>
      <c r="B11049" s="55" t="n">
        <v>45838</v>
      </c>
      <c r="C11049" s="51" t="s">
        <v>73</v>
      </c>
      <c r="D11049" s="51" t="n">
        <v>0</v>
      </c>
    </row>
    <row r="11050" customFormat="false" ht="15" hidden="true" customHeight="false" outlineLevel="0" collapsed="false">
      <c r="A11050" s="51" t="s">
        <v>389</v>
      </c>
      <c r="B11050" s="55" t="n">
        <v>45838</v>
      </c>
      <c r="C11050" s="51" t="s">
        <v>73</v>
      </c>
      <c r="D11050" s="51" t="n">
        <v>1000000</v>
      </c>
    </row>
    <row r="11051" customFormat="false" ht="15" hidden="true" customHeight="false" outlineLevel="0" collapsed="false">
      <c r="A11051" s="51" t="s">
        <v>394</v>
      </c>
      <c r="B11051" s="55" t="n">
        <v>45838</v>
      </c>
      <c r="C11051" s="51" t="s">
        <v>73</v>
      </c>
      <c r="D11051" s="51" t="n">
        <v>0</v>
      </c>
    </row>
    <row r="11052" customFormat="false" ht="15" hidden="true" customHeight="false" outlineLevel="0" collapsed="false">
      <c r="A11052" s="51" t="s">
        <v>399</v>
      </c>
      <c r="B11052" s="55" t="n">
        <v>45838</v>
      </c>
      <c r="C11052" s="51" t="s">
        <v>73</v>
      </c>
      <c r="D11052" s="51" t="n">
        <v>0</v>
      </c>
    </row>
    <row r="11053" customFormat="false" ht="15" hidden="true" customHeight="false" outlineLevel="0" collapsed="false">
      <c r="A11053" s="51" t="s">
        <v>404</v>
      </c>
      <c r="B11053" s="55" t="n">
        <v>45838</v>
      </c>
      <c r="C11053" s="51" t="s">
        <v>73</v>
      </c>
      <c r="D11053" s="51" t="n">
        <v>0</v>
      </c>
    </row>
    <row r="11054" customFormat="false" ht="15" hidden="true" customHeight="false" outlineLevel="0" collapsed="false">
      <c r="A11054" s="51" t="s">
        <v>409</v>
      </c>
      <c r="B11054" s="55" t="n">
        <v>45838</v>
      </c>
      <c r="C11054" s="51" t="s">
        <v>73</v>
      </c>
      <c r="D11054" s="51" t="n">
        <v>0</v>
      </c>
    </row>
    <row r="11055" customFormat="false" ht="15" hidden="true" customHeight="false" outlineLevel="0" collapsed="false">
      <c r="A11055" s="51" t="s">
        <v>414</v>
      </c>
      <c r="B11055" s="55" t="n">
        <v>45838</v>
      </c>
      <c r="C11055" s="51" t="s">
        <v>73</v>
      </c>
      <c r="D11055" s="51" t="n">
        <v>0</v>
      </c>
    </row>
    <row r="11056" customFormat="false" ht="15" hidden="true" customHeight="false" outlineLevel="0" collapsed="false">
      <c r="A11056" s="51" t="s">
        <v>419</v>
      </c>
      <c r="B11056" s="55" t="n">
        <v>45838</v>
      </c>
      <c r="C11056" s="51" t="s">
        <v>73</v>
      </c>
      <c r="D11056" s="51" t="n">
        <v>0</v>
      </c>
    </row>
    <row r="11057" customFormat="false" ht="15" hidden="true" customHeight="false" outlineLevel="0" collapsed="false">
      <c r="A11057" s="51" t="s">
        <v>424</v>
      </c>
      <c r="B11057" s="55" t="n">
        <v>45838</v>
      </c>
      <c r="C11057" s="51" t="s">
        <v>73</v>
      </c>
      <c r="D11057" s="51" t="n">
        <v>0</v>
      </c>
    </row>
    <row r="11058" customFormat="false" ht="15" hidden="true" customHeight="false" outlineLevel="0" collapsed="false">
      <c r="A11058" s="51" t="s">
        <v>429</v>
      </c>
      <c r="B11058" s="55" t="n">
        <v>45838</v>
      </c>
      <c r="C11058" s="51" t="s">
        <v>73</v>
      </c>
      <c r="D11058" s="51" t="n">
        <v>0</v>
      </c>
    </row>
    <row r="11059" customFormat="false" ht="15" hidden="true" customHeight="false" outlineLevel="0" collapsed="false">
      <c r="A11059" s="51" t="s">
        <v>434</v>
      </c>
      <c r="B11059" s="55" t="n">
        <v>45838</v>
      </c>
      <c r="C11059" s="51" t="s">
        <v>73</v>
      </c>
      <c r="D11059" s="51" t="n">
        <v>0</v>
      </c>
    </row>
    <row r="11060" customFormat="false" ht="15" hidden="true" customHeight="false" outlineLevel="0" collapsed="false">
      <c r="A11060" s="51" t="s">
        <v>438</v>
      </c>
      <c r="B11060" s="55" t="n">
        <v>45838</v>
      </c>
      <c r="C11060" s="51" t="s">
        <v>73</v>
      </c>
      <c r="D11060" s="51" t="n">
        <v>0</v>
      </c>
    </row>
    <row r="11061" customFormat="false" ht="15" hidden="true" customHeight="false" outlineLevel="0" collapsed="false">
      <c r="A11061" s="51" t="s">
        <v>443</v>
      </c>
      <c r="B11061" s="55" t="n">
        <v>45838</v>
      </c>
      <c r="C11061" s="51" t="s">
        <v>73</v>
      </c>
      <c r="D11061" s="51" t="n">
        <v>0</v>
      </c>
    </row>
    <row r="11062" customFormat="false" ht="15" hidden="true" customHeight="false" outlineLevel="0" collapsed="false">
      <c r="A11062" s="51" t="s">
        <v>448</v>
      </c>
      <c r="B11062" s="55" t="n">
        <v>45838</v>
      </c>
      <c r="C11062" s="51" t="s">
        <v>73</v>
      </c>
      <c r="D11062" s="51" t="n">
        <v>0</v>
      </c>
    </row>
    <row r="11063" customFormat="false" ht="15" hidden="true" customHeight="false" outlineLevel="0" collapsed="false">
      <c r="A11063" s="51" t="s">
        <v>453</v>
      </c>
      <c r="B11063" s="55" t="n">
        <v>45838</v>
      </c>
      <c r="C11063" s="51" t="s">
        <v>73</v>
      </c>
      <c r="D11063" s="51" t="n">
        <v>1000000</v>
      </c>
    </row>
    <row r="11064" customFormat="false" ht="15" hidden="true" customHeight="false" outlineLevel="0" collapsed="false">
      <c r="A11064" s="51" t="s">
        <v>458</v>
      </c>
      <c r="B11064" s="55" t="n">
        <v>45838</v>
      </c>
      <c r="C11064" s="51" t="s">
        <v>73</v>
      </c>
      <c r="D11064" s="51" t="n">
        <v>0</v>
      </c>
    </row>
    <row r="11065" customFormat="false" ht="15" hidden="true" customHeight="false" outlineLevel="0" collapsed="false">
      <c r="A11065" s="51" t="s">
        <v>473</v>
      </c>
      <c r="B11065" s="55" t="n">
        <v>45838</v>
      </c>
      <c r="C11065" s="51" t="s">
        <v>73</v>
      </c>
      <c r="D11065" s="51" t="n">
        <v>0</v>
      </c>
    </row>
    <row r="11066" customFormat="false" ht="15" hidden="true" customHeight="false" outlineLevel="0" collapsed="false">
      <c r="A11066" s="51" t="s">
        <v>479</v>
      </c>
      <c r="B11066" s="55" t="n">
        <v>45838</v>
      </c>
      <c r="C11066" s="51" t="s">
        <v>73</v>
      </c>
      <c r="D11066" s="51" t="n">
        <v>0</v>
      </c>
    </row>
    <row r="11067" customFormat="false" ht="15" hidden="true" customHeight="false" outlineLevel="0" collapsed="false">
      <c r="A11067" s="51" t="s">
        <v>484</v>
      </c>
      <c r="B11067" s="55" t="n">
        <v>45838</v>
      </c>
      <c r="C11067" s="51" t="s">
        <v>73</v>
      </c>
      <c r="D11067" s="51" t="n">
        <v>0</v>
      </c>
    </row>
    <row r="11068" customFormat="false" ht="15" hidden="true" customHeight="false" outlineLevel="0" collapsed="false">
      <c r="A11068" s="51" t="s">
        <v>489</v>
      </c>
      <c r="B11068" s="55" t="n">
        <v>45838</v>
      </c>
      <c r="C11068" s="51" t="s">
        <v>73</v>
      </c>
      <c r="D11068" s="51" t="n">
        <v>0</v>
      </c>
    </row>
    <row r="11069" customFormat="false" ht="15" hidden="true" customHeight="false" outlineLevel="0" collapsed="false">
      <c r="A11069" s="51" t="s">
        <v>494</v>
      </c>
      <c r="B11069" s="55" t="n">
        <v>45838</v>
      </c>
      <c r="C11069" s="51" t="s">
        <v>73</v>
      </c>
      <c r="D11069" s="51" t="n">
        <v>0</v>
      </c>
    </row>
    <row r="11070" customFormat="false" ht="15" hidden="true" customHeight="false" outlineLevel="0" collapsed="false">
      <c r="A11070" s="51" t="s">
        <v>499</v>
      </c>
      <c r="B11070" s="55" t="n">
        <v>45838</v>
      </c>
      <c r="C11070" s="51" t="s">
        <v>73</v>
      </c>
      <c r="D11070" s="51" t="n">
        <v>0</v>
      </c>
    </row>
    <row r="11071" customFormat="false" ht="15" hidden="true" customHeight="false" outlineLevel="0" collapsed="false">
      <c r="A11071" s="51" t="s">
        <v>504</v>
      </c>
      <c r="B11071" s="55" t="n">
        <v>45838</v>
      </c>
      <c r="C11071" s="51" t="s">
        <v>73</v>
      </c>
      <c r="D11071" s="51" t="n">
        <v>0</v>
      </c>
    </row>
    <row r="11072" customFormat="false" ht="15" hidden="true" customHeight="false" outlineLevel="0" collapsed="false">
      <c r="A11072" s="51" t="s">
        <v>509</v>
      </c>
      <c r="B11072" s="55" t="n">
        <v>45838</v>
      </c>
      <c r="C11072" s="51" t="s">
        <v>73</v>
      </c>
      <c r="D11072" s="51" t="n">
        <v>0</v>
      </c>
    </row>
    <row r="11073" customFormat="false" ht="15" hidden="true" customHeight="false" outlineLevel="0" collapsed="false">
      <c r="A11073" s="51" t="s">
        <v>515</v>
      </c>
      <c r="B11073" s="55" t="n">
        <v>45838</v>
      </c>
      <c r="C11073" s="51" t="s">
        <v>73</v>
      </c>
      <c r="D11073" s="51" t="n">
        <v>0</v>
      </c>
    </row>
    <row r="11074" customFormat="false" ht="15" hidden="true" customHeight="false" outlineLevel="0" collapsed="false">
      <c r="A11074" s="51" t="s">
        <v>520</v>
      </c>
      <c r="B11074" s="55" t="n">
        <v>45838</v>
      </c>
      <c r="C11074" s="51" t="s">
        <v>73</v>
      </c>
      <c r="D11074" s="51" t="n">
        <v>0</v>
      </c>
    </row>
    <row r="11075" customFormat="false" ht="15" hidden="true" customHeight="false" outlineLevel="0" collapsed="false">
      <c r="A11075" s="51" t="s">
        <v>525</v>
      </c>
      <c r="B11075" s="55" t="n">
        <v>45838</v>
      </c>
      <c r="C11075" s="51" t="s">
        <v>73</v>
      </c>
      <c r="D11075" s="51" t="n">
        <v>0</v>
      </c>
    </row>
    <row r="11076" customFormat="false" ht="15" hidden="true" customHeight="false" outlineLevel="0" collapsed="false">
      <c r="A11076" s="51" t="s">
        <v>531</v>
      </c>
      <c r="B11076" s="55" t="n">
        <v>45838</v>
      </c>
      <c r="C11076" s="51" t="s">
        <v>73</v>
      </c>
      <c r="D11076" s="51" t="n">
        <v>0</v>
      </c>
    </row>
    <row r="11077" customFormat="false" ht="15" hidden="true" customHeight="false" outlineLevel="0" collapsed="false">
      <c r="A11077" s="51" t="s">
        <v>536</v>
      </c>
      <c r="B11077" s="55" t="n">
        <v>45838</v>
      </c>
      <c r="C11077" s="51" t="s">
        <v>73</v>
      </c>
      <c r="D11077" s="51" t="n">
        <v>0</v>
      </c>
    </row>
    <row r="11078" customFormat="false" ht="15" hidden="true" customHeight="false" outlineLevel="0" collapsed="false">
      <c r="A11078" s="51" t="s">
        <v>541</v>
      </c>
      <c r="B11078" s="55" t="n">
        <v>45838</v>
      </c>
      <c r="C11078" s="51" t="s">
        <v>73</v>
      </c>
      <c r="D11078" s="51" t="n">
        <v>0</v>
      </c>
    </row>
    <row r="11079" customFormat="false" ht="15" hidden="true" customHeight="false" outlineLevel="0" collapsed="false">
      <c r="A11079" s="51" t="s">
        <v>549</v>
      </c>
      <c r="B11079" s="55" t="n">
        <v>45838</v>
      </c>
      <c r="C11079" s="51" t="s">
        <v>73</v>
      </c>
      <c r="D11079" s="51" t="n">
        <v>0</v>
      </c>
    </row>
    <row r="11080" customFormat="false" ht="15" hidden="true" customHeight="false" outlineLevel="0" collapsed="false">
      <c r="A11080" s="51" t="s">
        <v>554</v>
      </c>
      <c r="B11080" s="55" t="n">
        <v>45838</v>
      </c>
      <c r="C11080" s="51" t="s">
        <v>73</v>
      </c>
      <c r="D11080" s="51" t="n">
        <v>0</v>
      </c>
    </row>
    <row r="11081" customFormat="false" ht="15" hidden="true" customHeight="false" outlineLevel="0" collapsed="false">
      <c r="A11081" s="51" t="s">
        <v>559</v>
      </c>
      <c r="B11081" s="55" t="n">
        <v>45838</v>
      </c>
      <c r="C11081" s="51" t="s">
        <v>73</v>
      </c>
      <c r="D11081" s="51" t="n">
        <v>0</v>
      </c>
    </row>
    <row r="11082" customFormat="false" ht="15" hidden="true" customHeight="false" outlineLevel="0" collapsed="false">
      <c r="A11082" s="51" t="s">
        <v>564</v>
      </c>
      <c r="B11082" s="55" t="n">
        <v>45838</v>
      </c>
      <c r="C11082" s="51" t="s">
        <v>73</v>
      </c>
      <c r="D11082" s="51" t="n">
        <v>100000</v>
      </c>
    </row>
    <row r="11083" customFormat="false" ht="15" hidden="true" customHeight="false" outlineLevel="0" collapsed="false">
      <c r="A11083" s="51" t="s">
        <v>569</v>
      </c>
      <c r="B11083" s="55" t="n">
        <v>45838</v>
      </c>
      <c r="C11083" s="51" t="s">
        <v>73</v>
      </c>
      <c r="D11083" s="51" t="n">
        <v>0</v>
      </c>
    </row>
    <row r="11084" customFormat="false" ht="15" hidden="true" customHeight="false" outlineLevel="0" collapsed="false">
      <c r="A11084" s="51" t="s">
        <v>574</v>
      </c>
      <c r="B11084" s="55" t="n">
        <v>45838</v>
      </c>
      <c r="C11084" s="51" t="s">
        <v>73</v>
      </c>
      <c r="D11084" s="51" t="n">
        <v>0</v>
      </c>
    </row>
    <row r="11085" customFormat="false" ht="15" hidden="true" customHeight="false" outlineLevel="0" collapsed="false">
      <c r="A11085" s="51" t="s">
        <v>579</v>
      </c>
      <c r="B11085" s="55" t="n">
        <v>45838</v>
      </c>
      <c r="C11085" s="51" t="s">
        <v>73</v>
      </c>
      <c r="D11085" s="51" t="n">
        <v>0</v>
      </c>
    </row>
    <row r="11086" customFormat="false" ht="15" hidden="true" customHeight="false" outlineLevel="0" collapsed="false">
      <c r="A11086" s="51" t="s">
        <v>584</v>
      </c>
      <c r="B11086" s="55" t="n">
        <v>45838</v>
      </c>
      <c r="C11086" s="51" t="s">
        <v>73</v>
      </c>
      <c r="D11086" s="51" t="n">
        <v>0</v>
      </c>
    </row>
    <row r="11087" customFormat="false" ht="15" hidden="true" customHeight="false" outlineLevel="0" collapsed="false">
      <c r="A11087" s="51" t="s">
        <v>589</v>
      </c>
      <c r="B11087" s="55" t="n">
        <v>45838</v>
      </c>
      <c r="C11087" s="51" t="s">
        <v>73</v>
      </c>
      <c r="D11087" s="51" t="n">
        <v>700000</v>
      </c>
    </row>
    <row r="11088" customFormat="false" ht="15" hidden="true" customHeight="false" outlineLevel="0" collapsed="false">
      <c r="A11088" s="51" t="s">
        <v>756</v>
      </c>
      <c r="B11088" s="55" t="n">
        <v>45838</v>
      </c>
      <c r="C11088" s="51" t="s">
        <v>73</v>
      </c>
      <c r="D11088" s="51" t="n">
        <v>0</v>
      </c>
    </row>
    <row r="11089" customFormat="false" ht="15" hidden="true" customHeight="false" outlineLevel="0" collapsed="false">
      <c r="A11089" s="51" t="s">
        <v>594</v>
      </c>
      <c r="B11089" s="55" t="n">
        <v>45838</v>
      </c>
      <c r="C11089" s="51" t="s">
        <v>73</v>
      </c>
      <c r="D11089" s="51" t="n">
        <v>0</v>
      </c>
    </row>
    <row r="11090" customFormat="false" ht="15" hidden="true" customHeight="false" outlineLevel="0" collapsed="false">
      <c r="A11090" s="51" t="s">
        <v>761</v>
      </c>
      <c r="B11090" s="55" t="n">
        <v>45838</v>
      </c>
      <c r="C11090" s="51" t="s">
        <v>73</v>
      </c>
      <c r="D11090" s="51" t="n">
        <v>0</v>
      </c>
    </row>
    <row r="11091" customFormat="false" ht="15" hidden="true" customHeight="false" outlineLevel="0" collapsed="false">
      <c r="A11091" s="51" t="s">
        <v>599</v>
      </c>
      <c r="B11091" s="55" t="n">
        <v>45838</v>
      </c>
      <c r="C11091" s="51" t="s">
        <v>73</v>
      </c>
      <c r="D11091" s="51" t="n">
        <v>600000</v>
      </c>
    </row>
    <row r="11092" customFormat="false" ht="15" hidden="true" customHeight="false" outlineLevel="0" collapsed="false">
      <c r="A11092" s="51" t="s">
        <v>604</v>
      </c>
      <c r="B11092" s="55" t="n">
        <v>45838</v>
      </c>
      <c r="C11092" s="51" t="s">
        <v>73</v>
      </c>
      <c r="D11092" s="51" t="n">
        <v>500000</v>
      </c>
    </row>
    <row r="11093" customFormat="false" ht="15" hidden="true" customHeight="false" outlineLevel="0" collapsed="false">
      <c r="A11093" s="51" t="s">
        <v>609</v>
      </c>
      <c r="B11093" s="55" t="n">
        <v>45838</v>
      </c>
      <c r="C11093" s="51" t="s">
        <v>73</v>
      </c>
      <c r="D11093" s="51" t="n">
        <v>0</v>
      </c>
    </row>
    <row r="11094" customFormat="false" ht="15" hidden="true" customHeight="false" outlineLevel="0" collapsed="false">
      <c r="A11094" s="51" t="s">
        <v>614</v>
      </c>
      <c r="B11094" s="55" t="n">
        <v>45838</v>
      </c>
      <c r="C11094" s="51" t="s">
        <v>73</v>
      </c>
      <c r="D11094" s="51" t="n">
        <v>0</v>
      </c>
    </row>
    <row r="11095" customFormat="false" ht="15" hidden="true" customHeight="false" outlineLevel="0" collapsed="false">
      <c r="A11095" s="51" t="s">
        <v>619</v>
      </c>
      <c r="B11095" s="55" t="n">
        <v>45838</v>
      </c>
      <c r="C11095" s="51" t="s">
        <v>73</v>
      </c>
      <c r="D11095" s="51" t="n">
        <v>0</v>
      </c>
    </row>
    <row r="11096" customFormat="false" ht="15" hidden="true" customHeight="false" outlineLevel="0" collapsed="false">
      <c r="A11096" s="51" t="s">
        <v>624</v>
      </c>
      <c r="B11096" s="55" t="n">
        <v>45838</v>
      </c>
      <c r="C11096" s="51" t="s">
        <v>73</v>
      </c>
      <c r="D11096" s="51" t="n">
        <v>0</v>
      </c>
    </row>
    <row r="11097" customFormat="false" ht="15" hidden="true" customHeight="false" outlineLevel="0" collapsed="false">
      <c r="A11097" s="51" t="s">
        <v>629</v>
      </c>
      <c r="B11097" s="55" t="n">
        <v>45838</v>
      </c>
      <c r="C11097" s="51" t="s">
        <v>73</v>
      </c>
      <c r="D11097" s="51" t="n">
        <v>0</v>
      </c>
    </row>
    <row r="11098" customFormat="false" ht="15" hidden="true" customHeight="false" outlineLevel="0" collapsed="false">
      <c r="A11098" s="51" t="s">
        <v>633</v>
      </c>
      <c r="B11098" s="55" t="n">
        <v>45838</v>
      </c>
      <c r="C11098" s="51" t="s">
        <v>73</v>
      </c>
      <c r="D11098" s="51" t="n">
        <v>470000</v>
      </c>
    </row>
    <row r="11099" customFormat="false" ht="15" hidden="true" customHeight="false" outlineLevel="0" collapsed="false">
      <c r="A11099" s="51" t="s">
        <v>638</v>
      </c>
      <c r="B11099" s="55" t="n">
        <v>45838</v>
      </c>
      <c r="C11099" s="51" t="s">
        <v>73</v>
      </c>
      <c r="D11099" s="51" t="n">
        <v>0</v>
      </c>
    </row>
    <row r="11100" customFormat="false" ht="15" hidden="true" customHeight="false" outlineLevel="0" collapsed="false">
      <c r="A11100" s="51" t="s">
        <v>642</v>
      </c>
      <c r="B11100" s="55" t="n">
        <v>45838</v>
      </c>
      <c r="C11100" s="51" t="s">
        <v>73</v>
      </c>
      <c r="D11100" s="51" t="n">
        <v>0</v>
      </c>
    </row>
    <row r="11101" customFormat="false" ht="15" hidden="true" customHeight="false" outlineLevel="0" collapsed="false">
      <c r="A11101" s="51" t="s">
        <v>646</v>
      </c>
      <c r="B11101" s="55" t="n">
        <v>45838</v>
      </c>
      <c r="C11101" s="51" t="s">
        <v>73</v>
      </c>
      <c r="D11101" s="51" t="n">
        <v>100000</v>
      </c>
    </row>
    <row r="11102" customFormat="false" ht="15" hidden="true" customHeight="false" outlineLevel="0" collapsed="false">
      <c r="A11102" s="51" t="s">
        <v>651</v>
      </c>
      <c r="B11102" s="55" t="n">
        <v>45838</v>
      </c>
      <c r="C11102" s="51" t="s">
        <v>73</v>
      </c>
      <c r="D11102" s="51" t="n">
        <v>0</v>
      </c>
    </row>
    <row r="11103" customFormat="false" ht="15" hidden="true" customHeight="false" outlineLevel="0" collapsed="false">
      <c r="A11103" s="51" t="s">
        <v>656</v>
      </c>
      <c r="B11103" s="55" t="n">
        <v>45838</v>
      </c>
      <c r="C11103" s="51" t="s">
        <v>73</v>
      </c>
      <c r="D11103" s="51" t="n">
        <v>0</v>
      </c>
    </row>
    <row r="11104" customFormat="false" ht="15" hidden="true" customHeight="false" outlineLevel="0" collapsed="false">
      <c r="A11104" s="51" t="s">
        <v>661</v>
      </c>
      <c r="B11104" s="55" t="n">
        <v>45838</v>
      </c>
      <c r="C11104" s="51" t="s">
        <v>73</v>
      </c>
      <c r="D11104" s="51" t="n">
        <v>0</v>
      </c>
    </row>
    <row r="11105" customFormat="false" ht="15" hidden="true" customHeight="false" outlineLevel="0" collapsed="false">
      <c r="A11105" s="51" t="s">
        <v>666</v>
      </c>
      <c r="B11105" s="55" t="n">
        <v>45838</v>
      </c>
      <c r="C11105" s="51" t="s">
        <v>73</v>
      </c>
      <c r="D11105" s="51" t="n">
        <v>0</v>
      </c>
    </row>
    <row r="11106" customFormat="false" ht="15" hidden="true" customHeight="false" outlineLevel="0" collapsed="false">
      <c r="A11106" s="51" t="s">
        <v>671</v>
      </c>
      <c r="B11106" s="55" t="n">
        <v>45838</v>
      </c>
      <c r="C11106" s="51" t="s">
        <v>73</v>
      </c>
      <c r="D11106" s="51" t="n">
        <v>0</v>
      </c>
    </row>
    <row r="11107" customFormat="false" ht="15" hidden="true" customHeight="false" outlineLevel="0" collapsed="false">
      <c r="A11107" s="51" t="s">
        <v>676</v>
      </c>
      <c r="B11107" s="55" t="n">
        <v>45838</v>
      </c>
      <c r="C11107" s="51" t="s">
        <v>73</v>
      </c>
      <c r="D11107" s="51" t="n">
        <v>0</v>
      </c>
    </row>
    <row r="11108" customFormat="false" ht="15" hidden="true" customHeight="false" outlineLevel="0" collapsed="false">
      <c r="A11108" s="51" t="s">
        <v>681</v>
      </c>
      <c r="B11108" s="55" t="n">
        <v>45838</v>
      </c>
      <c r="C11108" s="51" t="s">
        <v>73</v>
      </c>
      <c r="D11108" s="51" t="n">
        <v>0</v>
      </c>
    </row>
    <row r="11109" customFormat="false" ht="15" hidden="true" customHeight="false" outlineLevel="0" collapsed="false">
      <c r="A11109" s="51" t="s">
        <v>686</v>
      </c>
      <c r="B11109" s="55" t="n">
        <v>45838</v>
      </c>
      <c r="C11109" s="51" t="s">
        <v>73</v>
      </c>
      <c r="D11109" s="51" t="n">
        <v>0</v>
      </c>
    </row>
    <row r="11110" customFormat="false" ht="15" hidden="true" customHeight="false" outlineLevel="0" collapsed="false">
      <c r="A11110" s="51" t="s">
        <v>691</v>
      </c>
      <c r="B11110" s="55" t="n">
        <v>45838</v>
      </c>
      <c r="C11110" s="51" t="s">
        <v>73</v>
      </c>
      <c r="D11110" s="51" t="n">
        <v>0</v>
      </c>
    </row>
    <row r="11111" customFormat="false" ht="15" hidden="true" customHeight="false" outlineLevel="0" collapsed="false">
      <c r="A11111" s="51" t="s">
        <v>696</v>
      </c>
      <c r="B11111" s="55" t="n">
        <v>45838</v>
      </c>
      <c r="C11111" s="51" t="s">
        <v>73</v>
      </c>
      <c r="D11111" s="51" t="n">
        <v>0</v>
      </c>
    </row>
    <row r="11112" customFormat="false" ht="15" hidden="true" customHeight="false" outlineLevel="0" collapsed="false">
      <c r="A11112" s="51" t="s">
        <v>701</v>
      </c>
      <c r="B11112" s="55" t="n">
        <v>45838</v>
      </c>
      <c r="C11112" s="51" t="s">
        <v>73</v>
      </c>
      <c r="D11112" s="51" t="n">
        <v>0</v>
      </c>
    </row>
    <row r="11113" customFormat="false" ht="15" hidden="true" customHeight="false" outlineLevel="0" collapsed="false">
      <c r="A11113" s="51" t="s">
        <v>707</v>
      </c>
      <c r="B11113" s="55" t="n">
        <v>45838</v>
      </c>
      <c r="C11113" s="51" t="s">
        <v>73</v>
      </c>
      <c r="D11113" s="51" t="n">
        <v>0</v>
      </c>
    </row>
    <row r="11114" customFormat="false" ht="15" hidden="true" customHeight="false" outlineLevel="0" collapsed="false">
      <c r="A11114" s="51" t="s">
        <v>712</v>
      </c>
      <c r="B11114" s="55" t="n">
        <v>45838</v>
      </c>
      <c r="C11114" s="51" t="s">
        <v>73</v>
      </c>
      <c r="D11114" s="51" t="n">
        <v>0</v>
      </c>
    </row>
    <row r="11115" customFormat="false" ht="15" hidden="true" customHeight="false" outlineLevel="0" collapsed="false">
      <c r="A11115" s="51" t="s">
        <v>717</v>
      </c>
      <c r="B11115" s="55" t="n">
        <v>45838</v>
      </c>
      <c r="C11115" s="51" t="s">
        <v>73</v>
      </c>
      <c r="D11115" s="51" t="n">
        <v>0</v>
      </c>
    </row>
    <row r="11116" customFormat="false" ht="15" hidden="true" customHeight="false" outlineLevel="0" collapsed="false">
      <c r="A11116" s="51" t="s">
        <v>767</v>
      </c>
      <c r="B11116" s="55" t="n">
        <v>45838</v>
      </c>
      <c r="C11116" s="51" t="s">
        <v>73</v>
      </c>
      <c r="D11116" s="51" t="n">
        <v>0</v>
      </c>
    </row>
    <row r="11117" customFormat="false" ht="15" hidden="true" customHeight="false" outlineLevel="0" collapsed="false">
      <c r="A11117" s="51" t="s">
        <v>722</v>
      </c>
      <c r="B11117" s="55" t="n">
        <v>45838</v>
      </c>
      <c r="C11117" s="51" t="s">
        <v>73</v>
      </c>
      <c r="D11117" s="51" t="n">
        <v>0</v>
      </c>
    </row>
    <row r="11118" customFormat="false" ht="15" hidden="true" customHeight="false" outlineLevel="0" collapsed="false">
      <c r="A11118" s="51" t="s">
        <v>727</v>
      </c>
      <c r="B11118" s="55" t="n">
        <v>45838</v>
      </c>
      <c r="C11118" s="51" t="s">
        <v>73</v>
      </c>
      <c r="D11118" s="51" t="n">
        <v>0</v>
      </c>
    </row>
    <row r="11119" customFormat="false" ht="15" hidden="true" customHeight="false" outlineLevel="0" collapsed="false">
      <c r="A11119" s="51" t="s">
        <v>732</v>
      </c>
      <c r="B11119" s="55" t="n">
        <v>45838</v>
      </c>
      <c r="C11119" s="51" t="s">
        <v>73</v>
      </c>
      <c r="D11119" s="51" t="n">
        <v>0</v>
      </c>
    </row>
    <row r="11120" customFormat="false" ht="15" hidden="true" customHeight="false" outlineLevel="0" collapsed="false">
      <c r="A11120" s="51" t="s">
        <v>736</v>
      </c>
      <c r="B11120" s="55" t="n">
        <v>45838</v>
      </c>
      <c r="C11120" s="51" t="s">
        <v>73</v>
      </c>
      <c r="D11120" s="51" t="n">
        <v>0</v>
      </c>
    </row>
    <row r="11121" customFormat="false" ht="15" hidden="true" customHeight="false" outlineLevel="0" collapsed="false">
      <c r="A11121" s="51" t="s">
        <v>741</v>
      </c>
      <c r="B11121" s="55" t="n">
        <v>45838</v>
      </c>
      <c r="C11121" s="51" t="s">
        <v>73</v>
      </c>
      <c r="D11121" s="51" t="n">
        <v>0</v>
      </c>
    </row>
    <row r="11122" customFormat="false" ht="15" hidden="true" customHeight="false" outlineLevel="0" collapsed="false">
      <c r="A11122" s="51" t="s">
        <v>746</v>
      </c>
      <c r="B11122" s="55" t="n">
        <v>45838</v>
      </c>
      <c r="C11122" s="51" t="s">
        <v>73</v>
      </c>
      <c r="D11122" s="51" t="n">
        <v>0</v>
      </c>
    </row>
    <row r="11123" customFormat="false" ht="15" hidden="true" customHeight="false" outlineLevel="0" collapsed="false">
      <c r="A11123" s="51" t="s">
        <v>751</v>
      </c>
      <c r="B11123" s="55" t="n">
        <v>45838</v>
      </c>
      <c r="C11123" s="51" t="s">
        <v>73</v>
      </c>
      <c r="D11123" s="51" t="n">
        <v>0</v>
      </c>
    </row>
    <row r="11124" customFormat="false" ht="15" hidden="false" customHeight="false" outlineLevel="0" collapsed="false">
      <c r="A11124" s="51" t="s">
        <v>781</v>
      </c>
      <c r="B11124" s="55" t="n">
        <v>45838</v>
      </c>
      <c r="C11124" s="51" t="s">
        <v>791</v>
      </c>
      <c r="D11124" s="51" t="n">
        <v>0</v>
      </c>
    </row>
    <row r="11125" customFormat="false" ht="15" hidden="true" customHeight="false" outlineLevel="0" collapsed="false">
      <c r="A11125" s="51" t="s">
        <v>783</v>
      </c>
      <c r="B11125" s="55" t="n">
        <v>45838</v>
      </c>
      <c r="C11125" s="51" t="s">
        <v>791</v>
      </c>
      <c r="D11125" s="51" t="n">
        <v>0</v>
      </c>
    </row>
    <row r="11126" customFormat="false" ht="15" hidden="true" customHeight="false" outlineLevel="0" collapsed="false">
      <c r="A11126" s="51" t="s">
        <v>96</v>
      </c>
      <c r="B11126" s="55" t="n">
        <v>45838</v>
      </c>
      <c r="C11126" s="51" t="s">
        <v>791</v>
      </c>
      <c r="D11126" s="51" t="n">
        <v>0</v>
      </c>
    </row>
    <row r="11127" customFormat="false" ht="15" hidden="true" customHeight="false" outlineLevel="0" collapsed="false">
      <c r="A11127" s="51" t="s">
        <v>101</v>
      </c>
      <c r="B11127" s="55" t="n">
        <v>45838</v>
      </c>
      <c r="C11127" s="51" t="s">
        <v>791</v>
      </c>
      <c r="D11127" s="51" t="n">
        <v>0</v>
      </c>
    </row>
    <row r="11128" customFormat="false" ht="15" hidden="true" customHeight="false" outlineLevel="0" collapsed="false">
      <c r="A11128" s="51" t="s">
        <v>106</v>
      </c>
      <c r="B11128" s="55" t="n">
        <v>45838</v>
      </c>
      <c r="C11128" s="51" t="s">
        <v>791</v>
      </c>
      <c r="D11128" s="51" t="n">
        <v>0</v>
      </c>
    </row>
    <row r="11129" customFormat="false" ht="15" hidden="true" customHeight="false" outlineLevel="0" collapsed="false">
      <c r="A11129" s="51" t="s">
        <v>110</v>
      </c>
      <c r="B11129" s="55" t="n">
        <v>45838</v>
      </c>
      <c r="C11129" s="51" t="s">
        <v>791</v>
      </c>
      <c r="D11129" s="51" t="n">
        <v>0</v>
      </c>
    </row>
    <row r="11130" customFormat="false" ht="15" hidden="true" customHeight="false" outlineLevel="0" collapsed="false">
      <c r="A11130" s="51" t="s">
        <v>115</v>
      </c>
      <c r="B11130" s="55" t="n">
        <v>45838</v>
      </c>
      <c r="C11130" s="51" t="s">
        <v>791</v>
      </c>
      <c r="D11130" s="51" t="n">
        <v>0</v>
      </c>
    </row>
    <row r="11131" customFormat="false" ht="15" hidden="true" customHeight="false" outlineLevel="0" collapsed="false">
      <c r="A11131" s="51" t="s">
        <v>120</v>
      </c>
      <c r="B11131" s="55" t="n">
        <v>45838</v>
      </c>
      <c r="C11131" s="51" t="s">
        <v>791</v>
      </c>
      <c r="D11131" s="51" t="n">
        <v>0</v>
      </c>
    </row>
    <row r="11132" customFormat="false" ht="15" hidden="true" customHeight="false" outlineLevel="0" collapsed="false">
      <c r="A11132" s="51" t="s">
        <v>124</v>
      </c>
      <c r="B11132" s="55" t="n">
        <v>45838</v>
      </c>
      <c r="C11132" s="51" t="s">
        <v>791</v>
      </c>
      <c r="D11132" s="51" t="n">
        <v>0</v>
      </c>
    </row>
    <row r="11133" customFormat="false" ht="15" hidden="true" customHeight="false" outlineLevel="0" collapsed="false">
      <c r="A11133" s="51" t="s">
        <v>129</v>
      </c>
      <c r="B11133" s="55" t="n">
        <v>45838</v>
      </c>
      <c r="C11133" s="51" t="s">
        <v>791</v>
      </c>
      <c r="D11133" s="51" t="n">
        <v>0</v>
      </c>
    </row>
    <row r="11134" customFormat="false" ht="15" hidden="true" customHeight="false" outlineLevel="0" collapsed="false">
      <c r="A11134" s="51" t="s">
        <v>134</v>
      </c>
      <c r="B11134" s="55" t="n">
        <v>45838</v>
      </c>
      <c r="C11134" s="51" t="s">
        <v>791</v>
      </c>
      <c r="D11134" s="51" t="n">
        <v>0</v>
      </c>
    </row>
    <row r="11135" customFormat="false" ht="15" hidden="true" customHeight="false" outlineLevel="0" collapsed="false">
      <c r="A11135" s="51" t="s">
        <v>141</v>
      </c>
      <c r="B11135" s="55" t="n">
        <v>45838</v>
      </c>
      <c r="C11135" s="51" t="s">
        <v>791</v>
      </c>
      <c r="D11135" s="51" t="n">
        <v>0</v>
      </c>
    </row>
    <row r="11136" customFormat="false" ht="15" hidden="true" customHeight="false" outlineLevel="0" collapsed="false">
      <c r="A11136" s="51" t="s">
        <v>146</v>
      </c>
      <c r="B11136" s="55" t="n">
        <v>45838</v>
      </c>
      <c r="C11136" s="51" t="s">
        <v>791</v>
      </c>
      <c r="D11136" s="51" t="n">
        <v>0</v>
      </c>
    </row>
    <row r="11137" customFormat="false" ht="15" hidden="true" customHeight="false" outlineLevel="0" collapsed="false">
      <c r="A11137" s="51" t="s">
        <v>151</v>
      </c>
      <c r="B11137" s="55" t="n">
        <v>45838</v>
      </c>
      <c r="C11137" s="51" t="s">
        <v>791</v>
      </c>
      <c r="D11137" s="51" t="n">
        <v>0</v>
      </c>
    </row>
    <row r="11138" customFormat="false" ht="15" hidden="true" customHeight="false" outlineLevel="0" collapsed="false">
      <c r="A11138" s="51" t="s">
        <v>156</v>
      </c>
      <c r="B11138" s="55" t="n">
        <v>45838</v>
      </c>
      <c r="C11138" s="51" t="s">
        <v>791</v>
      </c>
      <c r="D11138" s="51" t="n">
        <v>0</v>
      </c>
    </row>
    <row r="11139" customFormat="false" ht="15" hidden="true" customHeight="false" outlineLevel="0" collapsed="false">
      <c r="A11139" s="51" t="s">
        <v>161</v>
      </c>
      <c r="B11139" s="55" t="n">
        <v>45838</v>
      </c>
      <c r="C11139" s="51" t="s">
        <v>791</v>
      </c>
      <c r="D11139" s="51" t="n">
        <v>0</v>
      </c>
    </row>
    <row r="11140" customFormat="false" ht="15" hidden="true" customHeight="false" outlineLevel="0" collapsed="false">
      <c r="A11140" s="51" t="s">
        <v>166</v>
      </c>
      <c r="B11140" s="55" t="n">
        <v>45838</v>
      </c>
      <c r="C11140" s="51" t="s">
        <v>791</v>
      </c>
      <c r="D11140" s="51" t="n">
        <v>0</v>
      </c>
    </row>
    <row r="11141" customFormat="false" ht="15" hidden="true" customHeight="false" outlineLevel="0" collapsed="false">
      <c r="A11141" s="51" t="s">
        <v>171</v>
      </c>
      <c r="B11141" s="55" t="n">
        <v>45838</v>
      </c>
      <c r="C11141" s="51" t="s">
        <v>791</v>
      </c>
      <c r="D11141" s="51" t="n">
        <v>0</v>
      </c>
    </row>
    <row r="11142" customFormat="false" ht="15" hidden="true" customHeight="false" outlineLevel="0" collapsed="false">
      <c r="A11142" s="51" t="s">
        <v>176</v>
      </c>
      <c r="B11142" s="55" t="n">
        <v>45838</v>
      </c>
      <c r="C11142" s="51" t="s">
        <v>791</v>
      </c>
      <c r="D11142" s="51" t="n">
        <v>0</v>
      </c>
    </row>
    <row r="11143" customFormat="false" ht="15" hidden="true" customHeight="false" outlineLevel="0" collapsed="false">
      <c r="A11143" s="51" t="s">
        <v>181</v>
      </c>
      <c r="B11143" s="55" t="n">
        <v>45838</v>
      </c>
      <c r="C11143" s="51" t="s">
        <v>791</v>
      </c>
      <c r="D11143" s="51" t="n">
        <v>0</v>
      </c>
    </row>
    <row r="11144" customFormat="false" ht="15" hidden="true" customHeight="false" outlineLevel="0" collapsed="false">
      <c r="A11144" s="51" t="s">
        <v>186</v>
      </c>
      <c r="B11144" s="55" t="n">
        <v>45838</v>
      </c>
      <c r="C11144" s="51" t="s">
        <v>791</v>
      </c>
      <c r="D11144" s="51" t="n">
        <v>0</v>
      </c>
    </row>
    <row r="11145" customFormat="false" ht="15" hidden="true" customHeight="false" outlineLevel="0" collapsed="false">
      <c r="A11145" s="51" t="s">
        <v>191</v>
      </c>
      <c r="B11145" s="55" t="n">
        <v>45838</v>
      </c>
      <c r="C11145" s="51" t="s">
        <v>791</v>
      </c>
      <c r="D11145" s="51" t="n">
        <v>0</v>
      </c>
    </row>
    <row r="11146" customFormat="false" ht="15" hidden="true" customHeight="false" outlineLevel="0" collapsed="false">
      <c r="A11146" s="51" t="s">
        <v>196</v>
      </c>
      <c r="B11146" s="55" t="n">
        <v>45838</v>
      </c>
      <c r="C11146" s="51" t="s">
        <v>791</v>
      </c>
      <c r="D11146" s="51" t="n">
        <v>0</v>
      </c>
    </row>
    <row r="11147" customFormat="false" ht="15" hidden="true" customHeight="false" outlineLevel="0" collapsed="false">
      <c r="A11147" s="51" t="s">
        <v>201</v>
      </c>
      <c r="B11147" s="55" t="n">
        <v>45838</v>
      </c>
      <c r="C11147" s="51" t="s">
        <v>791</v>
      </c>
      <c r="D11147" s="51" t="n">
        <v>0</v>
      </c>
    </row>
    <row r="11148" customFormat="false" ht="15" hidden="true" customHeight="false" outlineLevel="0" collapsed="false">
      <c r="A11148" s="51" t="s">
        <v>206</v>
      </c>
      <c r="B11148" s="55" t="n">
        <v>45838</v>
      </c>
      <c r="C11148" s="51" t="s">
        <v>791</v>
      </c>
      <c r="D11148" s="51" t="n">
        <v>0</v>
      </c>
    </row>
    <row r="11149" customFormat="false" ht="15" hidden="true" customHeight="false" outlineLevel="0" collapsed="false">
      <c r="A11149" s="51" t="s">
        <v>210</v>
      </c>
      <c r="B11149" s="55" t="n">
        <v>45838</v>
      </c>
      <c r="C11149" s="51" t="s">
        <v>791</v>
      </c>
      <c r="D11149" s="51" t="n">
        <v>0</v>
      </c>
    </row>
    <row r="11150" customFormat="false" ht="15" hidden="true" customHeight="false" outlineLevel="0" collapsed="false">
      <c r="A11150" s="51" t="s">
        <v>215</v>
      </c>
      <c r="B11150" s="55" t="n">
        <v>45838</v>
      </c>
      <c r="C11150" s="51" t="s">
        <v>791</v>
      </c>
      <c r="D11150" s="51" t="n">
        <v>0</v>
      </c>
    </row>
    <row r="11151" customFormat="false" ht="15" hidden="true" customHeight="false" outlineLevel="0" collapsed="false">
      <c r="A11151" s="51" t="s">
        <v>790</v>
      </c>
      <c r="B11151" s="55" t="n">
        <v>45838</v>
      </c>
      <c r="C11151" s="51" t="s">
        <v>791</v>
      </c>
      <c r="D11151" s="51" t="n">
        <v>0</v>
      </c>
    </row>
    <row r="11152" customFormat="false" ht="15" hidden="true" customHeight="false" outlineLevel="0" collapsed="false">
      <c r="A11152" s="51" t="s">
        <v>225</v>
      </c>
      <c r="B11152" s="55" t="n">
        <v>45838</v>
      </c>
      <c r="C11152" s="51" t="s">
        <v>791</v>
      </c>
      <c r="D11152" s="51" t="n">
        <v>0</v>
      </c>
    </row>
    <row r="11153" customFormat="false" ht="15" hidden="true" customHeight="false" outlineLevel="0" collapsed="false">
      <c r="A11153" s="51" t="s">
        <v>230</v>
      </c>
      <c r="B11153" s="55" t="n">
        <v>45838</v>
      </c>
      <c r="C11153" s="51" t="s">
        <v>791</v>
      </c>
      <c r="D11153" s="51" t="n">
        <v>0</v>
      </c>
    </row>
    <row r="11154" customFormat="false" ht="15" hidden="true" customHeight="false" outlineLevel="0" collapsed="false">
      <c r="A11154" s="51" t="s">
        <v>235</v>
      </c>
      <c r="B11154" s="55" t="n">
        <v>45838</v>
      </c>
      <c r="C11154" s="51" t="s">
        <v>791</v>
      </c>
      <c r="D11154" s="51" t="n">
        <v>0</v>
      </c>
    </row>
    <row r="11155" customFormat="false" ht="15" hidden="true" customHeight="false" outlineLevel="0" collapsed="false">
      <c r="A11155" s="51" t="s">
        <v>240</v>
      </c>
      <c r="B11155" s="55" t="n">
        <v>45838</v>
      </c>
      <c r="C11155" s="51" t="s">
        <v>791</v>
      </c>
      <c r="D11155" s="51" t="n">
        <v>0</v>
      </c>
    </row>
    <row r="11156" customFormat="false" ht="15" hidden="true" customHeight="false" outlineLevel="0" collapsed="false">
      <c r="A11156" s="51" t="s">
        <v>246</v>
      </c>
      <c r="B11156" s="55" t="n">
        <v>45838</v>
      </c>
      <c r="C11156" s="51" t="s">
        <v>791</v>
      </c>
      <c r="D11156" s="51" t="n">
        <v>0</v>
      </c>
    </row>
    <row r="11157" customFormat="false" ht="15" hidden="true" customHeight="false" outlineLevel="0" collapsed="false">
      <c r="A11157" s="51" t="s">
        <v>252</v>
      </c>
      <c r="B11157" s="55" t="n">
        <v>45838</v>
      </c>
      <c r="C11157" s="51" t="s">
        <v>791</v>
      </c>
      <c r="D11157" s="51" t="n">
        <v>0</v>
      </c>
    </row>
    <row r="11158" customFormat="false" ht="15" hidden="true" customHeight="false" outlineLevel="0" collapsed="false">
      <c r="A11158" s="51" t="s">
        <v>257</v>
      </c>
      <c r="B11158" s="55" t="n">
        <v>45838</v>
      </c>
      <c r="C11158" s="51" t="s">
        <v>791</v>
      </c>
      <c r="D11158" s="51" t="n">
        <v>0</v>
      </c>
    </row>
    <row r="11159" customFormat="false" ht="15" hidden="true" customHeight="false" outlineLevel="0" collapsed="false">
      <c r="A11159" s="51" t="s">
        <v>262</v>
      </c>
      <c r="B11159" s="55" t="n">
        <v>45838</v>
      </c>
      <c r="C11159" s="51" t="s">
        <v>791</v>
      </c>
      <c r="D11159" s="51" t="n">
        <v>0</v>
      </c>
    </row>
    <row r="11160" customFormat="false" ht="15" hidden="true" customHeight="false" outlineLevel="0" collapsed="false">
      <c r="A11160" s="51" t="s">
        <v>267</v>
      </c>
      <c r="B11160" s="55" t="n">
        <v>45838</v>
      </c>
      <c r="C11160" s="51" t="s">
        <v>791</v>
      </c>
      <c r="D11160" s="51" t="n">
        <v>0</v>
      </c>
    </row>
    <row r="11161" customFormat="false" ht="15" hidden="true" customHeight="false" outlineLevel="0" collapsed="false">
      <c r="A11161" s="51" t="s">
        <v>272</v>
      </c>
      <c r="B11161" s="55" t="n">
        <v>45838</v>
      </c>
      <c r="C11161" s="51" t="s">
        <v>791</v>
      </c>
      <c r="D11161" s="51" t="n">
        <v>0</v>
      </c>
    </row>
    <row r="11162" customFormat="false" ht="15" hidden="true" customHeight="false" outlineLevel="0" collapsed="false">
      <c r="A11162" s="51" t="s">
        <v>277</v>
      </c>
      <c r="B11162" s="55" t="n">
        <v>45838</v>
      </c>
      <c r="C11162" s="51" t="s">
        <v>791</v>
      </c>
      <c r="D11162" s="51" t="n">
        <v>0</v>
      </c>
    </row>
    <row r="11163" customFormat="false" ht="15" hidden="true" customHeight="false" outlineLevel="0" collapsed="false">
      <c r="A11163" s="51" t="s">
        <v>282</v>
      </c>
      <c r="B11163" s="55" t="n">
        <v>45838</v>
      </c>
      <c r="C11163" s="51" t="s">
        <v>791</v>
      </c>
      <c r="D11163" s="51" t="n">
        <v>0</v>
      </c>
    </row>
    <row r="11164" customFormat="false" ht="15" hidden="true" customHeight="false" outlineLevel="0" collapsed="false">
      <c r="A11164" s="51" t="s">
        <v>287</v>
      </c>
      <c r="B11164" s="55" t="n">
        <v>45838</v>
      </c>
      <c r="C11164" s="51" t="s">
        <v>791</v>
      </c>
      <c r="D11164" s="51" t="n">
        <v>0</v>
      </c>
    </row>
    <row r="11165" customFormat="false" ht="15" hidden="true" customHeight="false" outlineLevel="0" collapsed="false">
      <c r="A11165" s="51" t="s">
        <v>292</v>
      </c>
      <c r="B11165" s="55" t="n">
        <v>45838</v>
      </c>
      <c r="C11165" s="51" t="s">
        <v>791</v>
      </c>
      <c r="D11165" s="51" t="n">
        <v>0</v>
      </c>
    </row>
    <row r="11166" customFormat="false" ht="15" hidden="true" customHeight="false" outlineLevel="0" collapsed="false">
      <c r="A11166" s="51" t="s">
        <v>297</v>
      </c>
      <c r="B11166" s="55" t="n">
        <v>45838</v>
      </c>
      <c r="C11166" s="51" t="s">
        <v>791</v>
      </c>
      <c r="D11166" s="51" t="n">
        <v>0</v>
      </c>
    </row>
    <row r="11167" customFormat="false" ht="15" hidden="true" customHeight="false" outlineLevel="0" collapsed="false">
      <c r="A11167" s="51" t="s">
        <v>302</v>
      </c>
      <c r="B11167" s="55" t="n">
        <v>45838</v>
      </c>
      <c r="C11167" s="51" t="s">
        <v>791</v>
      </c>
      <c r="D11167" s="51" t="n">
        <v>0</v>
      </c>
    </row>
    <row r="11168" customFormat="false" ht="15" hidden="true" customHeight="false" outlineLevel="0" collapsed="false">
      <c r="A11168" s="51" t="s">
        <v>307</v>
      </c>
      <c r="B11168" s="55" t="n">
        <v>45838</v>
      </c>
      <c r="C11168" s="51" t="s">
        <v>791</v>
      </c>
      <c r="D11168" s="51" t="n">
        <v>0</v>
      </c>
    </row>
    <row r="11169" customFormat="false" ht="15" hidden="true" customHeight="false" outlineLevel="0" collapsed="false">
      <c r="A11169" s="51" t="s">
        <v>311</v>
      </c>
      <c r="B11169" s="55" t="n">
        <v>45838</v>
      </c>
      <c r="C11169" s="51" t="s">
        <v>791</v>
      </c>
      <c r="D11169" s="51" t="n">
        <v>0</v>
      </c>
    </row>
    <row r="11170" customFormat="false" ht="15" hidden="true" customHeight="false" outlineLevel="0" collapsed="false">
      <c r="A11170" s="51" t="s">
        <v>317</v>
      </c>
      <c r="B11170" s="55" t="n">
        <v>45838</v>
      </c>
      <c r="C11170" s="51" t="s">
        <v>791</v>
      </c>
      <c r="D11170" s="51" t="n">
        <v>0</v>
      </c>
    </row>
    <row r="11171" customFormat="false" ht="15" hidden="true" customHeight="false" outlineLevel="0" collapsed="false">
      <c r="A11171" s="51" t="s">
        <v>322</v>
      </c>
      <c r="B11171" s="55" t="n">
        <v>45838</v>
      </c>
      <c r="C11171" s="51" t="s">
        <v>791</v>
      </c>
      <c r="D11171" s="51" t="n">
        <v>0</v>
      </c>
    </row>
    <row r="11172" customFormat="false" ht="15" hidden="true" customHeight="false" outlineLevel="0" collapsed="false">
      <c r="A11172" s="51" t="s">
        <v>327</v>
      </c>
      <c r="B11172" s="55" t="n">
        <v>45838</v>
      </c>
      <c r="C11172" s="51" t="s">
        <v>791</v>
      </c>
      <c r="D11172" s="51" t="n">
        <v>0</v>
      </c>
    </row>
    <row r="11173" customFormat="false" ht="15" hidden="true" customHeight="false" outlineLevel="0" collapsed="false">
      <c r="A11173" s="51" t="s">
        <v>332</v>
      </c>
      <c r="B11173" s="55" t="n">
        <v>45838</v>
      </c>
      <c r="C11173" s="51" t="s">
        <v>791</v>
      </c>
      <c r="D11173" s="51" t="n">
        <v>0</v>
      </c>
    </row>
    <row r="11174" customFormat="false" ht="15" hidden="true" customHeight="false" outlineLevel="0" collapsed="false">
      <c r="A11174" s="51" t="s">
        <v>339</v>
      </c>
      <c r="B11174" s="55" t="n">
        <v>45838</v>
      </c>
      <c r="C11174" s="51" t="s">
        <v>791</v>
      </c>
      <c r="D11174" s="51" t="n">
        <v>0</v>
      </c>
    </row>
    <row r="11175" customFormat="false" ht="15" hidden="true" customHeight="false" outlineLevel="0" collapsed="false">
      <c r="A11175" s="51" t="s">
        <v>344</v>
      </c>
      <c r="B11175" s="55" t="n">
        <v>45838</v>
      </c>
      <c r="C11175" s="51" t="s">
        <v>791</v>
      </c>
      <c r="D11175" s="51" t="n">
        <v>0</v>
      </c>
    </row>
    <row r="11176" customFormat="false" ht="15" hidden="true" customHeight="false" outlineLevel="0" collapsed="false">
      <c r="A11176" s="51" t="s">
        <v>349</v>
      </c>
      <c r="B11176" s="55" t="n">
        <v>45838</v>
      </c>
      <c r="C11176" s="51" t="s">
        <v>791</v>
      </c>
      <c r="D11176" s="51" t="n">
        <v>0</v>
      </c>
    </row>
    <row r="11177" customFormat="false" ht="15" hidden="true" customHeight="false" outlineLevel="0" collapsed="false">
      <c r="A11177" s="51" t="s">
        <v>354</v>
      </c>
      <c r="B11177" s="55" t="n">
        <v>45838</v>
      </c>
      <c r="C11177" s="51" t="s">
        <v>791</v>
      </c>
      <c r="D11177" s="51" t="n">
        <v>0</v>
      </c>
    </row>
    <row r="11178" customFormat="false" ht="15" hidden="true" customHeight="false" outlineLevel="0" collapsed="false">
      <c r="A11178" s="51" t="s">
        <v>359</v>
      </c>
      <c r="B11178" s="55" t="n">
        <v>45838</v>
      </c>
      <c r="C11178" s="51" t="s">
        <v>791</v>
      </c>
      <c r="D11178" s="51" t="n">
        <v>0</v>
      </c>
    </row>
    <row r="11179" customFormat="false" ht="15" hidden="true" customHeight="false" outlineLevel="0" collapsed="false">
      <c r="A11179" s="51" t="s">
        <v>364</v>
      </c>
      <c r="B11179" s="55" t="n">
        <v>45838</v>
      </c>
      <c r="C11179" s="51" t="s">
        <v>791</v>
      </c>
      <c r="D11179" s="51" t="n">
        <v>0</v>
      </c>
    </row>
    <row r="11180" customFormat="false" ht="15" hidden="true" customHeight="false" outlineLevel="0" collapsed="false">
      <c r="A11180" s="51" t="s">
        <v>369</v>
      </c>
      <c r="B11180" s="55" t="n">
        <v>45838</v>
      </c>
      <c r="C11180" s="51" t="s">
        <v>791</v>
      </c>
      <c r="D11180" s="51" t="n">
        <v>0</v>
      </c>
    </row>
    <row r="11181" customFormat="false" ht="15" hidden="true" customHeight="false" outlineLevel="0" collapsed="false">
      <c r="A11181" s="51" t="s">
        <v>374</v>
      </c>
      <c r="B11181" s="55" t="n">
        <v>45838</v>
      </c>
      <c r="C11181" s="51" t="s">
        <v>791</v>
      </c>
      <c r="D11181" s="51" t="n">
        <v>0</v>
      </c>
    </row>
    <row r="11182" customFormat="false" ht="15" hidden="true" customHeight="false" outlineLevel="0" collapsed="false">
      <c r="A11182" s="51" t="s">
        <v>379</v>
      </c>
      <c r="B11182" s="55" t="n">
        <v>45838</v>
      </c>
      <c r="C11182" s="51" t="s">
        <v>791</v>
      </c>
      <c r="D11182" s="51" t="n">
        <v>0</v>
      </c>
    </row>
    <row r="11183" customFormat="false" ht="15" hidden="true" customHeight="false" outlineLevel="0" collapsed="false">
      <c r="A11183" s="51" t="s">
        <v>384</v>
      </c>
      <c r="B11183" s="55" t="n">
        <v>45838</v>
      </c>
      <c r="C11183" s="51" t="s">
        <v>791</v>
      </c>
      <c r="D11183" s="51" t="n">
        <v>0</v>
      </c>
    </row>
    <row r="11184" customFormat="false" ht="15" hidden="true" customHeight="false" outlineLevel="0" collapsed="false">
      <c r="A11184" s="51" t="s">
        <v>389</v>
      </c>
      <c r="B11184" s="55" t="n">
        <v>45838</v>
      </c>
      <c r="C11184" s="51" t="s">
        <v>791</v>
      </c>
      <c r="D11184" s="51" t="n">
        <v>-1000000</v>
      </c>
    </row>
    <row r="11185" customFormat="false" ht="15" hidden="true" customHeight="false" outlineLevel="0" collapsed="false">
      <c r="A11185" s="51" t="s">
        <v>394</v>
      </c>
      <c r="B11185" s="55" t="n">
        <v>45838</v>
      </c>
      <c r="C11185" s="51" t="s">
        <v>791</v>
      </c>
      <c r="D11185" s="51" t="n">
        <v>0</v>
      </c>
    </row>
    <row r="11186" customFormat="false" ht="15" hidden="true" customHeight="false" outlineLevel="0" collapsed="false">
      <c r="A11186" s="51" t="s">
        <v>399</v>
      </c>
      <c r="B11186" s="55" t="n">
        <v>45838</v>
      </c>
      <c r="C11186" s="51" t="s">
        <v>791</v>
      </c>
      <c r="D11186" s="51" t="n">
        <v>0</v>
      </c>
    </row>
    <row r="11187" customFormat="false" ht="15" hidden="true" customHeight="false" outlineLevel="0" collapsed="false">
      <c r="A11187" s="51" t="s">
        <v>404</v>
      </c>
      <c r="B11187" s="55" t="n">
        <v>45838</v>
      </c>
      <c r="C11187" s="51" t="s">
        <v>791</v>
      </c>
      <c r="D11187" s="51" t="n">
        <v>0</v>
      </c>
    </row>
    <row r="11188" customFormat="false" ht="15" hidden="true" customHeight="false" outlineLevel="0" collapsed="false">
      <c r="A11188" s="51" t="s">
        <v>409</v>
      </c>
      <c r="B11188" s="55" t="n">
        <v>45838</v>
      </c>
      <c r="C11188" s="51" t="s">
        <v>791</v>
      </c>
      <c r="D11188" s="51" t="n">
        <v>0</v>
      </c>
    </row>
    <row r="11189" customFormat="false" ht="15" hidden="true" customHeight="false" outlineLevel="0" collapsed="false">
      <c r="A11189" s="51" t="s">
        <v>414</v>
      </c>
      <c r="B11189" s="55" t="n">
        <v>45838</v>
      </c>
      <c r="C11189" s="51" t="s">
        <v>791</v>
      </c>
      <c r="D11189" s="51" t="n">
        <v>0</v>
      </c>
    </row>
    <row r="11190" customFormat="false" ht="15" hidden="true" customHeight="false" outlineLevel="0" collapsed="false">
      <c r="A11190" s="51" t="s">
        <v>419</v>
      </c>
      <c r="B11190" s="55" t="n">
        <v>45838</v>
      </c>
      <c r="C11190" s="51" t="s">
        <v>791</v>
      </c>
      <c r="D11190" s="51" t="n">
        <v>0</v>
      </c>
    </row>
    <row r="11191" customFormat="false" ht="15" hidden="true" customHeight="false" outlineLevel="0" collapsed="false">
      <c r="A11191" s="51" t="s">
        <v>424</v>
      </c>
      <c r="B11191" s="55" t="n">
        <v>45838</v>
      </c>
      <c r="C11191" s="51" t="s">
        <v>791</v>
      </c>
      <c r="D11191" s="51" t="n">
        <v>0</v>
      </c>
    </row>
    <row r="11192" customFormat="false" ht="15" hidden="true" customHeight="false" outlineLevel="0" collapsed="false">
      <c r="A11192" s="51" t="s">
        <v>429</v>
      </c>
      <c r="B11192" s="55" t="n">
        <v>45838</v>
      </c>
      <c r="C11192" s="51" t="s">
        <v>791</v>
      </c>
      <c r="D11192" s="51" t="n">
        <v>0</v>
      </c>
    </row>
    <row r="11193" customFormat="false" ht="15" hidden="true" customHeight="false" outlineLevel="0" collapsed="false">
      <c r="A11193" s="51" t="s">
        <v>434</v>
      </c>
      <c r="B11193" s="55" t="n">
        <v>45838</v>
      </c>
      <c r="C11193" s="51" t="s">
        <v>791</v>
      </c>
      <c r="D11193" s="51" t="n">
        <v>0</v>
      </c>
    </row>
    <row r="11194" customFormat="false" ht="15" hidden="true" customHeight="false" outlineLevel="0" collapsed="false">
      <c r="A11194" s="51" t="s">
        <v>438</v>
      </c>
      <c r="B11194" s="55" t="n">
        <v>45838</v>
      </c>
      <c r="C11194" s="51" t="s">
        <v>791</v>
      </c>
      <c r="D11194" s="51" t="n">
        <v>0</v>
      </c>
    </row>
    <row r="11195" customFormat="false" ht="15" hidden="true" customHeight="false" outlineLevel="0" collapsed="false">
      <c r="A11195" s="51" t="s">
        <v>443</v>
      </c>
      <c r="B11195" s="55" t="n">
        <v>45838</v>
      </c>
      <c r="C11195" s="51" t="s">
        <v>791</v>
      </c>
      <c r="D11195" s="51" t="n">
        <v>0</v>
      </c>
    </row>
    <row r="11196" customFormat="false" ht="15" hidden="true" customHeight="false" outlineLevel="0" collapsed="false">
      <c r="A11196" s="51" t="s">
        <v>448</v>
      </c>
      <c r="B11196" s="55" t="n">
        <v>45838</v>
      </c>
      <c r="C11196" s="51" t="s">
        <v>791</v>
      </c>
      <c r="D11196" s="51" t="n">
        <v>0</v>
      </c>
    </row>
    <row r="11197" customFormat="false" ht="15" hidden="true" customHeight="false" outlineLevel="0" collapsed="false">
      <c r="A11197" s="51" t="s">
        <v>453</v>
      </c>
      <c r="B11197" s="55" t="n">
        <v>45838</v>
      </c>
      <c r="C11197" s="51" t="s">
        <v>791</v>
      </c>
      <c r="D11197" s="51" t="n">
        <v>-1000000</v>
      </c>
    </row>
    <row r="11198" customFormat="false" ht="15" hidden="true" customHeight="false" outlineLevel="0" collapsed="false">
      <c r="A11198" s="51" t="s">
        <v>458</v>
      </c>
      <c r="B11198" s="55" t="n">
        <v>45838</v>
      </c>
      <c r="C11198" s="51" t="s">
        <v>791</v>
      </c>
      <c r="D11198" s="51" t="n">
        <v>0</v>
      </c>
    </row>
    <row r="11199" customFormat="false" ht="15" hidden="true" customHeight="false" outlineLevel="0" collapsed="false">
      <c r="A11199" s="51" t="s">
        <v>473</v>
      </c>
      <c r="B11199" s="55" t="n">
        <v>45838</v>
      </c>
      <c r="C11199" s="51" t="s">
        <v>791</v>
      </c>
      <c r="D11199" s="51" t="n">
        <v>0</v>
      </c>
    </row>
    <row r="11200" customFormat="false" ht="15" hidden="true" customHeight="false" outlineLevel="0" collapsed="false">
      <c r="A11200" s="51" t="s">
        <v>479</v>
      </c>
      <c r="B11200" s="55" t="n">
        <v>45838</v>
      </c>
      <c r="C11200" s="51" t="s">
        <v>791</v>
      </c>
      <c r="D11200" s="51" t="n">
        <v>0</v>
      </c>
    </row>
    <row r="11201" customFormat="false" ht="15" hidden="true" customHeight="false" outlineLevel="0" collapsed="false">
      <c r="A11201" s="51" t="s">
        <v>484</v>
      </c>
      <c r="B11201" s="55" t="n">
        <v>45838</v>
      </c>
      <c r="C11201" s="51" t="s">
        <v>791</v>
      </c>
      <c r="D11201" s="51" t="n">
        <v>0</v>
      </c>
    </row>
    <row r="11202" customFormat="false" ht="15" hidden="true" customHeight="false" outlineLevel="0" collapsed="false">
      <c r="A11202" s="51" t="s">
        <v>489</v>
      </c>
      <c r="B11202" s="55" t="n">
        <v>45838</v>
      </c>
      <c r="C11202" s="51" t="s">
        <v>791</v>
      </c>
      <c r="D11202" s="51" t="n">
        <v>0</v>
      </c>
    </row>
    <row r="11203" customFormat="false" ht="15" hidden="true" customHeight="false" outlineLevel="0" collapsed="false">
      <c r="A11203" s="51" t="s">
        <v>494</v>
      </c>
      <c r="B11203" s="55" t="n">
        <v>45838</v>
      </c>
      <c r="C11203" s="51" t="s">
        <v>791</v>
      </c>
      <c r="D11203" s="51" t="n">
        <v>0</v>
      </c>
    </row>
    <row r="11204" customFormat="false" ht="15" hidden="true" customHeight="false" outlineLevel="0" collapsed="false">
      <c r="A11204" s="51" t="s">
        <v>499</v>
      </c>
      <c r="B11204" s="55" t="n">
        <v>45838</v>
      </c>
      <c r="C11204" s="51" t="s">
        <v>791</v>
      </c>
      <c r="D11204" s="51" t="n">
        <v>0</v>
      </c>
    </row>
    <row r="11205" customFormat="false" ht="15" hidden="true" customHeight="false" outlineLevel="0" collapsed="false">
      <c r="A11205" s="51" t="s">
        <v>504</v>
      </c>
      <c r="B11205" s="55" t="n">
        <v>45838</v>
      </c>
      <c r="C11205" s="51" t="s">
        <v>791</v>
      </c>
      <c r="D11205" s="51" t="n">
        <v>0</v>
      </c>
    </row>
    <row r="11206" customFormat="false" ht="15" hidden="true" customHeight="false" outlineLevel="0" collapsed="false">
      <c r="A11206" s="51" t="s">
        <v>509</v>
      </c>
      <c r="B11206" s="55" t="n">
        <v>45838</v>
      </c>
      <c r="C11206" s="51" t="s">
        <v>791</v>
      </c>
      <c r="D11206" s="51" t="n">
        <v>0</v>
      </c>
    </row>
    <row r="11207" customFormat="false" ht="15" hidden="true" customHeight="false" outlineLevel="0" collapsed="false">
      <c r="A11207" s="51" t="s">
        <v>515</v>
      </c>
      <c r="B11207" s="55" t="n">
        <v>45838</v>
      </c>
      <c r="C11207" s="51" t="s">
        <v>791</v>
      </c>
      <c r="D11207" s="51" t="n">
        <v>0</v>
      </c>
    </row>
    <row r="11208" customFormat="false" ht="15" hidden="true" customHeight="false" outlineLevel="0" collapsed="false">
      <c r="A11208" s="51" t="s">
        <v>520</v>
      </c>
      <c r="B11208" s="55" t="n">
        <v>45838</v>
      </c>
      <c r="C11208" s="51" t="s">
        <v>791</v>
      </c>
      <c r="D11208" s="51" t="n">
        <v>0</v>
      </c>
    </row>
    <row r="11209" customFormat="false" ht="15" hidden="true" customHeight="false" outlineLevel="0" collapsed="false">
      <c r="A11209" s="51" t="s">
        <v>525</v>
      </c>
      <c r="B11209" s="55" t="n">
        <v>45838</v>
      </c>
      <c r="C11209" s="51" t="s">
        <v>791</v>
      </c>
      <c r="D11209" s="51" t="n">
        <v>0</v>
      </c>
    </row>
    <row r="11210" customFormat="false" ht="15" hidden="true" customHeight="false" outlineLevel="0" collapsed="false">
      <c r="A11210" s="51" t="s">
        <v>531</v>
      </c>
      <c r="B11210" s="55" t="n">
        <v>45838</v>
      </c>
      <c r="C11210" s="51" t="s">
        <v>791</v>
      </c>
      <c r="D11210" s="51" t="n">
        <v>0</v>
      </c>
    </row>
    <row r="11211" customFormat="false" ht="15" hidden="true" customHeight="false" outlineLevel="0" collapsed="false">
      <c r="A11211" s="51" t="s">
        <v>536</v>
      </c>
      <c r="B11211" s="55" t="n">
        <v>45838</v>
      </c>
      <c r="C11211" s="51" t="s">
        <v>791</v>
      </c>
      <c r="D11211" s="51" t="n">
        <v>0</v>
      </c>
    </row>
    <row r="11212" customFormat="false" ht="15" hidden="true" customHeight="false" outlineLevel="0" collapsed="false">
      <c r="A11212" s="51" t="s">
        <v>541</v>
      </c>
      <c r="B11212" s="55" t="n">
        <v>45838</v>
      </c>
      <c r="C11212" s="51" t="s">
        <v>791</v>
      </c>
      <c r="D11212" s="51" t="n">
        <v>0</v>
      </c>
    </row>
    <row r="11213" customFormat="false" ht="15" hidden="true" customHeight="false" outlineLevel="0" collapsed="false">
      <c r="A11213" s="51" t="s">
        <v>549</v>
      </c>
      <c r="B11213" s="55" t="n">
        <v>45838</v>
      </c>
      <c r="C11213" s="51" t="s">
        <v>791</v>
      </c>
      <c r="D11213" s="51" t="n">
        <v>0</v>
      </c>
    </row>
    <row r="11214" customFormat="false" ht="15" hidden="true" customHeight="false" outlineLevel="0" collapsed="false">
      <c r="A11214" s="51" t="s">
        <v>554</v>
      </c>
      <c r="B11214" s="55" t="n">
        <v>45838</v>
      </c>
      <c r="C11214" s="51" t="s">
        <v>791</v>
      </c>
      <c r="D11214" s="51" t="n">
        <v>0</v>
      </c>
    </row>
    <row r="11215" customFormat="false" ht="15" hidden="true" customHeight="false" outlineLevel="0" collapsed="false">
      <c r="A11215" s="51" t="s">
        <v>559</v>
      </c>
      <c r="B11215" s="55" t="n">
        <v>45838</v>
      </c>
      <c r="C11215" s="51" t="s">
        <v>791</v>
      </c>
      <c r="D11215" s="51" t="n">
        <v>0</v>
      </c>
    </row>
    <row r="11216" customFormat="false" ht="15" hidden="true" customHeight="false" outlineLevel="0" collapsed="false">
      <c r="A11216" s="51" t="s">
        <v>564</v>
      </c>
      <c r="B11216" s="55" t="n">
        <v>45838</v>
      </c>
      <c r="C11216" s="51" t="s">
        <v>791</v>
      </c>
      <c r="D11216" s="51" t="n">
        <v>-100000</v>
      </c>
    </row>
    <row r="11217" customFormat="false" ht="15" hidden="true" customHeight="false" outlineLevel="0" collapsed="false">
      <c r="A11217" s="51" t="s">
        <v>569</v>
      </c>
      <c r="B11217" s="55" t="n">
        <v>45838</v>
      </c>
      <c r="C11217" s="51" t="s">
        <v>791</v>
      </c>
      <c r="D11217" s="51" t="n">
        <v>250000</v>
      </c>
    </row>
    <row r="11218" customFormat="false" ht="15" hidden="true" customHeight="false" outlineLevel="0" collapsed="false">
      <c r="A11218" s="51" t="s">
        <v>574</v>
      </c>
      <c r="B11218" s="55" t="n">
        <v>45838</v>
      </c>
      <c r="C11218" s="51" t="s">
        <v>791</v>
      </c>
      <c r="D11218" s="51" t="n">
        <v>0</v>
      </c>
    </row>
    <row r="11219" customFormat="false" ht="15" hidden="true" customHeight="false" outlineLevel="0" collapsed="false">
      <c r="A11219" s="51" t="s">
        <v>579</v>
      </c>
      <c r="B11219" s="55" t="n">
        <v>45838</v>
      </c>
      <c r="C11219" s="51" t="s">
        <v>791</v>
      </c>
      <c r="D11219" s="51" t="n">
        <v>0</v>
      </c>
    </row>
    <row r="11220" customFormat="false" ht="15" hidden="true" customHeight="false" outlineLevel="0" collapsed="false">
      <c r="A11220" s="51" t="s">
        <v>584</v>
      </c>
      <c r="B11220" s="55" t="n">
        <v>45838</v>
      </c>
      <c r="C11220" s="51" t="s">
        <v>791</v>
      </c>
      <c r="D11220" s="51" t="n">
        <v>0</v>
      </c>
    </row>
    <row r="11221" customFormat="false" ht="15" hidden="true" customHeight="false" outlineLevel="0" collapsed="false">
      <c r="A11221" s="51" t="s">
        <v>589</v>
      </c>
      <c r="B11221" s="55" t="n">
        <v>45838</v>
      </c>
      <c r="C11221" s="51" t="s">
        <v>791</v>
      </c>
      <c r="D11221" s="51" t="n">
        <v>-700000</v>
      </c>
    </row>
    <row r="11222" customFormat="false" ht="15" hidden="true" customHeight="false" outlineLevel="0" collapsed="false">
      <c r="A11222" s="51" t="s">
        <v>756</v>
      </c>
      <c r="B11222" s="55" t="n">
        <v>45838</v>
      </c>
      <c r="C11222" s="51" t="s">
        <v>791</v>
      </c>
      <c r="D11222" s="51" t="n">
        <v>0</v>
      </c>
    </row>
    <row r="11223" customFormat="false" ht="15" hidden="true" customHeight="false" outlineLevel="0" collapsed="false">
      <c r="A11223" s="51" t="s">
        <v>594</v>
      </c>
      <c r="B11223" s="55" t="n">
        <v>45838</v>
      </c>
      <c r="C11223" s="51" t="s">
        <v>791</v>
      </c>
      <c r="D11223" s="51" t="n">
        <v>0</v>
      </c>
    </row>
    <row r="11224" customFormat="false" ht="15" hidden="true" customHeight="false" outlineLevel="0" collapsed="false">
      <c r="A11224" s="51" t="s">
        <v>761</v>
      </c>
      <c r="B11224" s="55" t="n">
        <v>45838</v>
      </c>
      <c r="C11224" s="51" t="s">
        <v>791</v>
      </c>
      <c r="D11224" s="51" t="n">
        <v>0</v>
      </c>
    </row>
    <row r="11225" customFormat="false" ht="15" hidden="true" customHeight="false" outlineLevel="0" collapsed="false">
      <c r="A11225" s="51" t="s">
        <v>599</v>
      </c>
      <c r="B11225" s="55" t="n">
        <v>45838</v>
      </c>
      <c r="C11225" s="51" t="s">
        <v>791</v>
      </c>
      <c r="D11225" s="51" t="n">
        <v>-600000</v>
      </c>
    </row>
    <row r="11226" customFormat="false" ht="15" hidden="true" customHeight="false" outlineLevel="0" collapsed="false">
      <c r="A11226" s="51" t="s">
        <v>604</v>
      </c>
      <c r="B11226" s="55" t="n">
        <v>45838</v>
      </c>
      <c r="C11226" s="51" t="s">
        <v>791</v>
      </c>
      <c r="D11226" s="51" t="n">
        <v>-500000</v>
      </c>
    </row>
    <row r="11227" customFormat="false" ht="15" hidden="true" customHeight="false" outlineLevel="0" collapsed="false">
      <c r="A11227" s="51" t="s">
        <v>609</v>
      </c>
      <c r="B11227" s="55" t="n">
        <v>45838</v>
      </c>
      <c r="C11227" s="51" t="s">
        <v>791</v>
      </c>
      <c r="D11227" s="51" t="n">
        <v>0</v>
      </c>
    </row>
    <row r="11228" customFormat="false" ht="15" hidden="true" customHeight="false" outlineLevel="0" collapsed="false">
      <c r="A11228" s="51" t="s">
        <v>614</v>
      </c>
      <c r="B11228" s="55" t="n">
        <v>45838</v>
      </c>
      <c r="C11228" s="51" t="s">
        <v>791</v>
      </c>
      <c r="D11228" s="51" t="n">
        <v>0</v>
      </c>
    </row>
    <row r="11229" customFormat="false" ht="15" hidden="true" customHeight="false" outlineLevel="0" collapsed="false">
      <c r="A11229" s="51" t="s">
        <v>619</v>
      </c>
      <c r="B11229" s="55" t="n">
        <v>45838</v>
      </c>
      <c r="C11229" s="51" t="s">
        <v>791</v>
      </c>
      <c r="D11229" s="51" t="n">
        <v>0</v>
      </c>
    </row>
    <row r="11230" customFormat="false" ht="15" hidden="true" customHeight="false" outlineLevel="0" collapsed="false">
      <c r="A11230" s="51" t="s">
        <v>624</v>
      </c>
      <c r="B11230" s="55" t="n">
        <v>45838</v>
      </c>
      <c r="C11230" s="51" t="s">
        <v>791</v>
      </c>
      <c r="D11230" s="51" t="n">
        <v>0</v>
      </c>
    </row>
    <row r="11231" customFormat="false" ht="15" hidden="true" customHeight="false" outlineLevel="0" collapsed="false">
      <c r="A11231" s="51" t="s">
        <v>629</v>
      </c>
      <c r="B11231" s="55" t="n">
        <v>45838</v>
      </c>
      <c r="C11231" s="51" t="s">
        <v>791</v>
      </c>
      <c r="D11231" s="51" t="n">
        <v>0</v>
      </c>
    </row>
    <row r="11232" customFormat="false" ht="15" hidden="true" customHeight="false" outlineLevel="0" collapsed="false">
      <c r="A11232" s="51" t="s">
        <v>633</v>
      </c>
      <c r="B11232" s="55" t="n">
        <v>45838</v>
      </c>
      <c r="C11232" s="51" t="s">
        <v>791</v>
      </c>
      <c r="D11232" s="51" t="n">
        <v>800000</v>
      </c>
    </row>
    <row r="11233" customFormat="false" ht="15" hidden="true" customHeight="false" outlineLevel="0" collapsed="false">
      <c r="A11233" s="51" t="s">
        <v>638</v>
      </c>
      <c r="B11233" s="55" t="n">
        <v>45838</v>
      </c>
      <c r="C11233" s="51" t="s">
        <v>791</v>
      </c>
      <c r="D11233" s="51" t="n">
        <v>500000</v>
      </c>
    </row>
    <row r="11234" customFormat="false" ht="15" hidden="true" customHeight="false" outlineLevel="0" collapsed="false">
      <c r="A11234" s="51" t="s">
        <v>642</v>
      </c>
      <c r="B11234" s="55" t="n">
        <v>45838</v>
      </c>
      <c r="C11234" s="51" t="s">
        <v>791</v>
      </c>
      <c r="D11234" s="51" t="n">
        <v>2255000</v>
      </c>
    </row>
    <row r="11235" customFormat="false" ht="15" hidden="true" customHeight="false" outlineLevel="0" collapsed="false">
      <c r="A11235" s="51" t="s">
        <v>646</v>
      </c>
      <c r="B11235" s="55" t="n">
        <v>45838</v>
      </c>
      <c r="C11235" s="51" t="s">
        <v>791</v>
      </c>
      <c r="D11235" s="51" t="n">
        <v>-100000</v>
      </c>
    </row>
    <row r="11236" customFormat="false" ht="15" hidden="true" customHeight="false" outlineLevel="0" collapsed="false">
      <c r="A11236" s="51" t="s">
        <v>651</v>
      </c>
      <c r="B11236" s="55" t="n">
        <v>45838</v>
      </c>
      <c r="C11236" s="51" t="s">
        <v>791</v>
      </c>
      <c r="D11236" s="51" t="n">
        <v>250000</v>
      </c>
    </row>
    <row r="11237" customFormat="false" ht="15" hidden="true" customHeight="false" outlineLevel="0" collapsed="false">
      <c r="A11237" s="51" t="s">
        <v>656</v>
      </c>
      <c r="B11237" s="55" t="n">
        <v>45838</v>
      </c>
      <c r="C11237" s="51" t="s">
        <v>791</v>
      </c>
      <c r="D11237" s="51" t="n">
        <v>263736</v>
      </c>
    </row>
    <row r="11238" customFormat="false" ht="15" hidden="true" customHeight="false" outlineLevel="0" collapsed="false">
      <c r="A11238" s="51" t="s">
        <v>661</v>
      </c>
      <c r="B11238" s="55" t="n">
        <v>45838</v>
      </c>
      <c r="C11238" s="51" t="s">
        <v>791</v>
      </c>
      <c r="D11238" s="51" t="n">
        <v>1799829.24</v>
      </c>
    </row>
    <row r="11239" customFormat="false" ht="15" hidden="true" customHeight="false" outlineLevel="0" collapsed="false">
      <c r="A11239" s="51" t="s">
        <v>666</v>
      </c>
      <c r="B11239" s="55" t="n">
        <v>45838</v>
      </c>
      <c r="C11239" s="51" t="s">
        <v>791</v>
      </c>
      <c r="D11239" s="51" t="n">
        <v>0</v>
      </c>
    </row>
    <row r="11240" customFormat="false" ht="15" hidden="true" customHeight="false" outlineLevel="0" collapsed="false">
      <c r="A11240" s="51" t="s">
        <v>671</v>
      </c>
      <c r="B11240" s="55" t="n">
        <v>45838</v>
      </c>
      <c r="C11240" s="51" t="s">
        <v>791</v>
      </c>
      <c r="D11240" s="51" t="n">
        <v>1540000</v>
      </c>
    </row>
    <row r="11241" customFormat="false" ht="15" hidden="true" customHeight="false" outlineLevel="0" collapsed="false">
      <c r="A11241" s="51" t="s">
        <v>676</v>
      </c>
      <c r="B11241" s="55" t="n">
        <v>45838</v>
      </c>
      <c r="C11241" s="51" t="s">
        <v>791</v>
      </c>
      <c r="D11241" s="51" t="n">
        <v>1000000</v>
      </c>
    </row>
    <row r="11242" customFormat="false" ht="15" hidden="true" customHeight="false" outlineLevel="0" collapsed="false">
      <c r="A11242" s="51" t="s">
        <v>681</v>
      </c>
      <c r="B11242" s="55" t="n">
        <v>45838</v>
      </c>
      <c r="C11242" s="51" t="s">
        <v>791</v>
      </c>
      <c r="D11242" s="51" t="n">
        <v>1000000</v>
      </c>
    </row>
    <row r="11243" customFormat="false" ht="15" hidden="true" customHeight="false" outlineLevel="0" collapsed="false">
      <c r="A11243" s="51" t="s">
        <v>686</v>
      </c>
      <c r="B11243" s="55" t="n">
        <v>45838</v>
      </c>
      <c r="C11243" s="51" t="s">
        <v>791</v>
      </c>
      <c r="D11243" s="51" t="n">
        <v>0</v>
      </c>
    </row>
    <row r="11244" customFormat="false" ht="15" hidden="true" customHeight="false" outlineLevel="0" collapsed="false">
      <c r="A11244" s="51" t="s">
        <v>691</v>
      </c>
      <c r="B11244" s="55" t="n">
        <v>45838</v>
      </c>
      <c r="C11244" s="51" t="s">
        <v>791</v>
      </c>
      <c r="D11244" s="51" t="n">
        <v>0</v>
      </c>
    </row>
    <row r="11245" customFormat="false" ht="15" hidden="true" customHeight="false" outlineLevel="0" collapsed="false">
      <c r="A11245" s="51" t="s">
        <v>696</v>
      </c>
      <c r="B11245" s="55" t="n">
        <v>45838</v>
      </c>
      <c r="C11245" s="51" t="s">
        <v>791</v>
      </c>
      <c r="D11245" s="51" t="n">
        <v>0</v>
      </c>
    </row>
    <row r="11246" customFormat="false" ht="15" hidden="true" customHeight="false" outlineLevel="0" collapsed="false">
      <c r="A11246" s="51" t="s">
        <v>701</v>
      </c>
      <c r="B11246" s="55" t="n">
        <v>45838</v>
      </c>
      <c r="C11246" s="51" t="s">
        <v>791</v>
      </c>
      <c r="D11246" s="51" t="n">
        <v>0</v>
      </c>
    </row>
    <row r="11247" customFormat="false" ht="15" hidden="true" customHeight="false" outlineLevel="0" collapsed="false">
      <c r="A11247" s="51" t="s">
        <v>707</v>
      </c>
      <c r="B11247" s="55" t="n">
        <v>45838</v>
      </c>
      <c r="C11247" s="51" t="s">
        <v>791</v>
      </c>
      <c r="D11247" s="51" t="n">
        <v>0</v>
      </c>
    </row>
    <row r="11248" customFormat="false" ht="15" hidden="true" customHeight="false" outlineLevel="0" collapsed="false">
      <c r="A11248" s="51" t="s">
        <v>712</v>
      </c>
      <c r="B11248" s="55" t="n">
        <v>45838</v>
      </c>
      <c r="C11248" s="51" t="s">
        <v>791</v>
      </c>
      <c r="D11248" s="51" t="n">
        <v>0</v>
      </c>
    </row>
    <row r="11249" customFormat="false" ht="15" hidden="true" customHeight="false" outlineLevel="0" collapsed="false">
      <c r="A11249" s="51" t="s">
        <v>717</v>
      </c>
      <c r="B11249" s="55" t="n">
        <v>45838</v>
      </c>
      <c r="C11249" s="51" t="s">
        <v>791</v>
      </c>
      <c r="D11249" s="51" t="n">
        <v>0</v>
      </c>
    </row>
    <row r="11250" customFormat="false" ht="15" hidden="true" customHeight="false" outlineLevel="0" collapsed="false">
      <c r="A11250" s="51" t="s">
        <v>767</v>
      </c>
      <c r="B11250" s="55" t="n">
        <v>45838</v>
      </c>
      <c r="C11250" s="51" t="s">
        <v>791</v>
      </c>
      <c r="D11250" s="51" t="n">
        <v>0</v>
      </c>
    </row>
    <row r="11251" customFormat="false" ht="15" hidden="true" customHeight="false" outlineLevel="0" collapsed="false">
      <c r="A11251" s="51" t="s">
        <v>722</v>
      </c>
      <c r="B11251" s="55" t="n">
        <v>45838</v>
      </c>
      <c r="C11251" s="51" t="s">
        <v>791</v>
      </c>
      <c r="D11251" s="51" t="n">
        <v>0</v>
      </c>
    </row>
    <row r="11252" customFormat="false" ht="15" hidden="true" customHeight="false" outlineLevel="0" collapsed="false">
      <c r="A11252" s="51" t="s">
        <v>727</v>
      </c>
      <c r="B11252" s="55" t="n">
        <v>45838</v>
      </c>
      <c r="C11252" s="51" t="s">
        <v>791</v>
      </c>
      <c r="D11252" s="51" t="n">
        <v>0</v>
      </c>
    </row>
    <row r="11253" customFormat="false" ht="15" hidden="true" customHeight="false" outlineLevel="0" collapsed="false">
      <c r="A11253" s="51" t="s">
        <v>732</v>
      </c>
      <c r="B11253" s="55" t="n">
        <v>45838</v>
      </c>
      <c r="C11253" s="51" t="s">
        <v>791</v>
      </c>
      <c r="D11253" s="51" t="n">
        <v>0</v>
      </c>
    </row>
    <row r="11254" customFormat="false" ht="15" hidden="true" customHeight="false" outlineLevel="0" collapsed="false">
      <c r="A11254" s="51" t="s">
        <v>736</v>
      </c>
      <c r="B11254" s="55" t="n">
        <v>45838</v>
      </c>
      <c r="C11254" s="51" t="s">
        <v>791</v>
      </c>
      <c r="D11254" s="51" t="n">
        <v>0</v>
      </c>
    </row>
    <row r="11255" customFormat="false" ht="15" hidden="true" customHeight="false" outlineLevel="0" collapsed="false">
      <c r="A11255" s="51" t="s">
        <v>741</v>
      </c>
      <c r="B11255" s="55" t="n">
        <v>45838</v>
      </c>
      <c r="C11255" s="51" t="s">
        <v>791</v>
      </c>
      <c r="D11255" s="51" t="n">
        <v>0</v>
      </c>
    </row>
    <row r="11256" customFormat="false" ht="15" hidden="true" customHeight="false" outlineLevel="0" collapsed="false">
      <c r="A11256" s="51" t="s">
        <v>746</v>
      </c>
      <c r="B11256" s="55" t="n">
        <v>45838</v>
      </c>
      <c r="C11256" s="51" t="s">
        <v>791</v>
      </c>
      <c r="D11256" s="51" t="n">
        <v>0</v>
      </c>
    </row>
    <row r="11257" customFormat="false" ht="15" hidden="true" customHeight="false" outlineLevel="0" collapsed="false">
      <c r="A11257" s="51" t="s">
        <v>751</v>
      </c>
      <c r="B11257" s="55" t="n">
        <v>45838</v>
      </c>
      <c r="C11257" s="51" t="s">
        <v>791</v>
      </c>
      <c r="D11257" s="51" t="n">
        <v>0</v>
      </c>
    </row>
    <row r="11258" customFormat="false" ht="15" hidden="false" customHeight="false" outlineLevel="0" collapsed="false">
      <c r="A11258" s="51" t="s">
        <v>781</v>
      </c>
      <c r="B11258" s="55" t="n">
        <v>45930</v>
      </c>
      <c r="C11258" s="51" t="s">
        <v>782</v>
      </c>
      <c r="D11258" s="51" t="n">
        <v>0</v>
      </c>
    </row>
    <row r="11259" customFormat="false" ht="15" hidden="true" customHeight="false" outlineLevel="0" collapsed="false">
      <c r="A11259" s="51" t="s">
        <v>783</v>
      </c>
      <c r="B11259" s="55" t="n">
        <v>45930</v>
      </c>
      <c r="C11259" s="51" t="s">
        <v>782</v>
      </c>
      <c r="D11259" s="51" t="n">
        <v>0</v>
      </c>
    </row>
    <row r="11260" customFormat="false" ht="15" hidden="true" customHeight="false" outlineLevel="0" collapsed="false">
      <c r="A11260" s="51" t="s">
        <v>96</v>
      </c>
      <c r="B11260" s="55" t="n">
        <v>45930</v>
      </c>
      <c r="C11260" s="51" t="s">
        <v>782</v>
      </c>
      <c r="D11260" s="51" t="n">
        <v>0</v>
      </c>
    </row>
    <row r="11261" customFormat="false" ht="15" hidden="true" customHeight="false" outlineLevel="0" collapsed="false">
      <c r="A11261" s="51" t="s">
        <v>101</v>
      </c>
      <c r="B11261" s="55" t="n">
        <v>45930</v>
      </c>
      <c r="C11261" s="51" t="s">
        <v>782</v>
      </c>
      <c r="D11261" s="51" t="n">
        <v>0</v>
      </c>
    </row>
    <row r="11262" customFormat="false" ht="15" hidden="true" customHeight="false" outlineLevel="0" collapsed="false">
      <c r="A11262" s="51" t="s">
        <v>106</v>
      </c>
      <c r="B11262" s="55" t="n">
        <v>45930</v>
      </c>
      <c r="C11262" s="51" t="s">
        <v>782</v>
      </c>
      <c r="D11262" s="51" t="n">
        <v>0</v>
      </c>
    </row>
    <row r="11263" customFormat="false" ht="15" hidden="true" customHeight="false" outlineLevel="0" collapsed="false">
      <c r="A11263" s="51" t="s">
        <v>110</v>
      </c>
      <c r="B11263" s="55" t="n">
        <v>45930</v>
      </c>
      <c r="C11263" s="51" t="s">
        <v>782</v>
      </c>
      <c r="D11263" s="51" t="n">
        <v>0</v>
      </c>
    </row>
    <row r="11264" customFormat="false" ht="15" hidden="true" customHeight="false" outlineLevel="0" collapsed="false">
      <c r="A11264" s="51" t="s">
        <v>115</v>
      </c>
      <c r="B11264" s="55" t="n">
        <v>45930</v>
      </c>
      <c r="C11264" s="51" t="s">
        <v>782</v>
      </c>
      <c r="D11264" s="51" t="n">
        <v>0</v>
      </c>
    </row>
    <row r="11265" customFormat="false" ht="15" hidden="true" customHeight="false" outlineLevel="0" collapsed="false">
      <c r="A11265" s="51" t="s">
        <v>120</v>
      </c>
      <c r="B11265" s="55" t="n">
        <v>45930</v>
      </c>
      <c r="C11265" s="51" t="s">
        <v>782</v>
      </c>
      <c r="D11265" s="51" t="n">
        <v>0</v>
      </c>
    </row>
    <row r="11266" customFormat="false" ht="15" hidden="true" customHeight="false" outlineLevel="0" collapsed="false">
      <c r="A11266" s="51" t="s">
        <v>124</v>
      </c>
      <c r="B11266" s="55" t="n">
        <v>45930</v>
      </c>
      <c r="C11266" s="51" t="s">
        <v>782</v>
      </c>
      <c r="D11266" s="51" t="n">
        <v>0</v>
      </c>
    </row>
    <row r="11267" customFormat="false" ht="15" hidden="true" customHeight="false" outlineLevel="0" collapsed="false">
      <c r="A11267" s="51" t="s">
        <v>129</v>
      </c>
      <c r="B11267" s="55" t="n">
        <v>45930</v>
      </c>
      <c r="C11267" s="51" t="s">
        <v>782</v>
      </c>
      <c r="D11267" s="51" t="n">
        <v>0</v>
      </c>
    </row>
    <row r="11268" customFormat="false" ht="15" hidden="true" customHeight="false" outlineLevel="0" collapsed="false">
      <c r="A11268" s="51" t="s">
        <v>134</v>
      </c>
      <c r="B11268" s="55" t="n">
        <v>45930</v>
      </c>
      <c r="C11268" s="51" t="s">
        <v>782</v>
      </c>
      <c r="D11268" s="51" t="n">
        <v>0</v>
      </c>
    </row>
    <row r="11269" customFormat="false" ht="15" hidden="true" customHeight="false" outlineLevel="0" collapsed="false">
      <c r="A11269" s="51" t="s">
        <v>141</v>
      </c>
      <c r="B11269" s="55" t="n">
        <v>45930</v>
      </c>
      <c r="C11269" s="51" t="s">
        <v>782</v>
      </c>
      <c r="D11269" s="51" t="n">
        <v>0</v>
      </c>
    </row>
    <row r="11270" customFormat="false" ht="15" hidden="true" customHeight="false" outlineLevel="0" collapsed="false">
      <c r="A11270" s="51" t="s">
        <v>146</v>
      </c>
      <c r="B11270" s="55" t="n">
        <v>45930</v>
      </c>
      <c r="C11270" s="51" t="s">
        <v>782</v>
      </c>
      <c r="D11270" s="51" t="n">
        <v>0</v>
      </c>
    </row>
    <row r="11271" customFormat="false" ht="15" hidden="true" customHeight="false" outlineLevel="0" collapsed="false">
      <c r="A11271" s="51" t="s">
        <v>151</v>
      </c>
      <c r="B11271" s="55" t="n">
        <v>45930</v>
      </c>
      <c r="C11271" s="51" t="s">
        <v>782</v>
      </c>
      <c r="D11271" s="51" t="n">
        <v>0</v>
      </c>
    </row>
    <row r="11272" customFormat="false" ht="15" hidden="true" customHeight="false" outlineLevel="0" collapsed="false">
      <c r="A11272" s="51" t="s">
        <v>156</v>
      </c>
      <c r="B11272" s="55" t="n">
        <v>45930</v>
      </c>
      <c r="C11272" s="51" t="s">
        <v>782</v>
      </c>
      <c r="D11272" s="51" t="n">
        <v>0</v>
      </c>
    </row>
    <row r="11273" customFormat="false" ht="15" hidden="true" customHeight="false" outlineLevel="0" collapsed="false">
      <c r="A11273" s="51" t="s">
        <v>161</v>
      </c>
      <c r="B11273" s="55" t="n">
        <v>45930</v>
      </c>
      <c r="C11273" s="51" t="s">
        <v>782</v>
      </c>
      <c r="D11273" s="51" t="n">
        <v>0</v>
      </c>
    </row>
    <row r="11274" customFormat="false" ht="15" hidden="true" customHeight="false" outlineLevel="0" collapsed="false">
      <c r="A11274" s="51" t="s">
        <v>166</v>
      </c>
      <c r="B11274" s="55" t="n">
        <v>45930</v>
      </c>
      <c r="C11274" s="51" t="s">
        <v>782</v>
      </c>
      <c r="D11274" s="51" t="n">
        <v>0</v>
      </c>
    </row>
    <row r="11275" customFormat="false" ht="15" hidden="true" customHeight="false" outlineLevel="0" collapsed="false">
      <c r="A11275" s="51" t="s">
        <v>171</v>
      </c>
      <c r="B11275" s="55" t="n">
        <v>45930</v>
      </c>
      <c r="C11275" s="51" t="s">
        <v>782</v>
      </c>
      <c r="D11275" s="51" t="n">
        <v>0</v>
      </c>
    </row>
    <row r="11276" customFormat="false" ht="15" hidden="true" customHeight="false" outlineLevel="0" collapsed="false">
      <c r="A11276" s="51" t="s">
        <v>176</v>
      </c>
      <c r="B11276" s="55" t="n">
        <v>45930</v>
      </c>
      <c r="C11276" s="51" t="s">
        <v>782</v>
      </c>
      <c r="D11276" s="51" t="n">
        <v>0</v>
      </c>
    </row>
    <row r="11277" customFormat="false" ht="15" hidden="true" customHeight="false" outlineLevel="0" collapsed="false">
      <c r="A11277" s="51" t="s">
        <v>181</v>
      </c>
      <c r="B11277" s="55" t="n">
        <v>45930</v>
      </c>
      <c r="C11277" s="51" t="s">
        <v>782</v>
      </c>
      <c r="D11277" s="51" t="n">
        <v>0</v>
      </c>
    </row>
    <row r="11278" customFormat="false" ht="15" hidden="true" customHeight="false" outlineLevel="0" collapsed="false">
      <c r="A11278" s="51" t="s">
        <v>186</v>
      </c>
      <c r="B11278" s="55" t="n">
        <v>45930</v>
      </c>
      <c r="C11278" s="51" t="s">
        <v>782</v>
      </c>
      <c r="D11278" s="51" t="n">
        <v>0</v>
      </c>
    </row>
    <row r="11279" customFormat="false" ht="15" hidden="true" customHeight="false" outlineLevel="0" collapsed="false">
      <c r="A11279" s="51" t="s">
        <v>191</v>
      </c>
      <c r="B11279" s="55" t="n">
        <v>45930</v>
      </c>
      <c r="C11279" s="51" t="s">
        <v>782</v>
      </c>
      <c r="D11279" s="51" t="n">
        <v>0</v>
      </c>
    </row>
    <row r="11280" customFormat="false" ht="15" hidden="true" customHeight="false" outlineLevel="0" collapsed="false">
      <c r="A11280" s="51" t="s">
        <v>196</v>
      </c>
      <c r="B11280" s="55" t="n">
        <v>45930</v>
      </c>
      <c r="C11280" s="51" t="s">
        <v>782</v>
      </c>
      <c r="D11280" s="51" t="n">
        <v>0</v>
      </c>
    </row>
    <row r="11281" customFormat="false" ht="15" hidden="true" customHeight="false" outlineLevel="0" collapsed="false">
      <c r="A11281" s="51" t="s">
        <v>201</v>
      </c>
      <c r="B11281" s="55" t="n">
        <v>45930</v>
      </c>
      <c r="C11281" s="51" t="s">
        <v>782</v>
      </c>
      <c r="D11281" s="51" t="n">
        <v>0</v>
      </c>
    </row>
    <row r="11282" customFormat="false" ht="15" hidden="true" customHeight="false" outlineLevel="0" collapsed="false">
      <c r="A11282" s="51" t="s">
        <v>206</v>
      </c>
      <c r="B11282" s="55" t="n">
        <v>45930</v>
      </c>
      <c r="C11282" s="51" t="s">
        <v>782</v>
      </c>
      <c r="D11282" s="51" t="n">
        <v>0</v>
      </c>
    </row>
    <row r="11283" customFormat="false" ht="15" hidden="true" customHeight="false" outlineLevel="0" collapsed="false">
      <c r="A11283" s="51" t="s">
        <v>210</v>
      </c>
      <c r="B11283" s="55" t="n">
        <v>45930</v>
      </c>
      <c r="C11283" s="51" t="s">
        <v>782</v>
      </c>
      <c r="D11283" s="51" t="n">
        <v>0</v>
      </c>
    </row>
    <row r="11284" customFormat="false" ht="15" hidden="true" customHeight="false" outlineLevel="0" collapsed="false">
      <c r="A11284" s="51" t="s">
        <v>215</v>
      </c>
      <c r="B11284" s="55" t="n">
        <v>45930</v>
      </c>
      <c r="C11284" s="51" t="s">
        <v>782</v>
      </c>
      <c r="D11284" s="51" t="n">
        <v>0</v>
      </c>
    </row>
    <row r="11285" customFormat="false" ht="15" hidden="true" customHeight="false" outlineLevel="0" collapsed="false">
      <c r="A11285" s="51" t="s">
        <v>790</v>
      </c>
      <c r="B11285" s="55" t="n">
        <v>45930</v>
      </c>
      <c r="C11285" s="51" t="s">
        <v>782</v>
      </c>
      <c r="D11285" s="51" t="n">
        <v>0</v>
      </c>
    </row>
    <row r="11286" customFormat="false" ht="15" hidden="true" customHeight="false" outlineLevel="0" collapsed="false">
      <c r="A11286" s="51" t="s">
        <v>225</v>
      </c>
      <c r="B11286" s="55" t="n">
        <v>45930</v>
      </c>
      <c r="C11286" s="51" t="s">
        <v>782</v>
      </c>
      <c r="D11286" s="51" t="n">
        <v>0</v>
      </c>
    </row>
    <row r="11287" customFormat="false" ht="15" hidden="true" customHeight="false" outlineLevel="0" collapsed="false">
      <c r="A11287" s="51" t="s">
        <v>230</v>
      </c>
      <c r="B11287" s="55" t="n">
        <v>45930</v>
      </c>
      <c r="C11287" s="51" t="s">
        <v>782</v>
      </c>
      <c r="D11287" s="51" t="n">
        <v>0</v>
      </c>
    </row>
    <row r="11288" customFormat="false" ht="15" hidden="true" customHeight="false" outlineLevel="0" collapsed="false">
      <c r="A11288" s="51" t="s">
        <v>235</v>
      </c>
      <c r="B11288" s="55" t="n">
        <v>45930</v>
      </c>
      <c r="C11288" s="51" t="s">
        <v>782</v>
      </c>
      <c r="D11288" s="51" t="n">
        <v>0</v>
      </c>
    </row>
    <row r="11289" customFormat="false" ht="15" hidden="true" customHeight="false" outlineLevel="0" collapsed="false">
      <c r="A11289" s="51" t="s">
        <v>240</v>
      </c>
      <c r="B11289" s="55" t="n">
        <v>45930</v>
      </c>
      <c r="C11289" s="51" t="s">
        <v>782</v>
      </c>
      <c r="D11289" s="51" t="n">
        <v>0</v>
      </c>
    </row>
    <row r="11290" customFormat="false" ht="15" hidden="true" customHeight="false" outlineLevel="0" collapsed="false">
      <c r="A11290" s="51" t="s">
        <v>246</v>
      </c>
      <c r="B11290" s="55" t="n">
        <v>45930</v>
      </c>
      <c r="C11290" s="51" t="s">
        <v>782</v>
      </c>
      <c r="D11290" s="51" t="n">
        <v>0</v>
      </c>
    </row>
    <row r="11291" customFormat="false" ht="15" hidden="true" customHeight="false" outlineLevel="0" collapsed="false">
      <c r="A11291" s="51" t="s">
        <v>252</v>
      </c>
      <c r="B11291" s="55" t="n">
        <v>45930</v>
      </c>
      <c r="C11291" s="51" t="s">
        <v>782</v>
      </c>
      <c r="D11291" s="51" t="n">
        <v>0</v>
      </c>
    </row>
    <row r="11292" customFormat="false" ht="15" hidden="true" customHeight="false" outlineLevel="0" collapsed="false">
      <c r="A11292" s="51" t="s">
        <v>257</v>
      </c>
      <c r="B11292" s="55" t="n">
        <v>45930</v>
      </c>
      <c r="C11292" s="51" t="s">
        <v>782</v>
      </c>
      <c r="D11292" s="51" t="n">
        <v>0</v>
      </c>
    </row>
    <row r="11293" customFormat="false" ht="15" hidden="true" customHeight="false" outlineLevel="0" collapsed="false">
      <c r="A11293" s="51" t="s">
        <v>262</v>
      </c>
      <c r="B11293" s="55" t="n">
        <v>45930</v>
      </c>
      <c r="C11293" s="51" t="s">
        <v>782</v>
      </c>
      <c r="D11293" s="51" t="n">
        <v>0</v>
      </c>
    </row>
    <row r="11294" customFormat="false" ht="15" hidden="true" customHeight="false" outlineLevel="0" collapsed="false">
      <c r="A11294" s="51" t="s">
        <v>267</v>
      </c>
      <c r="B11294" s="55" t="n">
        <v>45930</v>
      </c>
      <c r="C11294" s="51" t="s">
        <v>782</v>
      </c>
      <c r="D11294" s="51" t="n">
        <v>0</v>
      </c>
    </row>
    <row r="11295" customFormat="false" ht="15" hidden="true" customHeight="false" outlineLevel="0" collapsed="false">
      <c r="A11295" s="51" t="s">
        <v>272</v>
      </c>
      <c r="B11295" s="55" t="n">
        <v>45930</v>
      </c>
      <c r="C11295" s="51" t="s">
        <v>782</v>
      </c>
      <c r="D11295" s="51" t="n">
        <v>0</v>
      </c>
    </row>
    <row r="11296" customFormat="false" ht="15" hidden="true" customHeight="false" outlineLevel="0" collapsed="false">
      <c r="A11296" s="51" t="s">
        <v>277</v>
      </c>
      <c r="B11296" s="55" t="n">
        <v>45930</v>
      </c>
      <c r="C11296" s="51" t="s">
        <v>782</v>
      </c>
      <c r="D11296" s="51" t="n">
        <v>0</v>
      </c>
    </row>
    <row r="11297" customFormat="false" ht="15" hidden="true" customHeight="false" outlineLevel="0" collapsed="false">
      <c r="A11297" s="51" t="s">
        <v>282</v>
      </c>
      <c r="B11297" s="55" t="n">
        <v>45930</v>
      </c>
      <c r="C11297" s="51" t="s">
        <v>782</v>
      </c>
      <c r="D11297" s="51" t="n">
        <v>0</v>
      </c>
    </row>
    <row r="11298" customFormat="false" ht="15" hidden="true" customHeight="false" outlineLevel="0" collapsed="false">
      <c r="A11298" s="51" t="s">
        <v>287</v>
      </c>
      <c r="B11298" s="55" t="n">
        <v>45930</v>
      </c>
      <c r="C11298" s="51" t="s">
        <v>782</v>
      </c>
      <c r="D11298" s="51" t="n">
        <v>0</v>
      </c>
    </row>
    <row r="11299" customFormat="false" ht="15" hidden="true" customHeight="false" outlineLevel="0" collapsed="false">
      <c r="A11299" s="51" t="s">
        <v>292</v>
      </c>
      <c r="B11299" s="55" t="n">
        <v>45930</v>
      </c>
      <c r="C11299" s="51" t="s">
        <v>782</v>
      </c>
      <c r="D11299" s="51" t="n">
        <v>0</v>
      </c>
    </row>
    <row r="11300" customFormat="false" ht="15" hidden="true" customHeight="false" outlineLevel="0" collapsed="false">
      <c r="A11300" s="51" t="s">
        <v>297</v>
      </c>
      <c r="B11300" s="55" t="n">
        <v>45930</v>
      </c>
      <c r="C11300" s="51" t="s">
        <v>782</v>
      </c>
      <c r="D11300" s="51" t="n">
        <v>0</v>
      </c>
    </row>
    <row r="11301" customFormat="false" ht="15" hidden="true" customHeight="false" outlineLevel="0" collapsed="false">
      <c r="A11301" s="51" t="s">
        <v>302</v>
      </c>
      <c r="B11301" s="55" t="n">
        <v>45930</v>
      </c>
      <c r="C11301" s="51" t="s">
        <v>782</v>
      </c>
      <c r="D11301" s="51" t="n">
        <v>0</v>
      </c>
    </row>
    <row r="11302" customFormat="false" ht="15" hidden="true" customHeight="false" outlineLevel="0" collapsed="false">
      <c r="A11302" s="51" t="s">
        <v>307</v>
      </c>
      <c r="B11302" s="55" t="n">
        <v>45930</v>
      </c>
      <c r="C11302" s="51" t="s">
        <v>782</v>
      </c>
      <c r="D11302" s="51" t="n">
        <v>0</v>
      </c>
    </row>
    <row r="11303" customFormat="false" ht="15" hidden="true" customHeight="false" outlineLevel="0" collapsed="false">
      <c r="A11303" s="51" t="s">
        <v>311</v>
      </c>
      <c r="B11303" s="55" t="n">
        <v>45930</v>
      </c>
      <c r="C11303" s="51" t="s">
        <v>782</v>
      </c>
      <c r="D11303" s="51" t="n">
        <v>0</v>
      </c>
    </row>
    <row r="11304" customFormat="false" ht="15" hidden="true" customHeight="false" outlineLevel="0" collapsed="false">
      <c r="A11304" s="51" t="s">
        <v>317</v>
      </c>
      <c r="B11304" s="55" t="n">
        <v>45930</v>
      </c>
      <c r="C11304" s="51" t="s">
        <v>782</v>
      </c>
      <c r="D11304" s="51" t="n">
        <v>0</v>
      </c>
    </row>
    <row r="11305" customFormat="false" ht="15" hidden="true" customHeight="false" outlineLevel="0" collapsed="false">
      <c r="A11305" s="51" t="s">
        <v>322</v>
      </c>
      <c r="B11305" s="55" t="n">
        <v>45930</v>
      </c>
      <c r="C11305" s="51" t="s">
        <v>782</v>
      </c>
      <c r="D11305" s="51" t="n">
        <v>0</v>
      </c>
    </row>
    <row r="11306" customFormat="false" ht="15" hidden="true" customHeight="false" outlineLevel="0" collapsed="false">
      <c r="A11306" s="51" t="s">
        <v>327</v>
      </c>
      <c r="B11306" s="55" t="n">
        <v>45930</v>
      </c>
      <c r="C11306" s="51" t="s">
        <v>782</v>
      </c>
      <c r="D11306" s="51" t="n">
        <v>0</v>
      </c>
    </row>
    <row r="11307" customFormat="false" ht="15" hidden="true" customHeight="false" outlineLevel="0" collapsed="false">
      <c r="A11307" s="51" t="s">
        <v>332</v>
      </c>
      <c r="B11307" s="55" t="n">
        <v>45930</v>
      </c>
      <c r="C11307" s="51" t="s">
        <v>782</v>
      </c>
      <c r="D11307" s="51" t="n">
        <v>0</v>
      </c>
    </row>
    <row r="11308" customFormat="false" ht="15" hidden="true" customHeight="false" outlineLevel="0" collapsed="false">
      <c r="A11308" s="51" t="s">
        <v>339</v>
      </c>
      <c r="B11308" s="55" t="n">
        <v>45930</v>
      </c>
      <c r="C11308" s="51" t="s">
        <v>782</v>
      </c>
      <c r="D11308" s="51" t="n">
        <v>0</v>
      </c>
    </row>
    <row r="11309" customFormat="false" ht="15" hidden="true" customHeight="false" outlineLevel="0" collapsed="false">
      <c r="A11309" s="51" t="s">
        <v>344</v>
      </c>
      <c r="B11309" s="55" t="n">
        <v>45930</v>
      </c>
      <c r="C11309" s="51" t="s">
        <v>782</v>
      </c>
      <c r="D11309" s="51" t="n">
        <v>0</v>
      </c>
    </row>
    <row r="11310" customFormat="false" ht="15" hidden="true" customHeight="false" outlineLevel="0" collapsed="false">
      <c r="A11310" s="51" t="s">
        <v>349</v>
      </c>
      <c r="B11310" s="55" t="n">
        <v>45930</v>
      </c>
      <c r="C11310" s="51" t="s">
        <v>782</v>
      </c>
      <c r="D11310" s="51" t="n">
        <v>0</v>
      </c>
    </row>
    <row r="11311" customFormat="false" ht="15" hidden="true" customHeight="false" outlineLevel="0" collapsed="false">
      <c r="A11311" s="51" t="s">
        <v>354</v>
      </c>
      <c r="B11311" s="55" t="n">
        <v>45930</v>
      </c>
      <c r="C11311" s="51" t="s">
        <v>782</v>
      </c>
      <c r="D11311" s="51" t="n">
        <v>0</v>
      </c>
    </row>
    <row r="11312" customFormat="false" ht="15" hidden="true" customHeight="false" outlineLevel="0" collapsed="false">
      <c r="A11312" s="51" t="s">
        <v>359</v>
      </c>
      <c r="B11312" s="55" t="n">
        <v>45930</v>
      </c>
      <c r="C11312" s="51" t="s">
        <v>782</v>
      </c>
      <c r="D11312" s="51" t="n">
        <v>0</v>
      </c>
    </row>
    <row r="11313" customFormat="false" ht="15" hidden="true" customHeight="false" outlineLevel="0" collapsed="false">
      <c r="A11313" s="51" t="s">
        <v>364</v>
      </c>
      <c r="B11313" s="55" t="n">
        <v>45930</v>
      </c>
      <c r="C11313" s="51" t="s">
        <v>782</v>
      </c>
      <c r="D11313" s="51" t="n">
        <v>0</v>
      </c>
    </row>
    <row r="11314" customFormat="false" ht="15" hidden="true" customHeight="false" outlineLevel="0" collapsed="false">
      <c r="A11314" s="51" t="s">
        <v>369</v>
      </c>
      <c r="B11314" s="55" t="n">
        <v>45930</v>
      </c>
      <c r="C11314" s="51" t="s">
        <v>782</v>
      </c>
      <c r="D11314" s="51" t="n">
        <v>0</v>
      </c>
    </row>
    <row r="11315" customFormat="false" ht="15" hidden="true" customHeight="false" outlineLevel="0" collapsed="false">
      <c r="A11315" s="51" t="s">
        <v>374</v>
      </c>
      <c r="B11315" s="55" t="n">
        <v>45930</v>
      </c>
      <c r="C11315" s="51" t="s">
        <v>782</v>
      </c>
      <c r="D11315" s="51" t="n">
        <v>0</v>
      </c>
    </row>
    <row r="11316" customFormat="false" ht="15" hidden="true" customHeight="false" outlineLevel="0" collapsed="false">
      <c r="A11316" s="51" t="s">
        <v>379</v>
      </c>
      <c r="B11316" s="55" t="n">
        <v>45930</v>
      </c>
      <c r="C11316" s="51" t="s">
        <v>782</v>
      </c>
      <c r="D11316" s="51" t="n">
        <v>0</v>
      </c>
    </row>
    <row r="11317" customFormat="false" ht="15" hidden="true" customHeight="false" outlineLevel="0" collapsed="false">
      <c r="A11317" s="51" t="s">
        <v>384</v>
      </c>
      <c r="B11317" s="55" t="n">
        <v>45930</v>
      </c>
      <c r="C11317" s="51" t="s">
        <v>782</v>
      </c>
      <c r="D11317" s="51" t="n">
        <v>0</v>
      </c>
    </row>
    <row r="11318" customFormat="false" ht="15" hidden="true" customHeight="false" outlineLevel="0" collapsed="false">
      <c r="A11318" s="51" t="s">
        <v>389</v>
      </c>
      <c r="B11318" s="55" t="n">
        <v>45930</v>
      </c>
      <c r="C11318" s="51" t="s">
        <v>782</v>
      </c>
      <c r="D11318" s="51" t="n">
        <v>0</v>
      </c>
    </row>
    <row r="11319" customFormat="false" ht="15" hidden="true" customHeight="false" outlineLevel="0" collapsed="false">
      <c r="A11319" s="51" t="s">
        <v>394</v>
      </c>
      <c r="B11319" s="55" t="n">
        <v>45930</v>
      </c>
      <c r="C11319" s="51" t="s">
        <v>782</v>
      </c>
      <c r="D11319" s="51" t="n">
        <v>0</v>
      </c>
    </row>
    <row r="11320" customFormat="false" ht="15" hidden="true" customHeight="false" outlineLevel="0" collapsed="false">
      <c r="A11320" s="51" t="s">
        <v>399</v>
      </c>
      <c r="B11320" s="55" t="n">
        <v>45930</v>
      </c>
      <c r="C11320" s="51" t="s">
        <v>782</v>
      </c>
      <c r="D11320" s="51" t="n">
        <v>0</v>
      </c>
    </row>
    <row r="11321" customFormat="false" ht="15" hidden="true" customHeight="false" outlineLevel="0" collapsed="false">
      <c r="A11321" s="51" t="s">
        <v>404</v>
      </c>
      <c r="B11321" s="55" t="n">
        <v>45930</v>
      </c>
      <c r="C11321" s="51" t="s">
        <v>782</v>
      </c>
      <c r="D11321" s="51" t="n">
        <v>0</v>
      </c>
    </row>
    <row r="11322" customFormat="false" ht="15" hidden="true" customHeight="false" outlineLevel="0" collapsed="false">
      <c r="A11322" s="51" t="s">
        <v>409</v>
      </c>
      <c r="B11322" s="55" t="n">
        <v>45930</v>
      </c>
      <c r="C11322" s="51" t="s">
        <v>782</v>
      </c>
      <c r="D11322" s="51" t="n">
        <v>0</v>
      </c>
    </row>
    <row r="11323" customFormat="false" ht="15" hidden="true" customHeight="false" outlineLevel="0" collapsed="false">
      <c r="A11323" s="51" t="s">
        <v>414</v>
      </c>
      <c r="B11323" s="55" t="n">
        <v>45930</v>
      </c>
      <c r="C11323" s="51" t="s">
        <v>782</v>
      </c>
      <c r="D11323" s="51" t="n">
        <v>0</v>
      </c>
    </row>
    <row r="11324" customFormat="false" ht="15" hidden="true" customHeight="false" outlineLevel="0" collapsed="false">
      <c r="A11324" s="51" t="s">
        <v>419</v>
      </c>
      <c r="B11324" s="55" t="n">
        <v>45930</v>
      </c>
      <c r="C11324" s="51" t="s">
        <v>782</v>
      </c>
      <c r="D11324" s="51" t="n">
        <v>0</v>
      </c>
    </row>
    <row r="11325" customFormat="false" ht="15" hidden="true" customHeight="false" outlineLevel="0" collapsed="false">
      <c r="A11325" s="51" t="s">
        <v>424</v>
      </c>
      <c r="B11325" s="55" t="n">
        <v>45930</v>
      </c>
      <c r="C11325" s="51" t="s">
        <v>782</v>
      </c>
      <c r="D11325" s="51" t="n">
        <v>0</v>
      </c>
    </row>
    <row r="11326" customFormat="false" ht="15" hidden="true" customHeight="false" outlineLevel="0" collapsed="false">
      <c r="A11326" s="51" t="s">
        <v>429</v>
      </c>
      <c r="B11326" s="55" t="n">
        <v>45930</v>
      </c>
      <c r="C11326" s="51" t="s">
        <v>782</v>
      </c>
      <c r="D11326" s="51" t="n">
        <v>0</v>
      </c>
    </row>
    <row r="11327" customFormat="false" ht="15" hidden="true" customHeight="false" outlineLevel="0" collapsed="false">
      <c r="A11327" s="51" t="s">
        <v>434</v>
      </c>
      <c r="B11327" s="55" t="n">
        <v>45930</v>
      </c>
      <c r="C11327" s="51" t="s">
        <v>782</v>
      </c>
      <c r="D11327" s="51" t="n">
        <v>0</v>
      </c>
    </row>
    <row r="11328" customFormat="false" ht="15" hidden="true" customHeight="false" outlineLevel="0" collapsed="false">
      <c r="A11328" s="51" t="s">
        <v>438</v>
      </c>
      <c r="B11328" s="55" t="n">
        <v>45930</v>
      </c>
      <c r="C11328" s="51" t="s">
        <v>782</v>
      </c>
      <c r="D11328" s="51" t="n">
        <v>0</v>
      </c>
    </row>
    <row r="11329" customFormat="false" ht="15" hidden="true" customHeight="false" outlineLevel="0" collapsed="false">
      <c r="A11329" s="51" t="s">
        <v>443</v>
      </c>
      <c r="B11329" s="55" t="n">
        <v>45930</v>
      </c>
      <c r="C11329" s="51" t="s">
        <v>782</v>
      </c>
      <c r="D11329" s="51" t="n">
        <v>0</v>
      </c>
    </row>
    <row r="11330" customFormat="false" ht="15" hidden="true" customHeight="false" outlineLevel="0" collapsed="false">
      <c r="A11330" s="51" t="s">
        <v>448</v>
      </c>
      <c r="B11330" s="55" t="n">
        <v>45930</v>
      </c>
      <c r="C11330" s="51" t="s">
        <v>782</v>
      </c>
      <c r="D11330" s="51" t="n">
        <v>0</v>
      </c>
    </row>
    <row r="11331" customFormat="false" ht="15" hidden="true" customHeight="false" outlineLevel="0" collapsed="false">
      <c r="A11331" s="51" t="s">
        <v>453</v>
      </c>
      <c r="B11331" s="55" t="n">
        <v>45930</v>
      </c>
      <c r="C11331" s="51" t="s">
        <v>782</v>
      </c>
      <c r="D11331" s="51" t="n">
        <v>0</v>
      </c>
    </row>
    <row r="11332" customFormat="false" ht="15" hidden="true" customHeight="false" outlineLevel="0" collapsed="false">
      <c r="A11332" s="51" t="s">
        <v>458</v>
      </c>
      <c r="B11332" s="55" t="n">
        <v>45930</v>
      </c>
      <c r="C11332" s="51" t="s">
        <v>782</v>
      </c>
      <c r="D11332" s="51" t="n">
        <v>0</v>
      </c>
    </row>
    <row r="11333" customFormat="false" ht="15" hidden="true" customHeight="false" outlineLevel="0" collapsed="false">
      <c r="A11333" s="51" t="s">
        <v>473</v>
      </c>
      <c r="B11333" s="55" t="n">
        <v>45930</v>
      </c>
      <c r="C11333" s="51" t="s">
        <v>782</v>
      </c>
      <c r="D11333" s="51" t="n">
        <v>0</v>
      </c>
    </row>
    <row r="11334" customFormat="false" ht="15" hidden="true" customHeight="false" outlineLevel="0" collapsed="false">
      <c r="A11334" s="51" t="s">
        <v>479</v>
      </c>
      <c r="B11334" s="55" t="n">
        <v>45930</v>
      </c>
      <c r="C11334" s="51" t="s">
        <v>782</v>
      </c>
      <c r="D11334" s="51" t="n">
        <v>0</v>
      </c>
    </row>
    <row r="11335" customFormat="false" ht="15" hidden="true" customHeight="false" outlineLevel="0" collapsed="false">
      <c r="A11335" s="51" t="s">
        <v>484</v>
      </c>
      <c r="B11335" s="55" t="n">
        <v>45930</v>
      </c>
      <c r="C11335" s="51" t="s">
        <v>782</v>
      </c>
      <c r="D11335" s="51" t="n">
        <v>0</v>
      </c>
    </row>
    <row r="11336" customFormat="false" ht="15" hidden="true" customHeight="false" outlineLevel="0" collapsed="false">
      <c r="A11336" s="51" t="s">
        <v>489</v>
      </c>
      <c r="B11336" s="55" t="n">
        <v>45930</v>
      </c>
      <c r="C11336" s="51" t="s">
        <v>782</v>
      </c>
      <c r="D11336" s="51" t="n">
        <v>0</v>
      </c>
    </row>
    <row r="11337" customFormat="false" ht="15" hidden="true" customHeight="false" outlineLevel="0" collapsed="false">
      <c r="A11337" s="51" t="s">
        <v>494</v>
      </c>
      <c r="B11337" s="55" t="n">
        <v>45930</v>
      </c>
      <c r="C11337" s="51" t="s">
        <v>782</v>
      </c>
      <c r="D11337" s="51" t="n">
        <v>0</v>
      </c>
    </row>
    <row r="11338" customFormat="false" ht="15" hidden="true" customHeight="false" outlineLevel="0" collapsed="false">
      <c r="A11338" s="51" t="s">
        <v>499</v>
      </c>
      <c r="B11338" s="55" t="n">
        <v>45930</v>
      </c>
      <c r="C11338" s="51" t="s">
        <v>782</v>
      </c>
      <c r="D11338" s="51" t="n">
        <v>0</v>
      </c>
    </row>
    <row r="11339" customFormat="false" ht="15" hidden="true" customHeight="false" outlineLevel="0" collapsed="false">
      <c r="A11339" s="51" t="s">
        <v>504</v>
      </c>
      <c r="B11339" s="55" t="n">
        <v>45930</v>
      </c>
      <c r="C11339" s="51" t="s">
        <v>782</v>
      </c>
      <c r="D11339" s="51" t="n">
        <v>0</v>
      </c>
    </row>
    <row r="11340" customFormat="false" ht="15" hidden="true" customHeight="false" outlineLevel="0" collapsed="false">
      <c r="A11340" s="51" t="s">
        <v>509</v>
      </c>
      <c r="B11340" s="55" t="n">
        <v>45930</v>
      </c>
      <c r="C11340" s="51" t="s">
        <v>782</v>
      </c>
      <c r="D11340" s="51" t="n">
        <v>0</v>
      </c>
    </row>
    <row r="11341" customFormat="false" ht="15" hidden="true" customHeight="false" outlineLevel="0" collapsed="false">
      <c r="A11341" s="51" t="s">
        <v>515</v>
      </c>
      <c r="B11341" s="55" t="n">
        <v>45930</v>
      </c>
      <c r="C11341" s="51" t="s">
        <v>782</v>
      </c>
      <c r="D11341" s="51" t="n">
        <v>0</v>
      </c>
    </row>
    <row r="11342" customFormat="false" ht="15" hidden="true" customHeight="false" outlineLevel="0" collapsed="false">
      <c r="A11342" s="51" t="s">
        <v>520</v>
      </c>
      <c r="B11342" s="55" t="n">
        <v>45930</v>
      </c>
      <c r="C11342" s="51" t="s">
        <v>782</v>
      </c>
      <c r="D11342" s="51" t="n">
        <v>0</v>
      </c>
    </row>
    <row r="11343" customFormat="false" ht="15" hidden="true" customHeight="false" outlineLevel="0" collapsed="false">
      <c r="A11343" s="51" t="s">
        <v>525</v>
      </c>
      <c r="B11343" s="55" t="n">
        <v>45930</v>
      </c>
      <c r="C11343" s="51" t="s">
        <v>782</v>
      </c>
      <c r="D11343" s="51" t="n">
        <v>0</v>
      </c>
    </row>
    <row r="11344" customFormat="false" ht="15" hidden="true" customHeight="false" outlineLevel="0" collapsed="false">
      <c r="A11344" s="51" t="s">
        <v>531</v>
      </c>
      <c r="B11344" s="55" t="n">
        <v>45930</v>
      </c>
      <c r="C11344" s="51" t="s">
        <v>782</v>
      </c>
      <c r="D11344" s="51" t="n">
        <v>0</v>
      </c>
    </row>
    <row r="11345" customFormat="false" ht="15" hidden="true" customHeight="false" outlineLevel="0" collapsed="false">
      <c r="A11345" s="51" t="s">
        <v>536</v>
      </c>
      <c r="B11345" s="55" t="n">
        <v>45930</v>
      </c>
      <c r="C11345" s="51" t="s">
        <v>782</v>
      </c>
      <c r="D11345" s="51" t="n">
        <v>0</v>
      </c>
    </row>
    <row r="11346" customFormat="false" ht="15" hidden="true" customHeight="false" outlineLevel="0" collapsed="false">
      <c r="A11346" s="51" t="s">
        <v>541</v>
      </c>
      <c r="B11346" s="55" t="n">
        <v>45930</v>
      </c>
      <c r="C11346" s="51" t="s">
        <v>782</v>
      </c>
      <c r="D11346" s="51" t="n">
        <v>0</v>
      </c>
    </row>
    <row r="11347" customFormat="false" ht="15" hidden="true" customHeight="false" outlineLevel="0" collapsed="false">
      <c r="A11347" s="51" t="s">
        <v>549</v>
      </c>
      <c r="B11347" s="55" t="n">
        <v>45930</v>
      </c>
      <c r="C11347" s="51" t="s">
        <v>782</v>
      </c>
      <c r="D11347" s="51" t="n">
        <v>0</v>
      </c>
    </row>
    <row r="11348" customFormat="false" ht="15" hidden="true" customHeight="false" outlineLevel="0" collapsed="false">
      <c r="A11348" s="51" t="s">
        <v>554</v>
      </c>
      <c r="B11348" s="55" t="n">
        <v>45930</v>
      </c>
      <c r="C11348" s="51" t="s">
        <v>782</v>
      </c>
      <c r="D11348" s="51" t="n">
        <v>0</v>
      </c>
    </row>
    <row r="11349" customFormat="false" ht="15" hidden="true" customHeight="false" outlineLevel="0" collapsed="false">
      <c r="A11349" s="51" t="s">
        <v>559</v>
      </c>
      <c r="B11349" s="55" t="n">
        <v>45930</v>
      </c>
      <c r="C11349" s="51" t="s">
        <v>782</v>
      </c>
      <c r="D11349" s="51" t="n">
        <v>0</v>
      </c>
    </row>
    <row r="11350" customFormat="false" ht="15" hidden="true" customHeight="false" outlineLevel="0" collapsed="false">
      <c r="A11350" s="51" t="s">
        <v>564</v>
      </c>
      <c r="B11350" s="55" t="n">
        <v>45930</v>
      </c>
      <c r="C11350" s="51" t="s">
        <v>782</v>
      </c>
      <c r="D11350" s="51" t="n">
        <v>0</v>
      </c>
    </row>
    <row r="11351" customFormat="false" ht="15" hidden="true" customHeight="false" outlineLevel="0" collapsed="false">
      <c r="A11351" s="51" t="s">
        <v>569</v>
      </c>
      <c r="B11351" s="55" t="n">
        <v>45930</v>
      </c>
      <c r="C11351" s="51" t="s">
        <v>782</v>
      </c>
      <c r="D11351" s="51" t="n">
        <v>0</v>
      </c>
    </row>
    <row r="11352" customFormat="false" ht="15" hidden="true" customHeight="false" outlineLevel="0" collapsed="false">
      <c r="A11352" s="51" t="s">
        <v>574</v>
      </c>
      <c r="B11352" s="55" t="n">
        <v>45930</v>
      </c>
      <c r="C11352" s="51" t="s">
        <v>782</v>
      </c>
      <c r="D11352" s="51" t="n">
        <v>0</v>
      </c>
    </row>
    <row r="11353" customFormat="false" ht="15" hidden="true" customHeight="false" outlineLevel="0" collapsed="false">
      <c r="A11353" s="51" t="s">
        <v>579</v>
      </c>
      <c r="B11353" s="55" t="n">
        <v>45930</v>
      </c>
      <c r="C11353" s="51" t="s">
        <v>782</v>
      </c>
      <c r="D11353" s="51" t="n">
        <v>0</v>
      </c>
    </row>
    <row r="11354" customFormat="false" ht="15" hidden="true" customHeight="false" outlineLevel="0" collapsed="false">
      <c r="A11354" s="51" t="s">
        <v>584</v>
      </c>
      <c r="B11354" s="55" t="n">
        <v>45930</v>
      </c>
      <c r="C11354" s="51" t="s">
        <v>782</v>
      </c>
      <c r="D11354" s="51" t="n">
        <v>0</v>
      </c>
    </row>
    <row r="11355" customFormat="false" ht="15" hidden="true" customHeight="false" outlineLevel="0" collapsed="false">
      <c r="A11355" s="51" t="s">
        <v>589</v>
      </c>
      <c r="B11355" s="55" t="n">
        <v>45930</v>
      </c>
      <c r="C11355" s="51" t="s">
        <v>782</v>
      </c>
      <c r="D11355" s="51" t="n">
        <v>0</v>
      </c>
    </row>
    <row r="11356" customFormat="false" ht="15" hidden="true" customHeight="false" outlineLevel="0" collapsed="false">
      <c r="A11356" s="51" t="s">
        <v>756</v>
      </c>
      <c r="B11356" s="55" t="n">
        <v>45930</v>
      </c>
      <c r="C11356" s="51" t="s">
        <v>782</v>
      </c>
      <c r="D11356" s="51" t="n">
        <v>0</v>
      </c>
    </row>
    <row r="11357" customFormat="false" ht="15" hidden="true" customHeight="false" outlineLevel="0" collapsed="false">
      <c r="A11357" s="51" t="s">
        <v>594</v>
      </c>
      <c r="B11357" s="55" t="n">
        <v>45930</v>
      </c>
      <c r="C11357" s="51" t="s">
        <v>782</v>
      </c>
      <c r="D11357" s="51" t="n">
        <v>0</v>
      </c>
    </row>
    <row r="11358" customFormat="false" ht="15" hidden="true" customHeight="false" outlineLevel="0" collapsed="false">
      <c r="A11358" s="51" t="s">
        <v>761</v>
      </c>
      <c r="B11358" s="55" t="n">
        <v>45930</v>
      </c>
      <c r="C11358" s="51" t="s">
        <v>782</v>
      </c>
      <c r="D11358" s="51" t="n">
        <v>0</v>
      </c>
    </row>
    <row r="11359" customFormat="false" ht="15" hidden="true" customHeight="false" outlineLevel="0" collapsed="false">
      <c r="A11359" s="51" t="s">
        <v>599</v>
      </c>
      <c r="B11359" s="55" t="n">
        <v>45930</v>
      </c>
      <c r="C11359" s="51" t="s">
        <v>782</v>
      </c>
      <c r="D11359" s="51" t="n">
        <v>0</v>
      </c>
    </row>
    <row r="11360" customFormat="false" ht="15" hidden="true" customHeight="false" outlineLevel="0" collapsed="false">
      <c r="A11360" s="51" t="s">
        <v>604</v>
      </c>
      <c r="B11360" s="55" t="n">
        <v>45930</v>
      </c>
      <c r="C11360" s="51" t="s">
        <v>782</v>
      </c>
      <c r="D11360" s="51" t="n">
        <v>0</v>
      </c>
    </row>
    <row r="11361" customFormat="false" ht="15" hidden="true" customHeight="false" outlineLevel="0" collapsed="false">
      <c r="A11361" s="51" t="s">
        <v>609</v>
      </c>
      <c r="B11361" s="55" t="n">
        <v>45930</v>
      </c>
      <c r="C11361" s="51" t="s">
        <v>782</v>
      </c>
      <c r="D11361" s="51" t="n">
        <v>0</v>
      </c>
    </row>
    <row r="11362" customFormat="false" ht="15" hidden="true" customHeight="false" outlineLevel="0" collapsed="false">
      <c r="A11362" s="51" t="s">
        <v>614</v>
      </c>
      <c r="B11362" s="55" t="n">
        <v>45930</v>
      </c>
      <c r="C11362" s="51" t="s">
        <v>782</v>
      </c>
      <c r="D11362" s="51" t="n">
        <v>0</v>
      </c>
    </row>
    <row r="11363" customFormat="false" ht="15" hidden="true" customHeight="false" outlineLevel="0" collapsed="false">
      <c r="A11363" s="51" t="s">
        <v>619</v>
      </c>
      <c r="B11363" s="55" t="n">
        <v>45930</v>
      </c>
      <c r="C11363" s="51" t="s">
        <v>782</v>
      </c>
      <c r="D11363" s="51" t="n">
        <v>0</v>
      </c>
    </row>
    <row r="11364" customFormat="false" ht="15" hidden="true" customHeight="false" outlineLevel="0" collapsed="false">
      <c r="A11364" s="51" t="s">
        <v>624</v>
      </c>
      <c r="B11364" s="55" t="n">
        <v>45930</v>
      </c>
      <c r="C11364" s="51" t="s">
        <v>782</v>
      </c>
      <c r="D11364" s="51" t="n">
        <v>0</v>
      </c>
    </row>
    <row r="11365" customFormat="false" ht="15" hidden="true" customHeight="false" outlineLevel="0" collapsed="false">
      <c r="A11365" s="51" t="s">
        <v>629</v>
      </c>
      <c r="B11365" s="55" t="n">
        <v>45930</v>
      </c>
      <c r="C11365" s="51" t="s">
        <v>782</v>
      </c>
      <c r="D11365" s="51" t="n">
        <v>0</v>
      </c>
    </row>
    <row r="11366" customFormat="false" ht="15" hidden="true" customHeight="false" outlineLevel="0" collapsed="false">
      <c r="A11366" s="51" t="s">
        <v>633</v>
      </c>
      <c r="B11366" s="55" t="n">
        <v>45930</v>
      </c>
      <c r="C11366" s="51" t="s">
        <v>782</v>
      </c>
      <c r="D11366" s="51" t="n">
        <v>0</v>
      </c>
    </row>
    <row r="11367" customFormat="false" ht="15" hidden="true" customHeight="false" outlineLevel="0" collapsed="false">
      <c r="A11367" s="51" t="s">
        <v>638</v>
      </c>
      <c r="B11367" s="55" t="n">
        <v>45930</v>
      </c>
      <c r="C11367" s="51" t="s">
        <v>782</v>
      </c>
      <c r="D11367" s="51" t="n">
        <v>0</v>
      </c>
    </row>
    <row r="11368" customFormat="false" ht="15" hidden="true" customHeight="false" outlineLevel="0" collapsed="false">
      <c r="A11368" s="51" t="s">
        <v>642</v>
      </c>
      <c r="B11368" s="55" t="n">
        <v>45930</v>
      </c>
      <c r="C11368" s="51" t="s">
        <v>782</v>
      </c>
      <c r="D11368" s="51" t="n">
        <v>0</v>
      </c>
    </row>
    <row r="11369" customFormat="false" ht="15" hidden="true" customHeight="false" outlineLevel="0" collapsed="false">
      <c r="A11369" s="51" t="s">
        <v>646</v>
      </c>
      <c r="B11369" s="55" t="n">
        <v>45930</v>
      </c>
      <c r="C11369" s="51" t="s">
        <v>782</v>
      </c>
      <c r="D11369" s="51" t="n">
        <v>0</v>
      </c>
    </row>
    <row r="11370" customFormat="false" ht="15" hidden="true" customHeight="false" outlineLevel="0" collapsed="false">
      <c r="A11370" s="51" t="s">
        <v>651</v>
      </c>
      <c r="B11370" s="55" t="n">
        <v>45930</v>
      </c>
      <c r="C11370" s="51" t="s">
        <v>782</v>
      </c>
      <c r="D11370" s="51" t="n">
        <v>0</v>
      </c>
    </row>
    <row r="11371" customFormat="false" ht="15" hidden="true" customHeight="false" outlineLevel="0" collapsed="false">
      <c r="A11371" s="51" t="s">
        <v>656</v>
      </c>
      <c r="B11371" s="55" t="n">
        <v>45930</v>
      </c>
      <c r="C11371" s="51" t="s">
        <v>782</v>
      </c>
      <c r="D11371" s="51" t="n">
        <v>0</v>
      </c>
    </row>
    <row r="11372" customFormat="false" ht="15" hidden="true" customHeight="false" outlineLevel="0" collapsed="false">
      <c r="A11372" s="51" t="s">
        <v>661</v>
      </c>
      <c r="B11372" s="55" t="n">
        <v>45930</v>
      </c>
      <c r="C11372" s="51" t="s">
        <v>782</v>
      </c>
      <c r="D11372" s="51" t="n">
        <v>0</v>
      </c>
    </row>
    <row r="11373" customFormat="false" ht="15" hidden="true" customHeight="false" outlineLevel="0" collapsed="false">
      <c r="A11373" s="51" t="s">
        <v>666</v>
      </c>
      <c r="B11373" s="55" t="n">
        <v>45930</v>
      </c>
      <c r="C11373" s="51" t="s">
        <v>782</v>
      </c>
      <c r="D11373" s="51" t="n">
        <v>8200000</v>
      </c>
    </row>
    <row r="11374" customFormat="false" ht="15" hidden="true" customHeight="false" outlineLevel="0" collapsed="false">
      <c r="A11374" s="51" t="s">
        <v>671</v>
      </c>
      <c r="B11374" s="55" t="n">
        <v>45930</v>
      </c>
      <c r="C11374" s="51" t="s">
        <v>782</v>
      </c>
      <c r="D11374" s="51" t="n">
        <v>0</v>
      </c>
    </row>
    <row r="11375" customFormat="false" ht="15" hidden="true" customHeight="false" outlineLevel="0" collapsed="false">
      <c r="A11375" s="51" t="s">
        <v>676</v>
      </c>
      <c r="B11375" s="55" t="n">
        <v>45930</v>
      </c>
      <c r="C11375" s="51" t="s">
        <v>782</v>
      </c>
      <c r="D11375" s="51" t="n">
        <v>0</v>
      </c>
    </row>
    <row r="11376" customFormat="false" ht="15" hidden="true" customHeight="false" outlineLevel="0" collapsed="false">
      <c r="A11376" s="51" t="s">
        <v>681</v>
      </c>
      <c r="B11376" s="55" t="n">
        <v>45930</v>
      </c>
      <c r="C11376" s="51" t="s">
        <v>782</v>
      </c>
      <c r="D11376" s="51" t="n">
        <v>0</v>
      </c>
    </row>
    <row r="11377" customFormat="false" ht="15" hidden="true" customHeight="false" outlineLevel="0" collapsed="false">
      <c r="A11377" s="51" t="s">
        <v>686</v>
      </c>
      <c r="B11377" s="55" t="n">
        <v>45930</v>
      </c>
      <c r="C11377" s="51" t="s">
        <v>782</v>
      </c>
      <c r="D11377" s="51" t="n">
        <v>233280</v>
      </c>
    </row>
    <row r="11378" customFormat="false" ht="15" hidden="true" customHeight="false" outlineLevel="0" collapsed="false">
      <c r="A11378" s="51" t="s">
        <v>691</v>
      </c>
      <c r="B11378" s="55" t="n">
        <v>45930</v>
      </c>
      <c r="C11378" s="51" t="s">
        <v>782</v>
      </c>
      <c r="D11378" s="51" t="n">
        <v>50000</v>
      </c>
    </row>
    <row r="11379" customFormat="false" ht="15" hidden="true" customHeight="false" outlineLevel="0" collapsed="false">
      <c r="A11379" s="51" t="s">
        <v>696</v>
      </c>
      <c r="B11379" s="55" t="n">
        <v>45930</v>
      </c>
      <c r="C11379" s="51" t="s">
        <v>782</v>
      </c>
      <c r="D11379" s="51" t="n">
        <v>1479870</v>
      </c>
    </row>
    <row r="11380" customFormat="false" ht="15" hidden="true" customHeight="false" outlineLevel="0" collapsed="false">
      <c r="A11380" s="51" t="s">
        <v>701</v>
      </c>
      <c r="B11380" s="55" t="n">
        <v>45930</v>
      </c>
      <c r="C11380" s="51" t="s">
        <v>782</v>
      </c>
      <c r="D11380" s="51" t="n">
        <v>1600000</v>
      </c>
    </row>
    <row r="11381" customFormat="false" ht="15" hidden="true" customHeight="false" outlineLevel="0" collapsed="false">
      <c r="A11381" s="51" t="s">
        <v>707</v>
      </c>
      <c r="B11381" s="55" t="n">
        <v>45930</v>
      </c>
      <c r="C11381" s="51" t="s">
        <v>782</v>
      </c>
      <c r="D11381" s="51" t="n">
        <v>3974850</v>
      </c>
    </row>
    <row r="11382" customFormat="false" ht="15" hidden="true" customHeight="false" outlineLevel="0" collapsed="false">
      <c r="A11382" s="51" t="s">
        <v>712</v>
      </c>
      <c r="B11382" s="55" t="n">
        <v>45930</v>
      </c>
      <c r="C11382" s="51" t="s">
        <v>782</v>
      </c>
      <c r="D11382" s="51" t="n">
        <v>0</v>
      </c>
    </row>
    <row r="11383" customFormat="false" ht="15" hidden="true" customHeight="false" outlineLevel="0" collapsed="false">
      <c r="A11383" s="51" t="s">
        <v>717</v>
      </c>
      <c r="B11383" s="55" t="n">
        <v>45930</v>
      </c>
      <c r="C11383" s="51" t="s">
        <v>782</v>
      </c>
      <c r="D11383" s="51" t="n">
        <v>0</v>
      </c>
    </row>
    <row r="11384" customFormat="false" ht="15" hidden="true" customHeight="false" outlineLevel="0" collapsed="false">
      <c r="A11384" s="51" t="s">
        <v>767</v>
      </c>
      <c r="B11384" s="55" t="n">
        <v>45930</v>
      </c>
      <c r="C11384" s="51" t="s">
        <v>782</v>
      </c>
      <c r="D11384" s="51" t="n">
        <v>0</v>
      </c>
    </row>
    <row r="11385" customFormat="false" ht="15" hidden="true" customHeight="false" outlineLevel="0" collapsed="false">
      <c r="A11385" s="51" t="s">
        <v>722</v>
      </c>
      <c r="B11385" s="55" t="n">
        <v>45930</v>
      </c>
      <c r="C11385" s="51" t="s">
        <v>782</v>
      </c>
      <c r="D11385" s="51" t="n">
        <v>0</v>
      </c>
    </row>
    <row r="11386" customFormat="false" ht="15" hidden="true" customHeight="false" outlineLevel="0" collapsed="false">
      <c r="A11386" s="51" t="s">
        <v>727</v>
      </c>
      <c r="B11386" s="55" t="n">
        <v>45930</v>
      </c>
      <c r="C11386" s="51" t="s">
        <v>782</v>
      </c>
      <c r="D11386" s="51" t="n">
        <v>0</v>
      </c>
    </row>
    <row r="11387" customFormat="false" ht="15" hidden="true" customHeight="false" outlineLevel="0" collapsed="false">
      <c r="A11387" s="51" t="s">
        <v>732</v>
      </c>
      <c r="B11387" s="55" t="n">
        <v>45930</v>
      </c>
      <c r="C11387" s="51" t="s">
        <v>782</v>
      </c>
      <c r="D11387" s="51" t="n">
        <v>0</v>
      </c>
    </row>
    <row r="11388" customFormat="false" ht="15" hidden="true" customHeight="false" outlineLevel="0" collapsed="false">
      <c r="A11388" s="51" t="s">
        <v>736</v>
      </c>
      <c r="B11388" s="55" t="n">
        <v>45930</v>
      </c>
      <c r="C11388" s="51" t="s">
        <v>782</v>
      </c>
      <c r="D11388" s="51" t="n">
        <v>0</v>
      </c>
    </row>
    <row r="11389" customFormat="false" ht="15" hidden="true" customHeight="false" outlineLevel="0" collapsed="false">
      <c r="A11389" s="51" t="s">
        <v>741</v>
      </c>
      <c r="B11389" s="55" t="n">
        <v>45930</v>
      </c>
      <c r="C11389" s="51" t="s">
        <v>782</v>
      </c>
      <c r="D11389" s="51" t="n">
        <v>0</v>
      </c>
    </row>
    <row r="11390" customFormat="false" ht="15" hidden="true" customHeight="false" outlineLevel="0" collapsed="false">
      <c r="A11390" s="51" t="s">
        <v>746</v>
      </c>
      <c r="B11390" s="55" t="n">
        <v>45930</v>
      </c>
      <c r="C11390" s="51" t="s">
        <v>782</v>
      </c>
      <c r="D11390" s="51" t="n">
        <v>0</v>
      </c>
    </row>
    <row r="11391" customFormat="false" ht="15" hidden="true" customHeight="false" outlineLevel="0" collapsed="false">
      <c r="A11391" s="51" t="s">
        <v>751</v>
      </c>
      <c r="B11391" s="55" t="n">
        <v>45930</v>
      </c>
      <c r="C11391" s="51" t="s">
        <v>782</v>
      </c>
      <c r="D11391" s="51" t="n">
        <v>0</v>
      </c>
    </row>
    <row r="11392" customFormat="false" ht="15" hidden="false" customHeight="false" outlineLevel="0" collapsed="false">
      <c r="A11392" s="51" t="s">
        <v>781</v>
      </c>
      <c r="B11392" s="55" t="n">
        <v>45930</v>
      </c>
      <c r="C11392" s="51" t="s">
        <v>82</v>
      </c>
      <c r="D11392" s="51" t="n">
        <v>0</v>
      </c>
    </row>
    <row r="11393" customFormat="false" ht="15" hidden="true" customHeight="false" outlineLevel="0" collapsed="false">
      <c r="A11393" s="51" t="s">
        <v>783</v>
      </c>
      <c r="B11393" s="55" t="n">
        <v>45930</v>
      </c>
      <c r="C11393" s="51" t="s">
        <v>82</v>
      </c>
      <c r="D11393" s="51" t="n">
        <v>0</v>
      </c>
    </row>
    <row r="11394" customFormat="false" ht="15" hidden="true" customHeight="false" outlineLevel="0" collapsed="false">
      <c r="A11394" s="51" t="s">
        <v>96</v>
      </c>
      <c r="B11394" s="55" t="n">
        <v>45930</v>
      </c>
      <c r="C11394" s="51" t="s">
        <v>82</v>
      </c>
      <c r="D11394" s="51" t="n">
        <v>0</v>
      </c>
    </row>
    <row r="11395" customFormat="false" ht="15" hidden="true" customHeight="false" outlineLevel="0" collapsed="false">
      <c r="A11395" s="51" t="s">
        <v>101</v>
      </c>
      <c r="B11395" s="55" t="n">
        <v>45930</v>
      </c>
      <c r="C11395" s="51" t="s">
        <v>82</v>
      </c>
      <c r="D11395" s="51" t="n">
        <v>0</v>
      </c>
    </row>
    <row r="11396" customFormat="false" ht="15" hidden="true" customHeight="false" outlineLevel="0" collapsed="false">
      <c r="A11396" s="51" t="s">
        <v>106</v>
      </c>
      <c r="B11396" s="55" t="n">
        <v>45930</v>
      </c>
      <c r="C11396" s="51" t="s">
        <v>82</v>
      </c>
      <c r="D11396" s="51" t="n">
        <v>0</v>
      </c>
    </row>
    <row r="11397" customFormat="false" ht="15" hidden="true" customHeight="false" outlineLevel="0" collapsed="false">
      <c r="A11397" s="51" t="s">
        <v>110</v>
      </c>
      <c r="B11397" s="55" t="n">
        <v>45930</v>
      </c>
      <c r="C11397" s="51" t="s">
        <v>82</v>
      </c>
      <c r="D11397" s="51" t="n">
        <v>0</v>
      </c>
    </row>
    <row r="11398" customFormat="false" ht="15" hidden="true" customHeight="false" outlineLevel="0" collapsed="false">
      <c r="A11398" s="51" t="s">
        <v>115</v>
      </c>
      <c r="B11398" s="55" t="n">
        <v>45930</v>
      </c>
      <c r="C11398" s="51" t="s">
        <v>82</v>
      </c>
      <c r="D11398" s="51" t="n">
        <v>0</v>
      </c>
    </row>
    <row r="11399" customFormat="false" ht="15" hidden="true" customHeight="false" outlineLevel="0" collapsed="false">
      <c r="A11399" s="51" t="s">
        <v>120</v>
      </c>
      <c r="B11399" s="55" t="n">
        <v>45930</v>
      </c>
      <c r="C11399" s="51" t="s">
        <v>82</v>
      </c>
      <c r="D11399" s="51" t="n">
        <v>0</v>
      </c>
    </row>
    <row r="11400" customFormat="false" ht="15" hidden="true" customHeight="false" outlineLevel="0" collapsed="false">
      <c r="A11400" s="51" t="s">
        <v>124</v>
      </c>
      <c r="B11400" s="55" t="n">
        <v>45930</v>
      </c>
      <c r="C11400" s="51" t="s">
        <v>82</v>
      </c>
      <c r="D11400" s="51" t="n">
        <v>0</v>
      </c>
    </row>
    <row r="11401" customFormat="false" ht="15" hidden="true" customHeight="false" outlineLevel="0" collapsed="false">
      <c r="A11401" s="51" t="s">
        <v>129</v>
      </c>
      <c r="B11401" s="55" t="n">
        <v>45930</v>
      </c>
      <c r="C11401" s="51" t="s">
        <v>82</v>
      </c>
      <c r="D11401" s="51" t="n">
        <v>0</v>
      </c>
    </row>
    <row r="11402" customFormat="false" ht="15" hidden="true" customHeight="false" outlineLevel="0" collapsed="false">
      <c r="A11402" s="51" t="s">
        <v>134</v>
      </c>
      <c r="B11402" s="55" t="n">
        <v>45930</v>
      </c>
      <c r="C11402" s="51" t="s">
        <v>82</v>
      </c>
      <c r="D11402" s="51" t="n">
        <v>0</v>
      </c>
    </row>
    <row r="11403" customFormat="false" ht="15" hidden="true" customHeight="false" outlineLevel="0" collapsed="false">
      <c r="A11403" s="51" t="s">
        <v>141</v>
      </c>
      <c r="B11403" s="55" t="n">
        <v>45930</v>
      </c>
      <c r="C11403" s="51" t="s">
        <v>82</v>
      </c>
      <c r="D11403" s="51" t="n">
        <v>0</v>
      </c>
    </row>
    <row r="11404" customFormat="false" ht="15" hidden="true" customHeight="false" outlineLevel="0" collapsed="false">
      <c r="A11404" s="51" t="s">
        <v>146</v>
      </c>
      <c r="B11404" s="55" t="n">
        <v>45930</v>
      </c>
      <c r="C11404" s="51" t="s">
        <v>82</v>
      </c>
      <c r="D11404" s="51" t="n">
        <v>0</v>
      </c>
    </row>
    <row r="11405" customFormat="false" ht="15" hidden="true" customHeight="false" outlineLevel="0" collapsed="false">
      <c r="A11405" s="51" t="s">
        <v>151</v>
      </c>
      <c r="B11405" s="55" t="n">
        <v>45930</v>
      </c>
      <c r="C11405" s="51" t="s">
        <v>82</v>
      </c>
      <c r="D11405" s="51" t="n">
        <v>0</v>
      </c>
    </row>
    <row r="11406" customFormat="false" ht="15" hidden="true" customHeight="false" outlineLevel="0" collapsed="false">
      <c r="A11406" s="51" t="s">
        <v>156</v>
      </c>
      <c r="B11406" s="55" t="n">
        <v>45930</v>
      </c>
      <c r="C11406" s="51" t="s">
        <v>82</v>
      </c>
      <c r="D11406" s="51" t="n">
        <v>0</v>
      </c>
    </row>
    <row r="11407" customFormat="false" ht="15" hidden="true" customHeight="false" outlineLevel="0" collapsed="false">
      <c r="A11407" s="51" t="s">
        <v>161</v>
      </c>
      <c r="B11407" s="55" t="n">
        <v>45930</v>
      </c>
      <c r="C11407" s="51" t="s">
        <v>82</v>
      </c>
      <c r="D11407" s="51" t="n">
        <v>0</v>
      </c>
    </row>
    <row r="11408" customFormat="false" ht="15" hidden="true" customHeight="false" outlineLevel="0" collapsed="false">
      <c r="A11408" s="51" t="s">
        <v>166</v>
      </c>
      <c r="B11408" s="55" t="n">
        <v>45930</v>
      </c>
      <c r="C11408" s="51" t="s">
        <v>82</v>
      </c>
      <c r="D11408" s="51" t="n">
        <v>0</v>
      </c>
    </row>
    <row r="11409" customFormat="false" ht="15" hidden="true" customHeight="false" outlineLevel="0" collapsed="false">
      <c r="A11409" s="51" t="s">
        <v>171</v>
      </c>
      <c r="B11409" s="55" t="n">
        <v>45930</v>
      </c>
      <c r="C11409" s="51" t="s">
        <v>82</v>
      </c>
      <c r="D11409" s="51" t="n">
        <v>0</v>
      </c>
    </row>
    <row r="11410" customFormat="false" ht="15" hidden="true" customHeight="false" outlineLevel="0" collapsed="false">
      <c r="A11410" s="51" t="s">
        <v>176</v>
      </c>
      <c r="B11410" s="55" t="n">
        <v>45930</v>
      </c>
      <c r="C11410" s="51" t="s">
        <v>82</v>
      </c>
      <c r="D11410" s="51" t="n">
        <v>0</v>
      </c>
    </row>
    <row r="11411" customFormat="false" ht="15" hidden="true" customHeight="false" outlineLevel="0" collapsed="false">
      <c r="A11411" s="51" t="s">
        <v>181</v>
      </c>
      <c r="B11411" s="55" t="n">
        <v>45930</v>
      </c>
      <c r="C11411" s="51" t="s">
        <v>82</v>
      </c>
      <c r="D11411" s="51" t="n">
        <v>0</v>
      </c>
    </row>
    <row r="11412" customFormat="false" ht="15" hidden="true" customHeight="false" outlineLevel="0" collapsed="false">
      <c r="A11412" s="51" t="s">
        <v>186</v>
      </c>
      <c r="B11412" s="55" t="n">
        <v>45930</v>
      </c>
      <c r="C11412" s="51" t="s">
        <v>82</v>
      </c>
      <c r="D11412" s="51" t="n">
        <v>0</v>
      </c>
    </row>
    <row r="11413" customFormat="false" ht="15" hidden="true" customHeight="false" outlineLevel="0" collapsed="false">
      <c r="A11413" s="51" t="s">
        <v>191</v>
      </c>
      <c r="B11413" s="55" t="n">
        <v>45930</v>
      </c>
      <c r="C11413" s="51" t="s">
        <v>82</v>
      </c>
      <c r="D11413" s="51" t="n">
        <v>0</v>
      </c>
    </row>
    <row r="11414" customFormat="false" ht="15" hidden="true" customHeight="false" outlineLevel="0" collapsed="false">
      <c r="A11414" s="51" t="s">
        <v>196</v>
      </c>
      <c r="B11414" s="55" t="n">
        <v>45930</v>
      </c>
      <c r="C11414" s="51" t="s">
        <v>82</v>
      </c>
      <c r="D11414" s="51" t="n">
        <v>0</v>
      </c>
    </row>
    <row r="11415" customFormat="false" ht="15" hidden="true" customHeight="false" outlineLevel="0" collapsed="false">
      <c r="A11415" s="51" t="s">
        <v>201</v>
      </c>
      <c r="B11415" s="55" t="n">
        <v>45930</v>
      </c>
      <c r="C11415" s="51" t="s">
        <v>82</v>
      </c>
      <c r="D11415" s="51" t="n">
        <v>0</v>
      </c>
    </row>
    <row r="11416" customFormat="false" ht="15" hidden="true" customHeight="false" outlineLevel="0" collapsed="false">
      <c r="A11416" s="51" t="s">
        <v>206</v>
      </c>
      <c r="B11416" s="55" t="n">
        <v>45930</v>
      </c>
      <c r="C11416" s="51" t="s">
        <v>82</v>
      </c>
      <c r="D11416" s="51" t="n">
        <v>0</v>
      </c>
    </row>
    <row r="11417" customFormat="false" ht="15" hidden="true" customHeight="false" outlineLevel="0" collapsed="false">
      <c r="A11417" s="51" t="s">
        <v>210</v>
      </c>
      <c r="B11417" s="55" t="n">
        <v>45930</v>
      </c>
      <c r="C11417" s="51" t="s">
        <v>82</v>
      </c>
      <c r="D11417" s="51" t="n">
        <v>0</v>
      </c>
    </row>
    <row r="11418" customFormat="false" ht="15" hidden="true" customHeight="false" outlineLevel="0" collapsed="false">
      <c r="A11418" s="51" t="s">
        <v>215</v>
      </c>
      <c r="B11418" s="55" t="n">
        <v>45930</v>
      </c>
      <c r="C11418" s="51" t="s">
        <v>82</v>
      </c>
      <c r="D11418" s="51" t="n">
        <v>0</v>
      </c>
    </row>
    <row r="11419" customFormat="false" ht="15" hidden="true" customHeight="false" outlineLevel="0" collapsed="false">
      <c r="A11419" s="51" t="s">
        <v>790</v>
      </c>
      <c r="B11419" s="55" t="n">
        <v>45930</v>
      </c>
      <c r="C11419" s="51" t="s">
        <v>82</v>
      </c>
      <c r="D11419" s="51" t="n">
        <v>0</v>
      </c>
    </row>
    <row r="11420" customFormat="false" ht="15" hidden="true" customHeight="false" outlineLevel="0" collapsed="false">
      <c r="A11420" s="51" t="s">
        <v>225</v>
      </c>
      <c r="B11420" s="55" t="n">
        <v>45930</v>
      </c>
      <c r="C11420" s="51" t="s">
        <v>82</v>
      </c>
      <c r="D11420" s="51" t="n">
        <v>0</v>
      </c>
    </row>
    <row r="11421" customFormat="false" ht="15" hidden="true" customHeight="false" outlineLevel="0" collapsed="false">
      <c r="A11421" s="51" t="s">
        <v>230</v>
      </c>
      <c r="B11421" s="55" t="n">
        <v>45930</v>
      </c>
      <c r="C11421" s="51" t="s">
        <v>82</v>
      </c>
      <c r="D11421" s="51" t="n">
        <v>0</v>
      </c>
    </row>
    <row r="11422" customFormat="false" ht="15" hidden="true" customHeight="false" outlineLevel="0" collapsed="false">
      <c r="A11422" s="51" t="s">
        <v>235</v>
      </c>
      <c r="B11422" s="55" t="n">
        <v>45930</v>
      </c>
      <c r="C11422" s="51" t="s">
        <v>82</v>
      </c>
      <c r="D11422" s="51" t="n">
        <v>0</v>
      </c>
    </row>
    <row r="11423" customFormat="false" ht="15" hidden="true" customHeight="false" outlineLevel="0" collapsed="false">
      <c r="A11423" s="51" t="s">
        <v>240</v>
      </c>
      <c r="B11423" s="55" t="n">
        <v>45930</v>
      </c>
      <c r="C11423" s="51" t="s">
        <v>82</v>
      </c>
      <c r="D11423" s="51" t="n">
        <v>0</v>
      </c>
    </row>
    <row r="11424" customFormat="false" ht="15" hidden="true" customHeight="false" outlineLevel="0" collapsed="false">
      <c r="A11424" s="51" t="s">
        <v>246</v>
      </c>
      <c r="B11424" s="55" t="n">
        <v>45930</v>
      </c>
      <c r="C11424" s="51" t="s">
        <v>82</v>
      </c>
      <c r="D11424" s="51" t="n">
        <v>0</v>
      </c>
    </row>
    <row r="11425" customFormat="false" ht="15" hidden="true" customHeight="false" outlineLevel="0" collapsed="false">
      <c r="A11425" s="51" t="s">
        <v>252</v>
      </c>
      <c r="B11425" s="55" t="n">
        <v>45930</v>
      </c>
      <c r="C11425" s="51" t="s">
        <v>82</v>
      </c>
      <c r="D11425" s="51" t="n">
        <v>0</v>
      </c>
    </row>
    <row r="11426" customFormat="false" ht="15" hidden="true" customHeight="false" outlineLevel="0" collapsed="false">
      <c r="A11426" s="51" t="s">
        <v>257</v>
      </c>
      <c r="B11426" s="55" t="n">
        <v>45930</v>
      </c>
      <c r="C11426" s="51" t="s">
        <v>82</v>
      </c>
      <c r="D11426" s="51" t="n">
        <v>0</v>
      </c>
    </row>
    <row r="11427" customFormat="false" ht="15" hidden="true" customHeight="false" outlineLevel="0" collapsed="false">
      <c r="A11427" s="51" t="s">
        <v>262</v>
      </c>
      <c r="B11427" s="55" t="n">
        <v>45930</v>
      </c>
      <c r="C11427" s="51" t="s">
        <v>82</v>
      </c>
      <c r="D11427" s="51" t="n">
        <v>0</v>
      </c>
    </row>
    <row r="11428" customFormat="false" ht="15" hidden="true" customHeight="false" outlineLevel="0" collapsed="false">
      <c r="A11428" s="51" t="s">
        <v>267</v>
      </c>
      <c r="B11428" s="55" t="n">
        <v>45930</v>
      </c>
      <c r="C11428" s="51" t="s">
        <v>82</v>
      </c>
      <c r="D11428" s="51" t="n">
        <v>0</v>
      </c>
    </row>
    <row r="11429" customFormat="false" ht="15" hidden="true" customHeight="false" outlineLevel="0" collapsed="false">
      <c r="A11429" s="51" t="s">
        <v>272</v>
      </c>
      <c r="B11429" s="55" t="n">
        <v>45930</v>
      </c>
      <c r="C11429" s="51" t="s">
        <v>82</v>
      </c>
      <c r="D11429" s="51" t="n">
        <v>0</v>
      </c>
    </row>
    <row r="11430" customFormat="false" ht="15" hidden="true" customHeight="false" outlineLevel="0" collapsed="false">
      <c r="A11430" s="51" t="s">
        <v>277</v>
      </c>
      <c r="B11430" s="55" t="n">
        <v>45930</v>
      </c>
      <c r="C11430" s="51" t="s">
        <v>82</v>
      </c>
      <c r="D11430" s="51" t="n">
        <v>0</v>
      </c>
    </row>
    <row r="11431" customFormat="false" ht="15" hidden="true" customHeight="false" outlineLevel="0" collapsed="false">
      <c r="A11431" s="51" t="s">
        <v>282</v>
      </c>
      <c r="B11431" s="55" t="n">
        <v>45930</v>
      </c>
      <c r="C11431" s="51" t="s">
        <v>82</v>
      </c>
      <c r="D11431" s="51" t="n">
        <v>0</v>
      </c>
    </row>
    <row r="11432" customFormat="false" ht="15" hidden="true" customHeight="false" outlineLevel="0" collapsed="false">
      <c r="A11432" s="51" t="s">
        <v>287</v>
      </c>
      <c r="B11432" s="55" t="n">
        <v>45930</v>
      </c>
      <c r="C11432" s="51" t="s">
        <v>82</v>
      </c>
      <c r="D11432" s="51" t="n">
        <v>0</v>
      </c>
    </row>
    <row r="11433" customFormat="false" ht="15" hidden="true" customHeight="false" outlineLevel="0" collapsed="false">
      <c r="A11433" s="51" t="s">
        <v>292</v>
      </c>
      <c r="B11433" s="55" t="n">
        <v>45930</v>
      </c>
      <c r="C11433" s="51" t="s">
        <v>82</v>
      </c>
      <c r="D11433" s="51" t="n">
        <v>0</v>
      </c>
    </row>
    <row r="11434" customFormat="false" ht="15" hidden="true" customHeight="false" outlineLevel="0" collapsed="false">
      <c r="A11434" s="51" t="s">
        <v>297</v>
      </c>
      <c r="B11434" s="55" t="n">
        <v>45930</v>
      </c>
      <c r="C11434" s="51" t="s">
        <v>82</v>
      </c>
      <c r="D11434" s="51" t="n">
        <v>0</v>
      </c>
    </row>
    <row r="11435" customFormat="false" ht="15" hidden="true" customHeight="false" outlineLevel="0" collapsed="false">
      <c r="A11435" s="51" t="s">
        <v>302</v>
      </c>
      <c r="B11435" s="55" t="n">
        <v>45930</v>
      </c>
      <c r="C11435" s="51" t="s">
        <v>82</v>
      </c>
      <c r="D11435" s="51" t="n">
        <v>0</v>
      </c>
    </row>
    <row r="11436" customFormat="false" ht="15" hidden="true" customHeight="false" outlineLevel="0" collapsed="false">
      <c r="A11436" s="51" t="s">
        <v>307</v>
      </c>
      <c r="B11436" s="55" t="n">
        <v>45930</v>
      </c>
      <c r="C11436" s="51" t="s">
        <v>82</v>
      </c>
      <c r="D11436" s="51" t="n">
        <v>0</v>
      </c>
    </row>
    <row r="11437" customFormat="false" ht="15" hidden="true" customHeight="false" outlineLevel="0" collapsed="false">
      <c r="A11437" s="51" t="s">
        <v>311</v>
      </c>
      <c r="B11437" s="55" t="n">
        <v>45930</v>
      </c>
      <c r="C11437" s="51" t="s">
        <v>82</v>
      </c>
      <c r="D11437" s="51" t="n">
        <v>0</v>
      </c>
    </row>
    <row r="11438" customFormat="false" ht="15" hidden="true" customHeight="false" outlineLevel="0" collapsed="false">
      <c r="A11438" s="51" t="s">
        <v>317</v>
      </c>
      <c r="B11438" s="55" t="n">
        <v>45930</v>
      </c>
      <c r="C11438" s="51" t="s">
        <v>82</v>
      </c>
      <c r="D11438" s="51" t="n">
        <v>0</v>
      </c>
    </row>
    <row r="11439" customFormat="false" ht="15" hidden="true" customHeight="false" outlineLevel="0" collapsed="false">
      <c r="A11439" s="51" t="s">
        <v>322</v>
      </c>
      <c r="B11439" s="55" t="n">
        <v>45930</v>
      </c>
      <c r="C11439" s="51" t="s">
        <v>82</v>
      </c>
      <c r="D11439" s="51" t="n">
        <v>0</v>
      </c>
    </row>
    <row r="11440" customFormat="false" ht="15" hidden="true" customHeight="false" outlineLevel="0" collapsed="false">
      <c r="A11440" s="51" t="s">
        <v>327</v>
      </c>
      <c r="B11440" s="55" t="n">
        <v>45930</v>
      </c>
      <c r="C11440" s="51" t="s">
        <v>82</v>
      </c>
      <c r="D11440" s="51" t="n">
        <v>0</v>
      </c>
    </row>
    <row r="11441" customFormat="false" ht="15" hidden="true" customHeight="false" outlineLevel="0" collapsed="false">
      <c r="A11441" s="51" t="s">
        <v>332</v>
      </c>
      <c r="B11441" s="55" t="n">
        <v>45930</v>
      </c>
      <c r="C11441" s="51" t="s">
        <v>82</v>
      </c>
      <c r="D11441" s="51" t="n">
        <v>0</v>
      </c>
    </row>
    <row r="11442" customFormat="false" ht="15" hidden="true" customHeight="false" outlineLevel="0" collapsed="false">
      <c r="A11442" s="51" t="s">
        <v>339</v>
      </c>
      <c r="B11442" s="55" t="n">
        <v>45930</v>
      </c>
      <c r="C11442" s="51" t="s">
        <v>82</v>
      </c>
      <c r="D11442" s="51" t="n">
        <v>0</v>
      </c>
    </row>
    <row r="11443" customFormat="false" ht="15" hidden="true" customHeight="false" outlineLevel="0" collapsed="false">
      <c r="A11443" s="51" t="s">
        <v>344</v>
      </c>
      <c r="B11443" s="55" t="n">
        <v>45930</v>
      </c>
      <c r="C11443" s="51" t="s">
        <v>82</v>
      </c>
      <c r="D11443" s="51" t="n">
        <v>0</v>
      </c>
    </row>
    <row r="11444" customFormat="false" ht="15" hidden="true" customHeight="false" outlineLevel="0" collapsed="false">
      <c r="A11444" s="51" t="s">
        <v>349</v>
      </c>
      <c r="B11444" s="55" t="n">
        <v>45930</v>
      </c>
      <c r="C11444" s="51" t="s">
        <v>82</v>
      </c>
      <c r="D11444" s="51" t="n">
        <v>0</v>
      </c>
    </row>
    <row r="11445" customFormat="false" ht="15" hidden="true" customHeight="false" outlineLevel="0" collapsed="false">
      <c r="A11445" s="51" t="s">
        <v>354</v>
      </c>
      <c r="B11445" s="55" t="n">
        <v>45930</v>
      </c>
      <c r="C11445" s="51" t="s">
        <v>82</v>
      </c>
      <c r="D11445" s="51" t="n">
        <v>0</v>
      </c>
    </row>
    <row r="11446" customFormat="false" ht="15" hidden="true" customHeight="false" outlineLevel="0" collapsed="false">
      <c r="A11446" s="51" t="s">
        <v>359</v>
      </c>
      <c r="B11446" s="55" t="n">
        <v>45930</v>
      </c>
      <c r="C11446" s="51" t="s">
        <v>82</v>
      </c>
      <c r="D11446" s="51" t="n">
        <v>0</v>
      </c>
    </row>
    <row r="11447" customFormat="false" ht="15" hidden="true" customHeight="false" outlineLevel="0" collapsed="false">
      <c r="A11447" s="51" t="s">
        <v>364</v>
      </c>
      <c r="B11447" s="55" t="n">
        <v>45930</v>
      </c>
      <c r="C11447" s="51" t="s">
        <v>82</v>
      </c>
      <c r="D11447" s="51" t="n">
        <v>0</v>
      </c>
    </row>
    <row r="11448" customFormat="false" ht="15" hidden="true" customHeight="false" outlineLevel="0" collapsed="false">
      <c r="A11448" s="51" t="s">
        <v>369</v>
      </c>
      <c r="B11448" s="55" t="n">
        <v>45930</v>
      </c>
      <c r="C11448" s="51" t="s">
        <v>82</v>
      </c>
      <c r="D11448" s="51" t="n">
        <v>0</v>
      </c>
    </row>
    <row r="11449" customFormat="false" ht="15" hidden="true" customHeight="false" outlineLevel="0" collapsed="false">
      <c r="A11449" s="51" t="s">
        <v>374</v>
      </c>
      <c r="B11449" s="55" t="n">
        <v>45930</v>
      </c>
      <c r="C11449" s="51" t="s">
        <v>82</v>
      </c>
      <c r="D11449" s="51" t="n">
        <v>0</v>
      </c>
    </row>
    <row r="11450" customFormat="false" ht="15" hidden="true" customHeight="false" outlineLevel="0" collapsed="false">
      <c r="A11450" s="51" t="s">
        <v>379</v>
      </c>
      <c r="B11450" s="55" t="n">
        <v>45930</v>
      </c>
      <c r="C11450" s="51" t="s">
        <v>82</v>
      </c>
      <c r="D11450" s="51" t="n">
        <v>0</v>
      </c>
    </row>
    <row r="11451" customFormat="false" ht="15" hidden="true" customHeight="false" outlineLevel="0" collapsed="false">
      <c r="A11451" s="51" t="s">
        <v>384</v>
      </c>
      <c r="B11451" s="55" t="n">
        <v>45930</v>
      </c>
      <c r="C11451" s="51" t="s">
        <v>82</v>
      </c>
      <c r="D11451" s="51" t="n">
        <v>0</v>
      </c>
    </row>
    <row r="11452" customFormat="false" ht="15" hidden="true" customHeight="false" outlineLevel="0" collapsed="false">
      <c r="A11452" s="51" t="s">
        <v>389</v>
      </c>
      <c r="B11452" s="55" t="n">
        <v>45930</v>
      </c>
      <c r="C11452" s="51" t="s">
        <v>82</v>
      </c>
      <c r="D11452" s="51" t="n">
        <v>0</v>
      </c>
    </row>
    <row r="11453" customFormat="false" ht="15" hidden="true" customHeight="false" outlineLevel="0" collapsed="false">
      <c r="A11453" s="51" t="s">
        <v>394</v>
      </c>
      <c r="B11453" s="55" t="n">
        <v>45930</v>
      </c>
      <c r="C11453" s="51" t="s">
        <v>82</v>
      </c>
      <c r="D11453" s="51" t="n">
        <v>0</v>
      </c>
    </row>
    <row r="11454" customFormat="false" ht="15" hidden="true" customHeight="false" outlineLevel="0" collapsed="false">
      <c r="A11454" s="51" t="s">
        <v>399</v>
      </c>
      <c r="B11454" s="55" t="n">
        <v>45930</v>
      </c>
      <c r="C11454" s="51" t="s">
        <v>82</v>
      </c>
      <c r="D11454" s="51" t="n">
        <v>0</v>
      </c>
    </row>
    <row r="11455" customFormat="false" ht="15" hidden="true" customHeight="false" outlineLevel="0" collapsed="false">
      <c r="A11455" s="51" t="s">
        <v>404</v>
      </c>
      <c r="B11455" s="55" t="n">
        <v>45930</v>
      </c>
      <c r="C11455" s="51" t="s">
        <v>82</v>
      </c>
      <c r="D11455" s="51" t="n">
        <v>0</v>
      </c>
    </row>
    <row r="11456" customFormat="false" ht="15" hidden="true" customHeight="false" outlineLevel="0" collapsed="false">
      <c r="A11456" s="51" t="s">
        <v>409</v>
      </c>
      <c r="B11456" s="55" t="n">
        <v>45930</v>
      </c>
      <c r="C11456" s="51" t="s">
        <v>82</v>
      </c>
      <c r="D11456" s="51" t="n">
        <v>0</v>
      </c>
    </row>
    <row r="11457" customFormat="false" ht="15" hidden="true" customHeight="false" outlineLevel="0" collapsed="false">
      <c r="A11457" s="51" t="s">
        <v>414</v>
      </c>
      <c r="B11457" s="55" t="n">
        <v>45930</v>
      </c>
      <c r="C11457" s="51" t="s">
        <v>82</v>
      </c>
      <c r="D11457" s="51" t="n">
        <v>0</v>
      </c>
    </row>
    <row r="11458" customFormat="false" ht="15" hidden="true" customHeight="false" outlineLevel="0" collapsed="false">
      <c r="A11458" s="51" t="s">
        <v>419</v>
      </c>
      <c r="B11458" s="55" t="n">
        <v>45930</v>
      </c>
      <c r="C11458" s="51" t="s">
        <v>82</v>
      </c>
      <c r="D11458" s="51" t="n">
        <v>0</v>
      </c>
    </row>
    <row r="11459" customFormat="false" ht="15" hidden="true" customHeight="false" outlineLevel="0" collapsed="false">
      <c r="A11459" s="51" t="s">
        <v>424</v>
      </c>
      <c r="B11459" s="55" t="n">
        <v>45930</v>
      </c>
      <c r="C11459" s="51" t="s">
        <v>82</v>
      </c>
      <c r="D11459" s="51" t="n">
        <v>0</v>
      </c>
    </row>
    <row r="11460" customFormat="false" ht="15" hidden="true" customHeight="false" outlineLevel="0" collapsed="false">
      <c r="A11460" s="51" t="s">
        <v>429</v>
      </c>
      <c r="B11460" s="55" t="n">
        <v>45930</v>
      </c>
      <c r="C11460" s="51" t="s">
        <v>82</v>
      </c>
      <c r="D11460" s="51" t="n">
        <v>0</v>
      </c>
    </row>
    <row r="11461" customFormat="false" ht="15" hidden="true" customHeight="false" outlineLevel="0" collapsed="false">
      <c r="A11461" s="51" t="s">
        <v>434</v>
      </c>
      <c r="B11461" s="55" t="n">
        <v>45930</v>
      </c>
      <c r="C11461" s="51" t="s">
        <v>82</v>
      </c>
      <c r="D11461" s="51" t="n">
        <v>0</v>
      </c>
    </row>
    <row r="11462" customFormat="false" ht="15" hidden="true" customHeight="false" outlineLevel="0" collapsed="false">
      <c r="A11462" s="51" t="s">
        <v>438</v>
      </c>
      <c r="B11462" s="55" t="n">
        <v>45930</v>
      </c>
      <c r="C11462" s="51" t="s">
        <v>82</v>
      </c>
      <c r="D11462" s="51" t="n">
        <v>0</v>
      </c>
    </row>
    <row r="11463" customFormat="false" ht="15" hidden="true" customHeight="false" outlineLevel="0" collapsed="false">
      <c r="A11463" s="51" t="s">
        <v>443</v>
      </c>
      <c r="B11463" s="55" t="n">
        <v>45930</v>
      </c>
      <c r="C11463" s="51" t="s">
        <v>82</v>
      </c>
      <c r="D11463" s="51" t="n">
        <v>0</v>
      </c>
    </row>
    <row r="11464" customFormat="false" ht="15" hidden="true" customHeight="false" outlineLevel="0" collapsed="false">
      <c r="A11464" s="51" t="s">
        <v>448</v>
      </c>
      <c r="B11464" s="55" t="n">
        <v>45930</v>
      </c>
      <c r="C11464" s="51" t="s">
        <v>82</v>
      </c>
      <c r="D11464" s="51" t="n">
        <v>0</v>
      </c>
    </row>
    <row r="11465" customFormat="false" ht="15" hidden="true" customHeight="false" outlineLevel="0" collapsed="false">
      <c r="A11465" s="51" t="s">
        <v>453</v>
      </c>
      <c r="B11465" s="55" t="n">
        <v>45930</v>
      </c>
      <c r="C11465" s="51" t="s">
        <v>82</v>
      </c>
      <c r="D11465" s="51" t="n">
        <v>0</v>
      </c>
    </row>
    <row r="11466" customFormat="false" ht="15" hidden="true" customHeight="false" outlineLevel="0" collapsed="false">
      <c r="A11466" s="51" t="s">
        <v>458</v>
      </c>
      <c r="B11466" s="55" t="n">
        <v>45930</v>
      </c>
      <c r="C11466" s="51" t="s">
        <v>82</v>
      </c>
      <c r="D11466" s="51" t="n">
        <v>0</v>
      </c>
    </row>
    <row r="11467" customFormat="false" ht="15" hidden="true" customHeight="false" outlineLevel="0" collapsed="false">
      <c r="A11467" s="51" t="s">
        <v>473</v>
      </c>
      <c r="B11467" s="55" t="n">
        <v>45930</v>
      </c>
      <c r="C11467" s="51" t="s">
        <v>82</v>
      </c>
      <c r="D11467" s="51" t="n">
        <v>0</v>
      </c>
    </row>
    <row r="11468" customFormat="false" ht="15" hidden="true" customHeight="false" outlineLevel="0" collapsed="false">
      <c r="A11468" s="51" t="s">
        <v>479</v>
      </c>
      <c r="B11468" s="55" t="n">
        <v>45930</v>
      </c>
      <c r="C11468" s="51" t="s">
        <v>82</v>
      </c>
      <c r="D11468" s="51" t="n">
        <v>0</v>
      </c>
    </row>
    <row r="11469" customFormat="false" ht="15" hidden="true" customHeight="false" outlineLevel="0" collapsed="false">
      <c r="A11469" s="51" t="s">
        <v>484</v>
      </c>
      <c r="B11469" s="55" t="n">
        <v>45930</v>
      </c>
      <c r="C11469" s="51" t="s">
        <v>82</v>
      </c>
      <c r="D11469" s="51" t="n">
        <v>0</v>
      </c>
    </row>
    <row r="11470" customFormat="false" ht="15" hidden="true" customHeight="false" outlineLevel="0" collapsed="false">
      <c r="A11470" s="51" t="s">
        <v>489</v>
      </c>
      <c r="B11470" s="55" t="n">
        <v>45930</v>
      </c>
      <c r="C11470" s="51" t="s">
        <v>82</v>
      </c>
      <c r="D11470" s="51" t="n">
        <v>0</v>
      </c>
    </row>
    <row r="11471" customFormat="false" ht="15" hidden="true" customHeight="false" outlineLevel="0" collapsed="false">
      <c r="A11471" s="51" t="s">
        <v>494</v>
      </c>
      <c r="B11471" s="55" t="n">
        <v>45930</v>
      </c>
      <c r="C11471" s="51" t="s">
        <v>82</v>
      </c>
      <c r="D11471" s="51" t="n">
        <v>0</v>
      </c>
    </row>
    <row r="11472" customFormat="false" ht="15" hidden="true" customHeight="false" outlineLevel="0" collapsed="false">
      <c r="A11472" s="51" t="s">
        <v>499</v>
      </c>
      <c r="B11472" s="55" t="n">
        <v>45930</v>
      </c>
      <c r="C11472" s="51" t="s">
        <v>82</v>
      </c>
      <c r="D11472" s="51" t="n">
        <v>0</v>
      </c>
    </row>
    <row r="11473" customFormat="false" ht="15" hidden="true" customHeight="false" outlineLevel="0" collapsed="false">
      <c r="A11473" s="51" t="s">
        <v>504</v>
      </c>
      <c r="B11473" s="55" t="n">
        <v>45930</v>
      </c>
      <c r="C11473" s="51" t="s">
        <v>82</v>
      </c>
      <c r="D11473" s="51" t="n">
        <v>0</v>
      </c>
    </row>
    <row r="11474" customFormat="false" ht="15" hidden="true" customHeight="false" outlineLevel="0" collapsed="false">
      <c r="A11474" s="51" t="s">
        <v>509</v>
      </c>
      <c r="B11474" s="55" t="n">
        <v>45930</v>
      </c>
      <c r="C11474" s="51" t="s">
        <v>82</v>
      </c>
      <c r="D11474" s="51" t="n">
        <v>0</v>
      </c>
    </row>
    <row r="11475" customFormat="false" ht="15" hidden="true" customHeight="false" outlineLevel="0" collapsed="false">
      <c r="A11475" s="51" t="s">
        <v>515</v>
      </c>
      <c r="B11475" s="55" t="n">
        <v>45930</v>
      </c>
      <c r="C11475" s="51" t="s">
        <v>82</v>
      </c>
      <c r="D11475" s="51" t="n">
        <v>0</v>
      </c>
    </row>
    <row r="11476" customFormat="false" ht="15" hidden="true" customHeight="false" outlineLevel="0" collapsed="false">
      <c r="A11476" s="51" t="s">
        <v>520</v>
      </c>
      <c r="B11476" s="55" t="n">
        <v>45930</v>
      </c>
      <c r="C11476" s="51" t="s">
        <v>82</v>
      </c>
      <c r="D11476" s="51" t="n">
        <v>0</v>
      </c>
    </row>
    <row r="11477" customFormat="false" ht="15" hidden="true" customHeight="false" outlineLevel="0" collapsed="false">
      <c r="A11477" s="51" t="s">
        <v>525</v>
      </c>
      <c r="B11477" s="55" t="n">
        <v>45930</v>
      </c>
      <c r="C11477" s="51" t="s">
        <v>82</v>
      </c>
      <c r="D11477" s="51" t="n">
        <v>0</v>
      </c>
    </row>
    <row r="11478" customFormat="false" ht="15" hidden="true" customHeight="false" outlineLevel="0" collapsed="false">
      <c r="A11478" s="51" t="s">
        <v>531</v>
      </c>
      <c r="B11478" s="55" t="n">
        <v>45930</v>
      </c>
      <c r="C11478" s="51" t="s">
        <v>82</v>
      </c>
      <c r="D11478" s="51" t="n">
        <v>0</v>
      </c>
    </row>
    <row r="11479" customFormat="false" ht="15" hidden="true" customHeight="false" outlineLevel="0" collapsed="false">
      <c r="A11479" s="51" t="s">
        <v>536</v>
      </c>
      <c r="B11479" s="55" t="n">
        <v>45930</v>
      </c>
      <c r="C11479" s="51" t="s">
        <v>82</v>
      </c>
      <c r="D11479" s="51" t="n">
        <v>0</v>
      </c>
    </row>
    <row r="11480" customFormat="false" ht="15" hidden="true" customHeight="false" outlineLevel="0" collapsed="false">
      <c r="A11480" s="51" t="s">
        <v>541</v>
      </c>
      <c r="B11480" s="55" t="n">
        <v>45930</v>
      </c>
      <c r="C11480" s="51" t="s">
        <v>82</v>
      </c>
      <c r="D11480" s="51" t="n">
        <v>0</v>
      </c>
    </row>
    <row r="11481" customFormat="false" ht="15" hidden="true" customHeight="false" outlineLevel="0" collapsed="false">
      <c r="A11481" s="51" t="s">
        <v>549</v>
      </c>
      <c r="B11481" s="55" t="n">
        <v>45930</v>
      </c>
      <c r="C11481" s="51" t="s">
        <v>82</v>
      </c>
      <c r="D11481" s="51" t="n">
        <v>0</v>
      </c>
    </row>
    <row r="11482" customFormat="false" ht="15" hidden="true" customHeight="false" outlineLevel="0" collapsed="false">
      <c r="A11482" s="51" t="s">
        <v>554</v>
      </c>
      <c r="B11482" s="55" t="n">
        <v>45930</v>
      </c>
      <c r="C11482" s="51" t="s">
        <v>82</v>
      </c>
      <c r="D11482" s="51" t="n">
        <v>0</v>
      </c>
    </row>
    <row r="11483" customFormat="false" ht="15" hidden="true" customHeight="false" outlineLevel="0" collapsed="false">
      <c r="A11483" s="51" t="s">
        <v>559</v>
      </c>
      <c r="B11483" s="55" t="n">
        <v>45930</v>
      </c>
      <c r="C11483" s="51" t="s">
        <v>82</v>
      </c>
      <c r="D11483" s="51" t="n">
        <v>0</v>
      </c>
    </row>
    <row r="11484" customFormat="false" ht="15" hidden="true" customHeight="false" outlineLevel="0" collapsed="false">
      <c r="A11484" s="51" t="s">
        <v>564</v>
      </c>
      <c r="B11484" s="55" t="n">
        <v>45930</v>
      </c>
      <c r="C11484" s="51" t="s">
        <v>82</v>
      </c>
      <c r="D11484" s="51" t="n">
        <v>0</v>
      </c>
    </row>
    <row r="11485" customFormat="false" ht="15" hidden="true" customHeight="false" outlineLevel="0" collapsed="false">
      <c r="A11485" s="51" t="s">
        <v>569</v>
      </c>
      <c r="B11485" s="55" t="n">
        <v>45930</v>
      </c>
      <c r="C11485" s="51" t="s">
        <v>82</v>
      </c>
      <c r="D11485" s="51" t="n">
        <v>0</v>
      </c>
    </row>
    <row r="11486" customFormat="false" ht="15" hidden="true" customHeight="false" outlineLevel="0" collapsed="false">
      <c r="A11486" s="51" t="s">
        <v>574</v>
      </c>
      <c r="B11486" s="55" t="n">
        <v>45930</v>
      </c>
      <c r="C11486" s="51" t="s">
        <v>82</v>
      </c>
      <c r="D11486" s="51" t="n">
        <v>0</v>
      </c>
    </row>
    <row r="11487" customFormat="false" ht="15" hidden="true" customHeight="false" outlineLevel="0" collapsed="false">
      <c r="A11487" s="51" t="s">
        <v>579</v>
      </c>
      <c r="B11487" s="55" t="n">
        <v>45930</v>
      </c>
      <c r="C11487" s="51" t="s">
        <v>82</v>
      </c>
      <c r="D11487" s="51" t="n">
        <v>0</v>
      </c>
    </row>
    <row r="11488" customFormat="false" ht="15" hidden="true" customHeight="false" outlineLevel="0" collapsed="false">
      <c r="A11488" s="51" t="s">
        <v>584</v>
      </c>
      <c r="B11488" s="55" t="n">
        <v>45930</v>
      </c>
      <c r="C11488" s="51" t="s">
        <v>82</v>
      </c>
      <c r="D11488" s="51" t="n">
        <v>0</v>
      </c>
    </row>
    <row r="11489" customFormat="false" ht="15" hidden="true" customHeight="false" outlineLevel="0" collapsed="false">
      <c r="A11489" s="51" t="s">
        <v>589</v>
      </c>
      <c r="B11489" s="55" t="n">
        <v>45930</v>
      </c>
      <c r="C11489" s="51" t="s">
        <v>82</v>
      </c>
      <c r="D11489" s="51" t="n">
        <v>0</v>
      </c>
    </row>
    <row r="11490" customFormat="false" ht="15" hidden="true" customHeight="false" outlineLevel="0" collapsed="false">
      <c r="A11490" s="51" t="s">
        <v>756</v>
      </c>
      <c r="B11490" s="55" t="n">
        <v>45930</v>
      </c>
      <c r="C11490" s="51" t="s">
        <v>82</v>
      </c>
      <c r="D11490" s="51" t="n">
        <v>0</v>
      </c>
    </row>
    <row r="11491" customFormat="false" ht="15" hidden="true" customHeight="false" outlineLevel="0" collapsed="false">
      <c r="A11491" s="51" t="s">
        <v>594</v>
      </c>
      <c r="B11491" s="55" t="n">
        <v>45930</v>
      </c>
      <c r="C11491" s="51" t="s">
        <v>82</v>
      </c>
      <c r="D11491" s="51" t="n">
        <v>0</v>
      </c>
    </row>
    <row r="11492" customFormat="false" ht="15" hidden="true" customHeight="false" outlineLevel="0" collapsed="false">
      <c r="A11492" s="51" t="s">
        <v>761</v>
      </c>
      <c r="B11492" s="55" t="n">
        <v>45930</v>
      </c>
      <c r="C11492" s="51" t="s">
        <v>82</v>
      </c>
      <c r="D11492" s="51" t="n">
        <v>0</v>
      </c>
    </row>
    <row r="11493" customFormat="false" ht="15" hidden="true" customHeight="false" outlineLevel="0" collapsed="false">
      <c r="A11493" s="51" t="s">
        <v>599</v>
      </c>
      <c r="B11493" s="55" t="n">
        <v>45930</v>
      </c>
      <c r="C11493" s="51" t="s">
        <v>82</v>
      </c>
      <c r="D11493" s="51" t="n">
        <v>0</v>
      </c>
    </row>
    <row r="11494" customFormat="false" ht="15" hidden="true" customHeight="false" outlineLevel="0" collapsed="false">
      <c r="A11494" s="51" t="s">
        <v>604</v>
      </c>
      <c r="B11494" s="55" t="n">
        <v>45930</v>
      </c>
      <c r="C11494" s="51" t="s">
        <v>82</v>
      </c>
      <c r="D11494" s="51" t="n">
        <v>0</v>
      </c>
    </row>
    <row r="11495" customFormat="false" ht="15" hidden="true" customHeight="false" outlineLevel="0" collapsed="false">
      <c r="A11495" s="51" t="s">
        <v>609</v>
      </c>
      <c r="B11495" s="55" t="n">
        <v>45930</v>
      </c>
      <c r="C11495" s="51" t="s">
        <v>82</v>
      </c>
      <c r="D11495" s="51" t="n">
        <v>0</v>
      </c>
    </row>
    <row r="11496" customFormat="false" ht="15" hidden="true" customHeight="false" outlineLevel="0" collapsed="false">
      <c r="A11496" s="51" t="s">
        <v>614</v>
      </c>
      <c r="B11496" s="55" t="n">
        <v>45930</v>
      </c>
      <c r="C11496" s="51" t="s">
        <v>82</v>
      </c>
      <c r="D11496" s="51" t="n">
        <v>0</v>
      </c>
    </row>
    <row r="11497" customFormat="false" ht="15" hidden="true" customHeight="false" outlineLevel="0" collapsed="false">
      <c r="A11497" s="51" t="s">
        <v>619</v>
      </c>
      <c r="B11497" s="55" t="n">
        <v>45930</v>
      </c>
      <c r="C11497" s="51" t="s">
        <v>82</v>
      </c>
      <c r="D11497" s="51" t="n">
        <v>0</v>
      </c>
    </row>
    <row r="11498" customFormat="false" ht="15" hidden="true" customHeight="false" outlineLevel="0" collapsed="false">
      <c r="A11498" s="51" t="s">
        <v>624</v>
      </c>
      <c r="B11498" s="55" t="n">
        <v>45930</v>
      </c>
      <c r="C11498" s="51" t="s">
        <v>82</v>
      </c>
      <c r="D11498" s="51" t="n">
        <v>0</v>
      </c>
    </row>
    <row r="11499" customFormat="false" ht="15" hidden="true" customHeight="false" outlineLevel="0" collapsed="false">
      <c r="A11499" s="51" t="s">
        <v>629</v>
      </c>
      <c r="B11499" s="55" t="n">
        <v>45930</v>
      </c>
      <c r="C11499" s="51" t="s">
        <v>82</v>
      </c>
      <c r="D11499" s="51" t="n">
        <v>0</v>
      </c>
    </row>
    <row r="11500" customFormat="false" ht="15" hidden="true" customHeight="false" outlineLevel="0" collapsed="false">
      <c r="A11500" s="51" t="s">
        <v>633</v>
      </c>
      <c r="B11500" s="55" t="n">
        <v>45930</v>
      </c>
      <c r="C11500" s="51" t="s">
        <v>82</v>
      </c>
      <c r="D11500" s="51" t="n">
        <v>0</v>
      </c>
    </row>
    <row r="11501" customFormat="false" ht="15" hidden="true" customHeight="false" outlineLevel="0" collapsed="false">
      <c r="A11501" s="51" t="s">
        <v>638</v>
      </c>
      <c r="B11501" s="55" t="n">
        <v>45930</v>
      </c>
      <c r="C11501" s="51" t="s">
        <v>82</v>
      </c>
      <c r="D11501" s="51" t="n">
        <v>0</v>
      </c>
    </row>
    <row r="11502" customFormat="false" ht="15" hidden="true" customHeight="false" outlineLevel="0" collapsed="false">
      <c r="A11502" s="51" t="s">
        <v>642</v>
      </c>
      <c r="B11502" s="55" t="n">
        <v>45930</v>
      </c>
      <c r="C11502" s="51" t="s">
        <v>82</v>
      </c>
      <c r="D11502" s="51" t="n">
        <v>0</v>
      </c>
    </row>
    <row r="11503" customFormat="false" ht="15" hidden="true" customHeight="false" outlineLevel="0" collapsed="false">
      <c r="A11503" s="51" t="s">
        <v>646</v>
      </c>
      <c r="B11503" s="55" t="n">
        <v>45930</v>
      </c>
      <c r="C11503" s="51" t="s">
        <v>82</v>
      </c>
      <c r="D11503" s="51" t="n">
        <v>0</v>
      </c>
    </row>
    <row r="11504" customFormat="false" ht="15" hidden="true" customHeight="false" outlineLevel="0" collapsed="false">
      <c r="A11504" s="51" t="s">
        <v>651</v>
      </c>
      <c r="B11504" s="55" t="n">
        <v>45930</v>
      </c>
      <c r="C11504" s="51" t="s">
        <v>82</v>
      </c>
      <c r="D11504" s="51" t="n">
        <v>0</v>
      </c>
    </row>
    <row r="11505" customFormat="false" ht="15" hidden="true" customHeight="false" outlineLevel="0" collapsed="false">
      <c r="A11505" s="51" t="s">
        <v>656</v>
      </c>
      <c r="B11505" s="55" t="n">
        <v>45930</v>
      </c>
      <c r="C11505" s="51" t="s">
        <v>82</v>
      </c>
      <c r="D11505" s="51" t="n">
        <v>0</v>
      </c>
    </row>
    <row r="11506" customFormat="false" ht="15" hidden="true" customHeight="false" outlineLevel="0" collapsed="false">
      <c r="A11506" s="51" t="s">
        <v>661</v>
      </c>
      <c r="B11506" s="55" t="n">
        <v>45930</v>
      </c>
      <c r="C11506" s="51" t="s">
        <v>82</v>
      </c>
      <c r="D11506" s="51" t="n">
        <v>0</v>
      </c>
    </row>
    <row r="11507" customFormat="false" ht="15" hidden="true" customHeight="false" outlineLevel="0" collapsed="false">
      <c r="A11507" s="51" t="s">
        <v>666</v>
      </c>
      <c r="B11507" s="55" t="n">
        <v>45930</v>
      </c>
      <c r="C11507" s="51" t="s">
        <v>82</v>
      </c>
      <c r="D11507" s="51" t="n">
        <v>8200000</v>
      </c>
    </row>
    <row r="11508" customFormat="false" ht="15" hidden="true" customHeight="false" outlineLevel="0" collapsed="false">
      <c r="A11508" s="51" t="s">
        <v>671</v>
      </c>
      <c r="B11508" s="55" t="n">
        <v>45930</v>
      </c>
      <c r="C11508" s="51" t="s">
        <v>82</v>
      </c>
      <c r="D11508" s="51" t="n">
        <v>0</v>
      </c>
    </row>
    <row r="11509" customFormat="false" ht="15" hidden="true" customHeight="false" outlineLevel="0" collapsed="false">
      <c r="A11509" s="51" t="s">
        <v>676</v>
      </c>
      <c r="B11509" s="55" t="n">
        <v>45930</v>
      </c>
      <c r="C11509" s="51" t="s">
        <v>82</v>
      </c>
      <c r="D11509" s="51" t="n">
        <v>0</v>
      </c>
    </row>
    <row r="11510" customFormat="false" ht="15" hidden="true" customHeight="false" outlineLevel="0" collapsed="false">
      <c r="A11510" s="51" t="s">
        <v>681</v>
      </c>
      <c r="B11510" s="55" t="n">
        <v>45930</v>
      </c>
      <c r="C11510" s="51" t="s">
        <v>82</v>
      </c>
      <c r="D11510" s="51" t="n">
        <v>0</v>
      </c>
    </row>
    <row r="11511" customFormat="false" ht="15" hidden="true" customHeight="false" outlineLevel="0" collapsed="false">
      <c r="A11511" s="51" t="s">
        <v>686</v>
      </c>
      <c r="B11511" s="55" t="n">
        <v>45930</v>
      </c>
      <c r="C11511" s="51" t="s">
        <v>82</v>
      </c>
      <c r="D11511" s="51" t="n">
        <v>233280</v>
      </c>
    </row>
    <row r="11512" customFormat="false" ht="15" hidden="true" customHeight="false" outlineLevel="0" collapsed="false">
      <c r="A11512" s="51" t="s">
        <v>691</v>
      </c>
      <c r="B11512" s="55" t="n">
        <v>45930</v>
      </c>
      <c r="C11512" s="51" t="s">
        <v>82</v>
      </c>
      <c r="D11512" s="51" t="n">
        <v>50000</v>
      </c>
    </row>
    <row r="11513" customFormat="false" ht="15" hidden="true" customHeight="false" outlineLevel="0" collapsed="false">
      <c r="A11513" s="51" t="s">
        <v>696</v>
      </c>
      <c r="B11513" s="55" t="n">
        <v>45930</v>
      </c>
      <c r="C11513" s="51" t="s">
        <v>82</v>
      </c>
      <c r="D11513" s="51" t="n">
        <v>1479870</v>
      </c>
    </row>
    <row r="11514" customFormat="false" ht="15" hidden="true" customHeight="false" outlineLevel="0" collapsed="false">
      <c r="A11514" s="51" t="s">
        <v>701</v>
      </c>
      <c r="B11514" s="55" t="n">
        <v>45930</v>
      </c>
      <c r="C11514" s="51" t="s">
        <v>82</v>
      </c>
      <c r="D11514" s="51" t="n">
        <v>735253</v>
      </c>
    </row>
    <row r="11515" customFormat="false" ht="15" hidden="true" customHeight="false" outlineLevel="0" collapsed="false">
      <c r="A11515" s="51" t="s">
        <v>707</v>
      </c>
      <c r="B11515" s="55" t="n">
        <v>45930</v>
      </c>
      <c r="C11515" s="51" t="s">
        <v>82</v>
      </c>
      <c r="D11515" s="51" t="n">
        <v>3974850</v>
      </c>
    </row>
    <row r="11516" customFormat="false" ht="15" hidden="true" customHeight="false" outlineLevel="0" collapsed="false">
      <c r="A11516" s="51" t="s">
        <v>712</v>
      </c>
      <c r="B11516" s="55" t="n">
        <v>45930</v>
      </c>
      <c r="C11516" s="51" t="s">
        <v>82</v>
      </c>
      <c r="D11516" s="51" t="n">
        <v>0</v>
      </c>
    </row>
    <row r="11517" customFormat="false" ht="15" hidden="true" customHeight="false" outlineLevel="0" collapsed="false">
      <c r="A11517" s="51" t="s">
        <v>717</v>
      </c>
      <c r="B11517" s="55" t="n">
        <v>45930</v>
      </c>
      <c r="C11517" s="51" t="s">
        <v>82</v>
      </c>
      <c r="D11517" s="51" t="n">
        <v>0</v>
      </c>
    </row>
    <row r="11518" customFormat="false" ht="15" hidden="true" customHeight="false" outlineLevel="0" collapsed="false">
      <c r="A11518" s="51" t="s">
        <v>767</v>
      </c>
      <c r="B11518" s="55" t="n">
        <v>45930</v>
      </c>
      <c r="C11518" s="51" t="s">
        <v>82</v>
      </c>
      <c r="D11518" s="51" t="n">
        <v>0</v>
      </c>
    </row>
    <row r="11519" customFormat="false" ht="15" hidden="true" customHeight="false" outlineLevel="0" collapsed="false">
      <c r="A11519" s="51" t="s">
        <v>722</v>
      </c>
      <c r="B11519" s="55" t="n">
        <v>45930</v>
      </c>
      <c r="C11519" s="51" t="s">
        <v>82</v>
      </c>
      <c r="D11519" s="51" t="n">
        <v>0</v>
      </c>
    </row>
    <row r="11520" customFormat="false" ht="15" hidden="true" customHeight="false" outlineLevel="0" collapsed="false">
      <c r="A11520" s="51" t="s">
        <v>727</v>
      </c>
      <c r="B11520" s="55" t="n">
        <v>45930</v>
      </c>
      <c r="C11520" s="51" t="s">
        <v>82</v>
      </c>
      <c r="D11520" s="51" t="n">
        <v>0</v>
      </c>
    </row>
    <row r="11521" customFormat="false" ht="15" hidden="true" customHeight="false" outlineLevel="0" collapsed="false">
      <c r="A11521" s="51" t="s">
        <v>732</v>
      </c>
      <c r="B11521" s="55" t="n">
        <v>45930</v>
      </c>
      <c r="C11521" s="51" t="s">
        <v>82</v>
      </c>
      <c r="D11521" s="51" t="n">
        <v>0</v>
      </c>
    </row>
    <row r="11522" customFormat="false" ht="15" hidden="true" customHeight="false" outlineLevel="0" collapsed="false">
      <c r="A11522" s="51" t="s">
        <v>736</v>
      </c>
      <c r="B11522" s="55" t="n">
        <v>45930</v>
      </c>
      <c r="C11522" s="51" t="s">
        <v>82</v>
      </c>
      <c r="D11522" s="51" t="n">
        <v>0</v>
      </c>
    </row>
    <row r="11523" customFormat="false" ht="15" hidden="true" customHeight="false" outlineLevel="0" collapsed="false">
      <c r="A11523" s="51" t="s">
        <v>741</v>
      </c>
      <c r="B11523" s="55" t="n">
        <v>45930</v>
      </c>
      <c r="C11523" s="51" t="s">
        <v>82</v>
      </c>
      <c r="D11523" s="51" t="n">
        <v>0</v>
      </c>
    </row>
    <row r="11524" customFormat="false" ht="15" hidden="true" customHeight="false" outlineLevel="0" collapsed="false">
      <c r="A11524" s="51" t="s">
        <v>746</v>
      </c>
      <c r="B11524" s="55" t="n">
        <v>45930</v>
      </c>
      <c r="C11524" s="51" t="s">
        <v>82</v>
      </c>
      <c r="D11524" s="51" t="n">
        <v>0</v>
      </c>
    </row>
    <row r="11525" customFormat="false" ht="15" hidden="true" customHeight="false" outlineLevel="0" collapsed="false">
      <c r="A11525" s="51" t="s">
        <v>751</v>
      </c>
      <c r="B11525" s="55" t="n">
        <v>45930</v>
      </c>
      <c r="C11525" s="51" t="s">
        <v>82</v>
      </c>
      <c r="D11525" s="51" t="n">
        <v>0</v>
      </c>
    </row>
    <row r="11526" customFormat="false" ht="15" hidden="false" customHeight="false" outlineLevel="0" collapsed="false">
      <c r="A11526" s="51" t="s">
        <v>781</v>
      </c>
      <c r="B11526" s="55" t="n">
        <v>45930</v>
      </c>
      <c r="C11526" s="51" t="s">
        <v>73</v>
      </c>
      <c r="D11526" s="51" t="n">
        <v>0</v>
      </c>
    </row>
    <row r="11527" customFormat="false" ht="15" hidden="true" customHeight="false" outlineLevel="0" collapsed="false">
      <c r="A11527" s="51" t="s">
        <v>783</v>
      </c>
      <c r="B11527" s="55" t="n">
        <v>45930</v>
      </c>
      <c r="C11527" s="51" t="s">
        <v>73</v>
      </c>
      <c r="D11527" s="51" t="n">
        <v>0</v>
      </c>
    </row>
    <row r="11528" customFormat="false" ht="15" hidden="true" customHeight="false" outlineLevel="0" collapsed="false">
      <c r="A11528" s="51" t="s">
        <v>96</v>
      </c>
      <c r="B11528" s="55" t="n">
        <v>45930</v>
      </c>
      <c r="C11528" s="51" t="s">
        <v>73</v>
      </c>
      <c r="D11528" s="51" t="n">
        <v>0</v>
      </c>
    </row>
    <row r="11529" customFormat="false" ht="15" hidden="true" customHeight="false" outlineLevel="0" collapsed="false">
      <c r="A11529" s="51" t="s">
        <v>101</v>
      </c>
      <c r="B11529" s="55" t="n">
        <v>45930</v>
      </c>
      <c r="C11529" s="51" t="s">
        <v>73</v>
      </c>
      <c r="D11529" s="51" t="n">
        <v>0</v>
      </c>
    </row>
    <row r="11530" customFormat="false" ht="15" hidden="true" customHeight="false" outlineLevel="0" collapsed="false">
      <c r="A11530" s="51" t="s">
        <v>106</v>
      </c>
      <c r="B11530" s="55" t="n">
        <v>45930</v>
      </c>
      <c r="C11530" s="51" t="s">
        <v>73</v>
      </c>
      <c r="D11530" s="51" t="n">
        <v>0</v>
      </c>
    </row>
    <row r="11531" customFormat="false" ht="15" hidden="true" customHeight="false" outlineLevel="0" collapsed="false">
      <c r="A11531" s="51" t="s">
        <v>110</v>
      </c>
      <c r="B11531" s="55" t="n">
        <v>45930</v>
      </c>
      <c r="C11531" s="51" t="s">
        <v>73</v>
      </c>
      <c r="D11531" s="51" t="n">
        <v>0</v>
      </c>
    </row>
    <row r="11532" customFormat="false" ht="15" hidden="true" customHeight="false" outlineLevel="0" collapsed="false">
      <c r="A11532" s="51" t="s">
        <v>115</v>
      </c>
      <c r="B11532" s="55" t="n">
        <v>45930</v>
      </c>
      <c r="C11532" s="51" t="s">
        <v>73</v>
      </c>
      <c r="D11532" s="51" t="n">
        <v>0</v>
      </c>
    </row>
    <row r="11533" customFormat="false" ht="15" hidden="true" customHeight="false" outlineLevel="0" collapsed="false">
      <c r="A11533" s="51" t="s">
        <v>120</v>
      </c>
      <c r="B11533" s="55" t="n">
        <v>45930</v>
      </c>
      <c r="C11533" s="51" t="s">
        <v>73</v>
      </c>
      <c r="D11533" s="51" t="n">
        <v>0</v>
      </c>
    </row>
    <row r="11534" customFormat="false" ht="15" hidden="true" customHeight="false" outlineLevel="0" collapsed="false">
      <c r="A11534" s="51" t="s">
        <v>124</v>
      </c>
      <c r="B11534" s="55" t="n">
        <v>45930</v>
      </c>
      <c r="C11534" s="51" t="s">
        <v>73</v>
      </c>
      <c r="D11534" s="51" t="n">
        <v>0</v>
      </c>
    </row>
    <row r="11535" customFormat="false" ht="15" hidden="true" customHeight="false" outlineLevel="0" collapsed="false">
      <c r="A11535" s="51" t="s">
        <v>129</v>
      </c>
      <c r="B11535" s="55" t="n">
        <v>45930</v>
      </c>
      <c r="C11535" s="51" t="s">
        <v>73</v>
      </c>
      <c r="D11535" s="51" t="n">
        <v>0</v>
      </c>
    </row>
    <row r="11536" customFormat="false" ht="15" hidden="true" customHeight="false" outlineLevel="0" collapsed="false">
      <c r="A11536" s="51" t="s">
        <v>134</v>
      </c>
      <c r="B11536" s="55" t="n">
        <v>45930</v>
      </c>
      <c r="C11536" s="51" t="s">
        <v>73</v>
      </c>
      <c r="D11536" s="51" t="n">
        <v>0</v>
      </c>
    </row>
    <row r="11537" customFormat="false" ht="15" hidden="true" customHeight="false" outlineLevel="0" collapsed="false">
      <c r="A11537" s="51" t="s">
        <v>141</v>
      </c>
      <c r="B11537" s="55" t="n">
        <v>45930</v>
      </c>
      <c r="C11537" s="51" t="s">
        <v>73</v>
      </c>
      <c r="D11537" s="51" t="n">
        <v>0</v>
      </c>
    </row>
    <row r="11538" customFormat="false" ht="15" hidden="true" customHeight="false" outlineLevel="0" collapsed="false">
      <c r="A11538" s="51" t="s">
        <v>146</v>
      </c>
      <c r="B11538" s="55" t="n">
        <v>45930</v>
      </c>
      <c r="C11538" s="51" t="s">
        <v>73</v>
      </c>
      <c r="D11538" s="51" t="n">
        <v>0</v>
      </c>
    </row>
    <row r="11539" customFormat="false" ht="15" hidden="true" customHeight="false" outlineLevel="0" collapsed="false">
      <c r="A11539" s="51" t="s">
        <v>151</v>
      </c>
      <c r="B11539" s="55" t="n">
        <v>45930</v>
      </c>
      <c r="C11539" s="51" t="s">
        <v>73</v>
      </c>
      <c r="D11539" s="51" t="n">
        <v>0</v>
      </c>
    </row>
    <row r="11540" customFormat="false" ht="15" hidden="true" customHeight="false" outlineLevel="0" collapsed="false">
      <c r="A11540" s="51" t="s">
        <v>156</v>
      </c>
      <c r="B11540" s="55" t="n">
        <v>45930</v>
      </c>
      <c r="C11540" s="51" t="s">
        <v>73</v>
      </c>
      <c r="D11540" s="51" t="n">
        <v>0</v>
      </c>
    </row>
    <row r="11541" customFormat="false" ht="15" hidden="true" customHeight="false" outlineLevel="0" collapsed="false">
      <c r="A11541" s="51" t="s">
        <v>161</v>
      </c>
      <c r="B11541" s="55" t="n">
        <v>45930</v>
      </c>
      <c r="C11541" s="51" t="s">
        <v>73</v>
      </c>
      <c r="D11541" s="51" t="n">
        <v>0</v>
      </c>
    </row>
    <row r="11542" customFormat="false" ht="15" hidden="true" customHeight="false" outlineLevel="0" collapsed="false">
      <c r="A11542" s="51" t="s">
        <v>166</v>
      </c>
      <c r="B11542" s="55" t="n">
        <v>45930</v>
      </c>
      <c r="C11542" s="51" t="s">
        <v>73</v>
      </c>
      <c r="D11542" s="51" t="n">
        <v>0</v>
      </c>
    </row>
    <row r="11543" customFormat="false" ht="15" hidden="true" customHeight="false" outlineLevel="0" collapsed="false">
      <c r="A11543" s="51" t="s">
        <v>171</v>
      </c>
      <c r="B11543" s="55" t="n">
        <v>45930</v>
      </c>
      <c r="C11543" s="51" t="s">
        <v>73</v>
      </c>
      <c r="D11543" s="51" t="n">
        <v>0</v>
      </c>
    </row>
    <row r="11544" customFormat="false" ht="15" hidden="true" customHeight="false" outlineLevel="0" collapsed="false">
      <c r="A11544" s="51" t="s">
        <v>176</v>
      </c>
      <c r="B11544" s="55" t="n">
        <v>45930</v>
      </c>
      <c r="C11544" s="51" t="s">
        <v>73</v>
      </c>
      <c r="D11544" s="51" t="n">
        <v>0</v>
      </c>
    </row>
    <row r="11545" customFormat="false" ht="15" hidden="true" customHeight="false" outlineLevel="0" collapsed="false">
      <c r="A11545" s="51" t="s">
        <v>181</v>
      </c>
      <c r="B11545" s="55" t="n">
        <v>45930</v>
      </c>
      <c r="C11545" s="51" t="s">
        <v>73</v>
      </c>
      <c r="D11545" s="51" t="n">
        <v>0</v>
      </c>
    </row>
    <row r="11546" customFormat="false" ht="15" hidden="true" customHeight="false" outlineLevel="0" collapsed="false">
      <c r="A11546" s="51" t="s">
        <v>186</v>
      </c>
      <c r="B11546" s="55" t="n">
        <v>45930</v>
      </c>
      <c r="C11546" s="51" t="s">
        <v>73</v>
      </c>
      <c r="D11546" s="51" t="n">
        <v>0</v>
      </c>
    </row>
    <row r="11547" customFormat="false" ht="15" hidden="true" customHeight="false" outlineLevel="0" collapsed="false">
      <c r="A11547" s="51" t="s">
        <v>191</v>
      </c>
      <c r="B11547" s="55" t="n">
        <v>45930</v>
      </c>
      <c r="C11547" s="51" t="s">
        <v>73</v>
      </c>
      <c r="D11547" s="51" t="n">
        <v>0</v>
      </c>
    </row>
    <row r="11548" customFormat="false" ht="15" hidden="true" customHeight="false" outlineLevel="0" collapsed="false">
      <c r="A11548" s="51" t="s">
        <v>196</v>
      </c>
      <c r="B11548" s="55" t="n">
        <v>45930</v>
      </c>
      <c r="C11548" s="51" t="s">
        <v>73</v>
      </c>
      <c r="D11548" s="51" t="n">
        <v>0</v>
      </c>
    </row>
    <row r="11549" customFormat="false" ht="15" hidden="true" customHeight="false" outlineLevel="0" collapsed="false">
      <c r="A11549" s="51" t="s">
        <v>201</v>
      </c>
      <c r="B11549" s="55" t="n">
        <v>45930</v>
      </c>
      <c r="C11549" s="51" t="s">
        <v>73</v>
      </c>
      <c r="D11549" s="51" t="n">
        <v>0</v>
      </c>
    </row>
    <row r="11550" customFormat="false" ht="15" hidden="true" customHeight="false" outlineLevel="0" collapsed="false">
      <c r="A11550" s="51" t="s">
        <v>206</v>
      </c>
      <c r="B11550" s="55" t="n">
        <v>45930</v>
      </c>
      <c r="C11550" s="51" t="s">
        <v>73</v>
      </c>
      <c r="D11550" s="51" t="n">
        <v>0</v>
      </c>
    </row>
    <row r="11551" customFormat="false" ht="15" hidden="true" customHeight="false" outlineLevel="0" collapsed="false">
      <c r="A11551" s="51" t="s">
        <v>210</v>
      </c>
      <c r="B11551" s="55" t="n">
        <v>45930</v>
      </c>
      <c r="C11551" s="51" t="s">
        <v>73</v>
      </c>
      <c r="D11551" s="51" t="n">
        <v>0</v>
      </c>
    </row>
    <row r="11552" customFormat="false" ht="15" hidden="true" customHeight="false" outlineLevel="0" collapsed="false">
      <c r="A11552" s="51" t="s">
        <v>215</v>
      </c>
      <c r="B11552" s="55" t="n">
        <v>45930</v>
      </c>
      <c r="C11552" s="51" t="s">
        <v>73</v>
      </c>
      <c r="D11552" s="51" t="n">
        <v>0</v>
      </c>
    </row>
    <row r="11553" customFormat="false" ht="15" hidden="true" customHeight="false" outlineLevel="0" collapsed="false">
      <c r="A11553" s="51" t="s">
        <v>790</v>
      </c>
      <c r="B11553" s="55" t="n">
        <v>45930</v>
      </c>
      <c r="C11553" s="51" t="s">
        <v>73</v>
      </c>
      <c r="D11553" s="51" t="n">
        <v>0</v>
      </c>
    </row>
    <row r="11554" customFormat="false" ht="15" hidden="true" customHeight="false" outlineLevel="0" collapsed="false">
      <c r="A11554" s="51" t="s">
        <v>225</v>
      </c>
      <c r="B11554" s="55" t="n">
        <v>45930</v>
      </c>
      <c r="C11554" s="51" t="s">
        <v>73</v>
      </c>
      <c r="D11554" s="51" t="n">
        <v>0</v>
      </c>
    </row>
    <row r="11555" customFormat="false" ht="15" hidden="true" customHeight="false" outlineLevel="0" collapsed="false">
      <c r="A11555" s="51" t="s">
        <v>230</v>
      </c>
      <c r="B11555" s="55" t="n">
        <v>45930</v>
      </c>
      <c r="C11555" s="51" t="s">
        <v>73</v>
      </c>
      <c r="D11555" s="51" t="n">
        <v>0</v>
      </c>
    </row>
    <row r="11556" customFormat="false" ht="15" hidden="true" customHeight="false" outlineLevel="0" collapsed="false">
      <c r="A11556" s="51" t="s">
        <v>235</v>
      </c>
      <c r="B11556" s="55" t="n">
        <v>45930</v>
      </c>
      <c r="C11556" s="51" t="s">
        <v>73</v>
      </c>
      <c r="D11556" s="51" t="n">
        <v>0</v>
      </c>
    </row>
    <row r="11557" customFormat="false" ht="15" hidden="true" customHeight="false" outlineLevel="0" collapsed="false">
      <c r="A11557" s="51" t="s">
        <v>240</v>
      </c>
      <c r="B11557" s="55" t="n">
        <v>45930</v>
      </c>
      <c r="C11557" s="51" t="s">
        <v>73</v>
      </c>
      <c r="D11557" s="51" t="n">
        <v>0</v>
      </c>
    </row>
    <row r="11558" customFormat="false" ht="15" hidden="true" customHeight="false" outlineLevel="0" collapsed="false">
      <c r="A11558" s="51" t="s">
        <v>246</v>
      </c>
      <c r="B11558" s="55" t="n">
        <v>45930</v>
      </c>
      <c r="C11558" s="51" t="s">
        <v>73</v>
      </c>
      <c r="D11558" s="51" t="n">
        <v>0</v>
      </c>
    </row>
    <row r="11559" customFormat="false" ht="15" hidden="true" customHeight="false" outlineLevel="0" collapsed="false">
      <c r="A11559" s="51" t="s">
        <v>252</v>
      </c>
      <c r="B11559" s="55" t="n">
        <v>45930</v>
      </c>
      <c r="C11559" s="51" t="s">
        <v>73</v>
      </c>
      <c r="D11559" s="51" t="n">
        <v>0</v>
      </c>
    </row>
    <row r="11560" customFormat="false" ht="15" hidden="true" customHeight="false" outlineLevel="0" collapsed="false">
      <c r="A11560" s="51" t="s">
        <v>257</v>
      </c>
      <c r="B11560" s="55" t="n">
        <v>45930</v>
      </c>
      <c r="C11560" s="51" t="s">
        <v>73</v>
      </c>
      <c r="D11560" s="51" t="n">
        <v>0</v>
      </c>
    </row>
    <row r="11561" customFormat="false" ht="15" hidden="true" customHeight="false" outlineLevel="0" collapsed="false">
      <c r="A11561" s="51" t="s">
        <v>262</v>
      </c>
      <c r="B11561" s="55" t="n">
        <v>45930</v>
      </c>
      <c r="C11561" s="51" t="s">
        <v>73</v>
      </c>
      <c r="D11561" s="51" t="n">
        <v>0</v>
      </c>
    </row>
    <row r="11562" customFormat="false" ht="15" hidden="true" customHeight="false" outlineLevel="0" collapsed="false">
      <c r="A11562" s="51" t="s">
        <v>267</v>
      </c>
      <c r="B11562" s="55" t="n">
        <v>45930</v>
      </c>
      <c r="C11562" s="51" t="s">
        <v>73</v>
      </c>
      <c r="D11562" s="51" t="n">
        <v>0</v>
      </c>
    </row>
    <row r="11563" customFormat="false" ht="15" hidden="true" customHeight="false" outlineLevel="0" collapsed="false">
      <c r="A11563" s="51" t="s">
        <v>272</v>
      </c>
      <c r="B11563" s="55" t="n">
        <v>45930</v>
      </c>
      <c r="C11563" s="51" t="s">
        <v>73</v>
      </c>
      <c r="D11563" s="51" t="n">
        <v>0</v>
      </c>
    </row>
    <row r="11564" customFormat="false" ht="15" hidden="true" customHeight="false" outlineLevel="0" collapsed="false">
      <c r="A11564" s="51" t="s">
        <v>277</v>
      </c>
      <c r="B11564" s="55" t="n">
        <v>45930</v>
      </c>
      <c r="C11564" s="51" t="s">
        <v>73</v>
      </c>
      <c r="D11564" s="51" t="n">
        <v>0</v>
      </c>
    </row>
    <row r="11565" customFormat="false" ht="15" hidden="true" customHeight="false" outlineLevel="0" collapsed="false">
      <c r="A11565" s="51" t="s">
        <v>282</v>
      </c>
      <c r="B11565" s="55" t="n">
        <v>45930</v>
      </c>
      <c r="C11565" s="51" t="s">
        <v>73</v>
      </c>
      <c r="D11565" s="51" t="n">
        <v>0</v>
      </c>
    </row>
    <row r="11566" customFormat="false" ht="15" hidden="true" customHeight="false" outlineLevel="0" collapsed="false">
      <c r="A11566" s="51" t="s">
        <v>287</v>
      </c>
      <c r="B11566" s="55" t="n">
        <v>45930</v>
      </c>
      <c r="C11566" s="51" t="s">
        <v>73</v>
      </c>
      <c r="D11566" s="51" t="n">
        <v>0</v>
      </c>
    </row>
    <row r="11567" customFormat="false" ht="15" hidden="true" customHeight="false" outlineLevel="0" collapsed="false">
      <c r="A11567" s="51" t="s">
        <v>292</v>
      </c>
      <c r="B11567" s="55" t="n">
        <v>45930</v>
      </c>
      <c r="C11567" s="51" t="s">
        <v>73</v>
      </c>
      <c r="D11567" s="51" t="n">
        <v>0</v>
      </c>
    </row>
    <row r="11568" customFormat="false" ht="15" hidden="true" customHeight="false" outlineLevel="0" collapsed="false">
      <c r="A11568" s="51" t="s">
        <v>297</v>
      </c>
      <c r="B11568" s="55" t="n">
        <v>45930</v>
      </c>
      <c r="C11568" s="51" t="s">
        <v>73</v>
      </c>
      <c r="D11568" s="51" t="n">
        <v>0</v>
      </c>
    </row>
    <row r="11569" customFormat="false" ht="15" hidden="true" customHeight="false" outlineLevel="0" collapsed="false">
      <c r="A11569" s="51" t="s">
        <v>302</v>
      </c>
      <c r="B11569" s="55" t="n">
        <v>45930</v>
      </c>
      <c r="C11569" s="51" t="s">
        <v>73</v>
      </c>
      <c r="D11569" s="51" t="n">
        <v>0</v>
      </c>
    </row>
    <row r="11570" customFormat="false" ht="15" hidden="true" customHeight="false" outlineLevel="0" collapsed="false">
      <c r="A11570" s="51" t="s">
        <v>307</v>
      </c>
      <c r="B11570" s="55" t="n">
        <v>45930</v>
      </c>
      <c r="C11570" s="51" t="s">
        <v>73</v>
      </c>
      <c r="D11570" s="51" t="n">
        <v>0</v>
      </c>
    </row>
    <row r="11571" customFormat="false" ht="15" hidden="true" customHeight="false" outlineLevel="0" collapsed="false">
      <c r="A11571" s="51" t="s">
        <v>311</v>
      </c>
      <c r="B11571" s="55" t="n">
        <v>45930</v>
      </c>
      <c r="C11571" s="51" t="s">
        <v>73</v>
      </c>
      <c r="D11571" s="51" t="n">
        <v>0</v>
      </c>
    </row>
    <row r="11572" customFormat="false" ht="15" hidden="true" customHeight="false" outlineLevel="0" collapsed="false">
      <c r="A11572" s="51" t="s">
        <v>317</v>
      </c>
      <c r="B11572" s="55" t="n">
        <v>45930</v>
      </c>
      <c r="C11572" s="51" t="s">
        <v>73</v>
      </c>
      <c r="D11572" s="51" t="n">
        <v>0</v>
      </c>
    </row>
    <row r="11573" customFormat="false" ht="15" hidden="true" customHeight="false" outlineLevel="0" collapsed="false">
      <c r="A11573" s="51" t="s">
        <v>322</v>
      </c>
      <c r="B11573" s="55" t="n">
        <v>45930</v>
      </c>
      <c r="C11573" s="51" t="s">
        <v>73</v>
      </c>
      <c r="D11573" s="51" t="n">
        <v>0</v>
      </c>
    </row>
    <row r="11574" customFormat="false" ht="15" hidden="true" customHeight="false" outlineLevel="0" collapsed="false">
      <c r="A11574" s="51" t="s">
        <v>327</v>
      </c>
      <c r="B11574" s="55" t="n">
        <v>45930</v>
      </c>
      <c r="C11574" s="51" t="s">
        <v>73</v>
      </c>
      <c r="D11574" s="51" t="n">
        <v>0</v>
      </c>
    </row>
    <row r="11575" customFormat="false" ht="15" hidden="true" customHeight="false" outlineLevel="0" collapsed="false">
      <c r="A11575" s="51" t="s">
        <v>332</v>
      </c>
      <c r="B11575" s="55" t="n">
        <v>45930</v>
      </c>
      <c r="C11575" s="51" t="s">
        <v>73</v>
      </c>
      <c r="D11575" s="51" t="n">
        <v>0</v>
      </c>
    </row>
    <row r="11576" customFormat="false" ht="15" hidden="true" customHeight="false" outlineLevel="0" collapsed="false">
      <c r="A11576" s="51" t="s">
        <v>339</v>
      </c>
      <c r="B11576" s="55" t="n">
        <v>45930</v>
      </c>
      <c r="C11576" s="51" t="s">
        <v>73</v>
      </c>
      <c r="D11576" s="51" t="n">
        <v>0</v>
      </c>
    </row>
    <row r="11577" customFormat="false" ht="15" hidden="true" customHeight="false" outlineLevel="0" collapsed="false">
      <c r="A11577" s="51" t="s">
        <v>344</v>
      </c>
      <c r="B11577" s="55" t="n">
        <v>45930</v>
      </c>
      <c r="C11577" s="51" t="s">
        <v>73</v>
      </c>
      <c r="D11577" s="51" t="n">
        <v>0</v>
      </c>
    </row>
    <row r="11578" customFormat="false" ht="15" hidden="true" customHeight="false" outlineLevel="0" collapsed="false">
      <c r="A11578" s="51" t="s">
        <v>349</v>
      </c>
      <c r="B11578" s="55" t="n">
        <v>45930</v>
      </c>
      <c r="C11578" s="51" t="s">
        <v>73</v>
      </c>
      <c r="D11578" s="51" t="n">
        <v>0</v>
      </c>
    </row>
    <row r="11579" customFormat="false" ht="15" hidden="true" customHeight="false" outlineLevel="0" collapsed="false">
      <c r="A11579" s="51" t="s">
        <v>354</v>
      </c>
      <c r="B11579" s="55" t="n">
        <v>45930</v>
      </c>
      <c r="C11579" s="51" t="s">
        <v>73</v>
      </c>
      <c r="D11579" s="51" t="n">
        <v>0</v>
      </c>
    </row>
    <row r="11580" customFormat="false" ht="15" hidden="true" customHeight="false" outlineLevel="0" collapsed="false">
      <c r="A11580" s="51" t="s">
        <v>359</v>
      </c>
      <c r="B11580" s="55" t="n">
        <v>45930</v>
      </c>
      <c r="C11580" s="51" t="s">
        <v>73</v>
      </c>
      <c r="D11580" s="51" t="n">
        <v>0</v>
      </c>
    </row>
    <row r="11581" customFormat="false" ht="15" hidden="true" customHeight="false" outlineLevel="0" collapsed="false">
      <c r="A11581" s="51" t="s">
        <v>364</v>
      </c>
      <c r="B11581" s="55" t="n">
        <v>45930</v>
      </c>
      <c r="C11581" s="51" t="s">
        <v>73</v>
      </c>
      <c r="D11581" s="51" t="n">
        <v>0</v>
      </c>
    </row>
    <row r="11582" customFormat="false" ht="15" hidden="true" customHeight="false" outlineLevel="0" collapsed="false">
      <c r="A11582" s="51" t="s">
        <v>369</v>
      </c>
      <c r="B11582" s="55" t="n">
        <v>45930</v>
      </c>
      <c r="C11582" s="51" t="s">
        <v>73</v>
      </c>
      <c r="D11582" s="51" t="n">
        <v>0</v>
      </c>
    </row>
    <row r="11583" customFormat="false" ht="15" hidden="true" customHeight="false" outlineLevel="0" collapsed="false">
      <c r="A11583" s="51" t="s">
        <v>374</v>
      </c>
      <c r="B11583" s="55" t="n">
        <v>45930</v>
      </c>
      <c r="C11583" s="51" t="s">
        <v>73</v>
      </c>
      <c r="D11583" s="51" t="n">
        <v>0</v>
      </c>
    </row>
    <row r="11584" customFormat="false" ht="15" hidden="true" customHeight="false" outlineLevel="0" collapsed="false">
      <c r="A11584" s="51" t="s">
        <v>379</v>
      </c>
      <c r="B11584" s="55" t="n">
        <v>45930</v>
      </c>
      <c r="C11584" s="51" t="s">
        <v>73</v>
      </c>
      <c r="D11584" s="51" t="n">
        <v>0</v>
      </c>
    </row>
    <row r="11585" customFormat="false" ht="15" hidden="true" customHeight="false" outlineLevel="0" collapsed="false">
      <c r="A11585" s="51" t="s">
        <v>384</v>
      </c>
      <c r="B11585" s="55" t="n">
        <v>45930</v>
      </c>
      <c r="C11585" s="51" t="s">
        <v>73</v>
      </c>
      <c r="D11585" s="51" t="n">
        <v>0</v>
      </c>
    </row>
    <row r="11586" customFormat="false" ht="15" hidden="true" customHeight="false" outlineLevel="0" collapsed="false">
      <c r="A11586" s="51" t="s">
        <v>389</v>
      </c>
      <c r="B11586" s="55" t="n">
        <v>45930</v>
      </c>
      <c r="C11586" s="51" t="s">
        <v>73</v>
      </c>
      <c r="D11586" s="51" t="n">
        <v>0</v>
      </c>
    </row>
    <row r="11587" customFormat="false" ht="15" hidden="true" customHeight="false" outlineLevel="0" collapsed="false">
      <c r="A11587" s="51" t="s">
        <v>394</v>
      </c>
      <c r="B11587" s="55" t="n">
        <v>45930</v>
      </c>
      <c r="C11587" s="51" t="s">
        <v>73</v>
      </c>
      <c r="D11587" s="51" t="n">
        <v>0</v>
      </c>
    </row>
    <row r="11588" customFormat="false" ht="15" hidden="true" customHeight="false" outlineLevel="0" collapsed="false">
      <c r="A11588" s="51" t="s">
        <v>399</v>
      </c>
      <c r="B11588" s="55" t="n">
        <v>45930</v>
      </c>
      <c r="C11588" s="51" t="s">
        <v>73</v>
      </c>
      <c r="D11588" s="51" t="n">
        <v>0</v>
      </c>
    </row>
    <row r="11589" customFormat="false" ht="15" hidden="true" customHeight="false" outlineLevel="0" collapsed="false">
      <c r="A11589" s="51" t="s">
        <v>404</v>
      </c>
      <c r="B11589" s="55" t="n">
        <v>45930</v>
      </c>
      <c r="C11589" s="51" t="s">
        <v>73</v>
      </c>
      <c r="D11589" s="51" t="n">
        <v>0</v>
      </c>
    </row>
    <row r="11590" customFormat="false" ht="15" hidden="true" customHeight="false" outlineLevel="0" collapsed="false">
      <c r="A11590" s="51" t="s">
        <v>409</v>
      </c>
      <c r="B11590" s="55" t="n">
        <v>45930</v>
      </c>
      <c r="C11590" s="51" t="s">
        <v>73</v>
      </c>
      <c r="D11590" s="51" t="n">
        <v>0</v>
      </c>
    </row>
    <row r="11591" customFormat="false" ht="15" hidden="true" customHeight="false" outlineLevel="0" collapsed="false">
      <c r="A11591" s="51" t="s">
        <v>414</v>
      </c>
      <c r="B11591" s="55" t="n">
        <v>45930</v>
      </c>
      <c r="C11591" s="51" t="s">
        <v>73</v>
      </c>
      <c r="D11591" s="51" t="n">
        <v>0</v>
      </c>
    </row>
    <row r="11592" customFormat="false" ht="15" hidden="true" customHeight="false" outlineLevel="0" collapsed="false">
      <c r="A11592" s="51" t="s">
        <v>419</v>
      </c>
      <c r="B11592" s="55" t="n">
        <v>45930</v>
      </c>
      <c r="C11592" s="51" t="s">
        <v>73</v>
      </c>
      <c r="D11592" s="51" t="n">
        <v>0</v>
      </c>
    </row>
    <row r="11593" customFormat="false" ht="15" hidden="true" customHeight="false" outlineLevel="0" collapsed="false">
      <c r="A11593" s="51" t="s">
        <v>424</v>
      </c>
      <c r="B11593" s="55" t="n">
        <v>45930</v>
      </c>
      <c r="C11593" s="51" t="s">
        <v>73</v>
      </c>
      <c r="D11593" s="51" t="n">
        <v>0</v>
      </c>
    </row>
    <row r="11594" customFormat="false" ht="15" hidden="true" customHeight="false" outlineLevel="0" collapsed="false">
      <c r="A11594" s="51" t="s">
        <v>429</v>
      </c>
      <c r="B11594" s="55" t="n">
        <v>45930</v>
      </c>
      <c r="C11594" s="51" t="s">
        <v>73</v>
      </c>
      <c r="D11594" s="51" t="n">
        <v>0</v>
      </c>
    </row>
    <row r="11595" customFormat="false" ht="15" hidden="true" customHeight="false" outlineLevel="0" collapsed="false">
      <c r="A11595" s="51" t="s">
        <v>434</v>
      </c>
      <c r="B11595" s="55" t="n">
        <v>45930</v>
      </c>
      <c r="C11595" s="51" t="s">
        <v>73</v>
      </c>
      <c r="D11595" s="51" t="n">
        <v>0</v>
      </c>
    </row>
    <row r="11596" customFormat="false" ht="15" hidden="true" customHeight="false" outlineLevel="0" collapsed="false">
      <c r="A11596" s="51" t="s">
        <v>438</v>
      </c>
      <c r="B11596" s="55" t="n">
        <v>45930</v>
      </c>
      <c r="C11596" s="51" t="s">
        <v>73</v>
      </c>
      <c r="D11596" s="51" t="n">
        <v>0</v>
      </c>
    </row>
    <row r="11597" customFormat="false" ht="15" hidden="true" customHeight="false" outlineLevel="0" collapsed="false">
      <c r="A11597" s="51" t="s">
        <v>443</v>
      </c>
      <c r="B11597" s="55" t="n">
        <v>45930</v>
      </c>
      <c r="C11597" s="51" t="s">
        <v>73</v>
      </c>
      <c r="D11597" s="51" t="n">
        <v>0</v>
      </c>
    </row>
    <row r="11598" customFormat="false" ht="15" hidden="true" customHeight="false" outlineLevel="0" collapsed="false">
      <c r="A11598" s="51" t="s">
        <v>448</v>
      </c>
      <c r="B11598" s="55" t="n">
        <v>45930</v>
      </c>
      <c r="C11598" s="51" t="s">
        <v>73</v>
      </c>
      <c r="D11598" s="51" t="n">
        <v>0</v>
      </c>
    </row>
    <row r="11599" customFormat="false" ht="15" hidden="true" customHeight="false" outlineLevel="0" collapsed="false">
      <c r="A11599" s="51" t="s">
        <v>453</v>
      </c>
      <c r="B11599" s="55" t="n">
        <v>45930</v>
      </c>
      <c r="C11599" s="51" t="s">
        <v>73</v>
      </c>
      <c r="D11599" s="51" t="n">
        <v>0</v>
      </c>
    </row>
    <row r="11600" customFormat="false" ht="15" hidden="true" customHeight="false" outlineLevel="0" collapsed="false">
      <c r="A11600" s="51" t="s">
        <v>458</v>
      </c>
      <c r="B11600" s="55" t="n">
        <v>45930</v>
      </c>
      <c r="C11600" s="51" t="s">
        <v>73</v>
      </c>
      <c r="D11600" s="51" t="n">
        <v>600000</v>
      </c>
    </row>
    <row r="11601" customFormat="false" ht="15" hidden="true" customHeight="false" outlineLevel="0" collapsed="false">
      <c r="A11601" s="51" t="s">
        <v>473</v>
      </c>
      <c r="B11601" s="55" t="n">
        <v>45930</v>
      </c>
      <c r="C11601" s="51" t="s">
        <v>73</v>
      </c>
      <c r="D11601" s="51" t="n">
        <v>0</v>
      </c>
    </row>
    <row r="11602" customFormat="false" ht="15" hidden="true" customHeight="false" outlineLevel="0" collapsed="false">
      <c r="A11602" s="51" t="s">
        <v>479</v>
      </c>
      <c r="B11602" s="55" t="n">
        <v>45930</v>
      </c>
      <c r="C11602" s="51" t="s">
        <v>73</v>
      </c>
      <c r="D11602" s="51" t="n">
        <v>0</v>
      </c>
    </row>
    <row r="11603" customFormat="false" ht="15" hidden="true" customHeight="false" outlineLevel="0" collapsed="false">
      <c r="A11603" s="51" t="s">
        <v>484</v>
      </c>
      <c r="B11603" s="55" t="n">
        <v>45930</v>
      </c>
      <c r="C11603" s="51" t="s">
        <v>73</v>
      </c>
      <c r="D11603" s="51" t="n">
        <v>0</v>
      </c>
    </row>
    <row r="11604" customFormat="false" ht="15" hidden="true" customHeight="false" outlineLevel="0" collapsed="false">
      <c r="A11604" s="51" t="s">
        <v>489</v>
      </c>
      <c r="B11604" s="55" t="n">
        <v>45930</v>
      </c>
      <c r="C11604" s="51" t="s">
        <v>73</v>
      </c>
      <c r="D11604" s="51" t="n">
        <v>0</v>
      </c>
    </row>
    <row r="11605" customFormat="false" ht="15" hidden="true" customHeight="false" outlineLevel="0" collapsed="false">
      <c r="A11605" s="51" t="s">
        <v>494</v>
      </c>
      <c r="B11605" s="55" t="n">
        <v>45930</v>
      </c>
      <c r="C11605" s="51" t="s">
        <v>73</v>
      </c>
      <c r="D11605" s="51" t="n">
        <v>0</v>
      </c>
    </row>
    <row r="11606" customFormat="false" ht="15" hidden="true" customHeight="false" outlineLevel="0" collapsed="false">
      <c r="A11606" s="51" t="s">
        <v>499</v>
      </c>
      <c r="B11606" s="55" t="n">
        <v>45930</v>
      </c>
      <c r="C11606" s="51" t="s">
        <v>73</v>
      </c>
      <c r="D11606" s="51" t="n">
        <v>0</v>
      </c>
    </row>
    <row r="11607" customFormat="false" ht="15" hidden="true" customHeight="false" outlineLevel="0" collapsed="false">
      <c r="A11607" s="51" t="s">
        <v>504</v>
      </c>
      <c r="B11607" s="55" t="n">
        <v>45930</v>
      </c>
      <c r="C11607" s="51" t="s">
        <v>73</v>
      </c>
      <c r="D11607" s="51" t="n">
        <v>0</v>
      </c>
    </row>
    <row r="11608" customFormat="false" ht="15" hidden="true" customHeight="false" outlineLevel="0" collapsed="false">
      <c r="A11608" s="51" t="s">
        <v>509</v>
      </c>
      <c r="B11608" s="55" t="n">
        <v>45930</v>
      </c>
      <c r="C11608" s="51" t="s">
        <v>73</v>
      </c>
      <c r="D11608" s="51" t="n">
        <v>0</v>
      </c>
    </row>
    <row r="11609" customFormat="false" ht="15" hidden="true" customHeight="false" outlineLevel="0" collapsed="false">
      <c r="A11609" s="51" t="s">
        <v>515</v>
      </c>
      <c r="B11609" s="55" t="n">
        <v>45930</v>
      </c>
      <c r="C11609" s="51" t="s">
        <v>73</v>
      </c>
      <c r="D11609" s="51" t="n">
        <v>0</v>
      </c>
    </row>
    <row r="11610" customFormat="false" ht="15" hidden="true" customHeight="false" outlineLevel="0" collapsed="false">
      <c r="A11610" s="51" t="s">
        <v>520</v>
      </c>
      <c r="B11610" s="55" t="n">
        <v>45930</v>
      </c>
      <c r="C11610" s="51" t="s">
        <v>73</v>
      </c>
      <c r="D11610" s="51" t="n">
        <v>0</v>
      </c>
    </row>
    <row r="11611" customFormat="false" ht="15" hidden="true" customHeight="false" outlineLevel="0" collapsed="false">
      <c r="A11611" s="51" t="s">
        <v>525</v>
      </c>
      <c r="B11611" s="55" t="n">
        <v>45930</v>
      </c>
      <c r="C11611" s="51" t="s">
        <v>73</v>
      </c>
      <c r="D11611" s="51" t="n">
        <v>0</v>
      </c>
    </row>
    <row r="11612" customFormat="false" ht="15" hidden="true" customHeight="false" outlineLevel="0" collapsed="false">
      <c r="A11612" s="51" t="s">
        <v>531</v>
      </c>
      <c r="B11612" s="55" t="n">
        <v>45930</v>
      </c>
      <c r="C11612" s="51" t="s">
        <v>73</v>
      </c>
      <c r="D11612" s="51" t="n">
        <v>0</v>
      </c>
    </row>
    <row r="11613" customFormat="false" ht="15" hidden="true" customHeight="false" outlineLevel="0" collapsed="false">
      <c r="A11613" s="51" t="s">
        <v>536</v>
      </c>
      <c r="B11613" s="55" t="n">
        <v>45930</v>
      </c>
      <c r="C11613" s="51" t="s">
        <v>73</v>
      </c>
      <c r="D11613" s="51" t="n">
        <v>0</v>
      </c>
    </row>
    <row r="11614" customFormat="false" ht="15" hidden="true" customHeight="false" outlineLevel="0" collapsed="false">
      <c r="A11614" s="51" t="s">
        <v>541</v>
      </c>
      <c r="B11614" s="55" t="n">
        <v>45930</v>
      </c>
      <c r="C11614" s="51" t="s">
        <v>73</v>
      </c>
      <c r="D11614" s="51" t="n">
        <v>0</v>
      </c>
    </row>
    <row r="11615" customFormat="false" ht="15" hidden="true" customHeight="false" outlineLevel="0" collapsed="false">
      <c r="A11615" s="51" t="s">
        <v>549</v>
      </c>
      <c r="B11615" s="55" t="n">
        <v>45930</v>
      </c>
      <c r="C11615" s="51" t="s">
        <v>73</v>
      </c>
      <c r="D11615" s="51" t="n">
        <v>0</v>
      </c>
    </row>
    <row r="11616" customFormat="false" ht="15" hidden="true" customHeight="false" outlineLevel="0" collapsed="false">
      <c r="A11616" s="51" t="s">
        <v>554</v>
      </c>
      <c r="B11616" s="55" t="n">
        <v>45930</v>
      </c>
      <c r="C11616" s="51" t="s">
        <v>73</v>
      </c>
      <c r="D11616" s="51" t="n">
        <v>0</v>
      </c>
    </row>
    <row r="11617" customFormat="false" ht="15" hidden="true" customHeight="false" outlineLevel="0" collapsed="false">
      <c r="A11617" s="51" t="s">
        <v>559</v>
      </c>
      <c r="B11617" s="55" t="n">
        <v>45930</v>
      </c>
      <c r="C11617" s="51" t="s">
        <v>73</v>
      </c>
      <c r="D11617" s="51" t="n">
        <v>0</v>
      </c>
    </row>
    <row r="11618" customFormat="false" ht="15" hidden="true" customHeight="false" outlineLevel="0" collapsed="false">
      <c r="A11618" s="51" t="s">
        <v>564</v>
      </c>
      <c r="B11618" s="55" t="n">
        <v>45930</v>
      </c>
      <c r="C11618" s="51" t="s">
        <v>73</v>
      </c>
      <c r="D11618" s="51" t="n">
        <v>0</v>
      </c>
    </row>
    <row r="11619" customFormat="false" ht="15" hidden="true" customHeight="false" outlineLevel="0" collapsed="false">
      <c r="A11619" s="51" t="s">
        <v>569</v>
      </c>
      <c r="B11619" s="55" t="n">
        <v>45930</v>
      </c>
      <c r="C11619" s="51" t="s">
        <v>73</v>
      </c>
      <c r="D11619" s="51" t="n">
        <v>100000</v>
      </c>
    </row>
    <row r="11620" customFormat="false" ht="15" hidden="true" customHeight="false" outlineLevel="0" collapsed="false">
      <c r="A11620" s="51" t="s">
        <v>574</v>
      </c>
      <c r="B11620" s="55" t="n">
        <v>45930</v>
      </c>
      <c r="C11620" s="51" t="s">
        <v>73</v>
      </c>
      <c r="D11620" s="51" t="n">
        <v>0</v>
      </c>
    </row>
    <row r="11621" customFormat="false" ht="15" hidden="true" customHeight="false" outlineLevel="0" collapsed="false">
      <c r="A11621" s="51" t="s">
        <v>579</v>
      </c>
      <c r="B11621" s="55" t="n">
        <v>45930</v>
      </c>
      <c r="C11621" s="51" t="s">
        <v>73</v>
      </c>
      <c r="D11621" s="51" t="n">
        <v>0</v>
      </c>
    </row>
    <row r="11622" customFormat="false" ht="15" hidden="true" customHeight="false" outlineLevel="0" collapsed="false">
      <c r="A11622" s="51" t="s">
        <v>584</v>
      </c>
      <c r="B11622" s="55" t="n">
        <v>45930</v>
      </c>
      <c r="C11622" s="51" t="s">
        <v>73</v>
      </c>
      <c r="D11622" s="51" t="n">
        <v>0</v>
      </c>
    </row>
    <row r="11623" customFormat="false" ht="15" hidden="true" customHeight="false" outlineLevel="0" collapsed="false">
      <c r="A11623" s="51" t="s">
        <v>589</v>
      </c>
      <c r="B11623" s="55" t="n">
        <v>45930</v>
      </c>
      <c r="C11623" s="51" t="s">
        <v>73</v>
      </c>
      <c r="D11623" s="51" t="n">
        <v>0</v>
      </c>
    </row>
    <row r="11624" customFormat="false" ht="15" hidden="true" customHeight="false" outlineLevel="0" collapsed="false">
      <c r="A11624" s="51" t="s">
        <v>756</v>
      </c>
      <c r="B11624" s="55" t="n">
        <v>45930</v>
      </c>
      <c r="C11624" s="51" t="s">
        <v>73</v>
      </c>
      <c r="D11624" s="51" t="n">
        <v>0</v>
      </c>
    </row>
    <row r="11625" customFormat="false" ht="15" hidden="true" customHeight="false" outlineLevel="0" collapsed="false">
      <c r="A11625" s="51" t="s">
        <v>594</v>
      </c>
      <c r="B11625" s="55" t="n">
        <v>45930</v>
      </c>
      <c r="C11625" s="51" t="s">
        <v>73</v>
      </c>
      <c r="D11625" s="51" t="n">
        <v>0</v>
      </c>
    </row>
    <row r="11626" customFormat="false" ht="15" hidden="true" customHeight="false" outlineLevel="0" collapsed="false">
      <c r="A11626" s="51" t="s">
        <v>761</v>
      </c>
      <c r="B11626" s="55" t="n">
        <v>45930</v>
      </c>
      <c r="C11626" s="51" t="s">
        <v>73</v>
      </c>
      <c r="D11626" s="51" t="n">
        <v>0</v>
      </c>
    </row>
    <row r="11627" customFormat="false" ht="15" hidden="true" customHeight="false" outlineLevel="0" collapsed="false">
      <c r="A11627" s="51" t="s">
        <v>599</v>
      </c>
      <c r="B11627" s="55" t="n">
        <v>45930</v>
      </c>
      <c r="C11627" s="51" t="s">
        <v>73</v>
      </c>
      <c r="D11627" s="51" t="n">
        <v>0</v>
      </c>
    </row>
    <row r="11628" customFormat="false" ht="15" hidden="true" customHeight="false" outlineLevel="0" collapsed="false">
      <c r="A11628" s="51" t="s">
        <v>604</v>
      </c>
      <c r="B11628" s="55" t="n">
        <v>45930</v>
      </c>
      <c r="C11628" s="51" t="s">
        <v>73</v>
      </c>
      <c r="D11628" s="51" t="n">
        <v>930000</v>
      </c>
    </row>
    <row r="11629" customFormat="false" ht="15" hidden="true" customHeight="false" outlineLevel="0" collapsed="false">
      <c r="A11629" s="51" t="s">
        <v>609</v>
      </c>
      <c r="B11629" s="55" t="n">
        <v>45930</v>
      </c>
      <c r="C11629" s="51" t="s">
        <v>73</v>
      </c>
      <c r="D11629" s="51" t="n">
        <v>0</v>
      </c>
    </row>
    <row r="11630" customFormat="false" ht="15" hidden="true" customHeight="false" outlineLevel="0" collapsed="false">
      <c r="A11630" s="51" t="s">
        <v>614</v>
      </c>
      <c r="B11630" s="55" t="n">
        <v>45930</v>
      </c>
      <c r="C11630" s="51" t="s">
        <v>73</v>
      </c>
      <c r="D11630" s="51" t="n">
        <v>0</v>
      </c>
    </row>
    <row r="11631" customFormat="false" ht="15" hidden="true" customHeight="false" outlineLevel="0" collapsed="false">
      <c r="A11631" s="51" t="s">
        <v>619</v>
      </c>
      <c r="B11631" s="55" t="n">
        <v>45930</v>
      </c>
      <c r="C11631" s="51" t="s">
        <v>73</v>
      </c>
      <c r="D11631" s="51" t="n">
        <v>0</v>
      </c>
    </row>
    <row r="11632" customFormat="false" ht="15" hidden="true" customHeight="false" outlineLevel="0" collapsed="false">
      <c r="A11632" s="51" t="s">
        <v>624</v>
      </c>
      <c r="B11632" s="55" t="n">
        <v>45930</v>
      </c>
      <c r="C11632" s="51" t="s">
        <v>73</v>
      </c>
      <c r="D11632" s="51" t="n">
        <v>175000</v>
      </c>
    </row>
    <row r="11633" customFormat="false" ht="15" hidden="true" customHeight="false" outlineLevel="0" collapsed="false">
      <c r="A11633" s="51" t="s">
        <v>629</v>
      </c>
      <c r="B11633" s="55" t="n">
        <v>45930</v>
      </c>
      <c r="C11633" s="51" t="s">
        <v>73</v>
      </c>
      <c r="D11633" s="51" t="n">
        <v>93750</v>
      </c>
    </row>
    <row r="11634" customFormat="false" ht="15" hidden="true" customHeight="false" outlineLevel="0" collapsed="false">
      <c r="A11634" s="51" t="s">
        <v>633</v>
      </c>
      <c r="B11634" s="55" t="n">
        <v>45930</v>
      </c>
      <c r="C11634" s="51" t="s">
        <v>73</v>
      </c>
      <c r="D11634" s="51" t="n">
        <v>400000</v>
      </c>
    </row>
    <row r="11635" customFormat="false" ht="15" hidden="true" customHeight="false" outlineLevel="0" collapsed="false">
      <c r="A11635" s="51" t="s">
        <v>638</v>
      </c>
      <c r="B11635" s="55" t="n">
        <v>45930</v>
      </c>
      <c r="C11635" s="51" t="s">
        <v>73</v>
      </c>
      <c r="D11635" s="51" t="n">
        <v>250000</v>
      </c>
    </row>
    <row r="11636" customFormat="false" ht="15" hidden="true" customHeight="false" outlineLevel="0" collapsed="false">
      <c r="A11636" s="51" t="s">
        <v>642</v>
      </c>
      <c r="B11636" s="55" t="n">
        <v>45930</v>
      </c>
      <c r="C11636" s="51" t="s">
        <v>73</v>
      </c>
      <c r="D11636" s="51" t="n">
        <v>1200000</v>
      </c>
    </row>
    <row r="11637" customFormat="false" ht="15" hidden="true" customHeight="false" outlineLevel="0" collapsed="false">
      <c r="A11637" s="51" t="s">
        <v>646</v>
      </c>
      <c r="B11637" s="55" t="n">
        <v>45930</v>
      </c>
      <c r="C11637" s="51" t="s">
        <v>73</v>
      </c>
      <c r="D11637" s="51" t="n">
        <v>75000</v>
      </c>
    </row>
    <row r="11638" customFormat="false" ht="15" hidden="true" customHeight="false" outlineLevel="0" collapsed="false">
      <c r="A11638" s="51" t="s">
        <v>651</v>
      </c>
      <c r="B11638" s="55" t="n">
        <v>45930</v>
      </c>
      <c r="C11638" s="51" t="s">
        <v>73</v>
      </c>
      <c r="D11638" s="51" t="n">
        <v>250000</v>
      </c>
    </row>
    <row r="11639" customFormat="false" ht="15" hidden="true" customHeight="false" outlineLevel="0" collapsed="false">
      <c r="A11639" s="51" t="s">
        <v>656</v>
      </c>
      <c r="B11639" s="55" t="n">
        <v>45930</v>
      </c>
      <c r="C11639" s="51" t="s">
        <v>73</v>
      </c>
      <c r="D11639" s="51" t="n">
        <v>263736</v>
      </c>
    </row>
    <row r="11640" customFormat="false" ht="15" hidden="true" customHeight="false" outlineLevel="0" collapsed="false">
      <c r="A11640" s="51" t="s">
        <v>661</v>
      </c>
      <c r="B11640" s="55" t="n">
        <v>45930</v>
      </c>
      <c r="C11640" s="51" t="s">
        <v>73</v>
      </c>
      <c r="D11640" s="51" t="n">
        <v>201000.45</v>
      </c>
    </row>
    <row r="11641" customFormat="false" ht="15" hidden="true" customHeight="false" outlineLevel="0" collapsed="false">
      <c r="A11641" s="51" t="s">
        <v>666</v>
      </c>
      <c r="B11641" s="55" t="n">
        <v>45930</v>
      </c>
      <c r="C11641" s="51" t="s">
        <v>73</v>
      </c>
      <c r="D11641" s="51" t="n">
        <v>0</v>
      </c>
    </row>
    <row r="11642" customFormat="false" ht="15" hidden="true" customHeight="false" outlineLevel="0" collapsed="false">
      <c r="A11642" s="51" t="s">
        <v>671</v>
      </c>
      <c r="B11642" s="55" t="n">
        <v>45930</v>
      </c>
      <c r="C11642" s="51" t="s">
        <v>73</v>
      </c>
      <c r="D11642" s="51" t="n">
        <v>1540000</v>
      </c>
    </row>
    <row r="11643" customFormat="false" ht="15" hidden="true" customHeight="false" outlineLevel="0" collapsed="false">
      <c r="A11643" s="51" t="s">
        <v>676</v>
      </c>
      <c r="B11643" s="55" t="n">
        <v>45930</v>
      </c>
      <c r="C11643" s="51" t="s">
        <v>73</v>
      </c>
      <c r="D11643" s="51" t="n">
        <v>300000</v>
      </c>
    </row>
    <row r="11644" customFormat="false" ht="15" hidden="true" customHeight="false" outlineLevel="0" collapsed="false">
      <c r="A11644" s="51" t="s">
        <v>681</v>
      </c>
      <c r="B11644" s="55" t="n">
        <v>45930</v>
      </c>
      <c r="C11644" s="51" t="s">
        <v>73</v>
      </c>
      <c r="D11644" s="51" t="n">
        <v>300000</v>
      </c>
    </row>
    <row r="11645" customFormat="false" ht="15" hidden="true" customHeight="false" outlineLevel="0" collapsed="false">
      <c r="A11645" s="51" t="s">
        <v>686</v>
      </c>
      <c r="B11645" s="55" t="n">
        <v>45930</v>
      </c>
      <c r="C11645" s="51" t="s">
        <v>73</v>
      </c>
      <c r="D11645" s="51" t="n">
        <v>233280</v>
      </c>
    </row>
    <row r="11646" customFormat="false" ht="15" hidden="true" customHeight="false" outlineLevel="0" collapsed="false">
      <c r="A11646" s="51" t="s">
        <v>691</v>
      </c>
      <c r="B11646" s="55" t="n">
        <v>45930</v>
      </c>
      <c r="C11646" s="51" t="s">
        <v>73</v>
      </c>
      <c r="D11646" s="51" t="n">
        <v>0</v>
      </c>
    </row>
    <row r="11647" customFormat="false" ht="15" hidden="true" customHeight="false" outlineLevel="0" collapsed="false">
      <c r="A11647" s="51" t="s">
        <v>696</v>
      </c>
      <c r="B11647" s="55" t="n">
        <v>45930</v>
      </c>
      <c r="C11647" s="51" t="s">
        <v>73</v>
      </c>
      <c r="D11647" s="51" t="n">
        <v>0</v>
      </c>
    </row>
    <row r="11648" customFormat="false" ht="15" hidden="true" customHeight="false" outlineLevel="0" collapsed="false">
      <c r="A11648" s="51" t="s">
        <v>701</v>
      </c>
      <c r="B11648" s="55" t="n">
        <v>45930</v>
      </c>
      <c r="C11648" s="51" t="s">
        <v>73</v>
      </c>
      <c r="D11648" s="51" t="n">
        <v>0</v>
      </c>
    </row>
    <row r="11649" customFormat="false" ht="15" hidden="true" customHeight="false" outlineLevel="0" collapsed="false">
      <c r="A11649" s="51" t="s">
        <v>707</v>
      </c>
      <c r="B11649" s="55" t="n">
        <v>45930</v>
      </c>
      <c r="C11649" s="51" t="s">
        <v>73</v>
      </c>
      <c r="D11649" s="51" t="n">
        <v>0</v>
      </c>
    </row>
    <row r="11650" customFormat="false" ht="15" hidden="true" customHeight="false" outlineLevel="0" collapsed="false">
      <c r="A11650" s="51" t="s">
        <v>712</v>
      </c>
      <c r="B11650" s="55" t="n">
        <v>45930</v>
      </c>
      <c r="C11650" s="51" t="s">
        <v>73</v>
      </c>
      <c r="D11650" s="51" t="n">
        <v>0</v>
      </c>
    </row>
    <row r="11651" customFormat="false" ht="15" hidden="true" customHeight="false" outlineLevel="0" collapsed="false">
      <c r="A11651" s="51" t="s">
        <v>717</v>
      </c>
      <c r="B11651" s="55" t="n">
        <v>45930</v>
      </c>
      <c r="C11651" s="51" t="s">
        <v>73</v>
      </c>
      <c r="D11651" s="51" t="n">
        <v>0</v>
      </c>
    </row>
    <row r="11652" customFormat="false" ht="15" hidden="true" customHeight="false" outlineLevel="0" collapsed="false">
      <c r="A11652" s="51" t="s">
        <v>767</v>
      </c>
      <c r="B11652" s="55" t="n">
        <v>45930</v>
      </c>
      <c r="C11652" s="51" t="s">
        <v>73</v>
      </c>
      <c r="D11652" s="51" t="n">
        <v>0</v>
      </c>
    </row>
    <row r="11653" customFormat="false" ht="15" hidden="true" customHeight="false" outlineLevel="0" collapsed="false">
      <c r="A11653" s="51" t="s">
        <v>722</v>
      </c>
      <c r="B11653" s="55" t="n">
        <v>45930</v>
      </c>
      <c r="C11653" s="51" t="s">
        <v>73</v>
      </c>
      <c r="D11653" s="51" t="n">
        <v>0</v>
      </c>
    </row>
    <row r="11654" customFormat="false" ht="15" hidden="true" customHeight="false" outlineLevel="0" collapsed="false">
      <c r="A11654" s="51" t="s">
        <v>727</v>
      </c>
      <c r="B11654" s="55" t="n">
        <v>45930</v>
      </c>
      <c r="C11654" s="51" t="s">
        <v>73</v>
      </c>
      <c r="D11654" s="51" t="n">
        <v>0</v>
      </c>
    </row>
    <row r="11655" customFormat="false" ht="15" hidden="true" customHeight="false" outlineLevel="0" collapsed="false">
      <c r="A11655" s="51" t="s">
        <v>732</v>
      </c>
      <c r="B11655" s="55" t="n">
        <v>45930</v>
      </c>
      <c r="C11655" s="51" t="s">
        <v>73</v>
      </c>
      <c r="D11655" s="51" t="n">
        <v>0</v>
      </c>
    </row>
    <row r="11656" customFormat="false" ht="15" hidden="true" customHeight="false" outlineLevel="0" collapsed="false">
      <c r="A11656" s="51" t="s">
        <v>736</v>
      </c>
      <c r="B11656" s="55" t="n">
        <v>45930</v>
      </c>
      <c r="C11656" s="51" t="s">
        <v>73</v>
      </c>
      <c r="D11656" s="51" t="n">
        <v>0</v>
      </c>
    </row>
    <row r="11657" customFormat="false" ht="15" hidden="true" customHeight="false" outlineLevel="0" collapsed="false">
      <c r="A11657" s="51" t="s">
        <v>741</v>
      </c>
      <c r="B11657" s="55" t="n">
        <v>45930</v>
      </c>
      <c r="C11657" s="51" t="s">
        <v>73</v>
      </c>
      <c r="D11657" s="51" t="n">
        <v>0</v>
      </c>
    </row>
    <row r="11658" customFormat="false" ht="15" hidden="true" customHeight="false" outlineLevel="0" collapsed="false">
      <c r="A11658" s="51" t="s">
        <v>746</v>
      </c>
      <c r="B11658" s="55" t="n">
        <v>45930</v>
      </c>
      <c r="C11658" s="51" t="s">
        <v>73</v>
      </c>
      <c r="D11658" s="51" t="n">
        <v>0</v>
      </c>
    </row>
    <row r="11659" customFormat="false" ht="15" hidden="true" customHeight="false" outlineLevel="0" collapsed="false">
      <c r="A11659" s="51" t="s">
        <v>751</v>
      </c>
      <c r="B11659" s="55" t="n">
        <v>45930</v>
      </c>
      <c r="C11659" s="51" t="s">
        <v>73</v>
      </c>
      <c r="D11659" s="51" t="n">
        <v>0</v>
      </c>
    </row>
    <row r="11660" customFormat="false" ht="15" hidden="false" customHeight="false" outlineLevel="0" collapsed="false">
      <c r="A11660" s="51" t="s">
        <v>781</v>
      </c>
      <c r="B11660" s="55" t="n">
        <v>45930</v>
      </c>
      <c r="C11660" s="51" t="s">
        <v>791</v>
      </c>
      <c r="D11660" s="51" t="n">
        <v>0</v>
      </c>
    </row>
    <row r="11661" customFormat="false" ht="15" hidden="true" customHeight="false" outlineLevel="0" collapsed="false">
      <c r="A11661" s="51" t="s">
        <v>783</v>
      </c>
      <c r="B11661" s="55" t="n">
        <v>45930</v>
      </c>
      <c r="C11661" s="51" t="s">
        <v>791</v>
      </c>
      <c r="D11661" s="51" t="n">
        <v>0</v>
      </c>
    </row>
    <row r="11662" customFormat="false" ht="15" hidden="true" customHeight="false" outlineLevel="0" collapsed="false">
      <c r="A11662" s="51" t="s">
        <v>96</v>
      </c>
      <c r="B11662" s="55" t="n">
        <v>45930</v>
      </c>
      <c r="C11662" s="51" t="s">
        <v>791</v>
      </c>
      <c r="D11662" s="51" t="n">
        <v>0</v>
      </c>
    </row>
    <row r="11663" customFormat="false" ht="15" hidden="true" customHeight="false" outlineLevel="0" collapsed="false">
      <c r="A11663" s="51" t="s">
        <v>101</v>
      </c>
      <c r="B11663" s="55" t="n">
        <v>45930</v>
      </c>
      <c r="C11663" s="51" t="s">
        <v>791</v>
      </c>
      <c r="D11663" s="51" t="n">
        <v>0</v>
      </c>
    </row>
    <row r="11664" customFormat="false" ht="15" hidden="true" customHeight="false" outlineLevel="0" collapsed="false">
      <c r="A11664" s="51" t="s">
        <v>106</v>
      </c>
      <c r="B11664" s="55" t="n">
        <v>45930</v>
      </c>
      <c r="C11664" s="51" t="s">
        <v>791</v>
      </c>
      <c r="D11664" s="51" t="n">
        <v>0</v>
      </c>
    </row>
    <row r="11665" customFormat="false" ht="15" hidden="true" customHeight="false" outlineLevel="0" collapsed="false">
      <c r="A11665" s="51" t="s">
        <v>110</v>
      </c>
      <c r="B11665" s="55" t="n">
        <v>45930</v>
      </c>
      <c r="C11665" s="51" t="s">
        <v>791</v>
      </c>
      <c r="D11665" s="51" t="n">
        <v>0</v>
      </c>
    </row>
    <row r="11666" customFormat="false" ht="15" hidden="true" customHeight="false" outlineLevel="0" collapsed="false">
      <c r="A11666" s="51" t="s">
        <v>115</v>
      </c>
      <c r="B11666" s="55" t="n">
        <v>45930</v>
      </c>
      <c r="C11666" s="51" t="s">
        <v>791</v>
      </c>
      <c r="D11666" s="51" t="n">
        <v>0</v>
      </c>
    </row>
    <row r="11667" customFormat="false" ht="15" hidden="true" customHeight="false" outlineLevel="0" collapsed="false">
      <c r="A11667" s="51" t="s">
        <v>120</v>
      </c>
      <c r="B11667" s="55" t="n">
        <v>45930</v>
      </c>
      <c r="C11667" s="51" t="s">
        <v>791</v>
      </c>
      <c r="D11667" s="51" t="n">
        <v>0</v>
      </c>
    </row>
    <row r="11668" customFormat="false" ht="15" hidden="true" customHeight="false" outlineLevel="0" collapsed="false">
      <c r="A11668" s="51" t="s">
        <v>124</v>
      </c>
      <c r="B11668" s="55" t="n">
        <v>45930</v>
      </c>
      <c r="C11668" s="51" t="s">
        <v>791</v>
      </c>
      <c r="D11668" s="51" t="n">
        <v>0</v>
      </c>
    </row>
    <row r="11669" customFormat="false" ht="15" hidden="true" customHeight="false" outlineLevel="0" collapsed="false">
      <c r="A11669" s="51" t="s">
        <v>129</v>
      </c>
      <c r="B11669" s="55" t="n">
        <v>45930</v>
      </c>
      <c r="C11669" s="51" t="s">
        <v>791</v>
      </c>
      <c r="D11669" s="51" t="n">
        <v>0</v>
      </c>
    </row>
    <row r="11670" customFormat="false" ht="15" hidden="true" customHeight="false" outlineLevel="0" collapsed="false">
      <c r="A11670" s="51" t="s">
        <v>134</v>
      </c>
      <c r="B11670" s="55" t="n">
        <v>45930</v>
      </c>
      <c r="C11670" s="51" t="s">
        <v>791</v>
      </c>
      <c r="D11670" s="51" t="n">
        <v>0</v>
      </c>
    </row>
    <row r="11671" customFormat="false" ht="15" hidden="true" customHeight="false" outlineLevel="0" collapsed="false">
      <c r="A11671" s="51" t="s">
        <v>141</v>
      </c>
      <c r="B11671" s="55" t="n">
        <v>45930</v>
      </c>
      <c r="C11671" s="51" t="s">
        <v>791</v>
      </c>
      <c r="D11671" s="51" t="n">
        <v>0</v>
      </c>
    </row>
    <row r="11672" customFormat="false" ht="15" hidden="true" customHeight="false" outlineLevel="0" collapsed="false">
      <c r="A11672" s="51" t="s">
        <v>146</v>
      </c>
      <c r="B11672" s="55" t="n">
        <v>45930</v>
      </c>
      <c r="C11672" s="51" t="s">
        <v>791</v>
      </c>
      <c r="D11672" s="51" t="n">
        <v>0</v>
      </c>
    </row>
    <row r="11673" customFormat="false" ht="15" hidden="true" customHeight="false" outlineLevel="0" collapsed="false">
      <c r="A11673" s="51" t="s">
        <v>151</v>
      </c>
      <c r="B11673" s="55" t="n">
        <v>45930</v>
      </c>
      <c r="C11673" s="51" t="s">
        <v>791</v>
      </c>
      <c r="D11673" s="51" t="n">
        <v>0</v>
      </c>
    </row>
    <row r="11674" customFormat="false" ht="15" hidden="true" customHeight="false" outlineLevel="0" collapsed="false">
      <c r="A11674" s="51" t="s">
        <v>156</v>
      </c>
      <c r="B11674" s="55" t="n">
        <v>45930</v>
      </c>
      <c r="C11674" s="51" t="s">
        <v>791</v>
      </c>
      <c r="D11674" s="51" t="n">
        <v>0</v>
      </c>
    </row>
    <row r="11675" customFormat="false" ht="15" hidden="true" customHeight="false" outlineLevel="0" collapsed="false">
      <c r="A11675" s="51" t="s">
        <v>161</v>
      </c>
      <c r="B11675" s="55" t="n">
        <v>45930</v>
      </c>
      <c r="C11675" s="51" t="s">
        <v>791</v>
      </c>
      <c r="D11675" s="51" t="n">
        <v>0</v>
      </c>
    </row>
    <row r="11676" customFormat="false" ht="15" hidden="true" customHeight="false" outlineLevel="0" collapsed="false">
      <c r="A11676" s="51" t="s">
        <v>166</v>
      </c>
      <c r="B11676" s="55" t="n">
        <v>45930</v>
      </c>
      <c r="C11676" s="51" t="s">
        <v>791</v>
      </c>
      <c r="D11676" s="51" t="n">
        <v>0</v>
      </c>
    </row>
    <row r="11677" customFormat="false" ht="15" hidden="true" customHeight="false" outlineLevel="0" collapsed="false">
      <c r="A11677" s="51" t="s">
        <v>171</v>
      </c>
      <c r="B11677" s="55" t="n">
        <v>45930</v>
      </c>
      <c r="C11677" s="51" t="s">
        <v>791</v>
      </c>
      <c r="D11677" s="51" t="n">
        <v>0</v>
      </c>
    </row>
    <row r="11678" customFormat="false" ht="15" hidden="true" customHeight="false" outlineLevel="0" collapsed="false">
      <c r="A11678" s="51" t="s">
        <v>176</v>
      </c>
      <c r="B11678" s="55" t="n">
        <v>45930</v>
      </c>
      <c r="C11678" s="51" t="s">
        <v>791</v>
      </c>
      <c r="D11678" s="51" t="n">
        <v>0</v>
      </c>
    </row>
    <row r="11679" customFormat="false" ht="15" hidden="true" customHeight="false" outlineLevel="0" collapsed="false">
      <c r="A11679" s="51" t="s">
        <v>181</v>
      </c>
      <c r="B11679" s="55" t="n">
        <v>45930</v>
      </c>
      <c r="C11679" s="51" t="s">
        <v>791</v>
      </c>
      <c r="D11679" s="51" t="n">
        <v>0</v>
      </c>
    </row>
    <row r="11680" customFormat="false" ht="15" hidden="true" customHeight="false" outlineLevel="0" collapsed="false">
      <c r="A11680" s="51" t="s">
        <v>186</v>
      </c>
      <c r="B11680" s="55" t="n">
        <v>45930</v>
      </c>
      <c r="C11680" s="51" t="s">
        <v>791</v>
      </c>
      <c r="D11680" s="51" t="n">
        <v>0</v>
      </c>
    </row>
    <row r="11681" customFormat="false" ht="15" hidden="true" customHeight="false" outlineLevel="0" collapsed="false">
      <c r="A11681" s="51" t="s">
        <v>191</v>
      </c>
      <c r="B11681" s="55" t="n">
        <v>45930</v>
      </c>
      <c r="C11681" s="51" t="s">
        <v>791</v>
      </c>
      <c r="D11681" s="51" t="n">
        <v>0</v>
      </c>
    </row>
    <row r="11682" customFormat="false" ht="15" hidden="true" customHeight="false" outlineLevel="0" collapsed="false">
      <c r="A11682" s="51" t="s">
        <v>196</v>
      </c>
      <c r="B11682" s="55" t="n">
        <v>45930</v>
      </c>
      <c r="C11682" s="51" t="s">
        <v>791</v>
      </c>
      <c r="D11682" s="51" t="n">
        <v>0</v>
      </c>
    </row>
    <row r="11683" customFormat="false" ht="15" hidden="true" customHeight="false" outlineLevel="0" collapsed="false">
      <c r="A11683" s="51" t="s">
        <v>201</v>
      </c>
      <c r="B11683" s="55" t="n">
        <v>45930</v>
      </c>
      <c r="C11683" s="51" t="s">
        <v>791</v>
      </c>
      <c r="D11683" s="51" t="n">
        <v>0</v>
      </c>
    </row>
    <row r="11684" customFormat="false" ht="15" hidden="true" customHeight="false" outlineLevel="0" collapsed="false">
      <c r="A11684" s="51" t="s">
        <v>206</v>
      </c>
      <c r="B11684" s="55" t="n">
        <v>45930</v>
      </c>
      <c r="C11684" s="51" t="s">
        <v>791</v>
      </c>
      <c r="D11684" s="51" t="n">
        <v>0</v>
      </c>
    </row>
    <row r="11685" customFormat="false" ht="15" hidden="true" customHeight="false" outlineLevel="0" collapsed="false">
      <c r="A11685" s="51" t="s">
        <v>210</v>
      </c>
      <c r="B11685" s="55" t="n">
        <v>45930</v>
      </c>
      <c r="C11685" s="51" t="s">
        <v>791</v>
      </c>
      <c r="D11685" s="51" t="n">
        <v>0</v>
      </c>
    </row>
    <row r="11686" customFormat="false" ht="15" hidden="true" customHeight="false" outlineLevel="0" collapsed="false">
      <c r="A11686" s="51" t="s">
        <v>215</v>
      </c>
      <c r="B11686" s="55" t="n">
        <v>45930</v>
      </c>
      <c r="C11686" s="51" t="s">
        <v>791</v>
      </c>
      <c r="D11686" s="51" t="n">
        <v>0</v>
      </c>
    </row>
    <row r="11687" customFormat="false" ht="15" hidden="true" customHeight="false" outlineLevel="0" collapsed="false">
      <c r="A11687" s="51" t="s">
        <v>790</v>
      </c>
      <c r="B11687" s="55" t="n">
        <v>45930</v>
      </c>
      <c r="C11687" s="51" t="s">
        <v>791</v>
      </c>
      <c r="D11687" s="51" t="n">
        <v>0</v>
      </c>
    </row>
    <row r="11688" customFormat="false" ht="15" hidden="true" customHeight="false" outlineLevel="0" collapsed="false">
      <c r="A11688" s="51" t="s">
        <v>225</v>
      </c>
      <c r="B11688" s="55" t="n">
        <v>45930</v>
      </c>
      <c r="C11688" s="51" t="s">
        <v>791</v>
      </c>
      <c r="D11688" s="51" t="n">
        <v>0</v>
      </c>
    </row>
    <row r="11689" customFormat="false" ht="15" hidden="true" customHeight="false" outlineLevel="0" collapsed="false">
      <c r="A11689" s="51" t="s">
        <v>230</v>
      </c>
      <c r="B11689" s="55" t="n">
        <v>45930</v>
      </c>
      <c r="C11689" s="51" t="s">
        <v>791</v>
      </c>
      <c r="D11689" s="51" t="n">
        <v>0</v>
      </c>
    </row>
    <row r="11690" customFormat="false" ht="15" hidden="true" customHeight="false" outlineLevel="0" collapsed="false">
      <c r="A11690" s="51" t="s">
        <v>235</v>
      </c>
      <c r="B11690" s="55" t="n">
        <v>45930</v>
      </c>
      <c r="C11690" s="51" t="s">
        <v>791</v>
      </c>
      <c r="D11690" s="51" t="n">
        <v>0</v>
      </c>
    </row>
    <row r="11691" customFormat="false" ht="15" hidden="true" customHeight="false" outlineLevel="0" collapsed="false">
      <c r="A11691" s="51" t="s">
        <v>240</v>
      </c>
      <c r="B11691" s="55" t="n">
        <v>45930</v>
      </c>
      <c r="C11691" s="51" t="s">
        <v>791</v>
      </c>
      <c r="D11691" s="51" t="n">
        <v>0</v>
      </c>
    </row>
    <row r="11692" customFormat="false" ht="15" hidden="true" customHeight="false" outlineLevel="0" collapsed="false">
      <c r="A11692" s="51" t="s">
        <v>246</v>
      </c>
      <c r="B11692" s="55" t="n">
        <v>45930</v>
      </c>
      <c r="C11692" s="51" t="s">
        <v>791</v>
      </c>
      <c r="D11692" s="51" t="n">
        <v>0</v>
      </c>
    </row>
    <row r="11693" customFormat="false" ht="15" hidden="true" customHeight="false" outlineLevel="0" collapsed="false">
      <c r="A11693" s="51" t="s">
        <v>252</v>
      </c>
      <c r="B11693" s="55" t="n">
        <v>45930</v>
      </c>
      <c r="C11693" s="51" t="s">
        <v>791</v>
      </c>
      <c r="D11693" s="51" t="n">
        <v>0</v>
      </c>
    </row>
    <row r="11694" customFormat="false" ht="15" hidden="true" customHeight="false" outlineLevel="0" collapsed="false">
      <c r="A11694" s="51" t="s">
        <v>257</v>
      </c>
      <c r="B11694" s="55" t="n">
        <v>45930</v>
      </c>
      <c r="C11694" s="51" t="s">
        <v>791</v>
      </c>
      <c r="D11694" s="51" t="n">
        <v>0</v>
      </c>
    </row>
    <row r="11695" customFormat="false" ht="15" hidden="true" customHeight="false" outlineLevel="0" collapsed="false">
      <c r="A11695" s="51" t="s">
        <v>262</v>
      </c>
      <c r="B11695" s="55" t="n">
        <v>45930</v>
      </c>
      <c r="C11695" s="51" t="s">
        <v>791</v>
      </c>
      <c r="D11695" s="51" t="n">
        <v>0</v>
      </c>
    </row>
    <row r="11696" customFormat="false" ht="15" hidden="true" customHeight="false" outlineLevel="0" collapsed="false">
      <c r="A11696" s="51" t="s">
        <v>267</v>
      </c>
      <c r="B11696" s="55" t="n">
        <v>45930</v>
      </c>
      <c r="C11696" s="51" t="s">
        <v>791</v>
      </c>
      <c r="D11696" s="51" t="n">
        <v>0</v>
      </c>
    </row>
    <row r="11697" customFormat="false" ht="15" hidden="true" customHeight="false" outlineLevel="0" collapsed="false">
      <c r="A11697" s="51" t="s">
        <v>272</v>
      </c>
      <c r="B11697" s="55" t="n">
        <v>45930</v>
      </c>
      <c r="C11697" s="51" t="s">
        <v>791</v>
      </c>
      <c r="D11697" s="51" t="n">
        <v>0</v>
      </c>
    </row>
    <row r="11698" customFormat="false" ht="15" hidden="true" customHeight="false" outlineLevel="0" collapsed="false">
      <c r="A11698" s="51" t="s">
        <v>277</v>
      </c>
      <c r="B11698" s="55" t="n">
        <v>45930</v>
      </c>
      <c r="C11698" s="51" t="s">
        <v>791</v>
      </c>
      <c r="D11698" s="51" t="n">
        <v>0</v>
      </c>
    </row>
    <row r="11699" customFormat="false" ht="15" hidden="true" customHeight="false" outlineLevel="0" collapsed="false">
      <c r="A11699" s="51" t="s">
        <v>282</v>
      </c>
      <c r="B11699" s="55" t="n">
        <v>45930</v>
      </c>
      <c r="C11699" s="51" t="s">
        <v>791</v>
      </c>
      <c r="D11699" s="51" t="n">
        <v>0</v>
      </c>
    </row>
    <row r="11700" customFormat="false" ht="15" hidden="true" customHeight="false" outlineLevel="0" collapsed="false">
      <c r="A11700" s="51" t="s">
        <v>287</v>
      </c>
      <c r="B11700" s="55" t="n">
        <v>45930</v>
      </c>
      <c r="C11700" s="51" t="s">
        <v>791</v>
      </c>
      <c r="D11700" s="51" t="n">
        <v>0</v>
      </c>
    </row>
    <row r="11701" customFormat="false" ht="15" hidden="true" customHeight="false" outlineLevel="0" collapsed="false">
      <c r="A11701" s="51" t="s">
        <v>292</v>
      </c>
      <c r="B11701" s="55" t="n">
        <v>45930</v>
      </c>
      <c r="C11701" s="51" t="s">
        <v>791</v>
      </c>
      <c r="D11701" s="51" t="n">
        <v>0</v>
      </c>
    </row>
    <row r="11702" customFormat="false" ht="15" hidden="true" customHeight="false" outlineLevel="0" collapsed="false">
      <c r="A11702" s="51" t="s">
        <v>297</v>
      </c>
      <c r="B11702" s="55" t="n">
        <v>45930</v>
      </c>
      <c r="C11702" s="51" t="s">
        <v>791</v>
      </c>
      <c r="D11702" s="51" t="n">
        <v>0</v>
      </c>
    </row>
    <row r="11703" customFormat="false" ht="15" hidden="true" customHeight="false" outlineLevel="0" collapsed="false">
      <c r="A11703" s="51" t="s">
        <v>302</v>
      </c>
      <c r="B11703" s="55" t="n">
        <v>45930</v>
      </c>
      <c r="C11703" s="51" t="s">
        <v>791</v>
      </c>
      <c r="D11703" s="51" t="n">
        <v>0</v>
      </c>
    </row>
    <row r="11704" customFormat="false" ht="15" hidden="true" customHeight="false" outlineLevel="0" collapsed="false">
      <c r="A11704" s="51" t="s">
        <v>307</v>
      </c>
      <c r="B11704" s="55" t="n">
        <v>45930</v>
      </c>
      <c r="C11704" s="51" t="s">
        <v>791</v>
      </c>
      <c r="D11704" s="51" t="n">
        <v>0</v>
      </c>
    </row>
    <row r="11705" customFormat="false" ht="15" hidden="true" customHeight="false" outlineLevel="0" collapsed="false">
      <c r="A11705" s="51" t="s">
        <v>311</v>
      </c>
      <c r="B11705" s="55" t="n">
        <v>45930</v>
      </c>
      <c r="C11705" s="51" t="s">
        <v>791</v>
      </c>
      <c r="D11705" s="51" t="n">
        <v>0</v>
      </c>
    </row>
    <row r="11706" customFormat="false" ht="15" hidden="true" customHeight="false" outlineLevel="0" collapsed="false">
      <c r="A11706" s="51" t="s">
        <v>317</v>
      </c>
      <c r="B11706" s="55" t="n">
        <v>45930</v>
      </c>
      <c r="C11706" s="51" t="s">
        <v>791</v>
      </c>
      <c r="D11706" s="51" t="n">
        <v>0</v>
      </c>
    </row>
    <row r="11707" customFormat="false" ht="15" hidden="true" customHeight="false" outlineLevel="0" collapsed="false">
      <c r="A11707" s="51" t="s">
        <v>322</v>
      </c>
      <c r="B11707" s="55" t="n">
        <v>45930</v>
      </c>
      <c r="C11707" s="51" t="s">
        <v>791</v>
      </c>
      <c r="D11707" s="51" t="n">
        <v>0</v>
      </c>
    </row>
    <row r="11708" customFormat="false" ht="15" hidden="true" customHeight="false" outlineLevel="0" collapsed="false">
      <c r="A11708" s="51" t="s">
        <v>327</v>
      </c>
      <c r="B11708" s="55" t="n">
        <v>45930</v>
      </c>
      <c r="C11708" s="51" t="s">
        <v>791</v>
      </c>
      <c r="D11708" s="51" t="n">
        <v>0</v>
      </c>
    </row>
    <row r="11709" customFormat="false" ht="15" hidden="true" customHeight="false" outlineLevel="0" collapsed="false">
      <c r="A11709" s="51" t="s">
        <v>332</v>
      </c>
      <c r="B11709" s="55" t="n">
        <v>45930</v>
      </c>
      <c r="C11709" s="51" t="s">
        <v>791</v>
      </c>
      <c r="D11709" s="51" t="n">
        <v>0</v>
      </c>
    </row>
    <row r="11710" customFormat="false" ht="15" hidden="true" customHeight="false" outlineLevel="0" collapsed="false">
      <c r="A11710" s="51" t="s">
        <v>339</v>
      </c>
      <c r="B11710" s="55" t="n">
        <v>45930</v>
      </c>
      <c r="C11710" s="51" t="s">
        <v>791</v>
      </c>
      <c r="D11710" s="51" t="n">
        <v>0</v>
      </c>
    </row>
    <row r="11711" customFormat="false" ht="15" hidden="true" customHeight="false" outlineLevel="0" collapsed="false">
      <c r="A11711" s="51" t="s">
        <v>344</v>
      </c>
      <c r="B11711" s="55" t="n">
        <v>45930</v>
      </c>
      <c r="C11711" s="51" t="s">
        <v>791</v>
      </c>
      <c r="D11711" s="51" t="n">
        <v>0</v>
      </c>
    </row>
    <row r="11712" customFormat="false" ht="15" hidden="true" customHeight="false" outlineLevel="0" collapsed="false">
      <c r="A11712" s="51" t="s">
        <v>349</v>
      </c>
      <c r="B11712" s="55" t="n">
        <v>45930</v>
      </c>
      <c r="C11712" s="51" t="s">
        <v>791</v>
      </c>
      <c r="D11712" s="51" t="n">
        <v>0</v>
      </c>
    </row>
    <row r="11713" customFormat="false" ht="15" hidden="true" customHeight="false" outlineLevel="0" collapsed="false">
      <c r="A11713" s="51" t="s">
        <v>354</v>
      </c>
      <c r="B11713" s="55" t="n">
        <v>45930</v>
      </c>
      <c r="C11713" s="51" t="s">
        <v>791</v>
      </c>
      <c r="D11713" s="51" t="n">
        <v>0</v>
      </c>
    </row>
    <row r="11714" customFormat="false" ht="15" hidden="true" customHeight="false" outlineLevel="0" collapsed="false">
      <c r="A11714" s="51" t="s">
        <v>359</v>
      </c>
      <c r="B11714" s="55" t="n">
        <v>45930</v>
      </c>
      <c r="C11714" s="51" t="s">
        <v>791</v>
      </c>
      <c r="D11714" s="51" t="n">
        <v>0</v>
      </c>
    </row>
    <row r="11715" customFormat="false" ht="15" hidden="true" customHeight="false" outlineLevel="0" collapsed="false">
      <c r="A11715" s="51" t="s">
        <v>364</v>
      </c>
      <c r="B11715" s="55" t="n">
        <v>45930</v>
      </c>
      <c r="C11715" s="51" t="s">
        <v>791</v>
      </c>
      <c r="D11715" s="51" t="n">
        <v>0</v>
      </c>
    </row>
    <row r="11716" customFormat="false" ht="15" hidden="true" customHeight="false" outlineLevel="0" collapsed="false">
      <c r="A11716" s="51" t="s">
        <v>369</v>
      </c>
      <c r="B11716" s="55" t="n">
        <v>45930</v>
      </c>
      <c r="C11716" s="51" t="s">
        <v>791</v>
      </c>
      <c r="D11716" s="51" t="n">
        <v>0</v>
      </c>
    </row>
    <row r="11717" customFormat="false" ht="15" hidden="true" customHeight="false" outlineLevel="0" collapsed="false">
      <c r="A11717" s="51" t="s">
        <v>374</v>
      </c>
      <c r="B11717" s="55" t="n">
        <v>45930</v>
      </c>
      <c r="C11717" s="51" t="s">
        <v>791</v>
      </c>
      <c r="D11717" s="51" t="n">
        <v>0</v>
      </c>
    </row>
    <row r="11718" customFormat="false" ht="15" hidden="true" customHeight="false" outlineLevel="0" collapsed="false">
      <c r="A11718" s="51" t="s">
        <v>379</v>
      </c>
      <c r="B11718" s="55" t="n">
        <v>45930</v>
      </c>
      <c r="C11718" s="51" t="s">
        <v>791</v>
      </c>
      <c r="D11718" s="51" t="n">
        <v>0</v>
      </c>
    </row>
    <row r="11719" customFormat="false" ht="15" hidden="true" customHeight="false" outlineLevel="0" collapsed="false">
      <c r="A11719" s="51" t="s">
        <v>384</v>
      </c>
      <c r="B11719" s="55" t="n">
        <v>45930</v>
      </c>
      <c r="C11719" s="51" t="s">
        <v>791</v>
      </c>
      <c r="D11719" s="51" t="n">
        <v>0</v>
      </c>
    </row>
    <row r="11720" customFormat="false" ht="15" hidden="true" customHeight="false" outlineLevel="0" collapsed="false">
      <c r="A11720" s="51" t="s">
        <v>389</v>
      </c>
      <c r="B11720" s="55" t="n">
        <v>45930</v>
      </c>
      <c r="C11720" s="51" t="s">
        <v>791</v>
      </c>
      <c r="D11720" s="51" t="n">
        <v>0</v>
      </c>
    </row>
    <row r="11721" customFormat="false" ht="15" hidden="true" customHeight="false" outlineLevel="0" collapsed="false">
      <c r="A11721" s="51" t="s">
        <v>394</v>
      </c>
      <c r="B11721" s="55" t="n">
        <v>45930</v>
      </c>
      <c r="C11721" s="51" t="s">
        <v>791</v>
      </c>
      <c r="D11721" s="51" t="n">
        <v>0</v>
      </c>
    </row>
    <row r="11722" customFormat="false" ht="15" hidden="true" customHeight="false" outlineLevel="0" collapsed="false">
      <c r="A11722" s="51" t="s">
        <v>399</v>
      </c>
      <c r="B11722" s="55" t="n">
        <v>45930</v>
      </c>
      <c r="C11722" s="51" t="s">
        <v>791</v>
      </c>
      <c r="D11722" s="51" t="n">
        <v>0</v>
      </c>
    </row>
    <row r="11723" customFormat="false" ht="15" hidden="true" customHeight="false" outlineLevel="0" collapsed="false">
      <c r="A11723" s="51" t="s">
        <v>404</v>
      </c>
      <c r="B11723" s="55" t="n">
        <v>45930</v>
      </c>
      <c r="C11723" s="51" t="s">
        <v>791</v>
      </c>
      <c r="D11723" s="51" t="n">
        <v>0</v>
      </c>
    </row>
    <row r="11724" customFormat="false" ht="15" hidden="true" customHeight="false" outlineLevel="0" collapsed="false">
      <c r="A11724" s="51" t="s">
        <v>409</v>
      </c>
      <c r="B11724" s="55" t="n">
        <v>45930</v>
      </c>
      <c r="C11724" s="51" t="s">
        <v>791</v>
      </c>
      <c r="D11724" s="51" t="n">
        <v>0</v>
      </c>
    </row>
    <row r="11725" customFormat="false" ht="15" hidden="true" customHeight="false" outlineLevel="0" collapsed="false">
      <c r="A11725" s="51" t="s">
        <v>414</v>
      </c>
      <c r="B11725" s="55" t="n">
        <v>45930</v>
      </c>
      <c r="C11725" s="51" t="s">
        <v>791</v>
      </c>
      <c r="D11725" s="51" t="n">
        <v>0</v>
      </c>
    </row>
    <row r="11726" customFormat="false" ht="15" hidden="true" customHeight="false" outlineLevel="0" collapsed="false">
      <c r="A11726" s="51" t="s">
        <v>419</v>
      </c>
      <c r="B11726" s="55" t="n">
        <v>45930</v>
      </c>
      <c r="C11726" s="51" t="s">
        <v>791</v>
      </c>
      <c r="D11726" s="51" t="n">
        <v>0</v>
      </c>
    </row>
    <row r="11727" customFormat="false" ht="15" hidden="true" customHeight="false" outlineLevel="0" collapsed="false">
      <c r="A11727" s="51" t="s">
        <v>424</v>
      </c>
      <c r="B11727" s="55" t="n">
        <v>45930</v>
      </c>
      <c r="C11727" s="51" t="s">
        <v>791</v>
      </c>
      <c r="D11727" s="51" t="n">
        <v>0</v>
      </c>
    </row>
    <row r="11728" customFormat="false" ht="15" hidden="true" customHeight="false" outlineLevel="0" collapsed="false">
      <c r="A11728" s="51" t="s">
        <v>429</v>
      </c>
      <c r="B11728" s="55" t="n">
        <v>45930</v>
      </c>
      <c r="C11728" s="51" t="s">
        <v>791</v>
      </c>
      <c r="D11728" s="51" t="n">
        <v>0</v>
      </c>
    </row>
    <row r="11729" customFormat="false" ht="15" hidden="true" customHeight="false" outlineLevel="0" collapsed="false">
      <c r="A11729" s="51" t="s">
        <v>434</v>
      </c>
      <c r="B11729" s="55" t="n">
        <v>45930</v>
      </c>
      <c r="C11729" s="51" t="s">
        <v>791</v>
      </c>
      <c r="D11729" s="51" t="n">
        <v>0</v>
      </c>
    </row>
    <row r="11730" customFormat="false" ht="15" hidden="true" customHeight="false" outlineLevel="0" collapsed="false">
      <c r="A11730" s="51" t="s">
        <v>438</v>
      </c>
      <c r="B11730" s="55" t="n">
        <v>45930</v>
      </c>
      <c r="C11730" s="51" t="s">
        <v>791</v>
      </c>
      <c r="D11730" s="51" t="n">
        <v>0</v>
      </c>
    </row>
    <row r="11731" customFormat="false" ht="15" hidden="true" customHeight="false" outlineLevel="0" collapsed="false">
      <c r="A11731" s="51" t="s">
        <v>443</v>
      </c>
      <c r="B11731" s="55" t="n">
        <v>45930</v>
      </c>
      <c r="C11731" s="51" t="s">
        <v>791</v>
      </c>
      <c r="D11731" s="51" t="n">
        <v>0</v>
      </c>
    </row>
    <row r="11732" customFormat="false" ht="15" hidden="true" customHeight="false" outlineLevel="0" collapsed="false">
      <c r="A11732" s="51" t="s">
        <v>448</v>
      </c>
      <c r="B11732" s="55" t="n">
        <v>45930</v>
      </c>
      <c r="C11732" s="51" t="s">
        <v>791</v>
      </c>
      <c r="D11732" s="51" t="n">
        <v>0</v>
      </c>
    </row>
    <row r="11733" customFormat="false" ht="15" hidden="true" customHeight="false" outlineLevel="0" collapsed="false">
      <c r="A11733" s="51" t="s">
        <v>453</v>
      </c>
      <c r="B11733" s="55" t="n">
        <v>45930</v>
      </c>
      <c r="C11733" s="51" t="s">
        <v>791</v>
      </c>
      <c r="D11733" s="51" t="n">
        <v>0</v>
      </c>
    </row>
    <row r="11734" customFormat="false" ht="15" hidden="true" customHeight="false" outlineLevel="0" collapsed="false">
      <c r="A11734" s="51" t="s">
        <v>458</v>
      </c>
      <c r="B11734" s="55" t="n">
        <v>45930</v>
      </c>
      <c r="C11734" s="51" t="s">
        <v>791</v>
      </c>
      <c r="D11734" s="51" t="n">
        <v>-600000</v>
      </c>
    </row>
    <row r="11735" customFormat="false" ht="15" hidden="true" customHeight="false" outlineLevel="0" collapsed="false">
      <c r="A11735" s="51" t="s">
        <v>473</v>
      </c>
      <c r="B11735" s="55" t="n">
        <v>45930</v>
      </c>
      <c r="C11735" s="51" t="s">
        <v>791</v>
      </c>
      <c r="D11735" s="51" t="n">
        <v>0</v>
      </c>
    </row>
    <row r="11736" customFormat="false" ht="15" hidden="true" customHeight="false" outlineLevel="0" collapsed="false">
      <c r="A11736" s="51" t="s">
        <v>479</v>
      </c>
      <c r="B11736" s="55" t="n">
        <v>45930</v>
      </c>
      <c r="C11736" s="51" t="s">
        <v>791</v>
      </c>
      <c r="D11736" s="51" t="n">
        <v>0</v>
      </c>
    </row>
    <row r="11737" customFormat="false" ht="15" hidden="true" customHeight="false" outlineLevel="0" collapsed="false">
      <c r="A11737" s="51" t="s">
        <v>484</v>
      </c>
      <c r="B11737" s="55" t="n">
        <v>45930</v>
      </c>
      <c r="C11737" s="51" t="s">
        <v>791</v>
      </c>
      <c r="D11737" s="51" t="n">
        <v>0</v>
      </c>
    </row>
    <row r="11738" customFormat="false" ht="15" hidden="true" customHeight="false" outlineLevel="0" collapsed="false">
      <c r="A11738" s="51" t="s">
        <v>489</v>
      </c>
      <c r="B11738" s="55" t="n">
        <v>45930</v>
      </c>
      <c r="C11738" s="51" t="s">
        <v>791</v>
      </c>
      <c r="D11738" s="51" t="n">
        <v>0</v>
      </c>
    </row>
    <row r="11739" customFormat="false" ht="15" hidden="true" customHeight="false" outlineLevel="0" collapsed="false">
      <c r="A11739" s="51" t="s">
        <v>494</v>
      </c>
      <c r="B11739" s="55" t="n">
        <v>45930</v>
      </c>
      <c r="C11739" s="51" t="s">
        <v>791</v>
      </c>
      <c r="D11739" s="51" t="n">
        <v>0</v>
      </c>
    </row>
    <row r="11740" customFormat="false" ht="15" hidden="true" customHeight="false" outlineLevel="0" collapsed="false">
      <c r="A11740" s="51" t="s">
        <v>499</v>
      </c>
      <c r="B11740" s="55" t="n">
        <v>45930</v>
      </c>
      <c r="C11740" s="51" t="s">
        <v>791</v>
      </c>
      <c r="D11740" s="51" t="n">
        <v>0</v>
      </c>
    </row>
    <row r="11741" customFormat="false" ht="15" hidden="true" customHeight="false" outlineLevel="0" collapsed="false">
      <c r="A11741" s="51" t="s">
        <v>504</v>
      </c>
      <c r="B11741" s="55" t="n">
        <v>45930</v>
      </c>
      <c r="C11741" s="51" t="s">
        <v>791</v>
      </c>
      <c r="D11741" s="51" t="n">
        <v>0</v>
      </c>
    </row>
    <row r="11742" customFormat="false" ht="15" hidden="true" customHeight="false" outlineLevel="0" collapsed="false">
      <c r="A11742" s="51" t="s">
        <v>509</v>
      </c>
      <c r="B11742" s="55" t="n">
        <v>45930</v>
      </c>
      <c r="C11742" s="51" t="s">
        <v>791</v>
      </c>
      <c r="D11742" s="51" t="n">
        <v>0</v>
      </c>
    </row>
    <row r="11743" customFormat="false" ht="15" hidden="true" customHeight="false" outlineLevel="0" collapsed="false">
      <c r="A11743" s="51" t="s">
        <v>515</v>
      </c>
      <c r="B11743" s="55" t="n">
        <v>45930</v>
      </c>
      <c r="C11743" s="51" t="s">
        <v>791</v>
      </c>
      <c r="D11743" s="51" t="n">
        <v>0</v>
      </c>
    </row>
    <row r="11744" customFormat="false" ht="15" hidden="true" customHeight="false" outlineLevel="0" collapsed="false">
      <c r="A11744" s="51" t="s">
        <v>520</v>
      </c>
      <c r="B11744" s="55" t="n">
        <v>45930</v>
      </c>
      <c r="C11744" s="51" t="s">
        <v>791</v>
      </c>
      <c r="D11744" s="51" t="n">
        <v>0</v>
      </c>
    </row>
    <row r="11745" customFormat="false" ht="15" hidden="true" customHeight="false" outlineLevel="0" collapsed="false">
      <c r="A11745" s="51" t="s">
        <v>525</v>
      </c>
      <c r="B11745" s="55" t="n">
        <v>45930</v>
      </c>
      <c r="C11745" s="51" t="s">
        <v>791</v>
      </c>
      <c r="D11745" s="51" t="n">
        <v>0</v>
      </c>
    </row>
    <row r="11746" customFormat="false" ht="15" hidden="true" customHeight="false" outlineLevel="0" collapsed="false">
      <c r="A11746" s="51" t="s">
        <v>531</v>
      </c>
      <c r="B11746" s="55" t="n">
        <v>45930</v>
      </c>
      <c r="C11746" s="51" t="s">
        <v>791</v>
      </c>
      <c r="D11746" s="51" t="n">
        <v>0</v>
      </c>
    </row>
    <row r="11747" customFormat="false" ht="15" hidden="true" customHeight="false" outlineLevel="0" collapsed="false">
      <c r="A11747" s="51" t="s">
        <v>536</v>
      </c>
      <c r="B11747" s="55" t="n">
        <v>45930</v>
      </c>
      <c r="C11747" s="51" t="s">
        <v>791</v>
      </c>
      <c r="D11747" s="51" t="n">
        <v>0</v>
      </c>
    </row>
    <row r="11748" customFormat="false" ht="15" hidden="true" customHeight="false" outlineLevel="0" collapsed="false">
      <c r="A11748" s="51" t="s">
        <v>541</v>
      </c>
      <c r="B11748" s="55" t="n">
        <v>45930</v>
      </c>
      <c r="C11748" s="51" t="s">
        <v>791</v>
      </c>
      <c r="D11748" s="51" t="n">
        <v>0</v>
      </c>
    </row>
    <row r="11749" customFormat="false" ht="15" hidden="true" customHeight="false" outlineLevel="0" collapsed="false">
      <c r="A11749" s="51" t="s">
        <v>549</v>
      </c>
      <c r="B11749" s="55" t="n">
        <v>45930</v>
      </c>
      <c r="C11749" s="51" t="s">
        <v>791</v>
      </c>
      <c r="D11749" s="51" t="n">
        <v>0</v>
      </c>
    </row>
    <row r="11750" customFormat="false" ht="15" hidden="true" customHeight="false" outlineLevel="0" collapsed="false">
      <c r="A11750" s="51" t="s">
        <v>554</v>
      </c>
      <c r="B11750" s="55" t="n">
        <v>45930</v>
      </c>
      <c r="C11750" s="51" t="s">
        <v>791</v>
      </c>
      <c r="D11750" s="51" t="n">
        <v>0</v>
      </c>
    </row>
    <row r="11751" customFormat="false" ht="15" hidden="true" customHeight="false" outlineLevel="0" collapsed="false">
      <c r="A11751" s="51" t="s">
        <v>559</v>
      </c>
      <c r="B11751" s="55" t="n">
        <v>45930</v>
      </c>
      <c r="C11751" s="51" t="s">
        <v>791</v>
      </c>
      <c r="D11751" s="51" t="n">
        <v>0</v>
      </c>
    </row>
    <row r="11752" customFormat="false" ht="15" hidden="true" customHeight="false" outlineLevel="0" collapsed="false">
      <c r="A11752" s="51" t="s">
        <v>564</v>
      </c>
      <c r="B11752" s="55" t="n">
        <v>45930</v>
      </c>
      <c r="C11752" s="51" t="s">
        <v>791</v>
      </c>
      <c r="D11752" s="51" t="n">
        <v>0</v>
      </c>
    </row>
    <row r="11753" customFormat="false" ht="15" hidden="true" customHeight="false" outlineLevel="0" collapsed="false">
      <c r="A11753" s="51" t="s">
        <v>569</v>
      </c>
      <c r="B11753" s="55" t="n">
        <v>45930</v>
      </c>
      <c r="C11753" s="51" t="s">
        <v>791</v>
      </c>
      <c r="D11753" s="51" t="n">
        <v>-100000</v>
      </c>
    </row>
    <row r="11754" customFormat="false" ht="15" hidden="true" customHeight="false" outlineLevel="0" collapsed="false">
      <c r="A11754" s="51" t="s">
        <v>574</v>
      </c>
      <c r="B11754" s="55" t="n">
        <v>45930</v>
      </c>
      <c r="C11754" s="51" t="s">
        <v>791</v>
      </c>
      <c r="D11754" s="51" t="n">
        <v>0</v>
      </c>
    </row>
    <row r="11755" customFormat="false" ht="15" hidden="true" customHeight="false" outlineLevel="0" collapsed="false">
      <c r="A11755" s="51" t="s">
        <v>579</v>
      </c>
      <c r="B11755" s="55" t="n">
        <v>45930</v>
      </c>
      <c r="C11755" s="51" t="s">
        <v>791</v>
      </c>
      <c r="D11755" s="51" t="n">
        <v>0</v>
      </c>
    </row>
    <row r="11756" customFormat="false" ht="15" hidden="true" customHeight="false" outlineLevel="0" collapsed="false">
      <c r="A11756" s="51" t="s">
        <v>584</v>
      </c>
      <c r="B11756" s="55" t="n">
        <v>45930</v>
      </c>
      <c r="C11756" s="51" t="s">
        <v>791</v>
      </c>
      <c r="D11756" s="51" t="n">
        <v>0</v>
      </c>
    </row>
    <row r="11757" customFormat="false" ht="15" hidden="true" customHeight="false" outlineLevel="0" collapsed="false">
      <c r="A11757" s="51" t="s">
        <v>589</v>
      </c>
      <c r="B11757" s="55" t="n">
        <v>45930</v>
      </c>
      <c r="C11757" s="51" t="s">
        <v>791</v>
      </c>
      <c r="D11757" s="51" t="n">
        <v>0</v>
      </c>
    </row>
    <row r="11758" customFormat="false" ht="15" hidden="true" customHeight="false" outlineLevel="0" collapsed="false">
      <c r="A11758" s="51" t="s">
        <v>756</v>
      </c>
      <c r="B11758" s="55" t="n">
        <v>45930</v>
      </c>
      <c r="C11758" s="51" t="s">
        <v>791</v>
      </c>
      <c r="D11758" s="51" t="n">
        <v>0</v>
      </c>
    </row>
    <row r="11759" customFormat="false" ht="15" hidden="true" customHeight="false" outlineLevel="0" collapsed="false">
      <c r="A11759" s="51" t="s">
        <v>594</v>
      </c>
      <c r="B11759" s="55" t="n">
        <v>45930</v>
      </c>
      <c r="C11759" s="51" t="s">
        <v>791</v>
      </c>
      <c r="D11759" s="51" t="n">
        <v>0</v>
      </c>
    </row>
    <row r="11760" customFormat="false" ht="15" hidden="true" customHeight="false" outlineLevel="0" collapsed="false">
      <c r="A11760" s="51" t="s">
        <v>761</v>
      </c>
      <c r="B11760" s="55" t="n">
        <v>45930</v>
      </c>
      <c r="C11760" s="51" t="s">
        <v>791</v>
      </c>
      <c r="D11760" s="51" t="n">
        <v>0</v>
      </c>
    </row>
    <row r="11761" customFormat="false" ht="15" hidden="true" customHeight="false" outlineLevel="0" collapsed="false">
      <c r="A11761" s="51" t="s">
        <v>599</v>
      </c>
      <c r="B11761" s="55" t="n">
        <v>45930</v>
      </c>
      <c r="C11761" s="51" t="s">
        <v>791</v>
      </c>
      <c r="D11761" s="51" t="n">
        <v>0</v>
      </c>
    </row>
    <row r="11762" customFormat="false" ht="15" hidden="true" customHeight="false" outlineLevel="0" collapsed="false">
      <c r="A11762" s="51" t="s">
        <v>604</v>
      </c>
      <c r="B11762" s="55" t="n">
        <v>45930</v>
      </c>
      <c r="C11762" s="51" t="s">
        <v>791</v>
      </c>
      <c r="D11762" s="51" t="n">
        <v>-930000</v>
      </c>
    </row>
    <row r="11763" customFormat="false" ht="15" hidden="true" customHeight="false" outlineLevel="0" collapsed="false">
      <c r="A11763" s="51" t="s">
        <v>609</v>
      </c>
      <c r="B11763" s="55" t="n">
        <v>45930</v>
      </c>
      <c r="C11763" s="51" t="s">
        <v>791</v>
      </c>
      <c r="D11763" s="51" t="n">
        <v>0</v>
      </c>
    </row>
    <row r="11764" customFormat="false" ht="15" hidden="true" customHeight="false" outlineLevel="0" collapsed="false">
      <c r="A11764" s="51" t="s">
        <v>614</v>
      </c>
      <c r="B11764" s="55" t="n">
        <v>45930</v>
      </c>
      <c r="C11764" s="51" t="s">
        <v>791</v>
      </c>
      <c r="D11764" s="51" t="n">
        <v>0</v>
      </c>
    </row>
    <row r="11765" customFormat="false" ht="15" hidden="true" customHeight="false" outlineLevel="0" collapsed="false">
      <c r="A11765" s="51" t="s">
        <v>619</v>
      </c>
      <c r="B11765" s="55" t="n">
        <v>45930</v>
      </c>
      <c r="C11765" s="51" t="s">
        <v>791</v>
      </c>
      <c r="D11765" s="51" t="n">
        <v>0</v>
      </c>
    </row>
    <row r="11766" customFormat="false" ht="15" hidden="true" customHeight="false" outlineLevel="0" collapsed="false">
      <c r="A11766" s="51" t="s">
        <v>624</v>
      </c>
      <c r="B11766" s="55" t="n">
        <v>45930</v>
      </c>
      <c r="C11766" s="51" t="s">
        <v>791</v>
      </c>
      <c r="D11766" s="51" t="n">
        <v>-175000</v>
      </c>
    </row>
    <row r="11767" customFormat="false" ht="15" hidden="true" customHeight="false" outlineLevel="0" collapsed="false">
      <c r="A11767" s="51" t="s">
        <v>629</v>
      </c>
      <c r="B11767" s="55" t="n">
        <v>45930</v>
      </c>
      <c r="C11767" s="51" t="s">
        <v>791</v>
      </c>
      <c r="D11767" s="51" t="n">
        <v>-93750</v>
      </c>
    </row>
    <row r="11768" customFormat="false" ht="15" hidden="true" customHeight="false" outlineLevel="0" collapsed="false">
      <c r="A11768" s="51" t="s">
        <v>633</v>
      </c>
      <c r="B11768" s="55" t="n">
        <v>45930</v>
      </c>
      <c r="C11768" s="51" t="s">
        <v>791</v>
      </c>
      <c r="D11768" s="51" t="n">
        <v>-400000</v>
      </c>
    </row>
    <row r="11769" customFormat="false" ht="15" hidden="true" customHeight="false" outlineLevel="0" collapsed="false">
      <c r="A11769" s="51" t="s">
        <v>638</v>
      </c>
      <c r="B11769" s="55" t="n">
        <v>45930</v>
      </c>
      <c r="C11769" s="51" t="s">
        <v>791</v>
      </c>
      <c r="D11769" s="51" t="n">
        <v>-250000</v>
      </c>
    </row>
    <row r="11770" customFormat="false" ht="15" hidden="true" customHeight="false" outlineLevel="0" collapsed="false">
      <c r="A11770" s="51" t="s">
        <v>642</v>
      </c>
      <c r="B11770" s="55" t="n">
        <v>45930</v>
      </c>
      <c r="C11770" s="51" t="s">
        <v>791</v>
      </c>
      <c r="D11770" s="51" t="n">
        <v>-1200000</v>
      </c>
    </row>
    <row r="11771" customFormat="false" ht="15" hidden="true" customHeight="false" outlineLevel="0" collapsed="false">
      <c r="A11771" s="51" t="s">
        <v>646</v>
      </c>
      <c r="B11771" s="55" t="n">
        <v>45930</v>
      </c>
      <c r="C11771" s="51" t="s">
        <v>791</v>
      </c>
      <c r="D11771" s="51" t="n">
        <v>-75000</v>
      </c>
    </row>
    <row r="11772" customFormat="false" ht="15" hidden="true" customHeight="false" outlineLevel="0" collapsed="false">
      <c r="A11772" s="51" t="s">
        <v>651</v>
      </c>
      <c r="B11772" s="55" t="n">
        <v>45930</v>
      </c>
      <c r="C11772" s="51" t="s">
        <v>791</v>
      </c>
      <c r="D11772" s="51" t="n">
        <v>-250000</v>
      </c>
    </row>
    <row r="11773" customFormat="false" ht="15" hidden="true" customHeight="false" outlineLevel="0" collapsed="false">
      <c r="A11773" s="51" t="s">
        <v>656</v>
      </c>
      <c r="B11773" s="55" t="n">
        <v>45930</v>
      </c>
      <c r="C11773" s="51" t="s">
        <v>791</v>
      </c>
      <c r="D11773" s="51" t="n">
        <v>-263736</v>
      </c>
    </row>
    <row r="11774" customFormat="false" ht="15" hidden="true" customHeight="false" outlineLevel="0" collapsed="false">
      <c r="A11774" s="51" t="s">
        <v>661</v>
      </c>
      <c r="B11774" s="55" t="n">
        <v>45930</v>
      </c>
      <c r="C11774" s="51" t="s">
        <v>791</v>
      </c>
      <c r="D11774" s="51" t="n">
        <v>-201000.45</v>
      </c>
    </row>
    <row r="11775" customFormat="false" ht="15" hidden="true" customHeight="false" outlineLevel="0" collapsed="false">
      <c r="A11775" s="51" t="s">
        <v>666</v>
      </c>
      <c r="B11775" s="55" t="n">
        <v>45930</v>
      </c>
      <c r="C11775" s="51" t="s">
        <v>791</v>
      </c>
      <c r="D11775" s="51" t="n">
        <v>8200000</v>
      </c>
    </row>
    <row r="11776" customFormat="false" ht="15" hidden="true" customHeight="false" outlineLevel="0" collapsed="false">
      <c r="A11776" s="51" t="s">
        <v>671</v>
      </c>
      <c r="B11776" s="55" t="n">
        <v>45930</v>
      </c>
      <c r="C11776" s="51" t="s">
        <v>791</v>
      </c>
      <c r="D11776" s="51" t="n">
        <v>-1540000</v>
      </c>
    </row>
    <row r="11777" customFormat="false" ht="15" hidden="true" customHeight="false" outlineLevel="0" collapsed="false">
      <c r="A11777" s="51" t="s">
        <v>676</v>
      </c>
      <c r="B11777" s="55" t="n">
        <v>45930</v>
      </c>
      <c r="C11777" s="51" t="s">
        <v>791</v>
      </c>
      <c r="D11777" s="51" t="n">
        <v>-300000</v>
      </c>
    </row>
    <row r="11778" customFormat="false" ht="15" hidden="true" customHeight="false" outlineLevel="0" collapsed="false">
      <c r="A11778" s="51" t="s">
        <v>681</v>
      </c>
      <c r="B11778" s="55" t="n">
        <v>45930</v>
      </c>
      <c r="C11778" s="51" t="s">
        <v>791</v>
      </c>
      <c r="D11778" s="51" t="n">
        <v>-300000</v>
      </c>
    </row>
    <row r="11779" customFormat="false" ht="15" hidden="true" customHeight="false" outlineLevel="0" collapsed="false">
      <c r="A11779" s="51" t="s">
        <v>686</v>
      </c>
      <c r="B11779" s="55" t="n">
        <v>45930</v>
      </c>
      <c r="C11779" s="51" t="s">
        <v>791</v>
      </c>
      <c r="D11779" s="51" t="n">
        <v>0</v>
      </c>
    </row>
    <row r="11780" customFormat="false" ht="15" hidden="true" customHeight="false" outlineLevel="0" collapsed="false">
      <c r="A11780" s="51" t="s">
        <v>691</v>
      </c>
      <c r="B11780" s="55" t="n">
        <v>45930</v>
      </c>
      <c r="C11780" s="51" t="s">
        <v>791</v>
      </c>
      <c r="D11780" s="51" t="n">
        <v>50000</v>
      </c>
    </row>
    <row r="11781" customFormat="false" ht="15" hidden="true" customHeight="false" outlineLevel="0" collapsed="false">
      <c r="A11781" s="51" t="s">
        <v>696</v>
      </c>
      <c r="B11781" s="55" t="n">
        <v>45930</v>
      </c>
      <c r="C11781" s="51" t="s">
        <v>791</v>
      </c>
      <c r="D11781" s="51" t="n">
        <v>1479870</v>
      </c>
    </row>
    <row r="11782" customFormat="false" ht="15" hidden="true" customHeight="false" outlineLevel="0" collapsed="false">
      <c r="A11782" s="51" t="s">
        <v>701</v>
      </c>
      <c r="B11782" s="55" t="n">
        <v>45930</v>
      </c>
      <c r="C11782" s="51" t="s">
        <v>791</v>
      </c>
      <c r="D11782" s="51" t="n">
        <v>735253</v>
      </c>
    </row>
    <row r="11783" customFormat="false" ht="15" hidden="true" customHeight="false" outlineLevel="0" collapsed="false">
      <c r="A11783" s="51" t="s">
        <v>707</v>
      </c>
      <c r="B11783" s="55" t="n">
        <v>45930</v>
      </c>
      <c r="C11783" s="51" t="s">
        <v>791</v>
      </c>
      <c r="D11783" s="51" t="n">
        <v>3974850</v>
      </c>
    </row>
    <row r="11784" customFormat="false" ht="15" hidden="true" customHeight="false" outlineLevel="0" collapsed="false">
      <c r="A11784" s="51" t="s">
        <v>712</v>
      </c>
      <c r="B11784" s="55" t="n">
        <v>45930</v>
      </c>
      <c r="C11784" s="51" t="s">
        <v>791</v>
      </c>
      <c r="D11784" s="51" t="n">
        <v>0</v>
      </c>
    </row>
    <row r="11785" customFormat="false" ht="15" hidden="true" customHeight="false" outlineLevel="0" collapsed="false">
      <c r="A11785" s="51" t="s">
        <v>717</v>
      </c>
      <c r="B11785" s="55" t="n">
        <v>45930</v>
      </c>
      <c r="C11785" s="51" t="s">
        <v>791</v>
      </c>
      <c r="D11785" s="51" t="n">
        <v>0</v>
      </c>
    </row>
    <row r="11786" customFormat="false" ht="15" hidden="true" customHeight="false" outlineLevel="0" collapsed="false">
      <c r="A11786" s="51" t="s">
        <v>767</v>
      </c>
      <c r="B11786" s="55" t="n">
        <v>45930</v>
      </c>
      <c r="C11786" s="51" t="s">
        <v>791</v>
      </c>
      <c r="D11786" s="51" t="n">
        <v>0</v>
      </c>
    </row>
    <row r="11787" customFormat="false" ht="15" hidden="true" customHeight="false" outlineLevel="0" collapsed="false">
      <c r="A11787" s="51" t="s">
        <v>722</v>
      </c>
      <c r="B11787" s="55" t="n">
        <v>45930</v>
      </c>
      <c r="C11787" s="51" t="s">
        <v>791</v>
      </c>
      <c r="D11787" s="51" t="n">
        <v>0</v>
      </c>
    </row>
    <row r="11788" customFormat="false" ht="15" hidden="true" customHeight="false" outlineLevel="0" collapsed="false">
      <c r="A11788" s="51" t="s">
        <v>727</v>
      </c>
      <c r="B11788" s="55" t="n">
        <v>45930</v>
      </c>
      <c r="C11788" s="51" t="s">
        <v>791</v>
      </c>
      <c r="D11788" s="51" t="n">
        <v>0</v>
      </c>
    </row>
    <row r="11789" customFormat="false" ht="15" hidden="true" customHeight="false" outlineLevel="0" collapsed="false">
      <c r="A11789" s="51" t="s">
        <v>732</v>
      </c>
      <c r="B11789" s="55" t="n">
        <v>45930</v>
      </c>
      <c r="C11789" s="51" t="s">
        <v>791</v>
      </c>
      <c r="D11789" s="51" t="n">
        <v>0</v>
      </c>
    </row>
    <row r="11790" customFormat="false" ht="15" hidden="true" customHeight="false" outlineLevel="0" collapsed="false">
      <c r="A11790" s="51" t="s">
        <v>736</v>
      </c>
      <c r="B11790" s="55" t="n">
        <v>45930</v>
      </c>
      <c r="C11790" s="51" t="s">
        <v>791</v>
      </c>
      <c r="D11790" s="51" t="n">
        <v>0</v>
      </c>
    </row>
    <row r="11791" customFormat="false" ht="15" hidden="true" customHeight="false" outlineLevel="0" collapsed="false">
      <c r="A11791" s="51" t="s">
        <v>741</v>
      </c>
      <c r="B11791" s="55" t="n">
        <v>45930</v>
      </c>
      <c r="C11791" s="51" t="s">
        <v>791</v>
      </c>
      <c r="D11791" s="51" t="n">
        <v>0</v>
      </c>
    </row>
    <row r="11792" customFormat="false" ht="15" hidden="true" customHeight="false" outlineLevel="0" collapsed="false">
      <c r="A11792" s="51" t="s">
        <v>746</v>
      </c>
      <c r="B11792" s="55" t="n">
        <v>45930</v>
      </c>
      <c r="C11792" s="51" t="s">
        <v>791</v>
      </c>
      <c r="D11792" s="51" t="n">
        <v>0</v>
      </c>
    </row>
    <row r="11793" customFormat="false" ht="15" hidden="true" customHeight="false" outlineLevel="0" collapsed="false">
      <c r="A11793" s="51" t="s">
        <v>751</v>
      </c>
      <c r="B11793" s="55" t="n">
        <v>45930</v>
      </c>
      <c r="C11793" s="51" t="s">
        <v>791</v>
      </c>
      <c r="D11793" s="51" t="n">
        <v>0</v>
      </c>
    </row>
    <row r="11794" customFormat="false" ht="15" hidden="false" customHeight="false" outlineLevel="0" collapsed="false">
      <c r="A11794" s="51" t="s">
        <v>781</v>
      </c>
      <c r="B11794" s="55" t="n">
        <v>46022</v>
      </c>
      <c r="C11794" s="51" t="s">
        <v>782</v>
      </c>
      <c r="D11794" s="51" t="n">
        <v>0</v>
      </c>
    </row>
    <row r="11795" customFormat="false" ht="15" hidden="true" customHeight="false" outlineLevel="0" collapsed="false">
      <c r="A11795" s="51" t="s">
        <v>783</v>
      </c>
      <c r="B11795" s="55" t="n">
        <v>46022</v>
      </c>
      <c r="C11795" s="51" t="s">
        <v>782</v>
      </c>
      <c r="D11795" s="51" t="n">
        <v>0</v>
      </c>
    </row>
    <row r="11796" customFormat="false" ht="15" hidden="true" customHeight="false" outlineLevel="0" collapsed="false">
      <c r="A11796" s="51" t="s">
        <v>96</v>
      </c>
      <c r="B11796" s="55" t="n">
        <v>46022</v>
      </c>
      <c r="C11796" s="51" t="s">
        <v>782</v>
      </c>
      <c r="D11796" s="51" t="n">
        <v>0</v>
      </c>
    </row>
    <row r="11797" customFormat="false" ht="15" hidden="true" customHeight="false" outlineLevel="0" collapsed="false">
      <c r="A11797" s="51" t="s">
        <v>101</v>
      </c>
      <c r="B11797" s="55" t="n">
        <v>46022</v>
      </c>
      <c r="C11797" s="51" t="s">
        <v>782</v>
      </c>
      <c r="D11797" s="51" t="n">
        <v>0</v>
      </c>
    </row>
    <row r="11798" customFormat="false" ht="15" hidden="true" customHeight="false" outlineLevel="0" collapsed="false">
      <c r="A11798" s="51" t="s">
        <v>106</v>
      </c>
      <c r="B11798" s="55" t="n">
        <v>46022</v>
      </c>
      <c r="C11798" s="51" t="s">
        <v>782</v>
      </c>
      <c r="D11798" s="51" t="n">
        <v>0</v>
      </c>
    </row>
    <row r="11799" customFormat="false" ht="15" hidden="true" customHeight="false" outlineLevel="0" collapsed="false">
      <c r="A11799" s="51" t="s">
        <v>110</v>
      </c>
      <c r="B11799" s="55" t="n">
        <v>46022</v>
      </c>
      <c r="C11799" s="51" t="s">
        <v>782</v>
      </c>
      <c r="D11799" s="51" t="n">
        <v>0</v>
      </c>
    </row>
    <row r="11800" customFormat="false" ht="15" hidden="true" customHeight="false" outlineLevel="0" collapsed="false">
      <c r="A11800" s="51" t="s">
        <v>115</v>
      </c>
      <c r="B11800" s="55" t="n">
        <v>46022</v>
      </c>
      <c r="C11800" s="51" t="s">
        <v>782</v>
      </c>
      <c r="D11800" s="51" t="n">
        <v>0</v>
      </c>
    </row>
    <row r="11801" customFormat="false" ht="15" hidden="true" customHeight="false" outlineLevel="0" collapsed="false">
      <c r="A11801" s="51" t="s">
        <v>120</v>
      </c>
      <c r="B11801" s="55" t="n">
        <v>46022</v>
      </c>
      <c r="C11801" s="51" t="s">
        <v>782</v>
      </c>
      <c r="D11801" s="51" t="n">
        <v>0</v>
      </c>
    </row>
    <row r="11802" customFormat="false" ht="15" hidden="true" customHeight="false" outlineLevel="0" collapsed="false">
      <c r="A11802" s="51" t="s">
        <v>124</v>
      </c>
      <c r="B11802" s="55" t="n">
        <v>46022</v>
      </c>
      <c r="C11802" s="51" t="s">
        <v>782</v>
      </c>
      <c r="D11802" s="51" t="n">
        <v>0</v>
      </c>
    </row>
    <row r="11803" customFormat="false" ht="15" hidden="true" customHeight="false" outlineLevel="0" collapsed="false">
      <c r="A11803" s="51" t="s">
        <v>129</v>
      </c>
      <c r="B11803" s="55" t="n">
        <v>46022</v>
      </c>
      <c r="C11803" s="51" t="s">
        <v>782</v>
      </c>
      <c r="D11803" s="51" t="n">
        <v>0</v>
      </c>
    </row>
    <row r="11804" customFormat="false" ht="15" hidden="true" customHeight="false" outlineLevel="0" collapsed="false">
      <c r="A11804" s="51" t="s">
        <v>134</v>
      </c>
      <c r="B11804" s="55" t="n">
        <v>46022</v>
      </c>
      <c r="C11804" s="51" t="s">
        <v>782</v>
      </c>
      <c r="D11804" s="51" t="n">
        <v>0</v>
      </c>
    </row>
    <row r="11805" customFormat="false" ht="15" hidden="true" customHeight="false" outlineLevel="0" collapsed="false">
      <c r="A11805" s="51" t="s">
        <v>141</v>
      </c>
      <c r="B11805" s="55" t="n">
        <v>46022</v>
      </c>
      <c r="C11805" s="51" t="s">
        <v>782</v>
      </c>
      <c r="D11805" s="51" t="n">
        <v>0</v>
      </c>
    </row>
    <row r="11806" customFormat="false" ht="15" hidden="true" customHeight="false" outlineLevel="0" collapsed="false">
      <c r="A11806" s="51" t="s">
        <v>146</v>
      </c>
      <c r="B11806" s="55" t="n">
        <v>46022</v>
      </c>
      <c r="C11806" s="51" t="s">
        <v>782</v>
      </c>
      <c r="D11806" s="51" t="n">
        <v>0</v>
      </c>
    </row>
    <row r="11807" customFormat="false" ht="15" hidden="true" customHeight="false" outlineLevel="0" collapsed="false">
      <c r="A11807" s="51" t="s">
        <v>151</v>
      </c>
      <c r="B11807" s="55" t="n">
        <v>46022</v>
      </c>
      <c r="C11807" s="51" t="s">
        <v>782</v>
      </c>
      <c r="D11807" s="51" t="n">
        <v>0</v>
      </c>
    </row>
    <row r="11808" customFormat="false" ht="15" hidden="true" customHeight="false" outlineLevel="0" collapsed="false">
      <c r="A11808" s="51" t="s">
        <v>156</v>
      </c>
      <c r="B11808" s="55" t="n">
        <v>46022</v>
      </c>
      <c r="C11808" s="51" t="s">
        <v>782</v>
      </c>
      <c r="D11808" s="51" t="n">
        <v>0</v>
      </c>
    </row>
    <row r="11809" customFormat="false" ht="15" hidden="true" customHeight="false" outlineLevel="0" collapsed="false">
      <c r="A11809" s="51" t="s">
        <v>161</v>
      </c>
      <c r="B11809" s="55" t="n">
        <v>46022</v>
      </c>
      <c r="C11809" s="51" t="s">
        <v>782</v>
      </c>
      <c r="D11809" s="51" t="n">
        <v>0</v>
      </c>
    </row>
    <row r="11810" customFormat="false" ht="15" hidden="true" customHeight="false" outlineLevel="0" collapsed="false">
      <c r="A11810" s="51" t="s">
        <v>166</v>
      </c>
      <c r="B11810" s="55" t="n">
        <v>46022</v>
      </c>
      <c r="C11810" s="51" t="s">
        <v>782</v>
      </c>
      <c r="D11810" s="51" t="n">
        <v>0</v>
      </c>
    </row>
    <row r="11811" customFormat="false" ht="15" hidden="true" customHeight="false" outlineLevel="0" collapsed="false">
      <c r="A11811" s="51" t="s">
        <v>171</v>
      </c>
      <c r="B11811" s="55" t="n">
        <v>46022</v>
      </c>
      <c r="C11811" s="51" t="s">
        <v>782</v>
      </c>
      <c r="D11811" s="51" t="n">
        <v>0</v>
      </c>
    </row>
    <row r="11812" customFormat="false" ht="15" hidden="true" customHeight="false" outlineLevel="0" collapsed="false">
      <c r="A11812" s="51" t="s">
        <v>176</v>
      </c>
      <c r="B11812" s="55" t="n">
        <v>46022</v>
      </c>
      <c r="C11812" s="51" t="s">
        <v>782</v>
      </c>
      <c r="D11812" s="51" t="n">
        <v>0</v>
      </c>
    </row>
    <row r="11813" customFormat="false" ht="15" hidden="true" customHeight="false" outlineLevel="0" collapsed="false">
      <c r="A11813" s="51" t="s">
        <v>181</v>
      </c>
      <c r="B11813" s="55" t="n">
        <v>46022</v>
      </c>
      <c r="C11813" s="51" t="s">
        <v>782</v>
      </c>
      <c r="D11813" s="51" t="n">
        <v>0</v>
      </c>
    </row>
    <row r="11814" customFormat="false" ht="15" hidden="true" customHeight="false" outlineLevel="0" collapsed="false">
      <c r="A11814" s="51" t="s">
        <v>186</v>
      </c>
      <c r="B11814" s="55" t="n">
        <v>46022</v>
      </c>
      <c r="C11814" s="51" t="s">
        <v>782</v>
      </c>
      <c r="D11814" s="51" t="n">
        <v>0</v>
      </c>
    </row>
    <row r="11815" customFormat="false" ht="15" hidden="true" customHeight="false" outlineLevel="0" collapsed="false">
      <c r="A11815" s="51" t="s">
        <v>191</v>
      </c>
      <c r="B11815" s="55" t="n">
        <v>46022</v>
      </c>
      <c r="C11815" s="51" t="s">
        <v>782</v>
      </c>
      <c r="D11815" s="51" t="n">
        <v>0</v>
      </c>
    </row>
    <row r="11816" customFormat="false" ht="15" hidden="true" customHeight="false" outlineLevel="0" collapsed="false">
      <c r="A11816" s="51" t="s">
        <v>196</v>
      </c>
      <c r="B11816" s="55" t="n">
        <v>46022</v>
      </c>
      <c r="C11816" s="51" t="s">
        <v>782</v>
      </c>
      <c r="D11816" s="51" t="n">
        <v>0</v>
      </c>
    </row>
    <row r="11817" customFormat="false" ht="15" hidden="true" customHeight="false" outlineLevel="0" collapsed="false">
      <c r="A11817" s="51" t="s">
        <v>201</v>
      </c>
      <c r="B11817" s="55" t="n">
        <v>46022</v>
      </c>
      <c r="C11817" s="51" t="s">
        <v>782</v>
      </c>
      <c r="D11817" s="51" t="n">
        <v>0</v>
      </c>
    </row>
    <row r="11818" customFormat="false" ht="15" hidden="true" customHeight="false" outlineLevel="0" collapsed="false">
      <c r="A11818" s="51" t="s">
        <v>206</v>
      </c>
      <c r="B11818" s="55" t="n">
        <v>46022</v>
      </c>
      <c r="C11818" s="51" t="s">
        <v>782</v>
      </c>
      <c r="D11818" s="51" t="n">
        <v>0</v>
      </c>
    </row>
    <row r="11819" customFormat="false" ht="15" hidden="true" customHeight="false" outlineLevel="0" collapsed="false">
      <c r="A11819" s="51" t="s">
        <v>210</v>
      </c>
      <c r="B11819" s="55" t="n">
        <v>46022</v>
      </c>
      <c r="C11819" s="51" t="s">
        <v>782</v>
      </c>
      <c r="D11819" s="51" t="n">
        <v>0</v>
      </c>
    </row>
    <row r="11820" customFormat="false" ht="15" hidden="true" customHeight="false" outlineLevel="0" collapsed="false">
      <c r="A11820" s="51" t="s">
        <v>215</v>
      </c>
      <c r="B11820" s="55" t="n">
        <v>46022</v>
      </c>
      <c r="C11820" s="51" t="s">
        <v>782</v>
      </c>
      <c r="D11820" s="51" t="n">
        <v>0</v>
      </c>
    </row>
    <row r="11821" customFormat="false" ht="15" hidden="true" customHeight="false" outlineLevel="0" collapsed="false">
      <c r="A11821" s="51" t="s">
        <v>790</v>
      </c>
      <c r="B11821" s="55" t="n">
        <v>46022</v>
      </c>
      <c r="C11821" s="51" t="s">
        <v>782</v>
      </c>
      <c r="D11821" s="51" t="n">
        <v>0</v>
      </c>
    </row>
    <row r="11822" customFormat="false" ht="15" hidden="true" customHeight="false" outlineLevel="0" collapsed="false">
      <c r="A11822" s="51" t="s">
        <v>225</v>
      </c>
      <c r="B11822" s="55" t="n">
        <v>46022</v>
      </c>
      <c r="C11822" s="51" t="s">
        <v>782</v>
      </c>
      <c r="D11822" s="51" t="n">
        <v>0</v>
      </c>
    </row>
    <row r="11823" customFormat="false" ht="15" hidden="true" customHeight="false" outlineLevel="0" collapsed="false">
      <c r="A11823" s="51" t="s">
        <v>230</v>
      </c>
      <c r="B11823" s="55" t="n">
        <v>46022</v>
      </c>
      <c r="C11823" s="51" t="s">
        <v>782</v>
      </c>
      <c r="D11823" s="51" t="n">
        <v>0</v>
      </c>
    </row>
    <row r="11824" customFormat="false" ht="15" hidden="true" customHeight="false" outlineLevel="0" collapsed="false">
      <c r="A11824" s="51" t="s">
        <v>235</v>
      </c>
      <c r="B11824" s="55" t="n">
        <v>46022</v>
      </c>
      <c r="C11824" s="51" t="s">
        <v>782</v>
      </c>
      <c r="D11824" s="51" t="n">
        <v>0</v>
      </c>
    </row>
    <row r="11825" customFormat="false" ht="15" hidden="true" customHeight="false" outlineLevel="0" collapsed="false">
      <c r="A11825" s="51" t="s">
        <v>240</v>
      </c>
      <c r="B11825" s="55" t="n">
        <v>46022</v>
      </c>
      <c r="C11825" s="51" t="s">
        <v>782</v>
      </c>
      <c r="D11825" s="51" t="n">
        <v>0</v>
      </c>
    </row>
    <row r="11826" customFormat="false" ht="15" hidden="true" customHeight="false" outlineLevel="0" collapsed="false">
      <c r="A11826" s="51" t="s">
        <v>246</v>
      </c>
      <c r="B11826" s="55" t="n">
        <v>46022</v>
      </c>
      <c r="C11826" s="51" t="s">
        <v>782</v>
      </c>
      <c r="D11826" s="51" t="n">
        <v>0</v>
      </c>
    </row>
    <row r="11827" customFormat="false" ht="15" hidden="true" customHeight="false" outlineLevel="0" collapsed="false">
      <c r="A11827" s="51" t="s">
        <v>252</v>
      </c>
      <c r="B11827" s="55" t="n">
        <v>46022</v>
      </c>
      <c r="C11827" s="51" t="s">
        <v>782</v>
      </c>
      <c r="D11827" s="51" t="n">
        <v>0</v>
      </c>
    </row>
    <row r="11828" customFormat="false" ht="15" hidden="true" customHeight="false" outlineLevel="0" collapsed="false">
      <c r="A11828" s="51" t="s">
        <v>257</v>
      </c>
      <c r="B11828" s="55" t="n">
        <v>46022</v>
      </c>
      <c r="C11828" s="51" t="s">
        <v>782</v>
      </c>
      <c r="D11828" s="51" t="n">
        <v>0</v>
      </c>
    </row>
    <row r="11829" customFormat="false" ht="15" hidden="true" customHeight="false" outlineLevel="0" collapsed="false">
      <c r="A11829" s="51" t="s">
        <v>262</v>
      </c>
      <c r="B11829" s="55" t="n">
        <v>46022</v>
      </c>
      <c r="C11829" s="51" t="s">
        <v>782</v>
      </c>
      <c r="D11829" s="51" t="n">
        <v>0</v>
      </c>
    </row>
    <row r="11830" customFormat="false" ht="15" hidden="true" customHeight="false" outlineLevel="0" collapsed="false">
      <c r="A11830" s="51" t="s">
        <v>267</v>
      </c>
      <c r="B11830" s="55" t="n">
        <v>46022</v>
      </c>
      <c r="C11830" s="51" t="s">
        <v>782</v>
      </c>
      <c r="D11830" s="51" t="n">
        <v>0</v>
      </c>
    </row>
    <row r="11831" customFormat="false" ht="15" hidden="true" customHeight="false" outlineLevel="0" collapsed="false">
      <c r="A11831" s="51" t="s">
        <v>272</v>
      </c>
      <c r="B11831" s="55" t="n">
        <v>46022</v>
      </c>
      <c r="C11831" s="51" t="s">
        <v>782</v>
      </c>
      <c r="D11831" s="51" t="n">
        <v>0</v>
      </c>
    </row>
    <row r="11832" customFormat="false" ht="15" hidden="true" customHeight="false" outlineLevel="0" collapsed="false">
      <c r="A11832" s="51" t="s">
        <v>277</v>
      </c>
      <c r="B11832" s="55" t="n">
        <v>46022</v>
      </c>
      <c r="C11832" s="51" t="s">
        <v>782</v>
      </c>
      <c r="D11832" s="51" t="n">
        <v>0</v>
      </c>
    </row>
    <row r="11833" customFormat="false" ht="15" hidden="true" customHeight="false" outlineLevel="0" collapsed="false">
      <c r="A11833" s="51" t="s">
        <v>282</v>
      </c>
      <c r="B11833" s="55" t="n">
        <v>46022</v>
      </c>
      <c r="C11833" s="51" t="s">
        <v>782</v>
      </c>
      <c r="D11833" s="51" t="n">
        <v>0</v>
      </c>
    </row>
    <row r="11834" customFormat="false" ht="15" hidden="true" customHeight="false" outlineLevel="0" collapsed="false">
      <c r="A11834" s="51" t="s">
        <v>287</v>
      </c>
      <c r="B11834" s="55" t="n">
        <v>46022</v>
      </c>
      <c r="C11834" s="51" t="s">
        <v>782</v>
      </c>
      <c r="D11834" s="51" t="n">
        <v>0</v>
      </c>
    </row>
    <row r="11835" customFormat="false" ht="15" hidden="true" customHeight="false" outlineLevel="0" collapsed="false">
      <c r="A11835" s="51" t="s">
        <v>292</v>
      </c>
      <c r="B11835" s="55" t="n">
        <v>46022</v>
      </c>
      <c r="C11835" s="51" t="s">
        <v>782</v>
      </c>
      <c r="D11835" s="51" t="n">
        <v>0</v>
      </c>
    </row>
    <row r="11836" customFormat="false" ht="15" hidden="true" customHeight="false" outlineLevel="0" collapsed="false">
      <c r="A11836" s="51" t="s">
        <v>297</v>
      </c>
      <c r="B11836" s="55" t="n">
        <v>46022</v>
      </c>
      <c r="C11836" s="51" t="s">
        <v>782</v>
      </c>
      <c r="D11836" s="51" t="n">
        <v>0</v>
      </c>
    </row>
    <row r="11837" customFormat="false" ht="15" hidden="true" customHeight="false" outlineLevel="0" collapsed="false">
      <c r="A11837" s="51" t="s">
        <v>302</v>
      </c>
      <c r="B11837" s="55" t="n">
        <v>46022</v>
      </c>
      <c r="C11837" s="51" t="s">
        <v>782</v>
      </c>
      <c r="D11837" s="51" t="n">
        <v>0</v>
      </c>
    </row>
    <row r="11838" customFormat="false" ht="15" hidden="true" customHeight="false" outlineLevel="0" collapsed="false">
      <c r="A11838" s="51" t="s">
        <v>307</v>
      </c>
      <c r="B11838" s="55" t="n">
        <v>46022</v>
      </c>
      <c r="C11838" s="51" t="s">
        <v>782</v>
      </c>
      <c r="D11838" s="51" t="n">
        <v>0</v>
      </c>
    </row>
    <row r="11839" customFormat="false" ht="15" hidden="true" customHeight="false" outlineLevel="0" collapsed="false">
      <c r="A11839" s="51" t="s">
        <v>311</v>
      </c>
      <c r="B11839" s="55" t="n">
        <v>46022</v>
      </c>
      <c r="C11839" s="51" t="s">
        <v>782</v>
      </c>
      <c r="D11839" s="51" t="n">
        <v>0</v>
      </c>
    </row>
    <row r="11840" customFormat="false" ht="15" hidden="true" customHeight="false" outlineLevel="0" collapsed="false">
      <c r="A11840" s="51" t="s">
        <v>317</v>
      </c>
      <c r="B11840" s="55" t="n">
        <v>46022</v>
      </c>
      <c r="C11840" s="51" t="s">
        <v>782</v>
      </c>
      <c r="D11840" s="51" t="n">
        <v>0</v>
      </c>
    </row>
    <row r="11841" customFormat="false" ht="15" hidden="true" customHeight="false" outlineLevel="0" collapsed="false">
      <c r="A11841" s="51" t="s">
        <v>322</v>
      </c>
      <c r="B11841" s="55" t="n">
        <v>46022</v>
      </c>
      <c r="C11841" s="51" t="s">
        <v>782</v>
      </c>
      <c r="D11841" s="51" t="n">
        <v>0</v>
      </c>
    </row>
    <row r="11842" customFormat="false" ht="15" hidden="true" customHeight="false" outlineLevel="0" collapsed="false">
      <c r="A11842" s="51" t="s">
        <v>327</v>
      </c>
      <c r="B11842" s="55" t="n">
        <v>46022</v>
      </c>
      <c r="C11842" s="51" t="s">
        <v>782</v>
      </c>
      <c r="D11842" s="51" t="n">
        <v>0</v>
      </c>
    </row>
    <row r="11843" customFormat="false" ht="15" hidden="true" customHeight="false" outlineLevel="0" collapsed="false">
      <c r="A11843" s="51" t="s">
        <v>332</v>
      </c>
      <c r="B11843" s="55" t="n">
        <v>46022</v>
      </c>
      <c r="C11843" s="51" t="s">
        <v>782</v>
      </c>
      <c r="D11843" s="51" t="n">
        <v>0</v>
      </c>
    </row>
    <row r="11844" customFormat="false" ht="15" hidden="true" customHeight="false" outlineLevel="0" collapsed="false">
      <c r="A11844" s="51" t="s">
        <v>339</v>
      </c>
      <c r="B11844" s="55" t="n">
        <v>46022</v>
      </c>
      <c r="C11844" s="51" t="s">
        <v>782</v>
      </c>
      <c r="D11844" s="51" t="n">
        <v>0</v>
      </c>
    </row>
    <row r="11845" customFormat="false" ht="15" hidden="true" customHeight="false" outlineLevel="0" collapsed="false">
      <c r="A11845" s="51" t="s">
        <v>344</v>
      </c>
      <c r="B11845" s="55" t="n">
        <v>46022</v>
      </c>
      <c r="C11845" s="51" t="s">
        <v>782</v>
      </c>
      <c r="D11845" s="51" t="n">
        <v>0</v>
      </c>
    </row>
    <row r="11846" customFormat="false" ht="15" hidden="true" customHeight="false" outlineLevel="0" collapsed="false">
      <c r="A11846" s="51" t="s">
        <v>349</v>
      </c>
      <c r="B11846" s="55" t="n">
        <v>46022</v>
      </c>
      <c r="C11846" s="51" t="s">
        <v>782</v>
      </c>
      <c r="D11846" s="51" t="n">
        <v>0</v>
      </c>
    </row>
    <row r="11847" customFormat="false" ht="15" hidden="true" customHeight="false" outlineLevel="0" collapsed="false">
      <c r="A11847" s="51" t="s">
        <v>354</v>
      </c>
      <c r="B11847" s="55" t="n">
        <v>46022</v>
      </c>
      <c r="C11847" s="51" t="s">
        <v>782</v>
      </c>
      <c r="D11847" s="51" t="n">
        <v>0</v>
      </c>
    </row>
    <row r="11848" customFormat="false" ht="15" hidden="true" customHeight="false" outlineLevel="0" collapsed="false">
      <c r="A11848" s="51" t="s">
        <v>359</v>
      </c>
      <c r="B11848" s="55" t="n">
        <v>46022</v>
      </c>
      <c r="C11848" s="51" t="s">
        <v>782</v>
      </c>
      <c r="D11848" s="51" t="n">
        <v>0</v>
      </c>
    </row>
    <row r="11849" customFormat="false" ht="15" hidden="true" customHeight="false" outlineLevel="0" collapsed="false">
      <c r="A11849" s="51" t="s">
        <v>364</v>
      </c>
      <c r="B11849" s="55" t="n">
        <v>46022</v>
      </c>
      <c r="C11849" s="51" t="s">
        <v>782</v>
      </c>
      <c r="D11849" s="51" t="n">
        <v>0</v>
      </c>
    </row>
    <row r="11850" customFormat="false" ht="15" hidden="true" customHeight="false" outlineLevel="0" collapsed="false">
      <c r="A11850" s="51" t="s">
        <v>369</v>
      </c>
      <c r="B11850" s="55" t="n">
        <v>46022</v>
      </c>
      <c r="C11850" s="51" t="s">
        <v>782</v>
      </c>
      <c r="D11850" s="51" t="n">
        <v>0</v>
      </c>
    </row>
    <row r="11851" customFormat="false" ht="15" hidden="true" customHeight="false" outlineLevel="0" collapsed="false">
      <c r="A11851" s="51" t="s">
        <v>374</v>
      </c>
      <c r="B11851" s="55" t="n">
        <v>46022</v>
      </c>
      <c r="C11851" s="51" t="s">
        <v>782</v>
      </c>
      <c r="D11851" s="51" t="n">
        <v>0</v>
      </c>
    </row>
    <row r="11852" customFormat="false" ht="15" hidden="true" customHeight="false" outlineLevel="0" collapsed="false">
      <c r="A11852" s="51" t="s">
        <v>379</v>
      </c>
      <c r="B11852" s="55" t="n">
        <v>46022</v>
      </c>
      <c r="C11852" s="51" t="s">
        <v>782</v>
      </c>
      <c r="D11852" s="51" t="n">
        <v>0</v>
      </c>
    </row>
    <row r="11853" customFormat="false" ht="15" hidden="true" customHeight="false" outlineLevel="0" collapsed="false">
      <c r="A11853" s="51" t="s">
        <v>384</v>
      </c>
      <c r="B11853" s="55" t="n">
        <v>46022</v>
      </c>
      <c r="C11853" s="51" t="s">
        <v>782</v>
      </c>
      <c r="D11853" s="51" t="n">
        <v>0</v>
      </c>
    </row>
    <row r="11854" customFormat="false" ht="15" hidden="true" customHeight="false" outlineLevel="0" collapsed="false">
      <c r="A11854" s="51" t="s">
        <v>389</v>
      </c>
      <c r="B11854" s="55" t="n">
        <v>46022</v>
      </c>
      <c r="C11854" s="51" t="s">
        <v>782</v>
      </c>
      <c r="D11854" s="51" t="n">
        <v>0</v>
      </c>
    </row>
    <row r="11855" customFormat="false" ht="15" hidden="true" customHeight="false" outlineLevel="0" collapsed="false">
      <c r="A11855" s="51" t="s">
        <v>394</v>
      </c>
      <c r="B11855" s="55" t="n">
        <v>46022</v>
      </c>
      <c r="C11855" s="51" t="s">
        <v>782</v>
      </c>
      <c r="D11855" s="51" t="n">
        <v>1664288.27</v>
      </c>
    </row>
    <row r="11856" customFormat="false" ht="15" hidden="true" customHeight="false" outlineLevel="0" collapsed="false">
      <c r="A11856" s="51" t="s">
        <v>399</v>
      </c>
      <c r="B11856" s="55" t="n">
        <v>46022</v>
      </c>
      <c r="C11856" s="51" t="s">
        <v>782</v>
      </c>
      <c r="D11856" s="51" t="n">
        <v>0</v>
      </c>
    </row>
    <row r="11857" customFormat="false" ht="15" hidden="true" customHeight="false" outlineLevel="0" collapsed="false">
      <c r="A11857" s="51" t="s">
        <v>404</v>
      </c>
      <c r="B11857" s="55" t="n">
        <v>46022</v>
      </c>
      <c r="C11857" s="51" t="s">
        <v>782</v>
      </c>
      <c r="D11857" s="51" t="n">
        <v>0</v>
      </c>
    </row>
    <row r="11858" customFormat="false" ht="15" hidden="true" customHeight="false" outlineLevel="0" collapsed="false">
      <c r="A11858" s="51" t="s">
        <v>409</v>
      </c>
      <c r="B11858" s="55" t="n">
        <v>46022</v>
      </c>
      <c r="C11858" s="51" t="s">
        <v>782</v>
      </c>
      <c r="D11858" s="51" t="n">
        <v>0</v>
      </c>
    </row>
    <row r="11859" customFormat="false" ht="15" hidden="true" customHeight="false" outlineLevel="0" collapsed="false">
      <c r="A11859" s="51" t="s">
        <v>414</v>
      </c>
      <c r="B11859" s="55" t="n">
        <v>46022</v>
      </c>
      <c r="C11859" s="51" t="s">
        <v>782</v>
      </c>
      <c r="D11859" s="51" t="n">
        <v>0</v>
      </c>
    </row>
    <row r="11860" customFormat="false" ht="15" hidden="true" customHeight="false" outlineLevel="0" collapsed="false">
      <c r="A11860" s="51" t="s">
        <v>419</v>
      </c>
      <c r="B11860" s="55" t="n">
        <v>46022</v>
      </c>
      <c r="C11860" s="51" t="s">
        <v>782</v>
      </c>
      <c r="D11860" s="51" t="n">
        <v>0</v>
      </c>
    </row>
    <row r="11861" customFormat="false" ht="15" hidden="true" customHeight="false" outlineLevel="0" collapsed="false">
      <c r="A11861" s="51" t="s">
        <v>424</v>
      </c>
      <c r="B11861" s="55" t="n">
        <v>46022</v>
      </c>
      <c r="C11861" s="51" t="s">
        <v>782</v>
      </c>
      <c r="D11861" s="51" t="n">
        <v>0</v>
      </c>
    </row>
    <row r="11862" customFormat="false" ht="15" hidden="true" customHeight="false" outlineLevel="0" collapsed="false">
      <c r="A11862" s="51" t="s">
        <v>429</v>
      </c>
      <c r="B11862" s="55" t="n">
        <v>46022</v>
      </c>
      <c r="C11862" s="51" t="s">
        <v>782</v>
      </c>
      <c r="D11862" s="51" t="n">
        <v>0</v>
      </c>
    </row>
    <row r="11863" customFormat="false" ht="15" hidden="true" customHeight="false" outlineLevel="0" collapsed="false">
      <c r="A11863" s="51" t="s">
        <v>434</v>
      </c>
      <c r="B11863" s="55" t="n">
        <v>46022</v>
      </c>
      <c r="C11863" s="51" t="s">
        <v>782</v>
      </c>
      <c r="D11863" s="51" t="n">
        <v>0</v>
      </c>
    </row>
    <row r="11864" customFormat="false" ht="15" hidden="true" customHeight="false" outlineLevel="0" collapsed="false">
      <c r="A11864" s="51" t="s">
        <v>438</v>
      </c>
      <c r="B11864" s="55" t="n">
        <v>46022</v>
      </c>
      <c r="C11864" s="51" t="s">
        <v>782</v>
      </c>
      <c r="D11864" s="51" t="n">
        <v>0</v>
      </c>
    </row>
    <row r="11865" customFormat="false" ht="15" hidden="true" customHeight="false" outlineLevel="0" collapsed="false">
      <c r="A11865" s="51" t="s">
        <v>443</v>
      </c>
      <c r="B11865" s="55" t="n">
        <v>46022</v>
      </c>
      <c r="C11865" s="51" t="s">
        <v>782</v>
      </c>
      <c r="D11865" s="51" t="n">
        <v>0</v>
      </c>
    </row>
    <row r="11866" customFormat="false" ht="15" hidden="true" customHeight="false" outlineLevel="0" collapsed="false">
      <c r="A11866" s="51" t="s">
        <v>448</v>
      </c>
      <c r="B11866" s="55" t="n">
        <v>46022</v>
      </c>
      <c r="C11866" s="51" t="s">
        <v>782</v>
      </c>
      <c r="D11866" s="51" t="n">
        <v>0</v>
      </c>
    </row>
    <row r="11867" customFormat="false" ht="15" hidden="true" customHeight="false" outlineLevel="0" collapsed="false">
      <c r="A11867" s="51" t="s">
        <v>453</v>
      </c>
      <c r="B11867" s="55" t="n">
        <v>46022</v>
      </c>
      <c r="C11867" s="51" t="s">
        <v>782</v>
      </c>
      <c r="D11867" s="51" t="n">
        <v>0</v>
      </c>
    </row>
    <row r="11868" customFormat="false" ht="15" hidden="true" customHeight="false" outlineLevel="0" collapsed="false">
      <c r="A11868" s="51" t="s">
        <v>458</v>
      </c>
      <c r="B11868" s="55" t="n">
        <v>46022</v>
      </c>
      <c r="C11868" s="51" t="s">
        <v>782</v>
      </c>
      <c r="D11868" s="51" t="n">
        <v>0</v>
      </c>
    </row>
    <row r="11869" customFormat="false" ht="15" hidden="true" customHeight="false" outlineLevel="0" collapsed="false">
      <c r="A11869" s="51" t="s">
        <v>473</v>
      </c>
      <c r="B11869" s="55" t="n">
        <v>46022</v>
      </c>
      <c r="C11869" s="51" t="s">
        <v>782</v>
      </c>
      <c r="D11869" s="51" t="n">
        <v>0</v>
      </c>
    </row>
    <row r="11870" customFormat="false" ht="15" hidden="true" customHeight="false" outlineLevel="0" collapsed="false">
      <c r="A11870" s="51" t="s">
        <v>479</v>
      </c>
      <c r="B11870" s="55" t="n">
        <v>46022</v>
      </c>
      <c r="C11870" s="51" t="s">
        <v>782</v>
      </c>
      <c r="D11870" s="51" t="n">
        <v>0</v>
      </c>
    </row>
    <row r="11871" customFormat="false" ht="15" hidden="true" customHeight="false" outlineLevel="0" collapsed="false">
      <c r="A11871" s="51" t="s">
        <v>484</v>
      </c>
      <c r="B11871" s="55" t="n">
        <v>46022</v>
      </c>
      <c r="C11871" s="51" t="s">
        <v>782</v>
      </c>
      <c r="D11871" s="51" t="n">
        <v>0</v>
      </c>
    </row>
    <row r="11872" customFormat="false" ht="15" hidden="true" customHeight="false" outlineLevel="0" collapsed="false">
      <c r="A11872" s="51" t="s">
        <v>489</v>
      </c>
      <c r="B11872" s="55" t="n">
        <v>46022</v>
      </c>
      <c r="C11872" s="51" t="s">
        <v>782</v>
      </c>
      <c r="D11872" s="51" t="n">
        <v>0</v>
      </c>
    </row>
    <row r="11873" customFormat="false" ht="15" hidden="true" customHeight="false" outlineLevel="0" collapsed="false">
      <c r="A11873" s="51" t="s">
        <v>494</v>
      </c>
      <c r="B11873" s="55" t="n">
        <v>46022</v>
      </c>
      <c r="C11873" s="51" t="s">
        <v>782</v>
      </c>
      <c r="D11873" s="51" t="n">
        <v>0</v>
      </c>
    </row>
    <row r="11874" customFormat="false" ht="15" hidden="true" customHeight="false" outlineLevel="0" collapsed="false">
      <c r="A11874" s="51" t="s">
        <v>499</v>
      </c>
      <c r="B11874" s="55" t="n">
        <v>46022</v>
      </c>
      <c r="C11874" s="51" t="s">
        <v>782</v>
      </c>
      <c r="D11874" s="51" t="n">
        <v>0</v>
      </c>
    </row>
    <row r="11875" customFormat="false" ht="15" hidden="true" customHeight="false" outlineLevel="0" collapsed="false">
      <c r="A11875" s="51" t="s">
        <v>504</v>
      </c>
      <c r="B11875" s="55" t="n">
        <v>46022</v>
      </c>
      <c r="C11875" s="51" t="s">
        <v>782</v>
      </c>
      <c r="D11875" s="51" t="n">
        <v>0</v>
      </c>
    </row>
    <row r="11876" customFormat="false" ht="15" hidden="true" customHeight="false" outlineLevel="0" collapsed="false">
      <c r="A11876" s="51" t="s">
        <v>509</v>
      </c>
      <c r="B11876" s="55" t="n">
        <v>46022</v>
      </c>
      <c r="C11876" s="51" t="s">
        <v>782</v>
      </c>
      <c r="D11876" s="51" t="n">
        <v>65046.88</v>
      </c>
    </row>
    <row r="11877" customFormat="false" ht="15" hidden="true" customHeight="false" outlineLevel="0" collapsed="false">
      <c r="A11877" s="51" t="s">
        <v>515</v>
      </c>
      <c r="B11877" s="55" t="n">
        <v>46022</v>
      </c>
      <c r="C11877" s="51" t="s">
        <v>782</v>
      </c>
      <c r="D11877" s="51" t="n">
        <v>0</v>
      </c>
    </row>
    <row r="11878" customFormat="false" ht="15" hidden="true" customHeight="false" outlineLevel="0" collapsed="false">
      <c r="A11878" s="51" t="s">
        <v>520</v>
      </c>
      <c r="B11878" s="55" t="n">
        <v>46022</v>
      </c>
      <c r="C11878" s="51" t="s">
        <v>782</v>
      </c>
      <c r="D11878" s="51" t="n">
        <v>0</v>
      </c>
    </row>
    <row r="11879" customFormat="false" ht="15" hidden="true" customHeight="false" outlineLevel="0" collapsed="false">
      <c r="A11879" s="51" t="s">
        <v>525</v>
      </c>
      <c r="B11879" s="55" t="n">
        <v>46022</v>
      </c>
      <c r="C11879" s="51" t="s">
        <v>782</v>
      </c>
      <c r="D11879" s="51" t="n">
        <v>2805000</v>
      </c>
    </row>
    <row r="11880" customFormat="false" ht="15" hidden="true" customHeight="false" outlineLevel="0" collapsed="false">
      <c r="A11880" s="51" t="s">
        <v>531</v>
      </c>
      <c r="B11880" s="55" t="n">
        <v>46022</v>
      </c>
      <c r="C11880" s="51" t="s">
        <v>782</v>
      </c>
      <c r="D11880" s="51" t="n">
        <v>0</v>
      </c>
    </row>
    <row r="11881" customFormat="false" ht="15" hidden="true" customHeight="false" outlineLevel="0" collapsed="false">
      <c r="A11881" s="51" t="s">
        <v>536</v>
      </c>
      <c r="B11881" s="55" t="n">
        <v>46022</v>
      </c>
      <c r="C11881" s="51" t="s">
        <v>782</v>
      </c>
      <c r="D11881" s="51" t="n">
        <v>0</v>
      </c>
    </row>
    <row r="11882" customFormat="false" ht="15" hidden="true" customHeight="false" outlineLevel="0" collapsed="false">
      <c r="A11882" s="51" t="s">
        <v>541</v>
      </c>
      <c r="B11882" s="55" t="n">
        <v>46022</v>
      </c>
      <c r="C11882" s="51" t="s">
        <v>782</v>
      </c>
      <c r="D11882" s="51" t="n">
        <v>0</v>
      </c>
    </row>
    <row r="11883" customFormat="false" ht="15" hidden="true" customHeight="false" outlineLevel="0" collapsed="false">
      <c r="A11883" s="51" t="s">
        <v>549</v>
      </c>
      <c r="B11883" s="55" t="n">
        <v>46022</v>
      </c>
      <c r="C11883" s="51" t="s">
        <v>782</v>
      </c>
      <c r="D11883" s="51" t="n">
        <v>0</v>
      </c>
    </row>
    <row r="11884" customFormat="false" ht="15" hidden="true" customHeight="false" outlineLevel="0" collapsed="false">
      <c r="A11884" s="51" t="s">
        <v>554</v>
      </c>
      <c r="B11884" s="55" t="n">
        <v>46022</v>
      </c>
      <c r="C11884" s="51" t="s">
        <v>782</v>
      </c>
      <c r="D11884" s="51" t="n">
        <v>0</v>
      </c>
    </row>
    <row r="11885" customFormat="false" ht="15" hidden="true" customHeight="false" outlineLevel="0" collapsed="false">
      <c r="A11885" s="51" t="s">
        <v>559</v>
      </c>
      <c r="B11885" s="55" t="n">
        <v>46022</v>
      </c>
      <c r="C11885" s="51" t="s">
        <v>782</v>
      </c>
      <c r="D11885" s="51" t="n">
        <v>0</v>
      </c>
    </row>
    <row r="11886" customFormat="false" ht="15" hidden="true" customHeight="false" outlineLevel="0" collapsed="false">
      <c r="A11886" s="51" t="s">
        <v>564</v>
      </c>
      <c r="B11886" s="55" t="n">
        <v>46022</v>
      </c>
      <c r="C11886" s="51" t="s">
        <v>782</v>
      </c>
      <c r="D11886" s="51" t="n">
        <v>0</v>
      </c>
    </row>
    <row r="11887" customFormat="false" ht="15" hidden="true" customHeight="false" outlineLevel="0" collapsed="false">
      <c r="A11887" s="51" t="s">
        <v>569</v>
      </c>
      <c r="B11887" s="55" t="n">
        <v>46022</v>
      </c>
      <c r="C11887" s="51" t="s">
        <v>782</v>
      </c>
      <c r="D11887" s="51" t="n">
        <v>0</v>
      </c>
    </row>
    <row r="11888" customFormat="false" ht="15" hidden="true" customHeight="false" outlineLevel="0" collapsed="false">
      <c r="A11888" s="51" t="s">
        <v>574</v>
      </c>
      <c r="B11888" s="55" t="n">
        <v>46022</v>
      </c>
      <c r="C11888" s="51" t="s">
        <v>782</v>
      </c>
      <c r="D11888" s="51" t="n">
        <v>0</v>
      </c>
    </row>
    <row r="11889" customFormat="false" ht="15" hidden="true" customHeight="false" outlineLevel="0" collapsed="false">
      <c r="A11889" s="51" t="s">
        <v>579</v>
      </c>
      <c r="B11889" s="55" t="n">
        <v>46022</v>
      </c>
      <c r="C11889" s="51" t="s">
        <v>782</v>
      </c>
      <c r="D11889" s="51" t="n">
        <v>0</v>
      </c>
    </row>
    <row r="11890" customFormat="false" ht="15" hidden="true" customHeight="false" outlineLevel="0" collapsed="false">
      <c r="A11890" s="51" t="s">
        <v>584</v>
      </c>
      <c r="B11890" s="55" t="n">
        <v>46022</v>
      </c>
      <c r="C11890" s="51" t="s">
        <v>782</v>
      </c>
      <c r="D11890" s="51" t="n">
        <v>0</v>
      </c>
    </row>
    <row r="11891" customFormat="false" ht="15" hidden="true" customHeight="false" outlineLevel="0" collapsed="false">
      <c r="A11891" s="51" t="s">
        <v>589</v>
      </c>
      <c r="B11891" s="55" t="n">
        <v>46022</v>
      </c>
      <c r="C11891" s="51" t="s">
        <v>782</v>
      </c>
      <c r="D11891" s="51" t="n">
        <v>0</v>
      </c>
    </row>
    <row r="11892" customFormat="false" ht="15" hidden="true" customHeight="false" outlineLevel="0" collapsed="false">
      <c r="A11892" s="51" t="s">
        <v>756</v>
      </c>
      <c r="B11892" s="55" t="n">
        <v>46022</v>
      </c>
      <c r="C11892" s="51" t="s">
        <v>782</v>
      </c>
      <c r="D11892" s="51" t="n">
        <v>0</v>
      </c>
    </row>
    <row r="11893" customFormat="false" ht="15" hidden="true" customHeight="false" outlineLevel="0" collapsed="false">
      <c r="A11893" s="51" t="s">
        <v>594</v>
      </c>
      <c r="B11893" s="55" t="n">
        <v>46022</v>
      </c>
      <c r="C11893" s="51" t="s">
        <v>782</v>
      </c>
      <c r="D11893" s="51" t="n">
        <v>0</v>
      </c>
    </row>
    <row r="11894" customFormat="false" ht="15" hidden="true" customHeight="false" outlineLevel="0" collapsed="false">
      <c r="A11894" s="51" t="s">
        <v>761</v>
      </c>
      <c r="B11894" s="55" t="n">
        <v>46022</v>
      </c>
      <c r="C11894" s="51" t="s">
        <v>782</v>
      </c>
      <c r="D11894" s="51" t="n">
        <v>0</v>
      </c>
    </row>
    <row r="11895" customFormat="false" ht="15" hidden="true" customHeight="false" outlineLevel="0" collapsed="false">
      <c r="A11895" s="51" t="s">
        <v>599</v>
      </c>
      <c r="B11895" s="55" t="n">
        <v>46022</v>
      </c>
      <c r="C11895" s="51" t="s">
        <v>782</v>
      </c>
      <c r="D11895" s="51" t="n">
        <v>0</v>
      </c>
    </row>
    <row r="11896" customFormat="false" ht="15" hidden="true" customHeight="false" outlineLevel="0" collapsed="false">
      <c r="A11896" s="51" t="s">
        <v>604</v>
      </c>
      <c r="B11896" s="55" t="n">
        <v>46022</v>
      </c>
      <c r="C11896" s="51" t="s">
        <v>782</v>
      </c>
      <c r="D11896" s="51" t="n">
        <v>0</v>
      </c>
    </row>
    <row r="11897" customFormat="false" ht="15" hidden="true" customHeight="false" outlineLevel="0" collapsed="false">
      <c r="A11897" s="51" t="s">
        <v>609</v>
      </c>
      <c r="B11897" s="55" t="n">
        <v>46022</v>
      </c>
      <c r="C11897" s="51" t="s">
        <v>782</v>
      </c>
      <c r="D11897" s="51" t="n">
        <v>0</v>
      </c>
    </row>
    <row r="11898" customFormat="false" ht="15" hidden="true" customHeight="false" outlineLevel="0" collapsed="false">
      <c r="A11898" s="51" t="s">
        <v>614</v>
      </c>
      <c r="B11898" s="55" t="n">
        <v>46022</v>
      </c>
      <c r="C11898" s="51" t="s">
        <v>782</v>
      </c>
      <c r="D11898" s="51" t="n">
        <v>0</v>
      </c>
    </row>
    <row r="11899" customFormat="false" ht="15" hidden="true" customHeight="false" outlineLevel="0" collapsed="false">
      <c r="A11899" s="51" t="s">
        <v>619</v>
      </c>
      <c r="B11899" s="55" t="n">
        <v>46022</v>
      </c>
      <c r="C11899" s="51" t="s">
        <v>782</v>
      </c>
      <c r="D11899" s="51" t="n">
        <v>0</v>
      </c>
    </row>
    <row r="11900" customFormat="false" ht="15" hidden="true" customHeight="false" outlineLevel="0" collapsed="false">
      <c r="A11900" s="51" t="s">
        <v>624</v>
      </c>
      <c r="B11900" s="55" t="n">
        <v>46022</v>
      </c>
      <c r="C11900" s="51" t="s">
        <v>782</v>
      </c>
      <c r="D11900" s="51" t="n">
        <v>0</v>
      </c>
    </row>
    <row r="11901" customFormat="false" ht="15" hidden="true" customHeight="false" outlineLevel="0" collapsed="false">
      <c r="A11901" s="51" t="s">
        <v>629</v>
      </c>
      <c r="B11901" s="55" t="n">
        <v>46022</v>
      </c>
      <c r="C11901" s="51" t="s">
        <v>782</v>
      </c>
      <c r="D11901" s="51" t="n">
        <v>0</v>
      </c>
    </row>
    <row r="11902" customFormat="false" ht="15" hidden="true" customHeight="false" outlineLevel="0" collapsed="false">
      <c r="A11902" s="51" t="s">
        <v>633</v>
      </c>
      <c r="B11902" s="55" t="n">
        <v>46022</v>
      </c>
      <c r="C11902" s="51" t="s">
        <v>782</v>
      </c>
      <c r="D11902" s="51" t="n">
        <v>0</v>
      </c>
    </row>
    <row r="11903" customFormat="false" ht="15" hidden="true" customHeight="false" outlineLevel="0" collapsed="false">
      <c r="A11903" s="51" t="s">
        <v>638</v>
      </c>
      <c r="B11903" s="55" t="n">
        <v>46022</v>
      </c>
      <c r="C11903" s="51" t="s">
        <v>782</v>
      </c>
      <c r="D11903" s="51" t="n">
        <v>0</v>
      </c>
    </row>
    <row r="11904" customFormat="false" ht="15" hidden="true" customHeight="false" outlineLevel="0" collapsed="false">
      <c r="A11904" s="51" t="s">
        <v>642</v>
      </c>
      <c r="B11904" s="55" t="n">
        <v>46022</v>
      </c>
      <c r="C11904" s="51" t="s">
        <v>782</v>
      </c>
      <c r="D11904" s="51" t="n">
        <v>0</v>
      </c>
    </row>
    <row r="11905" customFormat="false" ht="15" hidden="true" customHeight="false" outlineLevel="0" collapsed="false">
      <c r="A11905" s="51" t="s">
        <v>646</v>
      </c>
      <c r="B11905" s="55" t="n">
        <v>46022</v>
      </c>
      <c r="C11905" s="51" t="s">
        <v>782</v>
      </c>
      <c r="D11905" s="51" t="n">
        <v>0</v>
      </c>
    </row>
    <row r="11906" customFormat="false" ht="15" hidden="true" customHeight="false" outlineLevel="0" collapsed="false">
      <c r="A11906" s="51" t="s">
        <v>651</v>
      </c>
      <c r="B11906" s="55" t="n">
        <v>46022</v>
      </c>
      <c r="C11906" s="51" t="s">
        <v>782</v>
      </c>
      <c r="D11906" s="51" t="n">
        <v>0</v>
      </c>
    </row>
    <row r="11907" customFormat="false" ht="15" hidden="true" customHeight="false" outlineLevel="0" collapsed="false">
      <c r="A11907" s="51" t="s">
        <v>656</v>
      </c>
      <c r="B11907" s="55" t="n">
        <v>46022</v>
      </c>
      <c r="C11907" s="51" t="s">
        <v>782</v>
      </c>
      <c r="D11907" s="51" t="n">
        <v>0</v>
      </c>
    </row>
    <row r="11908" customFormat="false" ht="15" hidden="true" customHeight="false" outlineLevel="0" collapsed="false">
      <c r="A11908" s="51" t="s">
        <v>661</v>
      </c>
      <c r="B11908" s="55" t="n">
        <v>46022</v>
      </c>
      <c r="C11908" s="51" t="s">
        <v>782</v>
      </c>
      <c r="D11908" s="51" t="n">
        <v>0</v>
      </c>
    </row>
    <row r="11909" customFormat="false" ht="15" hidden="true" customHeight="false" outlineLevel="0" collapsed="false">
      <c r="A11909" s="51" t="s">
        <v>666</v>
      </c>
      <c r="B11909" s="55" t="n">
        <v>46022</v>
      </c>
      <c r="C11909" s="51" t="s">
        <v>782</v>
      </c>
      <c r="D11909" s="51" t="n">
        <v>0</v>
      </c>
    </row>
    <row r="11910" customFormat="false" ht="15" hidden="true" customHeight="false" outlineLevel="0" collapsed="false">
      <c r="A11910" s="51" t="s">
        <v>671</v>
      </c>
      <c r="B11910" s="55" t="n">
        <v>46022</v>
      </c>
      <c r="C11910" s="51" t="s">
        <v>782</v>
      </c>
      <c r="D11910" s="51" t="n">
        <v>0</v>
      </c>
    </row>
    <row r="11911" customFormat="false" ht="15" hidden="true" customHeight="false" outlineLevel="0" collapsed="false">
      <c r="A11911" s="51" t="s">
        <v>676</v>
      </c>
      <c r="B11911" s="55" t="n">
        <v>46022</v>
      </c>
      <c r="C11911" s="51" t="s">
        <v>782</v>
      </c>
      <c r="D11911" s="51" t="n">
        <v>0</v>
      </c>
    </row>
    <row r="11912" customFormat="false" ht="15" hidden="true" customHeight="false" outlineLevel="0" collapsed="false">
      <c r="A11912" s="51" t="s">
        <v>681</v>
      </c>
      <c r="B11912" s="55" t="n">
        <v>46022</v>
      </c>
      <c r="C11912" s="51" t="s">
        <v>782</v>
      </c>
      <c r="D11912" s="51" t="n">
        <v>0</v>
      </c>
    </row>
    <row r="11913" customFormat="false" ht="15" hidden="true" customHeight="false" outlineLevel="0" collapsed="false">
      <c r="A11913" s="51" t="s">
        <v>686</v>
      </c>
      <c r="B11913" s="55" t="n">
        <v>46022</v>
      </c>
      <c r="C11913" s="51" t="s">
        <v>782</v>
      </c>
      <c r="D11913" s="51" t="n">
        <v>0</v>
      </c>
    </row>
    <row r="11914" customFormat="false" ht="15" hidden="true" customHeight="false" outlineLevel="0" collapsed="false">
      <c r="A11914" s="51" t="s">
        <v>691</v>
      </c>
      <c r="B11914" s="55" t="n">
        <v>46022</v>
      </c>
      <c r="C11914" s="51" t="s">
        <v>782</v>
      </c>
      <c r="D11914" s="51" t="n">
        <v>0</v>
      </c>
    </row>
    <row r="11915" customFormat="false" ht="15" hidden="true" customHeight="false" outlineLevel="0" collapsed="false">
      <c r="A11915" s="51" t="s">
        <v>696</v>
      </c>
      <c r="B11915" s="55" t="n">
        <v>46022</v>
      </c>
      <c r="C11915" s="51" t="s">
        <v>782</v>
      </c>
      <c r="D11915" s="51" t="n">
        <v>0</v>
      </c>
    </row>
    <row r="11916" customFormat="false" ht="15" hidden="true" customHeight="false" outlineLevel="0" collapsed="false">
      <c r="A11916" s="51" t="s">
        <v>701</v>
      </c>
      <c r="B11916" s="55" t="n">
        <v>46022</v>
      </c>
      <c r="C11916" s="51" t="s">
        <v>782</v>
      </c>
      <c r="D11916" s="51" t="n">
        <v>0</v>
      </c>
    </row>
    <row r="11917" customFormat="false" ht="15" hidden="true" customHeight="false" outlineLevel="0" collapsed="false">
      <c r="A11917" s="51" t="s">
        <v>707</v>
      </c>
      <c r="B11917" s="55" t="n">
        <v>46022</v>
      </c>
      <c r="C11917" s="51" t="s">
        <v>782</v>
      </c>
      <c r="D11917" s="51" t="n">
        <v>0</v>
      </c>
    </row>
    <row r="11918" customFormat="false" ht="15" hidden="true" customHeight="false" outlineLevel="0" collapsed="false">
      <c r="A11918" s="51" t="s">
        <v>712</v>
      </c>
      <c r="B11918" s="55" t="n">
        <v>46022</v>
      </c>
      <c r="C11918" s="51" t="s">
        <v>782</v>
      </c>
      <c r="D11918" s="51" t="n">
        <v>0</v>
      </c>
    </row>
    <row r="11919" customFormat="false" ht="15" hidden="true" customHeight="false" outlineLevel="0" collapsed="false">
      <c r="A11919" s="51" t="s">
        <v>717</v>
      </c>
      <c r="B11919" s="55" t="n">
        <v>46022</v>
      </c>
      <c r="C11919" s="51" t="s">
        <v>782</v>
      </c>
      <c r="D11919" s="51" t="n">
        <v>0</v>
      </c>
    </row>
    <row r="11920" customFormat="false" ht="15" hidden="true" customHeight="false" outlineLevel="0" collapsed="false">
      <c r="A11920" s="51" t="s">
        <v>767</v>
      </c>
      <c r="B11920" s="55" t="n">
        <v>46022</v>
      </c>
      <c r="C11920" s="51" t="s">
        <v>782</v>
      </c>
      <c r="D11920" s="51" t="n">
        <v>0</v>
      </c>
    </row>
    <row r="11921" customFormat="false" ht="15" hidden="true" customHeight="false" outlineLevel="0" collapsed="false">
      <c r="A11921" s="51" t="s">
        <v>722</v>
      </c>
      <c r="B11921" s="55" t="n">
        <v>46022</v>
      </c>
      <c r="C11921" s="51" t="s">
        <v>782</v>
      </c>
      <c r="D11921" s="51" t="n">
        <v>0</v>
      </c>
    </row>
    <row r="11922" customFormat="false" ht="15" hidden="true" customHeight="false" outlineLevel="0" collapsed="false">
      <c r="A11922" s="51" t="s">
        <v>727</v>
      </c>
      <c r="B11922" s="55" t="n">
        <v>46022</v>
      </c>
      <c r="C11922" s="51" t="s">
        <v>782</v>
      </c>
      <c r="D11922" s="51" t="n">
        <v>0</v>
      </c>
    </row>
    <row r="11923" customFormat="false" ht="15" hidden="true" customHeight="false" outlineLevel="0" collapsed="false">
      <c r="A11923" s="51" t="s">
        <v>732</v>
      </c>
      <c r="B11923" s="55" t="n">
        <v>46022</v>
      </c>
      <c r="C11923" s="51" t="s">
        <v>782</v>
      </c>
      <c r="D11923" s="51" t="n">
        <v>0</v>
      </c>
    </row>
    <row r="11924" customFormat="false" ht="15" hidden="true" customHeight="false" outlineLevel="0" collapsed="false">
      <c r="A11924" s="51" t="s">
        <v>736</v>
      </c>
      <c r="B11924" s="55" t="n">
        <v>46022</v>
      </c>
      <c r="C11924" s="51" t="s">
        <v>782</v>
      </c>
      <c r="D11924" s="51" t="n">
        <v>0</v>
      </c>
    </row>
    <row r="11925" customFormat="false" ht="15" hidden="true" customHeight="false" outlineLevel="0" collapsed="false">
      <c r="A11925" s="51" t="s">
        <v>741</v>
      </c>
      <c r="B11925" s="55" t="n">
        <v>46022</v>
      </c>
      <c r="C11925" s="51" t="s">
        <v>782</v>
      </c>
      <c r="D11925" s="51" t="n">
        <v>0</v>
      </c>
    </row>
    <row r="11926" customFormat="false" ht="15" hidden="true" customHeight="false" outlineLevel="0" collapsed="false">
      <c r="A11926" s="51" t="s">
        <v>746</v>
      </c>
      <c r="B11926" s="55" t="n">
        <v>46022</v>
      </c>
      <c r="C11926" s="51" t="s">
        <v>782</v>
      </c>
      <c r="D11926" s="51" t="n">
        <v>0</v>
      </c>
    </row>
    <row r="11927" customFormat="false" ht="15" hidden="true" customHeight="false" outlineLevel="0" collapsed="false">
      <c r="A11927" s="51" t="s">
        <v>751</v>
      </c>
      <c r="B11927" s="55" t="n">
        <v>46022</v>
      </c>
      <c r="C11927" s="51" t="s">
        <v>782</v>
      </c>
      <c r="D11927" s="51" t="n">
        <v>0</v>
      </c>
    </row>
    <row r="11928" customFormat="false" ht="15" hidden="false" customHeight="false" outlineLevel="0" collapsed="false">
      <c r="A11928" s="51" t="s">
        <v>781</v>
      </c>
      <c r="B11928" s="55" t="n">
        <v>46022</v>
      </c>
      <c r="C11928" s="51" t="s">
        <v>82</v>
      </c>
      <c r="D11928" s="51" t="n">
        <v>0</v>
      </c>
    </row>
    <row r="11929" customFormat="false" ht="15" hidden="true" customHeight="false" outlineLevel="0" collapsed="false">
      <c r="A11929" s="51" t="s">
        <v>783</v>
      </c>
      <c r="B11929" s="55" t="n">
        <v>46022</v>
      </c>
      <c r="C11929" s="51" t="s">
        <v>82</v>
      </c>
      <c r="D11929" s="51" t="n">
        <v>0</v>
      </c>
    </row>
    <row r="11930" customFormat="false" ht="15" hidden="true" customHeight="false" outlineLevel="0" collapsed="false">
      <c r="A11930" s="51" t="s">
        <v>96</v>
      </c>
      <c r="B11930" s="55" t="n">
        <v>46022</v>
      </c>
      <c r="C11930" s="51" t="s">
        <v>82</v>
      </c>
      <c r="D11930" s="51" t="n">
        <v>0</v>
      </c>
    </row>
    <row r="11931" customFormat="false" ht="15" hidden="true" customHeight="false" outlineLevel="0" collapsed="false">
      <c r="A11931" s="51" t="s">
        <v>101</v>
      </c>
      <c r="B11931" s="55" t="n">
        <v>46022</v>
      </c>
      <c r="C11931" s="51" t="s">
        <v>82</v>
      </c>
      <c r="D11931" s="51" t="n">
        <v>0</v>
      </c>
    </row>
    <row r="11932" customFormat="false" ht="15" hidden="true" customHeight="false" outlineLevel="0" collapsed="false">
      <c r="A11932" s="51" t="s">
        <v>106</v>
      </c>
      <c r="B11932" s="55" t="n">
        <v>46022</v>
      </c>
      <c r="C11932" s="51" t="s">
        <v>82</v>
      </c>
      <c r="D11932" s="51" t="n">
        <v>0</v>
      </c>
    </row>
    <row r="11933" customFormat="false" ht="15" hidden="true" customHeight="false" outlineLevel="0" collapsed="false">
      <c r="A11933" s="51" t="s">
        <v>110</v>
      </c>
      <c r="B11933" s="55" t="n">
        <v>46022</v>
      </c>
      <c r="C11933" s="51" t="s">
        <v>82</v>
      </c>
      <c r="D11933" s="51" t="n">
        <v>0</v>
      </c>
    </row>
    <row r="11934" customFormat="false" ht="15" hidden="true" customHeight="false" outlineLevel="0" collapsed="false">
      <c r="A11934" s="51" t="s">
        <v>115</v>
      </c>
      <c r="B11934" s="55" t="n">
        <v>46022</v>
      </c>
      <c r="C11934" s="51" t="s">
        <v>82</v>
      </c>
      <c r="D11934" s="51" t="n">
        <v>0</v>
      </c>
    </row>
    <row r="11935" customFormat="false" ht="15" hidden="true" customHeight="false" outlineLevel="0" collapsed="false">
      <c r="A11935" s="51" t="s">
        <v>120</v>
      </c>
      <c r="B11935" s="55" t="n">
        <v>46022</v>
      </c>
      <c r="C11935" s="51" t="s">
        <v>82</v>
      </c>
      <c r="D11935" s="51" t="n">
        <v>0</v>
      </c>
    </row>
    <row r="11936" customFormat="false" ht="15" hidden="true" customHeight="false" outlineLevel="0" collapsed="false">
      <c r="A11936" s="51" t="s">
        <v>124</v>
      </c>
      <c r="B11936" s="55" t="n">
        <v>46022</v>
      </c>
      <c r="C11936" s="51" t="s">
        <v>82</v>
      </c>
      <c r="D11936" s="51" t="n">
        <v>0</v>
      </c>
    </row>
    <row r="11937" customFormat="false" ht="15" hidden="true" customHeight="false" outlineLevel="0" collapsed="false">
      <c r="A11937" s="51" t="s">
        <v>129</v>
      </c>
      <c r="B11937" s="55" t="n">
        <v>46022</v>
      </c>
      <c r="C11937" s="51" t="s">
        <v>82</v>
      </c>
      <c r="D11937" s="51" t="n">
        <v>0</v>
      </c>
    </row>
    <row r="11938" customFormat="false" ht="15" hidden="true" customHeight="false" outlineLevel="0" collapsed="false">
      <c r="A11938" s="51" t="s">
        <v>134</v>
      </c>
      <c r="B11938" s="55" t="n">
        <v>46022</v>
      </c>
      <c r="C11938" s="51" t="s">
        <v>82</v>
      </c>
      <c r="D11938" s="51" t="n">
        <v>0</v>
      </c>
    </row>
    <row r="11939" customFormat="false" ht="15" hidden="true" customHeight="false" outlineLevel="0" collapsed="false">
      <c r="A11939" s="51" t="s">
        <v>141</v>
      </c>
      <c r="B11939" s="55" t="n">
        <v>46022</v>
      </c>
      <c r="C11939" s="51" t="s">
        <v>82</v>
      </c>
      <c r="D11939" s="51" t="n">
        <v>0</v>
      </c>
    </row>
    <row r="11940" customFormat="false" ht="15" hidden="true" customHeight="false" outlineLevel="0" collapsed="false">
      <c r="A11940" s="51" t="s">
        <v>146</v>
      </c>
      <c r="B11940" s="55" t="n">
        <v>46022</v>
      </c>
      <c r="C11940" s="51" t="s">
        <v>82</v>
      </c>
      <c r="D11940" s="51" t="n">
        <v>0</v>
      </c>
    </row>
    <row r="11941" customFormat="false" ht="15" hidden="true" customHeight="false" outlineLevel="0" collapsed="false">
      <c r="A11941" s="51" t="s">
        <v>151</v>
      </c>
      <c r="B11941" s="55" t="n">
        <v>46022</v>
      </c>
      <c r="C11941" s="51" t="s">
        <v>82</v>
      </c>
      <c r="D11941" s="51" t="n">
        <v>0</v>
      </c>
    </row>
    <row r="11942" customFormat="false" ht="15" hidden="true" customHeight="false" outlineLevel="0" collapsed="false">
      <c r="A11942" s="51" t="s">
        <v>156</v>
      </c>
      <c r="B11942" s="55" t="n">
        <v>46022</v>
      </c>
      <c r="C11942" s="51" t="s">
        <v>82</v>
      </c>
      <c r="D11942" s="51" t="n">
        <v>0</v>
      </c>
    </row>
    <row r="11943" customFormat="false" ht="15" hidden="true" customHeight="false" outlineLevel="0" collapsed="false">
      <c r="A11943" s="51" t="s">
        <v>161</v>
      </c>
      <c r="B11943" s="55" t="n">
        <v>46022</v>
      </c>
      <c r="C11943" s="51" t="s">
        <v>82</v>
      </c>
      <c r="D11943" s="51" t="n">
        <v>0</v>
      </c>
    </row>
    <row r="11944" customFormat="false" ht="15" hidden="true" customHeight="false" outlineLevel="0" collapsed="false">
      <c r="A11944" s="51" t="s">
        <v>166</v>
      </c>
      <c r="B11944" s="55" t="n">
        <v>46022</v>
      </c>
      <c r="C11944" s="51" t="s">
        <v>82</v>
      </c>
      <c r="D11944" s="51" t="n">
        <v>0</v>
      </c>
    </row>
    <row r="11945" customFormat="false" ht="15" hidden="true" customHeight="false" outlineLevel="0" collapsed="false">
      <c r="A11945" s="51" t="s">
        <v>171</v>
      </c>
      <c r="B11945" s="55" t="n">
        <v>46022</v>
      </c>
      <c r="C11945" s="51" t="s">
        <v>82</v>
      </c>
      <c r="D11945" s="51" t="n">
        <v>0</v>
      </c>
    </row>
    <row r="11946" customFormat="false" ht="15" hidden="true" customHeight="false" outlineLevel="0" collapsed="false">
      <c r="A11946" s="51" t="s">
        <v>176</v>
      </c>
      <c r="B11946" s="55" t="n">
        <v>46022</v>
      </c>
      <c r="C11946" s="51" t="s">
        <v>82</v>
      </c>
      <c r="D11946" s="51" t="n">
        <v>0</v>
      </c>
    </row>
    <row r="11947" customFormat="false" ht="15" hidden="true" customHeight="false" outlineLevel="0" collapsed="false">
      <c r="A11947" s="51" t="s">
        <v>181</v>
      </c>
      <c r="B11947" s="55" t="n">
        <v>46022</v>
      </c>
      <c r="C11947" s="51" t="s">
        <v>82</v>
      </c>
      <c r="D11947" s="51" t="n">
        <v>0</v>
      </c>
    </row>
    <row r="11948" customFormat="false" ht="15" hidden="true" customHeight="false" outlineLevel="0" collapsed="false">
      <c r="A11948" s="51" t="s">
        <v>186</v>
      </c>
      <c r="B11948" s="55" t="n">
        <v>46022</v>
      </c>
      <c r="C11948" s="51" t="s">
        <v>82</v>
      </c>
      <c r="D11948" s="51" t="n">
        <v>0</v>
      </c>
    </row>
    <row r="11949" customFormat="false" ht="15" hidden="true" customHeight="false" outlineLevel="0" collapsed="false">
      <c r="A11949" s="51" t="s">
        <v>191</v>
      </c>
      <c r="B11949" s="55" t="n">
        <v>46022</v>
      </c>
      <c r="C11949" s="51" t="s">
        <v>82</v>
      </c>
      <c r="D11949" s="51" t="n">
        <v>0</v>
      </c>
    </row>
    <row r="11950" customFormat="false" ht="15" hidden="true" customHeight="false" outlineLevel="0" collapsed="false">
      <c r="A11950" s="51" t="s">
        <v>196</v>
      </c>
      <c r="B11950" s="55" t="n">
        <v>46022</v>
      </c>
      <c r="C11950" s="51" t="s">
        <v>82</v>
      </c>
      <c r="D11950" s="51" t="n">
        <v>0</v>
      </c>
    </row>
    <row r="11951" customFormat="false" ht="15" hidden="true" customHeight="false" outlineLevel="0" collapsed="false">
      <c r="A11951" s="51" t="s">
        <v>201</v>
      </c>
      <c r="B11951" s="55" t="n">
        <v>46022</v>
      </c>
      <c r="C11951" s="51" t="s">
        <v>82</v>
      </c>
      <c r="D11951" s="51" t="n">
        <v>0</v>
      </c>
    </row>
    <row r="11952" customFormat="false" ht="15" hidden="true" customHeight="false" outlineLevel="0" collapsed="false">
      <c r="A11952" s="51" t="s">
        <v>206</v>
      </c>
      <c r="B11952" s="55" t="n">
        <v>46022</v>
      </c>
      <c r="C11952" s="51" t="s">
        <v>82</v>
      </c>
      <c r="D11952" s="51" t="n">
        <v>0</v>
      </c>
    </row>
    <row r="11953" customFormat="false" ht="15" hidden="true" customHeight="false" outlineLevel="0" collapsed="false">
      <c r="A11953" s="51" t="s">
        <v>210</v>
      </c>
      <c r="B11953" s="55" t="n">
        <v>46022</v>
      </c>
      <c r="C11953" s="51" t="s">
        <v>82</v>
      </c>
      <c r="D11953" s="51" t="n">
        <v>0</v>
      </c>
    </row>
    <row r="11954" customFormat="false" ht="15" hidden="true" customHeight="false" outlineLevel="0" collapsed="false">
      <c r="A11954" s="51" t="s">
        <v>215</v>
      </c>
      <c r="B11954" s="55" t="n">
        <v>46022</v>
      </c>
      <c r="C11954" s="51" t="s">
        <v>82</v>
      </c>
      <c r="D11954" s="51" t="n">
        <v>0</v>
      </c>
    </row>
    <row r="11955" customFormat="false" ht="15" hidden="true" customHeight="false" outlineLevel="0" collapsed="false">
      <c r="A11955" s="51" t="s">
        <v>790</v>
      </c>
      <c r="B11955" s="55" t="n">
        <v>46022</v>
      </c>
      <c r="C11955" s="51" t="s">
        <v>82</v>
      </c>
      <c r="D11955" s="51" t="n">
        <v>0</v>
      </c>
    </row>
    <row r="11956" customFormat="false" ht="15" hidden="true" customHeight="false" outlineLevel="0" collapsed="false">
      <c r="A11956" s="51" t="s">
        <v>225</v>
      </c>
      <c r="B11956" s="55" t="n">
        <v>46022</v>
      </c>
      <c r="C11956" s="51" t="s">
        <v>82</v>
      </c>
      <c r="D11956" s="51" t="n">
        <v>0</v>
      </c>
    </row>
    <row r="11957" customFormat="false" ht="15" hidden="true" customHeight="false" outlineLevel="0" collapsed="false">
      <c r="A11957" s="51" t="s">
        <v>230</v>
      </c>
      <c r="B11957" s="55" t="n">
        <v>46022</v>
      </c>
      <c r="C11957" s="51" t="s">
        <v>82</v>
      </c>
      <c r="D11957" s="51" t="n">
        <v>0</v>
      </c>
    </row>
    <row r="11958" customFormat="false" ht="15" hidden="true" customHeight="false" outlineLevel="0" collapsed="false">
      <c r="A11958" s="51" t="s">
        <v>235</v>
      </c>
      <c r="B11958" s="55" t="n">
        <v>46022</v>
      </c>
      <c r="C11958" s="51" t="s">
        <v>82</v>
      </c>
      <c r="D11958" s="51" t="n">
        <v>0</v>
      </c>
    </row>
    <row r="11959" customFormat="false" ht="15" hidden="true" customHeight="false" outlineLevel="0" collapsed="false">
      <c r="A11959" s="51" t="s">
        <v>240</v>
      </c>
      <c r="B11959" s="55" t="n">
        <v>46022</v>
      </c>
      <c r="C11959" s="51" t="s">
        <v>82</v>
      </c>
      <c r="D11959" s="51" t="n">
        <v>0</v>
      </c>
    </row>
    <row r="11960" customFormat="false" ht="15" hidden="true" customHeight="false" outlineLevel="0" collapsed="false">
      <c r="A11960" s="51" t="s">
        <v>246</v>
      </c>
      <c r="B11960" s="55" t="n">
        <v>46022</v>
      </c>
      <c r="C11960" s="51" t="s">
        <v>82</v>
      </c>
      <c r="D11960" s="51" t="n">
        <v>0</v>
      </c>
    </row>
    <row r="11961" customFormat="false" ht="15" hidden="true" customHeight="false" outlineLevel="0" collapsed="false">
      <c r="A11961" s="51" t="s">
        <v>252</v>
      </c>
      <c r="B11961" s="55" t="n">
        <v>46022</v>
      </c>
      <c r="C11961" s="51" t="s">
        <v>82</v>
      </c>
      <c r="D11961" s="51" t="n">
        <v>0</v>
      </c>
    </row>
    <row r="11962" customFormat="false" ht="15" hidden="true" customHeight="false" outlineLevel="0" collapsed="false">
      <c r="A11962" s="51" t="s">
        <v>257</v>
      </c>
      <c r="B11962" s="55" t="n">
        <v>46022</v>
      </c>
      <c r="C11962" s="51" t="s">
        <v>82</v>
      </c>
      <c r="D11962" s="51" t="n">
        <v>0</v>
      </c>
    </row>
    <row r="11963" customFormat="false" ht="15" hidden="true" customHeight="false" outlineLevel="0" collapsed="false">
      <c r="A11963" s="51" t="s">
        <v>262</v>
      </c>
      <c r="B11963" s="55" t="n">
        <v>46022</v>
      </c>
      <c r="C11963" s="51" t="s">
        <v>82</v>
      </c>
      <c r="D11963" s="51" t="n">
        <v>0</v>
      </c>
    </row>
    <row r="11964" customFormat="false" ht="15" hidden="true" customHeight="false" outlineLevel="0" collapsed="false">
      <c r="A11964" s="51" t="s">
        <v>267</v>
      </c>
      <c r="B11964" s="55" t="n">
        <v>46022</v>
      </c>
      <c r="C11964" s="51" t="s">
        <v>82</v>
      </c>
      <c r="D11964" s="51" t="n">
        <v>0</v>
      </c>
    </row>
    <row r="11965" customFormat="false" ht="15" hidden="true" customHeight="false" outlineLevel="0" collapsed="false">
      <c r="A11965" s="51" t="s">
        <v>272</v>
      </c>
      <c r="B11965" s="55" t="n">
        <v>46022</v>
      </c>
      <c r="C11965" s="51" t="s">
        <v>82</v>
      </c>
      <c r="D11965" s="51" t="n">
        <v>0</v>
      </c>
    </row>
    <row r="11966" customFormat="false" ht="15" hidden="true" customHeight="false" outlineLevel="0" collapsed="false">
      <c r="A11966" s="51" t="s">
        <v>277</v>
      </c>
      <c r="B11966" s="55" t="n">
        <v>46022</v>
      </c>
      <c r="C11966" s="51" t="s">
        <v>82</v>
      </c>
      <c r="D11966" s="51" t="n">
        <v>0</v>
      </c>
    </row>
    <row r="11967" customFormat="false" ht="15" hidden="true" customHeight="false" outlineLevel="0" collapsed="false">
      <c r="A11967" s="51" t="s">
        <v>282</v>
      </c>
      <c r="B11967" s="55" t="n">
        <v>46022</v>
      </c>
      <c r="C11967" s="51" t="s">
        <v>82</v>
      </c>
      <c r="D11967" s="51" t="n">
        <v>0</v>
      </c>
    </row>
    <row r="11968" customFormat="false" ht="15" hidden="true" customHeight="false" outlineLevel="0" collapsed="false">
      <c r="A11968" s="51" t="s">
        <v>287</v>
      </c>
      <c r="B11968" s="55" t="n">
        <v>46022</v>
      </c>
      <c r="C11968" s="51" t="s">
        <v>82</v>
      </c>
      <c r="D11968" s="51" t="n">
        <v>0</v>
      </c>
    </row>
    <row r="11969" customFormat="false" ht="15" hidden="true" customHeight="false" outlineLevel="0" collapsed="false">
      <c r="A11969" s="51" t="s">
        <v>292</v>
      </c>
      <c r="B11969" s="55" t="n">
        <v>46022</v>
      </c>
      <c r="C11969" s="51" t="s">
        <v>82</v>
      </c>
      <c r="D11969" s="51" t="n">
        <v>0</v>
      </c>
    </row>
    <row r="11970" customFormat="false" ht="15" hidden="true" customHeight="false" outlineLevel="0" collapsed="false">
      <c r="A11970" s="51" t="s">
        <v>297</v>
      </c>
      <c r="B11970" s="55" t="n">
        <v>46022</v>
      </c>
      <c r="C11970" s="51" t="s">
        <v>82</v>
      </c>
      <c r="D11970" s="51" t="n">
        <v>0</v>
      </c>
    </row>
    <row r="11971" customFormat="false" ht="15" hidden="true" customHeight="false" outlineLevel="0" collapsed="false">
      <c r="A11971" s="51" t="s">
        <v>302</v>
      </c>
      <c r="B11971" s="55" t="n">
        <v>46022</v>
      </c>
      <c r="C11971" s="51" t="s">
        <v>82</v>
      </c>
      <c r="D11971" s="51" t="n">
        <v>0</v>
      </c>
    </row>
    <row r="11972" customFormat="false" ht="15" hidden="true" customHeight="false" outlineLevel="0" collapsed="false">
      <c r="A11972" s="51" t="s">
        <v>307</v>
      </c>
      <c r="B11972" s="55" t="n">
        <v>46022</v>
      </c>
      <c r="C11972" s="51" t="s">
        <v>82</v>
      </c>
      <c r="D11972" s="51" t="n">
        <v>0</v>
      </c>
    </row>
    <row r="11973" customFormat="false" ht="15" hidden="true" customHeight="false" outlineLevel="0" collapsed="false">
      <c r="A11973" s="51" t="s">
        <v>311</v>
      </c>
      <c r="B11973" s="55" t="n">
        <v>46022</v>
      </c>
      <c r="C11973" s="51" t="s">
        <v>82</v>
      </c>
      <c r="D11973" s="51" t="n">
        <v>0</v>
      </c>
    </row>
    <row r="11974" customFormat="false" ht="15" hidden="true" customHeight="false" outlineLevel="0" collapsed="false">
      <c r="A11974" s="51" t="s">
        <v>317</v>
      </c>
      <c r="B11974" s="55" t="n">
        <v>46022</v>
      </c>
      <c r="C11974" s="51" t="s">
        <v>82</v>
      </c>
      <c r="D11974" s="51" t="n">
        <v>0</v>
      </c>
    </row>
    <row r="11975" customFormat="false" ht="15" hidden="true" customHeight="false" outlineLevel="0" collapsed="false">
      <c r="A11975" s="51" t="s">
        <v>322</v>
      </c>
      <c r="B11975" s="55" t="n">
        <v>46022</v>
      </c>
      <c r="C11975" s="51" t="s">
        <v>82</v>
      </c>
      <c r="D11975" s="51" t="n">
        <v>0</v>
      </c>
    </row>
    <row r="11976" customFormat="false" ht="15" hidden="true" customHeight="false" outlineLevel="0" collapsed="false">
      <c r="A11976" s="51" t="s">
        <v>327</v>
      </c>
      <c r="B11976" s="55" t="n">
        <v>46022</v>
      </c>
      <c r="C11976" s="51" t="s">
        <v>82</v>
      </c>
      <c r="D11976" s="51" t="n">
        <v>0</v>
      </c>
    </row>
    <row r="11977" customFormat="false" ht="15" hidden="true" customHeight="false" outlineLevel="0" collapsed="false">
      <c r="A11977" s="51" t="s">
        <v>332</v>
      </c>
      <c r="B11977" s="55" t="n">
        <v>46022</v>
      </c>
      <c r="C11977" s="51" t="s">
        <v>82</v>
      </c>
      <c r="D11977" s="51" t="n">
        <v>0</v>
      </c>
    </row>
    <row r="11978" customFormat="false" ht="15" hidden="true" customHeight="false" outlineLevel="0" collapsed="false">
      <c r="A11978" s="51" t="s">
        <v>339</v>
      </c>
      <c r="B11978" s="55" t="n">
        <v>46022</v>
      </c>
      <c r="C11978" s="51" t="s">
        <v>82</v>
      </c>
      <c r="D11978" s="51" t="n">
        <v>0</v>
      </c>
    </row>
    <row r="11979" customFormat="false" ht="15" hidden="true" customHeight="false" outlineLevel="0" collapsed="false">
      <c r="A11979" s="51" t="s">
        <v>344</v>
      </c>
      <c r="B11979" s="55" t="n">
        <v>46022</v>
      </c>
      <c r="C11979" s="51" t="s">
        <v>82</v>
      </c>
      <c r="D11979" s="51" t="n">
        <v>0</v>
      </c>
    </row>
    <row r="11980" customFormat="false" ht="15" hidden="true" customHeight="false" outlineLevel="0" collapsed="false">
      <c r="A11980" s="51" t="s">
        <v>349</v>
      </c>
      <c r="B11980" s="55" t="n">
        <v>46022</v>
      </c>
      <c r="C11980" s="51" t="s">
        <v>82</v>
      </c>
      <c r="D11980" s="51" t="n">
        <v>0</v>
      </c>
    </row>
    <row r="11981" customFormat="false" ht="15" hidden="true" customHeight="false" outlineLevel="0" collapsed="false">
      <c r="A11981" s="51" t="s">
        <v>354</v>
      </c>
      <c r="B11981" s="55" t="n">
        <v>46022</v>
      </c>
      <c r="C11981" s="51" t="s">
        <v>82</v>
      </c>
      <c r="D11981" s="51" t="n">
        <v>0</v>
      </c>
    </row>
    <row r="11982" customFormat="false" ht="15" hidden="true" customHeight="false" outlineLevel="0" collapsed="false">
      <c r="A11982" s="51" t="s">
        <v>359</v>
      </c>
      <c r="B11982" s="55" t="n">
        <v>46022</v>
      </c>
      <c r="C11982" s="51" t="s">
        <v>82</v>
      </c>
      <c r="D11982" s="51" t="n">
        <v>0</v>
      </c>
    </row>
    <row r="11983" customFormat="false" ht="15" hidden="true" customHeight="false" outlineLevel="0" collapsed="false">
      <c r="A11983" s="51" t="s">
        <v>364</v>
      </c>
      <c r="B11983" s="55" t="n">
        <v>46022</v>
      </c>
      <c r="C11983" s="51" t="s">
        <v>82</v>
      </c>
      <c r="D11983" s="51" t="n">
        <v>0</v>
      </c>
    </row>
    <row r="11984" customFormat="false" ht="15" hidden="true" customHeight="false" outlineLevel="0" collapsed="false">
      <c r="A11984" s="51" t="s">
        <v>369</v>
      </c>
      <c r="B11984" s="55" t="n">
        <v>46022</v>
      </c>
      <c r="C11984" s="51" t="s">
        <v>82</v>
      </c>
      <c r="D11984" s="51" t="n">
        <v>0</v>
      </c>
    </row>
    <row r="11985" customFormat="false" ht="15" hidden="true" customHeight="false" outlineLevel="0" collapsed="false">
      <c r="A11985" s="51" t="s">
        <v>374</v>
      </c>
      <c r="B11985" s="55" t="n">
        <v>46022</v>
      </c>
      <c r="C11985" s="51" t="s">
        <v>82</v>
      </c>
      <c r="D11985" s="51" t="n">
        <v>0</v>
      </c>
    </row>
    <row r="11986" customFormat="false" ht="15" hidden="true" customHeight="false" outlineLevel="0" collapsed="false">
      <c r="A11986" s="51" t="s">
        <v>379</v>
      </c>
      <c r="B11986" s="55" t="n">
        <v>46022</v>
      </c>
      <c r="C11986" s="51" t="s">
        <v>82</v>
      </c>
      <c r="D11986" s="51" t="n">
        <v>0</v>
      </c>
    </row>
    <row r="11987" customFormat="false" ht="15" hidden="true" customHeight="false" outlineLevel="0" collapsed="false">
      <c r="A11987" s="51" t="s">
        <v>384</v>
      </c>
      <c r="B11987" s="55" t="n">
        <v>46022</v>
      </c>
      <c r="C11987" s="51" t="s">
        <v>82</v>
      </c>
      <c r="D11987" s="51" t="n">
        <v>0</v>
      </c>
    </row>
    <row r="11988" customFormat="false" ht="15" hidden="true" customHeight="false" outlineLevel="0" collapsed="false">
      <c r="A11988" s="51" t="s">
        <v>389</v>
      </c>
      <c r="B11988" s="55" t="n">
        <v>46022</v>
      </c>
      <c r="C11988" s="51" t="s">
        <v>82</v>
      </c>
      <c r="D11988" s="51" t="n">
        <v>0</v>
      </c>
    </row>
    <row r="11989" customFormat="false" ht="15" hidden="true" customHeight="false" outlineLevel="0" collapsed="false">
      <c r="A11989" s="51" t="s">
        <v>394</v>
      </c>
      <c r="B11989" s="55" t="n">
        <v>46022</v>
      </c>
      <c r="C11989" s="51" t="s">
        <v>82</v>
      </c>
      <c r="D11989" s="51" t="n">
        <v>1664288.27</v>
      </c>
    </row>
    <row r="11990" customFormat="false" ht="15" hidden="true" customHeight="false" outlineLevel="0" collapsed="false">
      <c r="A11990" s="51" t="s">
        <v>399</v>
      </c>
      <c r="B11990" s="55" t="n">
        <v>46022</v>
      </c>
      <c r="C11990" s="51" t="s">
        <v>82</v>
      </c>
      <c r="D11990" s="51" t="n">
        <v>0</v>
      </c>
    </row>
    <row r="11991" customFormat="false" ht="15" hidden="true" customHeight="false" outlineLevel="0" collapsed="false">
      <c r="A11991" s="51" t="s">
        <v>404</v>
      </c>
      <c r="B11991" s="55" t="n">
        <v>46022</v>
      </c>
      <c r="C11991" s="51" t="s">
        <v>82</v>
      </c>
      <c r="D11991" s="51" t="n">
        <v>0</v>
      </c>
    </row>
    <row r="11992" customFormat="false" ht="15" hidden="true" customHeight="false" outlineLevel="0" collapsed="false">
      <c r="A11992" s="51" t="s">
        <v>409</v>
      </c>
      <c r="B11992" s="55" t="n">
        <v>46022</v>
      </c>
      <c r="C11992" s="51" t="s">
        <v>82</v>
      </c>
      <c r="D11992" s="51" t="n">
        <v>0</v>
      </c>
    </row>
    <row r="11993" customFormat="false" ht="15" hidden="true" customHeight="false" outlineLevel="0" collapsed="false">
      <c r="A11993" s="51" t="s">
        <v>414</v>
      </c>
      <c r="B11993" s="55" t="n">
        <v>46022</v>
      </c>
      <c r="C11993" s="51" t="s">
        <v>82</v>
      </c>
      <c r="D11993" s="51" t="n">
        <v>0</v>
      </c>
    </row>
    <row r="11994" customFormat="false" ht="15" hidden="true" customHeight="false" outlineLevel="0" collapsed="false">
      <c r="A11994" s="51" t="s">
        <v>419</v>
      </c>
      <c r="B11994" s="55" t="n">
        <v>46022</v>
      </c>
      <c r="C11994" s="51" t="s">
        <v>82</v>
      </c>
      <c r="D11994" s="51" t="n">
        <v>0</v>
      </c>
    </row>
    <row r="11995" customFormat="false" ht="15" hidden="true" customHeight="false" outlineLevel="0" collapsed="false">
      <c r="A11995" s="51" t="s">
        <v>424</v>
      </c>
      <c r="B11995" s="55" t="n">
        <v>46022</v>
      </c>
      <c r="C11995" s="51" t="s">
        <v>82</v>
      </c>
      <c r="D11995" s="51" t="n">
        <v>0</v>
      </c>
    </row>
    <row r="11996" customFormat="false" ht="15" hidden="true" customHeight="false" outlineLevel="0" collapsed="false">
      <c r="A11996" s="51" t="s">
        <v>429</v>
      </c>
      <c r="B11996" s="55" t="n">
        <v>46022</v>
      </c>
      <c r="C11996" s="51" t="s">
        <v>82</v>
      </c>
      <c r="D11996" s="51" t="n">
        <v>0</v>
      </c>
    </row>
    <row r="11997" customFormat="false" ht="15" hidden="true" customHeight="false" outlineLevel="0" collapsed="false">
      <c r="A11997" s="51" t="s">
        <v>434</v>
      </c>
      <c r="B11997" s="55" t="n">
        <v>46022</v>
      </c>
      <c r="C11997" s="51" t="s">
        <v>82</v>
      </c>
      <c r="D11997" s="51" t="n">
        <v>0</v>
      </c>
    </row>
    <row r="11998" customFormat="false" ht="15" hidden="true" customHeight="false" outlineLevel="0" collapsed="false">
      <c r="A11998" s="51" t="s">
        <v>438</v>
      </c>
      <c r="B11998" s="55" t="n">
        <v>46022</v>
      </c>
      <c r="C11998" s="51" t="s">
        <v>82</v>
      </c>
      <c r="D11998" s="51" t="n">
        <v>0</v>
      </c>
    </row>
    <row r="11999" customFormat="false" ht="15" hidden="true" customHeight="false" outlineLevel="0" collapsed="false">
      <c r="A11999" s="51" t="s">
        <v>443</v>
      </c>
      <c r="B11999" s="55" t="n">
        <v>46022</v>
      </c>
      <c r="C11999" s="51" t="s">
        <v>82</v>
      </c>
      <c r="D11999" s="51" t="n">
        <v>0</v>
      </c>
    </row>
    <row r="12000" customFormat="false" ht="15" hidden="true" customHeight="false" outlineLevel="0" collapsed="false">
      <c r="A12000" s="51" t="s">
        <v>448</v>
      </c>
      <c r="B12000" s="55" t="n">
        <v>46022</v>
      </c>
      <c r="C12000" s="51" t="s">
        <v>82</v>
      </c>
      <c r="D12000" s="51" t="n">
        <v>0</v>
      </c>
    </row>
    <row r="12001" customFormat="false" ht="15" hidden="true" customHeight="false" outlineLevel="0" collapsed="false">
      <c r="A12001" s="51" t="s">
        <v>453</v>
      </c>
      <c r="B12001" s="55" t="n">
        <v>46022</v>
      </c>
      <c r="C12001" s="51" t="s">
        <v>82</v>
      </c>
      <c r="D12001" s="51" t="n">
        <v>0</v>
      </c>
    </row>
    <row r="12002" customFormat="false" ht="15" hidden="true" customHeight="false" outlineLevel="0" collapsed="false">
      <c r="A12002" s="51" t="s">
        <v>458</v>
      </c>
      <c r="B12002" s="55" t="n">
        <v>46022</v>
      </c>
      <c r="C12002" s="51" t="s">
        <v>82</v>
      </c>
      <c r="D12002" s="51" t="n">
        <v>0</v>
      </c>
    </row>
    <row r="12003" customFormat="false" ht="15" hidden="true" customHeight="false" outlineLevel="0" collapsed="false">
      <c r="A12003" s="51" t="s">
        <v>473</v>
      </c>
      <c r="B12003" s="55" t="n">
        <v>46022</v>
      </c>
      <c r="C12003" s="51" t="s">
        <v>82</v>
      </c>
      <c r="D12003" s="51" t="n">
        <v>0</v>
      </c>
    </row>
    <row r="12004" customFormat="false" ht="15" hidden="true" customHeight="false" outlineLevel="0" collapsed="false">
      <c r="A12004" s="51" t="s">
        <v>479</v>
      </c>
      <c r="B12004" s="55" t="n">
        <v>46022</v>
      </c>
      <c r="C12004" s="51" t="s">
        <v>82</v>
      </c>
      <c r="D12004" s="51" t="n">
        <v>0</v>
      </c>
    </row>
    <row r="12005" customFormat="false" ht="15" hidden="true" customHeight="false" outlineLevel="0" collapsed="false">
      <c r="A12005" s="51" t="s">
        <v>484</v>
      </c>
      <c r="B12005" s="55" t="n">
        <v>46022</v>
      </c>
      <c r="C12005" s="51" t="s">
        <v>82</v>
      </c>
      <c r="D12005" s="51" t="n">
        <v>0</v>
      </c>
    </row>
    <row r="12006" customFormat="false" ht="15" hidden="true" customHeight="false" outlineLevel="0" collapsed="false">
      <c r="A12006" s="51" t="s">
        <v>489</v>
      </c>
      <c r="B12006" s="55" t="n">
        <v>46022</v>
      </c>
      <c r="C12006" s="51" t="s">
        <v>82</v>
      </c>
      <c r="D12006" s="51" t="n">
        <v>0</v>
      </c>
    </row>
    <row r="12007" customFormat="false" ht="15" hidden="true" customHeight="false" outlineLevel="0" collapsed="false">
      <c r="A12007" s="51" t="s">
        <v>494</v>
      </c>
      <c r="B12007" s="55" t="n">
        <v>46022</v>
      </c>
      <c r="C12007" s="51" t="s">
        <v>82</v>
      </c>
      <c r="D12007" s="51" t="n">
        <v>0</v>
      </c>
    </row>
    <row r="12008" customFormat="false" ht="15" hidden="true" customHeight="false" outlineLevel="0" collapsed="false">
      <c r="A12008" s="51" t="s">
        <v>499</v>
      </c>
      <c r="B12008" s="55" t="n">
        <v>46022</v>
      </c>
      <c r="C12008" s="51" t="s">
        <v>82</v>
      </c>
      <c r="D12008" s="51" t="n">
        <v>0</v>
      </c>
    </row>
    <row r="12009" customFormat="false" ht="15" hidden="true" customHeight="false" outlineLevel="0" collapsed="false">
      <c r="A12009" s="51" t="s">
        <v>504</v>
      </c>
      <c r="B12009" s="55" t="n">
        <v>46022</v>
      </c>
      <c r="C12009" s="51" t="s">
        <v>82</v>
      </c>
      <c r="D12009" s="51" t="n">
        <v>0</v>
      </c>
    </row>
    <row r="12010" customFormat="false" ht="15" hidden="true" customHeight="false" outlineLevel="0" collapsed="false">
      <c r="A12010" s="51" t="s">
        <v>509</v>
      </c>
      <c r="B12010" s="55" t="n">
        <v>46022</v>
      </c>
      <c r="C12010" s="51" t="s">
        <v>82</v>
      </c>
      <c r="D12010" s="51" t="n">
        <v>65046.88</v>
      </c>
    </row>
    <row r="12011" customFormat="false" ht="15" hidden="true" customHeight="false" outlineLevel="0" collapsed="false">
      <c r="A12011" s="51" t="s">
        <v>515</v>
      </c>
      <c r="B12011" s="55" t="n">
        <v>46022</v>
      </c>
      <c r="C12011" s="51" t="s">
        <v>82</v>
      </c>
      <c r="D12011" s="51" t="n">
        <v>0</v>
      </c>
    </row>
    <row r="12012" customFormat="false" ht="15" hidden="true" customHeight="false" outlineLevel="0" collapsed="false">
      <c r="A12012" s="51" t="s">
        <v>520</v>
      </c>
      <c r="B12012" s="55" t="n">
        <v>46022</v>
      </c>
      <c r="C12012" s="51" t="s">
        <v>82</v>
      </c>
      <c r="D12012" s="51" t="n">
        <v>0</v>
      </c>
    </row>
    <row r="12013" customFormat="false" ht="15" hidden="true" customHeight="false" outlineLevel="0" collapsed="false">
      <c r="A12013" s="51" t="s">
        <v>525</v>
      </c>
      <c r="B12013" s="55" t="n">
        <v>46022</v>
      </c>
      <c r="C12013" s="51" t="s">
        <v>82</v>
      </c>
      <c r="D12013" s="51" t="n">
        <v>2805000</v>
      </c>
    </row>
    <row r="12014" customFormat="false" ht="15" hidden="true" customHeight="false" outlineLevel="0" collapsed="false">
      <c r="A12014" s="51" t="s">
        <v>531</v>
      </c>
      <c r="B12014" s="55" t="n">
        <v>46022</v>
      </c>
      <c r="C12014" s="51" t="s">
        <v>82</v>
      </c>
      <c r="D12014" s="51" t="n">
        <v>0</v>
      </c>
    </row>
    <row r="12015" customFormat="false" ht="15" hidden="true" customHeight="false" outlineLevel="0" collapsed="false">
      <c r="A12015" s="51" t="s">
        <v>536</v>
      </c>
      <c r="B12015" s="55" t="n">
        <v>46022</v>
      </c>
      <c r="C12015" s="51" t="s">
        <v>82</v>
      </c>
      <c r="D12015" s="51" t="n">
        <v>0</v>
      </c>
    </row>
    <row r="12016" customFormat="false" ht="15" hidden="true" customHeight="false" outlineLevel="0" collapsed="false">
      <c r="A12016" s="51" t="s">
        <v>541</v>
      </c>
      <c r="B12016" s="55" t="n">
        <v>46022</v>
      </c>
      <c r="C12016" s="51" t="s">
        <v>82</v>
      </c>
      <c r="D12016" s="51" t="n">
        <v>0</v>
      </c>
    </row>
    <row r="12017" customFormat="false" ht="15" hidden="true" customHeight="false" outlineLevel="0" collapsed="false">
      <c r="A12017" s="51" t="s">
        <v>549</v>
      </c>
      <c r="B12017" s="55" t="n">
        <v>46022</v>
      </c>
      <c r="C12017" s="51" t="s">
        <v>82</v>
      </c>
      <c r="D12017" s="51" t="n">
        <v>0</v>
      </c>
    </row>
    <row r="12018" customFormat="false" ht="15" hidden="true" customHeight="false" outlineLevel="0" collapsed="false">
      <c r="A12018" s="51" t="s">
        <v>554</v>
      </c>
      <c r="B12018" s="55" t="n">
        <v>46022</v>
      </c>
      <c r="C12018" s="51" t="s">
        <v>82</v>
      </c>
      <c r="D12018" s="51" t="n">
        <v>0</v>
      </c>
    </row>
    <row r="12019" customFormat="false" ht="15" hidden="true" customHeight="false" outlineLevel="0" collapsed="false">
      <c r="A12019" s="51" t="s">
        <v>559</v>
      </c>
      <c r="B12019" s="55" t="n">
        <v>46022</v>
      </c>
      <c r="C12019" s="51" t="s">
        <v>82</v>
      </c>
      <c r="D12019" s="51" t="n">
        <v>0</v>
      </c>
    </row>
    <row r="12020" customFormat="false" ht="15" hidden="true" customHeight="false" outlineLevel="0" collapsed="false">
      <c r="A12020" s="51" t="s">
        <v>564</v>
      </c>
      <c r="B12020" s="55" t="n">
        <v>46022</v>
      </c>
      <c r="C12020" s="51" t="s">
        <v>82</v>
      </c>
      <c r="D12020" s="51" t="n">
        <v>0</v>
      </c>
    </row>
    <row r="12021" customFormat="false" ht="15" hidden="true" customHeight="false" outlineLevel="0" collapsed="false">
      <c r="A12021" s="51" t="s">
        <v>569</v>
      </c>
      <c r="B12021" s="55" t="n">
        <v>46022</v>
      </c>
      <c r="C12021" s="51" t="s">
        <v>82</v>
      </c>
      <c r="D12021" s="51" t="n">
        <v>0</v>
      </c>
    </row>
    <row r="12022" customFormat="false" ht="15" hidden="true" customHeight="false" outlineLevel="0" collapsed="false">
      <c r="A12022" s="51" t="s">
        <v>574</v>
      </c>
      <c r="B12022" s="55" t="n">
        <v>46022</v>
      </c>
      <c r="C12022" s="51" t="s">
        <v>82</v>
      </c>
      <c r="D12022" s="51" t="n">
        <v>0</v>
      </c>
    </row>
    <row r="12023" customFormat="false" ht="15" hidden="true" customHeight="false" outlineLevel="0" collapsed="false">
      <c r="A12023" s="51" t="s">
        <v>579</v>
      </c>
      <c r="B12023" s="55" t="n">
        <v>46022</v>
      </c>
      <c r="C12023" s="51" t="s">
        <v>82</v>
      </c>
      <c r="D12023" s="51" t="n">
        <v>0</v>
      </c>
    </row>
    <row r="12024" customFormat="false" ht="15" hidden="true" customHeight="false" outlineLevel="0" collapsed="false">
      <c r="A12024" s="51" t="s">
        <v>584</v>
      </c>
      <c r="B12024" s="55" t="n">
        <v>46022</v>
      </c>
      <c r="C12024" s="51" t="s">
        <v>82</v>
      </c>
      <c r="D12024" s="51" t="n">
        <v>0</v>
      </c>
    </row>
    <row r="12025" customFormat="false" ht="15" hidden="true" customHeight="false" outlineLevel="0" collapsed="false">
      <c r="A12025" s="51" t="s">
        <v>589</v>
      </c>
      <c r="B12025" s="55" t="n">
        <v>46022</v>
      </c>
      <c r="C12025" s="51" t="s">
        <v>82</v>
      </c>
      <c r="D12025" s="51" t="n">
        <v>0</v>
      </c>
    </row>
    <row r="12026" customFormat="false" ht="15" hidden="true" customHeight="false" outlineLevel="0" collapsed="false">
      <c r="A12026" s="51" t="s">
        <v>756</v>
      </c>
      <c r="B12026" s="55" t="n">
        <v>46022</v>
      </c>
      <c r="C12026" s="51" t="s">
        <v>82</v>
      </c>
      <c r="D12026" s="51" t="n">
        <v>0</v>
      </c>
    </row>
    <row r="12027" customFormat="false" ht="15" hidden="true" customHeight="false" outlineLevel="0" collapsed="false">
      <c r="A12027" s="51" t="s">
        <v>594</v>
      </c>
      <c r="B12027" s="55" t="n">
        <v>46022</v>
      </c>
      <c r="C12027" s="51" t="s">
        <v>82</v>
      </c>
      <c r="D12027" s="51" t="n">
        <v>0</v>
      </c>
    </row>
    <row r="12028" customFormat="false" ht="15" hidden="true" customHeight="false" outlineLevel="0" collapsed="false">
      <c r="A12028" s="51" t="s">
        <v>761</v>
      </c>
      <c r="B12028" s="55" t="n">
        <v>46022</v>
      </c>
      <c r="C12028" s="51" t="s">
        <v>82</v>
      </c>
      <c r="D12028" s="51" t="n">
        <v>0</v>
      </c>
    </row>
    <row r="12029" customFormat="false" ht="15" hidden="true" customHeight="false" outlineLevel="0" collapsed="false">
      <c r="A12029" s="51" t="s">
        <v>599</v>
      </c>
      <c r="B12029" s="55" t="n">
        <v>46022</v>
      </c>
      <c r="C12029" s="51" t="s">
        <v>82</v>
      </c>
      <c r="D12029" s="51" t="n">
        <v>0</v>
      </c>
    </row>
    <row r="12030" customFormat="false" ht="15" hidden="true" customHeight="false" outlineLevel="0" collapsed="false">
      <c r="A12030" s="51" t="s">
        <v>604</v>
      </c>
      <c r="B12030" s="55" t="n">
        <v>46022</v>
      </c>
      <c r="C12030" s="51" t="s">
        <v>82</v>
      </c>
      <c r="D12030" s="51" t="n">
        <v>0</v>
      </c>
    </row>
    <row r="12031" customFormat="false" ht="15" hidden="true" customHeight="false" outlineLevel="0" collapsed="false">
      <c r="A12031" s="51" t="s">
        <v>609</v>
      </c>
      <c r="B12031" s="55" t="n">
        <v>46022</v>
      </c>
      <c r="C12031" s="51" t="s">
        <v>82</v>
      </c>
      <c r="D12031" s="51" t="n">
        <v>0</v>
      </c>
    </row>
    <row r="12032" customFormat="false" ht="15" hidden="true" customHeight="false" outlineLevel="0" collapsed="false">
      <c r="A12032" s="51" t="s">
        <v>614</v>
      </c>
      <c r="B12032" s="55" t="n">
        <v>46022</v>
      </c>
      <c r="C12032" s="51" t="s">
        <v>82</v>
      </c>
      <c r="D12032" s="51" t="n">
        <v>0</v>
      </c>
    </row>
    <row r="12033" customFormat="false" ht="15" hidden="true" customHeight="false" outlineLevel="0" collapsed="false">
      <c r="A12033" s="51" t="s">
        <v>619</v>
      </c>
      <c r="B12033" s="55" t="n">
        <v>46022</v>
      </c>
      <c r="C12033" s="51" t="s">
        <v>82</v>
      </c>
      <c r="D12033" s="51" t="n">
        <v>0</v>
      </c>
    </row>
    <row r="12034" customFormat="false" ht="15" hidden="true" customHeight="false" outlineLevel="0" collapsed="false">
      <c r="A12034" s="51" t="s">
        <v>624</v>
      </c>
      <c r="B12034" s="55" t="n">
        <v>46022</v>
      </c>
      <c r="C12034" s="51" t="s">
        <v>82</v>
      </c>
      <c r="D12034" s="51" t="n">
        <v>0</v>
      </c>
    </row>
    <row r="12035" customFormat="false" ht="15" hidden="true" customHeight="false" outlineLevel="0" collapsed="false">
      <c r="A12035" s="51" t="s">
        <v>629</v>
      </c>
      <c r="B12035" s="55" t="n">
        <v>46022</v>
      </c>
      <c r="C12035" s="51" t="s">
        <v>82</v>
      </c>
      <c r="D12035" s="51" t="n">
        <v>0</v>
      </c>
    </row>
    <row r="12036" customFormat="false" ht="15" hidden="true" customHeight="false" outlineLevel="0" collapsed="false">
      <c r="A12036" s="51" t="s">
        <v>633</v>
      </c>
      <c r="B12036" s="55" t="n">
        <v>46022</v>
      </c>
      <c r="C12036" s="51" t="s">
        <v>82</v>
      </c>
      <c r="D12036" s="51" t="n">
        <v>0</v>
      </c>
    </row>
    <row r="12037" customFormat="false" ht="15" hidden="true" customHeight="false" outlineLevel="0" collapsed="false">
      <c r="A12037" s="51" t="s">
        <v>638</v>
      </c>
      <c r="B12037" s="55" t="n">
        <v>46022</v>
      </c>
      <c r="C12037" s="51" t="s">
        <v>82</v>
      </c>
      <c r="D12037" s="51" t="n">
        <v>0</v>
      </c>
    </row>
    <row r="12038" customFormat="false" ht="15" hidden="true" customHeight="false" outlineLevel="0" collapsed="false">
      <c r="A12038" s="51" t="s">
        <v>642</v>
      </c>
      <c r="B12038" s="55" t="n">
        <v>46022</v>
      </c>
      <c r="C12038" s="51" t="s">
        <v>82</v>
      </c>
      <c r="D12038" s="51" t="n">
        <v>0</v>
      </c>
    </row>
    <row r="12039" customFormat="false" ht="15" hidden="true" customHeight="false" outlineLevel="0" collapsed="false">
      <c r="A12039" s="51" t="s">
        <v>646</v>
      </c>
      <c r="B12039" s="55" t="n">
        <v>46022</v>
      </c>
      <c r="C12039" s="51" t="s">
        <v>82</v>
      </c>
      <c r="D12039" s="51" t="n">
        <v>0</v>
      </c>
    </row>
    <row r="12040" customFormat="false" ht="15" hidden="true" customHeight="false" outlineLevel="0" collapsed="false">
      <c r="A12040" s="51" t="s">
        <v>651</v>
      </c>
      <c r="B12040" s="55" t="n">
        <v>46022</v>
      </c>
      <c r="C12040" s="51" t="s">
        <v>82</v>
      </c>
      <c r="D12040" s="51" t="n">
        <v>0</v>
      </c>
    </row>
    <row r="12041" customFormat="false" ht="15" hidden="true" customHeight="false" outlineLevel="0" collapsed="false">
      <c r="A12041" s="51" t="s">
        <v>656</v>
      </c>
      <c r="B12041" s="55" t="n">
        <v>46022</v>
      </c>
      <c r="C12041" s="51" t="s">
        <v>82</v>
      </c>
      <c r="D12041" s="51" t="n">
        <v>0</v>
      </c>
    </row>
    <row r="12042" customFormat="false" ht="15" hidden="true" customHeight="false" outlineLevel="0" collapsed="false">
      <c r="A12042" s="51" t="s">
        <v>661</v>
      </c>
      <c r="B12042" s="55" t="n">
        <v>46022</v>
      </c>
      <c r="C12042" s="51" t="s">
        <v>82</v>
      </c>
      <c r="D12042" s="51" t="n">
        <v>0</v>
      </c>
    </row>
    <row r="12043" customFormat="false" ht="15" hidden="true" customHeight="false" outlineLevel="0" collapsed="false">
      <c r="A12043" s="51" t="s">
        <v>666</v>
      </c>
      <c r="B12043" s="55" t="n">
        <v>46022</v>
      </c>
      <c r="C12043" s="51" t="s">
        <v>82</v>
      </c>
      <c r="D12043" s="51" t="n">
        <v>0</v>
      </c>
    </row>
    <row r="12044" customFormat="false" ht="15" hidden="true" customHeight="false" outlineLevel="0" collapsed="false">
      <c r="A12044" s="51" t="s">
        <v>671</v>
      </c>
      <c r="B12044" s="55" t="n">
        <v>46022</v>
      </c>
      <c r="C12044" s="51" t="s">
        <v>82</v>
      </c>
      <c r="D12044" s="51" t="n">
        <v>0</v>
      </c>
    </row>
    <row r="12045" customFormat="false" ht="15" hidden="true" customHeight="false" outlineLevel="0" collapsed="false">
      <c r="A12045" s="51" t="s">
        <v>676</v>
      </c>
      <c r="B12045" s="55" t="n">
        <v>46022</v>
      </c>
      <c r="C12045" s="51" t="s">
        <v>82</v>
      </c>
      <c r="D12045" s="51" t="n">
        <v>0</v>
      </c>
    </row>
    <row r="12046" customFormat="false" ht="15" hidden="true" customHeight="false" outlineLevel="0" collapsed="false">
      <c r="A12046" s="51" t="s">
        <v>681</v>
      </c>
      <c r="B12046" s="55" t="n">
        <v>46022</v>
      </c>
      <c r="C12046" s="51" t="s">
        <v>82</v>
      </c>
      <c r="D12046" s="51" t="n">
        <v>0</v>
      </c>
    </row>
    <row r="12047" customFormat="false" ht="15" hidden="true" customHeight="false" outlineLevel="0" collapsed="false">
      <c r="A12047" s="51" t="s">
        <v>686</v>
      </c>
      <c r="B12047" s="55" t="n">
        <v>46022</v>
      </c>
      <c r="C12047" s="51" t="s">
        <v>82</v>
      </c>
      <c r="D12047" s="51" t="n">
        <v>0</v>
      </c>
    </row>
    <row r="12048" customFormat="false" ht="15" hidden="true" customHeight="false" outlineLevel="0" collapsed="false">
      <c r="A12048" s="51" t="s">
        <v>691</v>
      </c>
      <c r="B12048" s="55" t="n">
        <v>46022</v>
      </c>
      <c r="C12048" s="51" t="s">
        <v>82</v>
      </c>
      <c r="D12048" s="51" t="n">
        <v>0</v>
      </c>
    </row>
    <row r="12049" customFormat="false" ht="15" hidden="true" customHeight="false" outlineLevel="0" collapsed="false">
      <c r="A12049" s="51" t="s">
        <v>696</v>
      </c>
      <c r="B12049" s="55" t="n">
        <v>46022</v>
      </c>
      <c r="C12049" s="51" t="s">
        <v>82</v>
      </c>
      <c r="D12049" s="51" t="n">
        <v>0</v>
      </c>
    </row>
    <row r="12050" customFormat="false" ht="15" hidden="true" customHeight="false" outlineLevel="0" collapsed="false">
      <c r="A12050" s="51" t="s">
        <v>701</v>
      </c>
      <c r="B12050" s="55" t="n">
        <v>46022</v>
      </c>
      <c r="C12050" s="51" t="s">
        <v>82</v>
      </c>
      <c r="D12050" s="51" t="n">
        <v>0</v>
      </c>
    </row>
    <row r="12051" customFormat="false" ht="15" hidden="true" customHeight="false" outlineLevel="0" collapsed="false">
      <c r="A12051" s="51" t="s">
        <v>707</v>
      </c>
      <c r="B12051" s="55" t="n">
        <v>46022</v>
      </c>
      <c r="C12051" s="51" t="s">
        <v>82</v>
      </c>
      <c r="D12051" s="51" t="n">
        <v>0</v>
      </c>
    </row>
    <row r="12052" customFormat="false" ht="15" hidden="true" customHeight="false" outlineLevel="0" collapsed="false">
      <c r="A12052" s="51" t="s">
        <v>712</v>
      </c>
      <c r="B12052" s="55" t="n">
        <v>46022</v>
      </c>
      <c r="C12052" s="51" t="s">
        <v>82</v>
      </c>
      <c r="D12052" s="51" t="n">
        <v>0</v>
      </c>
    </row>
    <row r="12053" customFormat="false" ht="15" hidden="true" customHeight="false" outlineLevel="0" collapsed="false">
      <c r="A12053" s="51" t="s">
        <v>717</v>
      </c>
      <c r="B12053" s="55" t="n">
        <v>46022</v>
      </c>
      <c r="C12053" s="51" t="s">
        <v>82</v>
      </c>
      <c r="D12053" s="51" t="n">
        <v>0</v>
      </c>
    </row>
    <row r="12054" customFormat="false" ht="15" hidden="true" customHeight="false" outlineLevel="0" collapsed="false">
      <c r="A12054" s="51" t="s">
        <v>767</v>
      </c>
      <c r="B12054" s="55" t="n">
        <v>46022</v>
      </c>
      <c r="C12054" s="51" t="s">
        <v>82</v>
      </c>
      <c r="D12054" s="51" t="n">
        <v>0</v>
      </c>
    </row>
    <row r="12055" customFormat="false" ht="15" hidden="true" customHeight="false" outlineLevel="0" collapsed="false">
      <c r="A12055" s="51" t="s">
        <v>722</v>
      </c>
      <c r="B12055" s="55" t="n">
        <v>46022</v>
      </c>
      <c r="C12055" s="51" t="s">
        <v>82</v>
      </c>
      <c r="D12055" s="51" t="n">
        <v>0</v>
      </c>
    </row>
    <row r="12056" customFormat="false" ht="15" hidden="true" customHeight="false" outlineLevel="0" collapsed="false">
      <c r="A12056" s="51" t="s">
        <v>727</v>
      </c>
      <c r="B12056" s="55" t="n">
        <v>46022</v>
      </c>
      <c r="C12056" s="51" t="s">
        <v>82</v>
      </c>
      <c r="D12056" s="51" t="n">
        <v>0</v>
      </c>
    </row>
    <row r="12057" customFormat="false" ht="15" hidden="true" customHeight="false" outlineLevel="0" collapsed="false">
      <c r="A12057" s="51" t="s">
        <v>732</v>
      </c>
      <c r="B12057" s="55" t="n">
        <v>46022</v>
      </c>
      <c r="C12057" s="51" t="s">
        <v>82</v>
      </c>
      <c r="D12057" s="51" t="n">
        <v>0</v>
      </c>
    </row>
    <row r="12058" customFormat="false" ht="15" hidden="true" customHeight="false" outlineLevel="0" collapsed="false">
      <c r="A12058" s="51" t="s">
        <v>736</v>
      </c>
      <c r="B12058" s="55" t="n">
        <v>46022</v>
      </c>
      <c r="C12058" s="51" t="s">
        <v>82</v>
      </c>
      <c r="D12058" s="51" t="n">
        <v>0</v>
      </c>
    </row>
    <row r="12059" customFormat="false" ht="15" hidden="true" customHeight="false" outlineLevel="0" collapsed="false">
      <c r="A12059" s="51" t="s">
        <v>741</v>
      </c>
      <c r="B12059" s="55" t="n">
        <v>46022</v>
      </c>
      <c r="C12059" s="51" t="s">
        <v>82</v>
      </c>
      <c r="D12059" s="51" t="n">
        <v>0</v>
      </c>
    </row>
    <row r="12060" customFormat="false" ht="15" hidden="true" customHeight="false" outlineLevel="0" collapsed="false">
      <c r="A12060" s="51" t="s">
        <v>746</v>
      </c>
      <c r="B12060" s="55" t="n">
        <v>46022</v>
      </c>
      <c r="C12060" s="51" t="s">
        <v>82</v>
      </c>
      <c r="D12060" s="51" t="n">
        <v>0</v>
      </c>
    </row>
    <row r="12061" customFormat="false" ht="15" hidden="true" customHeight="false" outlineLevel="0" collapsed="false">
      <c r="A12061" s="51" t="s">
        <v>751</v>
      </c>
      <c r="B12061" s="55" t="n">
        <v>46022</v>
      </c>
      <c r="C12061" s="51" t="s">
        <v>82</v>
      </c>
      <c r="D12061" s="51" t="n">
        <v>0</v>
      </c>
    </row>
    <row r="12062" customFormat="false" ht="15" hidden="false" customHeight="false" outlineLevel="0" collapsed="false">
      <c r="A12062" s="51" t="s">
        <v>781</v>
      </c>
      <c r="B12062" s="55" t="n">
        <v>46022</v>
      </c>
      <c r="C12062" s="51" t="s">
        <v>73</v>
      </c>
      <c r="D12062" s="51" t="n">
        <v>0</v>
      </c>
    </row>
    <row r="12063" customFormat="false" ht="15" hidden="true" customHeight="false" outlineLevel="0" collapsed="false">
      <c r="A12063" s="51" t="s">
        <v>783</v>
      </c>
      <c r="B12063" s="55" t="n">
        <v>46022</v>
      </c>
      <c r="C12063" s="51" t="s">
        <v>73</v>
      </c>
      <c r="D12063" s="51" t="n">
        <v>0</v>
      </c>
    </row>
    <row r="12064" customFormat="false" ht="15" hidden="true" customHeight="false" outlineLevel="0" collapsed="false">
      <c r="A12064" s="51" t="s">
        <v>96</v>
      </c>
      <c r="B12064" s="55" t="n">
        <v>46022</v>
      </c>
      <c r="C12064" s="51" t="s">
        <v>73</v>
      </c>
      <c r="D12064" s="51" t="n">
        <v>0</v>
      </c>
    </row>
    <row r="12065" customFormat="false" ht="15" hidden="true" customHeight="false" outlineLevel="0" collapsed="false">
      <c r="A12065" s="51" t="s">
        <v>101</v>
      </c>
      <c r="B12065" s="55" t="n">
        <v>46022</v>
      </c>
      <c r="C12065" s="51" t="s">
        <v>73</v>
      </c>
      <c r="D12065" s="51" t="n">
        <v>0</v>
      </c>
    </row>
    <row r="12066" customFormat="false" ht="15" hidden="true" customHeight="false" outlineLevel="0" collapsed="false">
      <c r="A12066" s="51" t="s">
        <v>106</v>
      </c>
      <c r="B12066" s="55" t="n">
        <v>46022</v>
      </c>
      <c r="C12066" s="51" t="s">
        <v>73</v>
      </c>
      <c r="D12066" s="51" t="n">
        <v>0</v>
      </c>
    </row>
    <row r="12067" customFormat="false" ht="15" hidden="true" customHeight="false" outlineLevel="0" collapsed="false">
      <c r="A12067" s="51" t="s">
        <v>110</v>
      </c>
      <c r="B12067" s="55" t="n">
        <v>46022</v>
      </c>
      <c r="C12067" s="51" t="s">
        <v>73</v>
      </c>
      <c r="D12067" s="51" t="n">
        <v>0</v>
      </c>
    </row>
    <row r="12068" customFormat="false" ht="15" hidden="true" customHeight="false" outlineLevel="0" collapsed="false">
      <c r="A12068" s="51" t="s">
        <v>115</v>
      </c>
      <c r="B12068" s="55" t="n">
        <v>46022</v>
      </c>
      <c r="C12068" s="51" t="s">
        <v>73</v>
      </c>
      <c r="D12068" s="51" t="n">
        <v>0</v>
      </c>
    </row>
    <row r="12069" customFormat="false" ht="15" hidden="true" customHeight="false" outlineLevel="0" collapsed="false">
      <c r="A12069" s="51" t="s">
        <v>120</v>
      </c>
      <c r="B12069" s="55" t="n">
        <v>46022</v>
      </c>
      <c r="C12069" s="51" t="s">
        <v>73</v>
      </c>
      <c r="D12069" s="51" t="n">
        <v>0</v>
      </c>
    </row>
    <row r="12070" customFormat="false" ht="15" hidden="true" customHeight="false" outlineLevel="0" collapsed="false">
      <c r="A12070" s="51" t="s">
        <v>124</v>
      </c>
      <c r="B12070" s="55" t="n">
        <v>46022</v>
      </c>
      <c r="C12070" s="51" t="s">
        <v>73</v>
      </c>
      <c r="D12070" s="51" t="n">
        <v>0</v>
      </c>
    </row>
    <row r="12071" customFormat="false" ht="15" hidden="true" customHeight="false" outlineLevel="0" collapsed="false">
      <c r="A12071" s="51" t="s">
        <v>129</v>
      </c>
      <c r="B12071" s="55" t="n">
        <v>46022</v>
      </c>
      <c r="C12071" s="51" t="s">
        <v>73</v>
      </c>
      <c r="D12071" s="51" t="n">
        <v>0</v>
      </c>
    </row>
    <row r="12072" customFormat="false" ht="15" hidden="true" customHeight="false" outlineLevel="0" collapsed="false">
      <c r="A12072" s="51" t="s">
        <v>134</v>
      </c>
      <c r="B12072" s="55" t="n">
        <v>46022</v>
      </c>
      <c r="C12072" s="51" t="s">
        <v>73</v>
      </c>
      <c r="D12072" s="51" t="n">
        <v>0</v>
      </c>
    </row>
    <row r="12073" customFormat="false" ht="15" hidden="true" customHeight="false" outlineLevel="0" collapsed="false">
      <c r="A12073" s="51" t="s">
        <v>141</v>
      </c>
      <c r="B12073" s="55" t="n">
        <v>46022</v>
      </c>
      <c r="C12073" s="51" t="s">
        <v>73</v>
      </c>
      <c r="D12073" s="51" t="n">
        <v>0</v>
      </c>
    </row>
    <row r="12074" customFormat="false" ht="15" hidden="true" customHeight="false" outlineLevel="0" collapsed="false">
      <c r="A12074" s="51" t="s">
        <v>146</v>
      </c>
      <c r="B12074" s="55" t="n">
        <v>46022</v>
      </c>
      <c r="C12074" s="51" t="s">
        <v>73</v>
      </c>
      <c r="D12074" s="51" t="n">
        <v>0</v>
      </c>
    </row>
    <row r="12075" customFormat="false" ht="15" hidden="true" customHeight="false" outlineLevel="0" collapsed="false">
      <c r="A12075" s="51" t="s">
        <v>151</v>
      </c>
      <c r="B12075" s="55" t="n">
        <v>46022</v>
      </c>
      <c r="C12075" s="51" t="s">
        <v>73</v>
      </c>
      <c r="D12075" s="51" t="n">
        <v>0</v>
      </c>
    </row>
    <row r="12076" customFormat="false" ht="15" hidden="true" customHeight="false" outlineLevel="0" collapsed="false">
      <c r="A12076" s="51" t="s">
        <v>156</v>
      </c>
      <c r="B12076" s="55" t="n">
        <v>46022</v>
      </c>
      <c r="C12076" s="51" t="s">
        <v>73</v>
      </c>
      <c r="D12076" s="51" t="n">
        <v>0</v>
      </c>
    </row>
    <row r="12077" customFormat="false" ht="15" hidden="true" customHeight="false" outlineLevel="0" collapsed="false">
      <c r="A12077" s="51" t="s">
        <v>161</v>
      </c>
      <c r="B12077" s="55" t="n">
        <v>46022</v>
      </c>
      <c r="C12077" s="51" t="s">
        <v>73</v>
      </c>
      <c r="D12077" s="51" t="n">
        <v>0</v>
      </c>
    </row>
    <row r="12078" customFormat="false" ht="15" hidden="true" customHeight="false" outlineLevel="0" collapsed="false">
      <c r="A12078" s="51" t="s">
        <v>166</v>
      </c>
      <c r="B12078" s="55" t="n">
        <v>46022</v>
      </c>
      <c r="C12078" s="51" t="s">
        <v>73</v>
      </c>
      <c r="D12078" s="51" t="n">
        <v>0</v>
      </c>
    </row>
    <row r="12079" customFormat="false" ht="15" hidden="true" customHeight="false" outlineLevel="0" collapsed="false">
      <c r="A12079" s="51" t="s">
        <v>171</v>
      </c>
      <c r="B12079" s="55" t="n">
        <v>46022</v>
      </c>
      <c r="C12079" s="51" t="s">
        <v>73</v>
      </c>
      <c r="D12079" s="51" t="n">
        <v>0</v>
      </c>
    </row>
    <row r="12080" customFormat="false" ht="15" hidden="true" customHeight="false" outlineLevel="0" collapsed="false">
      <c r="A12080" s="51" t="s">
        <v>176</v>
      </c>
      <c r="B12080" s="55" t="n">
        <v>46022</v>
      </c>
      <c r="C12080" s="51" t="s">
        <v>73</v>
      </c>
      <c r="D12080" s="51" t="n">
        <v>0</v>
      </c>
    </row>
    <row r="12081" customFormat="false" ht="15" hidden="true" customHeight="false" outlineLevel="0" collapsed="false">
      <c r="A12081" s="51" t="s">
        <v>181</v>
      </c>
      <c r="B12081" s="55" t="n">
        <v>46022</v>
      </c>
      <c r="C12081" s="51" t="s">
        <v>73</v>
      </c>
      <c r="D12081" s="51" t="n">
        <v>0</v>
      </c>
    </row>
    <row r="12082" customFormat="false" ht="15" hidden="true" customHeight="false" outlineLevel="0" collapsed="false">
      <c r="A12082" s="51" t="s">
        <v>186</v>
      </c>
      <c r="B12082" s="55" t="n">
        <v>46022</v>
      </c>
      <c r="C12082" s="51" t="s">
        <v>73</v>
      </c>
      <c r="D12082" s="51" t="n">
        <v>0</v>
      </c>
    </row>
    <row r="12083" customFormat="false" ht="15" hidden="true" customHeight="false" outlineLevel="0" collapsed="false">
      <c r="A12083" s="51" t="s">
        <v>191</v>
      </c>
      <c r="B12083" s="55" t="n">
        <v>46022</v>
      </c>
      <c r="C12083" s="51" t="s">
        <v>73</v>
      </c>
      <c r="D12083" s="51" t="n">
        <v>0</v>
      </c>
    </row>
    <row r="12084" customFormat="false" ht="15" hidden="true" customHeight="false" outlineLevel="0" collapsed="false">
      <c r="A12084" s="51" t="s">
        <v>196</v>
      </c>
      <c r="B12084" s="55" t="n">
        <v>46022</v>
      </c>
      <c r="C12084" s="51" t="s">
        <v>73</v>
      </c>
      <c r="D12084" s="51" t="n">
        <v>0</v>
      </c>
    </row>
    <row r="12085" customFormat="false" ht="15" hidden="true" customHeight="false" outlineLevel="0" collapsed="false">
      <c r="A12085" s="51" t="s">
        <v>201</v>
      </c>
      <c r="B12085" s="55" t="n">
        <v>46022</v>
      </c>
      <c r="C12085" s="51" t="s">
        <v>73</v>
      </c>
      <c r="D12085" s="51" t="n">
        <v>0</v>
      </c>
    </row>
    <row r="12086" customFormat="false" ht="15" hidden="true" customHeight="false" outlineLevel="0" collapsed="false">
      <c r="A12086" s="51" t="s">
        <v>206</v>
      </c>
      <c r="B12086" s="55" t="n">
        <v>46022</v>
      </c>
      <c r="C12086" s="51" t="s">
        <v>73</v>
      </c>
      <c r="D12086" s="51" t="n">
        <v>0</v>
      </c>
    </row>
    <row r="12087" customFormat="false" ht="15" hidden="true" customHeight="false" outlineLevel="0" collapsed="false">
      <c r="A12087" s="51" t="s">
        <v>210</v>
      </c>
      <c r="B12087" s="55" t="n">
        <v>46022</v>
      </c>
      <c r="C12087" s="51" t="s">
        <v>73</v>
      </c>
      <c r="D12087" s="51" t="n">
        <v>0</v>
      </c>
    </row>
    <row r="12088" customFormat="false" ht="15" hidden="true" customHeight="false" outlineLevel="0" collapsed="false">
      <c r="A12088" s="51" t="s">
        <v>215</v>
      </c>
      <c r="B12088" s="55" t="n">
        <v>46022</v>
      </c>
      <c r="C12088" s="51" t="s">
        <v>73</v>
      </c>
      <c r="D12088" s="51" t="n">
        <v>0</v>
      </c>
    </row>
    <row r="12089" customFormat="false" ht="15" hidden="true" customHeight="false" outlineLevel="0" collapsed="false">
      <c r="A12089" s="51" t="s">
        <v>790</v>
      </c>
      <c r="B12089" s="55" t="n">
        <v>46022</v>
      </c>
      <c r="C12089" s="51" t="s">
        <v>73</v>
      </c>
      <c r="D12089" s="51" t="n">
        <v>0</v>
      </c>
    </row>
    <row r="12090" customFormat="false" ht="15" hidden="true" customHeight="false" outlineLevel="0" collapsed="false">
      <c r="A12090" s="51" t="s">
        <v>225</v>
      </c>
      <c r="B12090" s="55" t="n">
        <v>46022</v>
      </c>
      <c r="C12090" s="51" t="s">
        <v>73</v>
      </c>
      <c r="D12090" s="51" t="n">
        <v>0</v>
      </c>
    </row>
    <row r="12091" customFormat="false" ht="15" hidden="true" customHeight="false" outlineLevel="0" collapsed="false">
      <c r="A12091" s="51" t="s">
        <v>230</v>
      </c>
      <c r="B12091" s="55" t="n">
        <v>46022</v>
      </c>
      <c r="C12091" s="51" t="s">
        <v>73</v>
      </c>
      <c r="D12091" s="51" t="n">
        <v>0</v>
      </c>
    </row>
    <row r="12092" customFormat="false" ht="15" hidden="true" customHeight="false" outlineLevel="0" collapsed="false">
      <c r="A12092" s="51" t="s">
        <v>235</v>
      </c>
      <c r="B12092" s="55" t="n">
        <v>46022</v>
      </c>
      <c r="C12092" s="51" t="s">
        <v>73</v>
      </c>
      <c r="D12092" s="51" t="n">
        <v>0</v>
      </c>
    </row>
    <row r="12093" customFormat="false" ht="15" hidden="true" customHeight="false" outlineLevel="0" collapsed="false">
      <c r="A12093" s="51" t="s">
        <v>240</v>
      </c>
      <c r="B12093" s="55" t="n">
        <v>46022</v>
      </c>
      <c r="C12093" s="51" t="s">
        <v>73</v>
      </c>
      <c r="D12093" s="51" t="n">
        <v>0</v>
      </c>
    </row>
    <row r="12094" customFormat="false" ht="15" hidden="true" customHeight="false" outlineLevel="0" collapsed="false">
      <c r="A12094" s="51" t="s">
        <v>246</v>
      </c>
      <c r="B12094" s="55" t="n">
        <v>46022</v>
      </c>
      <c r="C12094" s="51" t="s">
        <v>73</v>
      </c>
      <c r="D12094" s="51" t="n">
        <v>0</v>
      </c>
    </row>
    <row r="12095" customFormat="false" ht="15" hidden="true" customHeight="false" outlineLevel="0" collapsed="false">
      <c r="A12095" s="51" t="s">
        <v>252</v>
      </c>
      <c r="B12095" s="55" t="n">
        <v>46022</v>
      </c>
      <c r="C12095" s="51" t="s">
        <v>73</v>
      </c>
      <c r="D12095" s="51" t="n">
        <v>0</v>
      </c>
    </row>
    <row r="12096" customFormat="false" ht="15" hidden="true" customHeight="false" outlineLevel="0" collapsed="false">
      <c r="A12096" s="51" t="s">
        <v>257</v>
      </c>
      <c r="B12096" s="55" t="n">
        <v>46022</v>
      </c>
      <c r="C12096" s="51" t="s">
        <v>73</v>
      </c>
      <c r="D12096" s="51" t="n">
        <v>0</v>
      </c>
    </row>
    <row r="12097" customFormat="false" ht="15" hidden="true" customHeight="false" outlineLevel="0" collapsed="false">
      <c r="A12097" s="51" t="s">
        <v>262</v>
      </c>
      <c r="B12097" s="55" t="n">
        <v>46022</v>
      </c>
      <c r="C12097" s="51" t="s">
        <v>73</v>
      </c>
      <c r="D12097" s="51" t="n">
        <v>0</v>
      </c>
    </row>
    <row r="12098" customFormat="false" ht="15" hidden="true" customHeight="false" outlineLevel="0" collapsed="false">
      <c r="A12098" s="51" t="s">
        <v>267</v>
      </c>
      <c r="B12098" s="55" t="n">
        <v>46022</v>
      </c>
      <c r="C12098" s="51" t="s">
        <v>73</v>
      </c>
      <c r="D12098" s="51" t="n">
        <v>0</v>
      </c>
    </row>
    <row r="12099" customFormat="false" ht="15" hidden="true" customHeight="false" outlineLevel="0" collapsed="false">
      <c r="A12099" s="51" t="s">
        <v>272</v>
      </c>
      <c r="B12099" s="55" t="n">
        <v>46022</v>
      </c>
      <c r="C12099" s="51" t="s">
        <v>73</v>
      </c>
      <c r="D12099" s="51" t="n">
        <v>0</v>
      </c>
    </row>
    <row r="12100" customFormat="false" ht="15" hidden="true" customHeight="false" outlineLevel="0" collapsed="false">
      <c r="A12100" s="51" t="s">
        <v>277</v>
      </c>
      <c r="B12100" s="55" t="n">
        <v>46022</v>
      </c>
      <c r="C12100" s="51" t="s">
        <v>73</v>
      </c>
      <c r="D12100" s="51" t="n">
        <v>0</v>
      </c>
    </row>
    <row r="12101" customFormat="false" ht="15" hidden="true" customHeight="false" outlineLevel="0" collapsed="false">
      <c r="A12101" s="51" t="s">
        <v>282</v>
      </c>
      <c r="B12101" s="55" t="n">
        <v>46022</v>
      </c>
      <c r="C12101" s="51" t="s">
        <v>73</v>
      </c>
      <c r="D12101" s="51" t="n">
        <v>0</v>
      </c>
    </row>
    <row r="12102" customFormat="false" ht="15" hidden="true" customHeight="false" outlineLevel="0" collapsed="false">
      <c r="A12102" s="51" t="s">
        <v>287</v>
      </c>
      <c r="B12102" s="55" t="n">
        <v>46022</v>
      </c>
      <c r="C12102" s="51" t="s">
        <v>73</v>
      </c>
      <c r="D12102" s="51" t="n">
        <v>0</v>
      </c>
    </row>
    <row r="12103" customFormat="false" ht="15" hidden="true" customHeight="false" outlineLevel="0" collapsed="false">
      <c r="A12103" s="51" t="s">
        <v>292</v>
      </c>
      <c r="B12103" s="55" t="n">
        <v>46022</v>
      </c>
      <c r="C12103" s="51" t="s">
        <v>73</v>
      </c>
      <c r="D12103" s="51" t="n">
        <v>0</v>
      </c>
    </row>
    <row r="12104" customFormat="false" ht="15" hidden="true" customHeight="false" outlineLevel="0" collapsed="false">
      <c r="A12104" s="51" t="s">
        <v>297</v>
      </c>
      <c r="B12104" s="55" t="n">
        <v>46022</v>
      </c>
      <c r="C12104" s="51" t="s">
        <v>73</v>
      </c>
      <c r="D12104" s="51" t="n">
        <v>0</v>
      </c>
    </row>
    <row r="12105" customFormat="false" ht="15" hidden="true" customHeight="false" outlineLevel="0" collapsed="false">
      <c r="A12105" s="51" t="s">
        <v>302</v>
      </c>
      <c r="B12105" s="55" t="n">
        <v>46022</v>
      </c>
      <c r="C12105" s="51" t="s">
        <v>73</v>
      </c>
      <c r="D12105" s="51" t="n">
        <v>0</v>
      </c>
    </row>
    <row r="12106" customFormat="false" ht="15" hidden="true" customHeight="false" outlineLevel="0" collapsed="false">
      <c r="A12106" s="51" t="s">
        <v>307</v>
      </c>
      <c r="B12106" s="55" t="n">
        <v>46022</v>
      </c>
      <c r="C12106" s="51" t="s">
        <v>73</v>
      </c>
      <c r="D12106" s="51" t="n">
        <v>0</v>
      </c>
    </row>
    <row r="12107" customFormat="false" ht="15" hidden="true" customHeight="false" outlineLevel="0" collapsed="false">
      <c r="A12107" s="51" t="s">
        <v>311</v>
      </c>
      <c r="B12107" s="55" t="n">
        <v>46022</v>
      </c>
      <c r="C12107" s="51" t="s">
        <v>73</v>
      </c>
      <c r="D12107" s="51" t="n">
        <v>0</v>
      </c>
    </row>
    <row r="12108" customFormat="false" ht="15" hidden="true" customHeight="false" outlineLevel="0" collapsed="false">
      <c r="A12108" s="51" t="s">
        <v>317</v>
      </c>
      <c r="B12108" s="55" t="n">
        <v>46022</v>
      </c>
      <c r="C12108" s="51" t="s">
        <v>73</v>
      </c>
      <c r="D12108" s="51" t="n">
        <v>0</v>
      </c>
    </row>
    <row r="12109" customFormat="false" ht="15" hidden="true" customHeight="false" outlineLevel="0" collapsed="false">
      <c r="A12109" s="51" t="s">
        <v>322</v>
      </c>
      <c r="B12109" s="55" t="n">
        <v>46022</v>
      </c>
      <c r="C12109" s="51" t="s">
        <v>73</v>
      </c>
      <c r="D12109" s="51" t="n">
        <v>0</v>
      </c>
    </row>
    <row r="12110" customFormat="false" ht="15" hidden="true" customHeight="false" outlineLevel="0" collapsed="false">
      <c r="A12110" s="51" t="s">
        <v>327</v>
      </c>
      <c r="B12110" s="55" t="n">
        <v>46022</v>
      </c>
      <c r="C12110" s="51" t="s">
        <v>73</v>
      </c>
      <c r="D12110" s="51" t="n">
        <v>0</v>
      </c>
    </row>
    <row r="12111" customFormat="false" ht="15" hidden="true" customHeight="false" outlineLevel="0" collapsed="false">
      <c r="A12111" s="51" t="s">
        <v>332</v>
      </c>
      <c r="B12111" s="55" t="n">
        <v>46022</v>
      </c>
      <c r="C12111" s="51" t="s">
        <v>73</v>
      </c>
      <c r="D12111" s="51" t="n">
        <v>0</v>
      </c>
    </row>
    <row r="12112" customFormat="false" ht="15" hidden="true" customHeight="false" outlineLevel="0" collapsed="false">
      <c r="A12112" s="51" t="s">
        <v>339</v>
      </c>
      <c r="B12112" s="55" t="n">
        <v>46022</v>
      </c>
      <c r="C12112" s="51" t="s">
        <v>73</v>
      </c>
      <c r="D12112" s="51" t="n">
        <v>0</v>
      </c>
    </row>
    <row r="12113" customFormat="false" ht="15" hidden="true" customHeight="false" outlineLevel="0" collapsed="false">
      <c r="A12113" s="51" t="s">
        <v>344</v>
      </c>
      <c r="B12113" s="55" t="n">
        <v>46022</v>
      </c>
      <c r="C12113" s="51" t="s">
        <v>73</v>
      </c>
      <c r="D12113" s="51" t="n">
        <v>0</v>
      </c>
    </row>
    <row r="12114" customFormat="false" ht="15" hidden="true" customHeight="false" outlineLevel="0" collapsed="false">
      <c r="A12114" s="51" t="s">
        <v>349</v>
      </c>
      <c r="B12114" s="55" t="n">
        <v>46022</v>
      </c>
      <c r="C12114" s="51" t="s">
        <v>73</v>
      </c>
      <c r="D12114" s="51" t="n">
        <v>0</v>
      </c>
    </row>
    <row r="12115" customFormat="false" ht="15" hidden="true" customHeight="false" outlineLevel="0" collapsed="false">
      <c r="A12115" s="51" t="s">
        <v>354</v>
      </c>
      <c r="B12115" s="55" t="n">
        <v>46022</v>
      </c>
      <c r="C12115" s="51" t="s">
        <v>73</v>
      </c>
      <c r="D12115" s="51" t="n">
        <v>0</v>
      </c>
    </row>
    <row r="12116" customFormat="false" ht="15" hidden="true" customHeight="false" outlineLevel="0" collapsed="false">
      <c r="A12116" s="51" t="s">
        <v>359</v>
      </c>
      <c r="B12116" s="55" t="n">
        <v>46022</v>
      </c>
      <c r="C12116" s="51" t="s">
        <v>73</v>
      </c>
      <c r="D12116" s="51" t="n">
        <v>0</v>
      </c>
    </row>
    <row r="12117" customFormat="false" ht="15" hidden="true" customHeight="false" outlineLevel="0" collapsed="false">
      <c r="A12117" s="51" t="s">
        <v>364</v>
      </c>
      <c r="B12117" s="55" t="n">
        <v>46022</v>
      </c>
      <c r="C12117" s="51" t="s">
        <v>73</v>
      </c>
      <c r="D12117" s="51" t="n">
        <v>0</v>
      </c>
    </row>
    <row r="12118" customFormat="false" ht="15" hidden="true" customHeight="false" outlineLevel="0" collapsed="false">
      <c r="A12118" s="51" t="s">
        <v>369</v>
      </c>
      <c r="B12118" s="55" t="n">
        <v>46022</v>
      </c>
      <c r="C12118" s="51" t="s">
        <v>73</v>
      </c>
      <c r="D12118" s="51" t="n">
        <v>0</v>
      </c>
    </row>
    <row r="12119" customFormat="false" ht="15" hidden="true" customHeight="false" outlineLevel="0" collapsed="false">
      <c r="A12119" s="51" t="s">
        <v>374</v>
      </c>
      <c r="B12119" s="55" t="n">
        <v>46022</v>
      </c>
      <c r="C12119" s="51" t="s">
        <v>73</v>
      </c>
      <c r="D12119" s="51" t="n">
        <v>0</v>
      </c>
    </row>
    <row r="12120" customFormat="false" ht="15" hidden="true" customHeight="false" outlineLevel="0" collapsed="false">
      <c r="A12120" s="51" t="s">
        <v>379</v>
      </c>
      <c r="B12120" s="55" t="n">
        <v>46022</v>
      </c>
      <c r="C12120" s="51" t="s">
        <v>73</v>
      </c>
      <c r="D12120" s="51" t="n">
        <v>0</v>
      </c>
    </row>
    <row r="12121" customFormat="false" ht="15" hidden="true" customHeight="false" outlineLevel="0" collapsed="false">
      <c r="A12121" s="51" t="s">
        <v>384</v>
      </c>
      <c r="B12121" s="55" t="n">
        <v>46022</v>
      </c>
      <c r="C12121" s="51" t="s">
        <v>73</v>
      </c>
      <c r="D12121" s="51" t="n">
        <v>0</v>
      </c>
    </row>
    <row r="12122" customFormat="false" ht="15" hidden="true" customHeight="false" outlineLevel="0" collapsed="false">
      <c r="A12122" s="51" t="s">
        <v>389</v>
      </c>
      <c r="B12122" s="55" t="n">
        <v>46022</v>
      </c>
      <c r="C12122" s="51" t="s">
        <v>73</v>
      </c>
      <c r="D12122" s="51" t="n">
        <v>1024085.9</v>
      </c>
    </row>
    <row r="12123" customFormat="false" ht="15" hidden="true" customHeight="false" outlineLevel="0" collapsed="false">
      <c r="A12123" s="51" t="s">
        <v>394</v>
      </c>
      <c r="B12123" s="55" t="n">
        <v>46022</v>
      </c>
      <c r="C12123" s="51" t="s">
        <v>73</v>
      </c>
      <c r="D12123" s="51" t="n">
        <v>0</v>
      </c>
    </row>
    <row r="12124" customFormat="false" ht="15" hidden="true" customHeight="false" outlineLevel="0" collapsed="false">
      <c r="A12124" s="51" t="s">
        <v>399</v>
      </c>
      <c r="B12124" s="55" t="n">
        <v>46022</v>
      </c>
      <c r="C12124" s="51" t="s">
        <v>73</v>
      </c>
      <c r="D12124" s="51" t="n">
        <v>0</v>
      </c>
    </row>
    <row r="12125" customFormat="false" ht="15" hidden="true" customHeight="false" outlineLevel="0" collapsed="false">
      <c r="A12125" s="51" t="s">
        <v>404</v>
      </c>
      <c r="B12125" s="55" t="n">
        <v>46022</v>
      </c>
      <c r="C12125" s="51" t="s">
        <v>73</v>
      </c>
      <c r="D12125" s="51" t="n">
        <v>500000</v>
      </c>
    </row>
    <row r="12126" customFormat="false" ht="15" hidden="true" customHeight="false" outlineLevel="0" collapsed="false">
      <c r="A12126" s="51" t="s">
        <v>409</v>
      </c>
      <c r="B12126" s="55" t="n">
        <v>46022</v>
      </c>
      <c r="C12126" s="51" t="s">
        <v>73</v>
      </c>
      <c r="D12126" s="51" t="n">
        <v>0</v>
      </c>
    </row>
    <row r="12127" customFormat="false" ht="15" hidden="true" customHeight="false" outlineLevel="0" collapsed="false">
      <c r="A12127" s="51" t="s">
        <v>414</v>
      </c>
      <c r="B12127" s="55" t="n">
        <v>46022</v>
      </c>
      <c r="C12127" s="51" t="s">
        <v>73</v>
      </c>
      <c r="D12127" s="51" t="n">
        <v>0</v>
      </c>
    </row>
    <row r="12128" customFormat="false" ht="15" hidden="true" customHeight="false" outlineLevel="0" collapsed="false">
      <c r="A12128" s="51" t="s">
        <v>419</v>
      </c>
      <c r="B12128" s="55" t="n">
        <v>46022</v>
      </c>
      <c r="C12128" s="51" t="s">
        <v>73</v>
      </c>
      <c r="D12128" s="51" t="n">
        <v>0</v>
      </c>
    </row>
    <row r="12129" customFormat="false" ht="15" hidden="true" customHeight="false" outlineLevel="0" collapsed="false">
      <c r="A12129" s="51" t="s">
        <v>424</v>
      </c>
      <c r="B12129" s="55" t="n">
        <v>46022</v>
      </c>
      <c r="C12129" s="51" t="s">
        <v>73</v>
      </c>
      <c r="D12129" s="51" t="n">
        <v>0</v>
      </c>
    </row>
    <row r="12130" customFormat="false" ht="15" hidden="true" customHeight="false" outlineLevel="0" collapsed="false">
      <c r="A12130" s="51" t="s">
        <v>429</v>
      </c>
      <c r="B12130" s="55" t="n">
        <v>46022</v>
      </c>
      <c r="C12130" s="51" t="s">
        <v>73</v>
      </c>
      <c r="D12130" s="51" t="n">
        <v>0</v>
      </c>
    </row>
    <row r="12131" customFormat="false" ht="15" hidden="true" customHeight="false" outlineLevel="0" collapsed="false">
      <c r="A12131" s="51" t="s">
        <v>434</v>
      </c>
      <c r="B12131" s="55" t="n">
        <v>46022</v>
      </c>
      <c r="C12131" s="51" t="s">
        <v>73</v>
      </c>
      <c r="D12131" s="51" t="n">
        <v>0</v>
      </c>
    </row>
    <row r="12132" customFormat="false" ht="15" hidden="true" customHeight="false" outlineLevel="0" collapsed="false">
      <c r="A12132" s="51" t="s">
        <v>438</v>
      </c>
      <c r="B12132" s="55" t="n">
        <v>46022</v>
      </c>
      <c r="C12132" s="51" t="s">
        <v>73</v>
      </c>
      <c r="D12132" s="51" t="n">
        <v>0</v>
      </c>
    </row>
    <row r="12133" customFormat="false" ht="15" hidden="true" customHeight="false" outlineLevel="0" collapsed="false">
      <c r="A12133" s="51" t="s">
        <v>443</v>
      </c>
      <c r="B12133" s="55" t="n">
        <v>46022</v>
      </c>
      <c r="C12133" s="51" t="s">
        <v>73</v>
      </c>
      <c r="D12133" s="51" t="n">
        <v>0</v>
      </c>
    </row>
    <row r="12134" customFormat="false" ht="15" hidden="true" customHeight="false" outlineLevel="0" collapsed="false">
      <c r="A12134" s="51" t="s">
        <v>448</v>
      </c>
      <c r="B12134" s="55" t="n">
        <v>46022</v>
      </c>
      <c r="C12134" s="51" t="s">
        <v>73</v>
      </c>
      <c r="D12134" s="51" t="n">
        <v>0</v>
      </c>
    </row>
    <row r="12135" customFormat="false" ht="15" hidden="true" customHeight="false" outlineLevel="0" collapsed="false">
      <c r="A12135" s="51" t="s">
        <v>453</v>
      </c>
      <c r="B12135" s="55" t="n">
        <v>46022</v>
      </c>
      <c r="C12135" s="51" t="s">
        <v>73</v>
      </c>
      <c r="D12135" s="51" t="n">
        <v>0</v>
      </c>
    </row>
    <row r="12136" customFormat="false" ht="15" hidden="true" customHeight="false" outlineLevel="0" collapsed="false">
      <c r="A12136" s="51" t="s">
        <v>458</v>
      </c>
      <c r="B12136" s="55" t="n">
        <v>46022</v>
      </c>
      <c r="C12136" s="51" t="s">
        <v>73</v>
      </c>
      <c r="D12136" s="51" t="n">
        <v>0</v>
      </c>
    </row>
    <row r="12137" customFormat="false" ht="15" hidden="true" customHeight="false" outlineLevel="0" collapsed="false">
      <c r="A12137" s="51" t="s">
        <v>473</v>
      </c>
      <c r="B12137" s="55" t="n">
        <v>46022</v>
      </c>
      <c r="C12137" s="51" t="s">
        <v>73</v>
      </c>
      <c r="D12137" s="51" t="n">
        <v>0</v>
      </c>
    </row>
    <row r="12138" customFormat="false" ht="15" hidden="true" customHeight="false" outlineLevel="0" collapsed="false">
      <c r="A12138" s="51" t="s">
        <v>479</v>
      </c>
      <c r="B12138" s="55" t="n">
        <v>46022</v>
      </c>
      <c r="C12138" s="51" t="s">
        <v>73</v>
      </c>
      <c r="D12138" s="51" t="n">
        <v>0</v>
      </c>
    </row>
    <row r="12139" customFormat="false" ht="15" hidden="true" customHeight="false" outlineLevel="0" collapsed="false">
      <c r="A12139" s="51" t="s">
        <v>484</v>
      </c>
      <c r="B12139" s="55" t="n">
        <v>46022</v>
      </c>
      <c r="C12139" s="51" t="s">
        <v>73</v>
      </c>
      <c r="D12139" s="51" t="n">
        <v>0</v>
      </c>
    </row>
    <row r="12140" customFormat="false" ht="15" hidden="true" customHeight="false" outlineLevel="0" collapsed="false">
      <c r="A12140" s="51" t="s">
        <v>489</v>
      </c>
      <c r="B12140" s="55" t="n">
        <v>46022</v>
      </c>
      <c r="C12140" s="51" t="s">
        <v>73</v>
      </c>
      <c r="D12140" s="51" t="n">
        <v>0</v>
      </c>
    </row>
    <row r="12141" customFormat="false" ht="15" hidden="true" customHeight="false" outlineLevel="0" collapsed="false">
      <c r="A12141" s="51" t="s">
        <v>494</v>
      </c>
      <c r="B12141" s="55" t="n">
        <v>46022</v>
      </c>
      <c r="C12141" s="51" t="s">
        <v>73</v>
      </c>
      <c r="D12141" s="51" t="n">
        <v>0</v>
      </c>
    </row>
    <row r="12142" customFormat="false" ht="15" hidden="true" customHeight="false" outlineLevel="0" collapsed="false">
      <c r="A12142" s="51" t="s">
        <v>499</v>
      </c>
      <c r="B12142" s="55" t="n">
        <v>46022</v>
      </c>
      <c r="C12142" s="51" t="s">
        <v>73</v>
      </c>
      <c r="D12142" s="51" t="n">
        <v>0</v>
      </c>
    </row>
    <row r="12143" customFormat="false" ht="15" hidden="true" customHeight="false" outlineLevel="0" collapsed="false">
      <c r="A12143" s="51" t="s">
        <v>504</v>
      </c>
      <c r="B12143" s="55" t="n">
        <v>46022</v>
      </c>
      <c r="C12143" s="51" t="s">
        <v>73</v>
      </c>
      <c r="D12143" s="51" t="n">
        <v>0</v>
      </c>
    </row>
    <row r="12144" customFormat="false" ht="15" hidden="true" customHeight="false" outlineLevel="0" collapsed="false">
      <c r="A12144" s="51" t="s">
        <v>509</v>
      </c>
      <c r="B12144" s="55" t="n">
        <v>46022</v>
      </c>
      <c r="C12144" s="51" t="s">
        <v>73</v>
      </c>
      <c r="D12144" s="51" t="n">
        <v>0</v>
      </c>
    </row>
    <row r="12145" customFormat="false" ht="15" hidden="true" customHeight="false" outlineLevel="0" collapsed="false">
      <c r="A12145" s="51" t="s">
        <v>515</v>
      </c>
      <c r="B12145" s="55" t="n">
        <v>46022</v>
      </c>
      <c r="C12145" s="51" t="s">
        <v>73</v>
      </c>
      <c r="D12145" s="51" t="n">
        <v>0</v>
      </c>
    </row>
    <row r="12146" customFormat="false" ht="15" hidden="true" customHeight="false" outlineLevel="0" collapsed="false">
      <c r="A12146" s="51" t="s">
        <v>520</v>
      </c>
      <c r="B12146" s="55" t="n">
        <v>46022</v>
      </c>
      <c r="C12146" s="51" t="s">
        <v>73</v>
      </c>
      <c r="D12146" s="51" t="n">
        <v>0</v>
      </c>
    </row>
    <row r="12147" customFormat="false" ht="15" hidden="true" customHeight="false" outlineLevel="0" collapsed="false">
      <c r="A12147" s="51" t="s">
        <v>525</v>
      </c>
      <c r="B12147" s="55" t="n">
        <v>46022</v>
      </c>
      <c r="C12147" s="51" t="s">
        <v>73</v>
      </c>
      <c r="D12147" s="51" t="n">
        <v>0</v>
      </c>
    </row>
    <row r="12148" customFormat="false" ht="15" hidden="true" customHeight="false" outlineLevel="0" collapsed="false">
      <c r="A12148" s="51" t="s">
        <v>531</v>
      </c>
      <c r="B12148" s="55" t="n">
        <v>46022</v>
      </c>
      <c r="C12148" s="51" t="s">
        <v>73</v>
      </c>
      <c r="D12148" s="51" t="n">
        <v>0</v>
      </c>
    </row>
    <row r="12149" customFormat="false" ht="15" hidden="true" customHeight="false" outlineLevel="0" collapsed="false">
      <c r="A12149" s="51" t="s">
        <v>536</v>
      </c>
      <c r="B12149" s="55" t="n">
        <v>46022</v>
      </c>
      <c r="C12149" s="51" t="s">
        <v>73</v>
      </c>
      <c r="D12149" s="51" t="n">
        <v>0</v>
      </c>
    </row>
    <row r="12150" customFormat="false" ht="15" hidden="true" customHeight="false" outlineLevel="0" collapsed="false">
      <c r="A12150" s="51" t="s">
        <v>541</v>
      </c>
      <c r="B12150" s="55" t="n">
        <v>46022</v>
      </c>
      <c r="C12150" s="51" t="s">
        <v>73</v>
      </c>
      <c r="D12150" s="51" t="n">
        <v>0</v>
      </c>
    </row>
    <row r="12151" customFormat="false" ht="15" hidden="true" customHeight="false" outlineLevel="0" collapsed="false">
      <c r="A12151" s="51" t="s">
        <v>549</v>
      </c>
      <c r="B12151" s="55" t="n">
        <v>46022</v>
      </c>
      <c r="C12151" s="51" t="s">
        <v>73</v>
      </c>
      <c r="D12151" s="51" t="n">
        <v>0</v>
      </c>
    </row>
    <row r="12152" customFormat="false" ht="15" hidden="true" customHeight="false" outlineLevel="0" collapsed="false">
      <c r="A12152" s="51" t="s">
        <v>554</v>
      </c>
      <c r="B12152" s="55" t="n">
        <v>46022</v>
      </c>
      <c r="C12152" s="51" t="s">
        <v>73</v>
      </c>
      <c r="D12152" s="51" t="n">
        <v>0</v>
      </c>
    </row>
    <row r="12153" customFormat="false" ht="15" hidden="true" customHeight="false" outlineLevel="0" collapsed="false">
      <c r="A12153" s="51" t="s">
        <v>559</v>
      </c>
      <c r="B12153" s="55" t="n">
        <v>46022</v>
      </c>
      <c r="C12153" s="51" t="s">
        <v>73</v>
      </c>
      <c r="D12153" s="51" t="n">
        <v>0</v>
      </c>
    </row>
    <row r="12154" customFormat="false" ht="15" hidden="true" customHeight="false" outlineLevel="0" collapsed="false">
      <c r="A12154" s="51" t="s">
        <v>564</v>
      </c>
      <c r="B12154" s="55" t="n">
        <v>46022</v>
      </c>
      <c r="C12154" s="51" t="s">
        <v>73</v>
      </c>
      <c r="D12154" s="51" t="n">
        <v>0</v>
      </c>
    </row>
    <row r="12155" customFormat="false" ht="15" hidden="true" customHeight="false" outlineLevel="0" collapsed="false">
      <c r="A12155" s="51" t="s">
        <v>569</v>
      </c>
      <c r="B12155" s="55" t="n">
        <v>46022</v>
      </c>
      <c r="C12155" s="51" t="s">
        <v>73</v>
      </c>
      <c r="D12155" s="51" t="n">
        <v>100000</v>
      </c>
    </row>
    <row r="12156" customFormat="false" ht="15" hidden="true" customHeight="false" outlineLevel="0" collapsed="false">
      <c r="A12156" s="51" t="s">
        <v>574</v>
      </c>
      <c r="B12156" s="55" t="n">
        <v>46022</v>
      </c>
      <c r="C12156" s="51" t="s">
        <v>73</v>
      </c>
      <c r="D12156" s="51" t="n">
        <v>0</v>
      </c>
    </row>
    <row r="12157" customFormat="false" ht="15" hidden="true" customHeight="false" outlineLevel="0" collapsed="false">
      <c r="A12157" s="51" t="s">
        <v>579</v>
      </c>
      <c r="B12157" s="55" t="n">
        <v>46022</v>
      </c>
      <c r="C12157" s="51" t="s">
        <v>73</v>
      </c>
      <c r="D12157" s="51" t="n">
        <v>0</v>
      </c>
    </row>
    <row r="12158" customFormat="false" ht="15" hidden="true" customHeight="false" outlineLevel="0" collapsed="false">
      <c r="A12158" s="51" t="s">
        <v>584</v>
      </c>
      <c r="B12158" s="55" t="n">
        <v>46022</v>
      </c>
      <c r="C12158" s="51" t="s">
        <v>73</v>
      </c>
      <c r="D12158" s="51" t="n">
        <v>0</v>
      </c>
    </row>
    <row r="12159" customFormat="false" ht="15" hidden="true" customHeight="false" outlineLevel="0" collapsed="false">
      <c r="A12159" s="51" t="s">
        <v>589</v>
      </c>
      <c r="B12159" s="55" t="n">
        <v>46022</v>
      </c>
      <c r="C12159" s="51" t="s">
        <v>73</v>
      </c>
      <c r="D12159" s="51" t="n">
        <v>0</v>
      </c>
    </row>
    <row r="12160" customFormat="false" ht="15" hidden="true" customHeight="false" outlineLevel="0" collapsed="false">
      <c r="A12160" s="51" t="s">
        <v>756</v>
      </c>
      <c r="B12160" s="55" t="n">
        <v>46022</v>
      </c>
      <c r="C12160" s="51" t="s">
        <v>73</v>
      </c>
      <c r="D12160" s="51" t="n">
        <v>0</v>
      </c>
    </row>
    <row r="12161" customFormat="false" ht="15" hidden="true" customHeight="false" outlineLevel="0" collapsed="false">
      <c r="A12161" s="51" t="s">
        <v>594</v>
      </c>
      <c r="B12161" s="55" t="n">
        <v>46022</v>
      </c>
      <c r="C12161" s="51" t="s">
        <v>73</v>
      </c>
      <c r="D12161" s="51" t="n">
        <v>0</v>
      </c>
    </row>
    <row r="12162" customFormat="false" ht="15" hidden="true" customHeight="false" outlineLevel="0" collapsed="false">
      <c r="A12162" s="51" t="s">
        <v>761</v>
      </c>
      <c r="B12162" s="55" t="n">
        <v>46022</v>
      </c>
      <c r="C12162" s="51" t="s">
        <v>73</v>
      </c>
      <c r="D12162" s="51" t="n">
        <v>0</v>
      </c>
    </row>
    <row r="12163" customFormat="false" ht="15" hidden="true" customHeight="false" outlineLevel="0" collapsed="false">
      <c r="A12163" s="51" t="s">
        <v>599</v>
      </c>
      <c r="B12163" s="55" t="n">
        <v>46022</v>
      </c>
      <c r="C12163" s="51" t="s">
        <v>73</v>
      </c>
      <c r="D12163" s="51" t="n">
        <v>500000</v>
      </c>
    </row>
    <row r="12164" customFormat="false" ht="15" hidden="true" customHeight="false" outlineLevel="0" collapsed="false">
      <c r="A12164" s="51" t="s">
        <v>604</v>
      </c>
      <c r="B12164" s="55" t="n">
        <v>46022</v>
      </c>
      <c r="C12164" s="51" t="s">
        <v>73</v>
      </c>
      <c r="D12164" s="51" t="n">
        <v>0</v>
      </c>
    </row>
    <row r="12165" customFormat="false" ht="15" hidden="true" customHeight="false" outlineLevel="0" collapsed="false">
      <c r="A12165" s="51" t="s">
        <v>609</v>
      </c>
      <c r="B12165" s="55" t="n">
        <v>46022</v>
      </c>
      <c r="C12165" s="51" t="s">
        <v>73</v>
      </c>
      <c r="D12165" s="51" t="n">
        <v>0</v>
      </c>
    </row>
    <row r="12166" customFormat="false" ht="15" hidden="true" customHeight="false" outlineLevel="0" collapsed="false">
      <c r="A12166" s="51" t="s">
        <v>614</v>
      </c>
      <c r="B12166" s="55" t="n">
        <v>46022</v>
      </c>
      <c r="C12166" s="51" t="s">
        <v>73</v>
      </c>
      <c r="D12166" s="51" t="n">
        <v>250000</v>
      </c>
    </row>
    <row r="12167" customFormat="false" ht="15" hidden="true" customHeight="false" outlineLevel="0" collapsed="false">
      <c r="A12167" s="51" t="s">
        <v>619</v>
      </c>
      <c r="B12167" s="55" t="n">
        <v>46022</v>
      </c>
      <c r="C12167" s="51" t="s">
        <v>73</v>
      </c>
      <c r="D12167" s="51" t="n">
        <v>0</v>
      </c>
    </row>
    <row r="12168" customFormat="false" ht="15" hidden="true" customHeight="false" outlineLevel="0" collapsed="false">
      <c r="A12168" s="51" t="s">
        <v>624</v>
      </c>
      <c r="B12168" s="55" t="n">
        <v>46022</v>
      </c>
      <c r="C12168" s="51" t="s">
        <v>73</v>
      </c>
      <c r="D12168" s="51" t="n">
        <v>0</v>
      </c>
    </row>
    <row r="12169" customFormat="false" ht="15" hidden="true" customHeight="false" outlineLevel="0" collapsed="false">
      <c r="A12169" s="51" t="s">
        <v>629</v>
      </c>
      <c r="B12169" s="55" t="n">
        <v>46022</v>
      </c>
      <c r="C12169" s="51" t="s">
        <v>73</v>
      </c>
      <c r="D12169" s="51" t="n">
        <v>0</v>
      </c>
    </row>
    <row r="12170" customFormat="false" ht="15" hidden="true" customHeight="false" outlineLevel="0" collapsed="false">
      <c r="A12170" s="51" t="s">
        <v>633</v>
      </c>
      <c r="B12170" s="55" t="n">
        <v>46022</v>
      </c>
      <c r="C12170" s="51" t="s">
        <v>73</v>
      </c>
      <c r="D12170" s="51" t="n">
        <v>150000</v>
      </c>
    </row>
    <row r="12171" customFormat="false" ht="15" hidden="true" customHeight="false" outlineLevel="0" collapsed="false">
      <c r="A12171" s="51" t="s">
        <v>638</v>
      </c>
      <c r="B12171" s="55" t="n">
        <v>46022</v>
      </c>
      <c r="C12171" s="51" t="s">
        <v>73</v>
      </c>
      <c r="D12171" s="51" t="n">
        <v>150000</v>
      </c>
    </row>
    <row r="12172" customFormat="false" ht="15" hidden="true" customHeight="false" outlineLevel="0" collapsed="false">
      <c r="A12172" s="51" t="s">
        <v>642</v>
      </c>
      <c r="B12172" s="55" t="n">
        <v>46022</v>
      </c>
      <c r="C12172" s="51" t="s">
        <v>73</v>
      </c>
      <c r="D12172" s="51" t="n">
        <v>500000</v>
      </c>
    </row>
    <row r="12173" customFormat="false" ht="15" hidden="true" customHeight="false" outlineLevel="0" collapsed="false">
      <c r="A12173" s="51" t="s">
        <v>646</v>
      </c>
      <c r="B12173" s="55" t="n">
        <v>46022</v>
      </c>
      <c r="C12173" s="51" t="s">
        <v>73</v>
      </c>
      <c r="D12173" s="51" t="n">
        <v>0</v>
      </c>
    </row>
    <row r="12174" customFormat="false" ht="15" hidden="true" customHeight="false" outlineLevel="0" collapsed="false">
      <c r="A12174" s="51" t="s">
        <v>651</v>
      </c>
      <c r="B12174" s="55" t="n">
        <v>46022</v>
      </c>
      <c r="C12174" s="51" t="s">
        <v>73</v>
      </c>
      <c r="D12174" s="51" t="n">
        <v>0</v>
      </c>
    </row>
    <row r="12175" customFormat="false" ht="15" hidden="true" customHeight="false" outlineLevel="0" collapsed="false">
      <c r="A12175" s="51" t="s">
        <v>656</v>
      </c>
      <c r="B12175" s="55" t="n">
        <v>46022</v>
      </c>
      <c r="C12175" s="51" t="s">
        <v>73</v>
      </c>
      <c r="D12175" s="51" t="n">
        <v>0</v>
      </c>
    </row>
    <row r="12176" customFormat="false" ht="15" hidden="true" customHeight="false" outlineLevel="0" collapsed="false">
      <c r="A12176" s="51" t="s">
        <v>661</v>
      </c>
      <c r="B12176" s="55" t="n">
        <v>46022</v>
      </c>
      <c r="C12176" s="51" t="s">
        <v>73</v>
      </c>
      <c r="D12176" s="51" t="n">
        <v>600000</v>
      </c>
    </row>
    <row r="12177" customFormat="false" ht="15" hidden="true" customHeight="false" outlineLevel="0" collapsed="false">
      <c r="A12177" s="51" t="s">
        <v>666</v>
      </c>
      <c r="B12177" s="55" t="n">
        <v>46022</v>
      </c>
      <c r="C12177" s="51" t="s">
        <v>73</v>
      </c>
      <c r="D12177" s="51" t="n">
        <v>200000</v>
      </c>
    </row>
    <row r="12178" customFormat="false" ht="15" hidden="true" customHeight="false" outlineLevel="0" collapsed="false">
      <c r="A12178" s="51" t="s">
        <v>671</v>
      </c>
      <c r="B12178" s="55" t="n">
        <v>46022</v>
      </c>
      <c r="C12178" s="51" t="s">
        <v>73</v>
      </c>
      <c r="D12178" s="51" t="n">
        <v>0</v>
      </c>
    </row>
    <row r="12179" customFormat="false" ht="15" hidden="true" customHeight="false" outlineLevel="0" collapsed="false">
      <c r="A12179" s="51" t="s">
        <v>676</v>
      </c>
      <c r="B12179" s="55" t="n">
        <v>46022</v>
      </c>
      <c r="C12179" s="51" t="s">
        <v>73</v>
      </c>
      <c r="D12179" s="51" t="n">
        <v>50000</v>
      </c>
    </row>
    <row r="12180" customFormat="false" ht="15" hidden="true" customHeight="false" outlineLevel="0" collapsed="false">
      <c r="A12180" s="51" t="s">
        <v>681</v>
      </c>
      <c r="B12180" s="55" t="n">
        <v>46022</v>
      </c>
      <c r="C12180" s="51" t="s">
        <v>73</v>
      </c>
      <c r="D12180" s="51" t="n">
        <v>0</v>
      </c>
    </row>
    <row r="12181" customFormat="false" ht="15" hidden="true" customHeight="false" outlineLevel="0" collapsed="false">
      <c r="A12181" s="51" t="s">
        <v>686</v>
      </c>
      <c r="B12181" s="55" t="n">
        <v>46022</v>
      </c>
      <c r="C12181" s="51" t="s">
        <v>73</v>
      </c>
      <c r="D12181" s="51" t="n">
        <v>0</v>
      </c>
    </row>
    <row r="12182" customFormat="false" ht="15" hidden="true" customHeight="false" outlineLevel="0" collapsed="false">
      <c r="A12182" s="51" t="s">
        <v>691</v>
      </c>
      <c r="B12182" s="55" t="n">
        <v>46022</v>
      </c>
      <c r="C12182" s="51" t="s">
        <v>73</v>
      </c>
      <c r="D12182" s="51" t="n">
        <v>50000</v>
      </c>
    </row>
    <row r="12183" customFormat="false" ht="15" hidden="true" customHeight="false" outlineLevel="0" collapsed="false">
      <c r="A12183" s="51" t="s">
        <v>696</v>
      </c>
      <c r="B12183" s="55" t="n">
        <v>46022</v>
      </c>
      <c r="C12183" s="51" t="s">
        <v>73</v>
      </c>
      <c r="D12183" s="51" t="n">
        <v>325000</v>
      </c>
    </row>
    <row r="12184" customFormat="false" ht="15" hidden="true" customHeight="false" outlineLevel="0" collapsed="false">
      <c r="A12184" s="51" t="s">
        <v>701</v>
      </c>
      <c r="B12184" s="55" t="n">
        <v>46022</v>
      </c>
      <c r="C12184" s="51" t="s">
        <v>73</v>
      </c>
      <c r="D12184" s="51" t="n">
        <v>135253</v>
      </c>
    </row>
    <row r="12185" customFormat="false" ht="15" hidden="true" customHeight="false" outlineLevel="0" collapsed="false">
      <c r="A12185" s="51" t="s">
        <v>707</v>
      </c>
      <c r="B12185" s="55" t="n">
        <v>46022</v>
      </c>
      <c r="C12185" s="51" t="s">
        <v>73</v>
      </c>
      <c r="D12185" s="51" t="n">
        <v>1500000</v>
      </c>
    </row>
    <row r="12186" customFormat="false" ht="15" hidden="true" customHeight="false" outlineLevel="0" collapsed="false">
      <c r="A12186" s="51" t="s">
        <v>712</v>
      </c>
      <c r="B12186" s="55" t="n">
        <v>46022</v>
      </c>
      <c r="C12186" s="51" t="s">
        <v>73</v>
      </c>
      <c r="D12186" s="51" t="n">
        <v>0</v>
      </c>
    </row>
    <row r="12187" customFormat="false" ht="15" hidden="true" customHeight="false" outlineLevel="0" collapsed="false">
      <c r="A12187" s="51" t="s">
        <v>717</v>
      </c>
      <c r="B12187" s="55" t="n">
        <v>46022</v>
      </c>
      <c r="C12187" s="51" t="s">
        <v>73</v>
      </c>
      <c r="D12187" s="51" t="n">
        <v>0</v>
      </c>
    </row>
    <row r="12188" customFormat="false" ht="15" hidden="true" customHeight="false" outlineLevel="0" collapsed="false">
      <c r="A12188" s="51" t="s">
        <v>767</v>
      </c>
      <c r="B12188" s="55" t="n">
        <v>46022</v>
      </c>
      <c r="C12188" s="51" t="s">
        <v>73</v>
      </c>
      <c r="D12188" s="51" t="n">
        <v>0</v>
      </c>
    </row>
    <row r="12189" customFormat="false" ht="15" hidden="true" customHeight="false" outlineLevel="0" collapsed="false">
      <c r="A12189" s="51" t="s">
        <v>722</v>
      </c>
      <c r="B12189" s="55" t="n">
        <v>46022</v>
      </c>
      <c r="C12189" s="51" t="s">
        <v>73</v>
      </c>
      <c r="D12189" s="51" t="n">
        <v>0</v>
      </c>
    </row>
    <row r="12190" customFormat="false" ht="15" hidden="true" customHeight="false" outlineLevel="0" collapsed="false">
      <c r="A12190" s="51" t="s">
        <v>727</v>
      </c>
      <c r="B12190" s="55" t="n">
        <v>46022</v>
      </c>
      <c r="C12190" s="51" t="s">
        <v>73</v>
      </c>
      <c r="D12190" s="51" t="n">
        <v>0</v>
      </c>
    </row>
    <row r="12191" customFormat="false" ht="15" hidden="true" customHeight="false" outlineLevel="0" collapsed="false">
      <c r="A12191" s="51" t="s">
        <v>732</v>
      </c>
      <c r="B12191" s="55" t="n">
        <v>46022</v>
      </c>
      <c r="C12191" s="51" t="s">
        <v>73</v>
      </c>
      <c r="D12191" s="51" t="n">
        <v>0</v>
      </c>
    </row>
    <row r="12192" customFormat="false" ht="15" hidden="true" customHeight="false" outlineLevel="0" collapsed="false">
      <c r="A12192" s="51" t="s">
        <v>736</v>
      </c>
      <c r="B12192" s="55" t="n">
        <v>46022</v>
      </c>
      <c r="C12192" s="51" t="s">
        <v>73</v>
      </c>
      <c r="D12192" s="51" t="n">
        <v>0</v>
      </c>
    </row>
    <row r="12193" customFormat="false" ht="15" hidden="true" customHeight="false" outlineLevel="0" collapsed="false">
      <c r="A12193" s="51" t="s">
        <v>741</v>
      </c>
      <c r="B12193" s="55" t="n">
        <v>46022</v>
      </c>
      <c r="C12193" s="51" t="s">
        <v>73</v>
      </c>
      <c r="D12193" s="51" t="n">
        <v>0</v>
      </c>
    </row>
    <row r="12194" customFormat="false" ht="15" hidden="true" customHeight="false" outlineLevel="0" collapsed="false">
      <c r="A12194" s="51" t="s">
        <v>746</v>
      </c>
      <c r="B12194" s="55" t="n">
        <v>46022</v>
      </c>
      <c r="C12194" s="51" t="s">
        <v>73</v>
      </c>
      <c r="D12194" s="51" t="n">
        <v>0</v>
      </c>
    </row>
    <row r="12195" customFormat="false" ht="15" hidden="true" customHeight="false" outlineLevel="0" collapsed="false">
      <c r="A12195" s="51" t="s">
        <v>751</v>
      </c>
      <c r="B12195" s="55" t="n">
        <v>46022</v>
      </c>
      <c r="C12195" s="51" t="s">
        <v>73</v>
      </c>
      <c r="D12195" s="51" t="n">
        <v>0</v>
      </c>
    </row>
    <row r="12196" customFormat="false" ht="15" hidden="false" customHeight="false" outlineLevel="0" collapsed="false">
      <c r="A12196" s="51" t="s">
        <v>781</v>
      </c>
      <c r="B12196" s="55" t="n">
        <v>46022</v>
      </c>
      <c r="C12196" s="51" t="s">
        <v>791</v>
      </c>
      <c r="D12196" s="51" t="n">
        <v>0</v>
      </c>
    </row>
    <row r="12197" customFormat="false" ht="15" hidden="true" customHeight="false" outlineLevel="0" collapsed="false">
      <c r="A12197" s="51" t="s">
        <v>783</v>
      </c>
      <c r="B12197" s="55" t="n">
        <v>46022</v>
      </c>
      <c r="C12197" s="51" t="s">
        <v>791</v>
      </c>
      <c r="D12197" s="51" t="n">
        <v>0</v>
      </c>
    </row>
    <row r="12198" customFormat="false" ht="15" hidden="true" customHeight="false" outlineLevel="0" collapsed="false">
      <c r="A12198" s="51" t="s">
        <v>96</v>
      </c>
      <c r="B12198" s="55" t="n">
        <v>46022</v>
      </c>
      <c r="C12198" s="51" t="s">
        <v>791</v>
      </c>
      <c r="D12198" s="51" t="n">
        <v>0</v>
      </c>
    </row>
    <row r="12199" customFormat="false" ht="15" hidden="true" customHeight="false" outlineLevel="0" collapsed="false">
      <c r="A12199" s="51" t="s">
        <v>101</v>
      </c>
      <c r="B12199" s="55" t="n">
        <v>46022</v>
      </c>
      <c r="C12199" s="51" t="s">
        <v>791</v>
      </c>
      <c r="D12199" s="51" t="n">
        <v>0</v>
      </c>
    </row>
    <row r="12200" customFormat="false" ht="15" hidden="true" customHeight="false" outlineLevel="0" collapsed="false">
      <c r="A12200" s="51" t="s">
        <v>106</v>
      </c>
      <c r="B12200" s="55" t="n">
        <v>46022</v>
      </c>
      <c r="C12200" s="51" t="s">
        <v>791</v>
      </c>
      <c r="D12200" s="51" t="n">
        <v>0</v>
      </c>
    </row>
    <row r="12201" customFormat="false" ht="15" hidden="true" customHeight="false" outlineLevel="0" collapsed="false">
      <c r="A12201" s="51" t="s">
        <v>110</v>
      </c>
      <c r="B12201" s="55" t="n">
        <v>46022</v>
      </c>
      <c r="C12201" s="51" t="s">
        <v>791</v>
      </c>
      <c r="D12201" s="51" t="n">
        <v>0</v>
      </c>
    </row>
    <row r="12202" customFormat="false" ht="15" hidden="true" customHeight="false" outlineLevel="0" collapsed="false">
      <c r="A12202" s="51" t="s">
        <v>115</v>
      </c>
      <c r="B12202" s="55" t="n">
        <v>46022</v>
      </c>
      <c r="C12202" s="51" t="s">
        <v>791</v>
      </c>
      <c r="D12202" s="51" t="n">
        <v>0</v>
      </c>
    </row>
    <row r="12203" customFormat="false" ht="15" hidden="true" customHeight="false" outlineLevel="0" collapsed="false">
      <c r="A12203" s="51" t="s">
        <v>120</v>
      </c>
      <c r="B12203" s="55" t="n">
        <v>46022</v>
      </c>
      <c r="C12203" s="51" t="s">
        <v>791</v>
      </c>
      <c r="D12203" s="51" t="n">
        <v>0</v>
      </c>
    </row>
    <row r="12204" customFormat="false" ht="15" hidden="true" customHeight="false" outlineLevel="0" collapsed="false">
      <c r="A12204" s="51" t="s">
        <v>124</v>
      </c>
      <c r="B12204" s="55" t="n">
        <v>46022</v>
      </c>
      <c r="C12204" s="51" t="s">
        <v>791</v>
      </c>
      <c r="D12204" s="51" t="n">
        <v>0</v>
      </c>
    </row>
    <row r="12205" customFormat="false" ht="15" hidden="true" customHeight="false" outlineLevel="0" collapsed="false">
      <c r="A12205" s="51" t="s">
        <v>129</v>
      </c>
      <c r="B12205" s="55" t="n">
        <v>46022</v>
      </c>
      <c r="C12205" s="51" t="s">
        <v>791</v>
      </c>
      <c r="D12205" s="51" t="n">
        <v>0</v>
      </c>
    </row>
    <row r="12206" customFormat="false" ht="15" hidden="true" customHeight="false" outlineLevel="0" collapsed="false">
      <c r="A12206" s="51" t="s">
        <v>134</v>
      </c>
      <c r="B12206" s="55" t="n">
        <v>46022</v>
      </c>
      <c r="C12206" s="51" t="s">
        <v>791</v>
      </c>
      <c r="D12206" s="51" t="n">
        <v>0</v>
      </c>
    </row>
    <row r="12207" customFormat="false" ht="15" hidden="true" customHeight="false" outlineLevel="0" collapsed="false">
      <c r="A12207" s="51" t="s">
        <v>141</v>
      </c>
      <c r="B12207" s="55" t="n">
        <v>46022</v>
      </c>
      <c r="C12207" s="51" t="s">
        <v>791</v>
      </c>
      <c r="D12207" s="51" t="n">
        <v>0</v>
      </c>
    </row>
    <row r="12208" customFormat="false" ht="15" hidden="true" customHeight="false" outlineLevel="0" collapsed="false">
      <c r="A12208" s="51" t="s">
        <v>146</v>
      </c>
      <c r="B12208" s="55" t="n">
        <v>46022</v>
      </c>
      <c r="C12208" s="51" t="s">
        <v>791</v>
      </c>
      <c r="D12208" s="51" t="n">
        <v>0</v>
      </c>
    </row>
    <row r="12209" customFormat="false" ht="15" hidden="true" customHeight="false" outlineLevel="0" collapsed="false">
      <c r="A12209" s="51" t="s">
        <v>151</v>
      </c>
      <c r="B12209" s="55" t="n">
        <v>46022</v>
      </c>
      <c r="C12209" s="51" t="s">
        <v>791</v>
      </c>
      <c r="D12209" s="51" t="n">
        <v>0</v>
      </c>
    </row>
    <row r="12210" customFormat="false" ht="15" hidden="true" customHeight="false" outlineLevel="0" collapsed="false">
      <c r="A12210" s="51" t="s">
        <v>156</v>
      </c>
      <c r="B12210" s="55" t="n">
        <v>46022</v>
      </c>
      <c r="C12210" s="51" t="s">
        <v>791</v>
      </c>
      <c r="D12210" s="51" t="n">
        <v>0</v>
      </c>
    </row>
    <row r="12211" customFormat="false" ht="15" hidden="true" customHeight="false" outlineLevel="0" collapsed="false">
      <c r="A12211" s="51" t="s">
        <v>161</v>
      </c>
      <c r="B12211" s="55" t="n">
        <v>46022</v>
      </c>
      <c r="C12211" s="51" t="s">
        <v>791</v>
      </c>
      <c r="D12211" s="51" t="n">
        <v>0</v>
      </c>
    </row>
    <row r="12212" customFormat="false" ht="15" hidden="true" customHeight="false" outlineLevel="0" collapsed="false">
      <c r="A12212" s="51" t="s">
        <v>166</v>
      </c>
      <c r="B12212" s="55" t="n">
        <v>46022</v>
      </c>
      <c r="C12212" s="51" t="s">
        <v>791</v>
      </c>
      <c r="D12212" s="51" t="n">
        <v>0</v>
      </c>
    </row>
    <row r="12213" customFormat="false" ht="15" hidden="true" customHeight="false" outlineLevel="0" collapsed="false">
      <c r="A12213" s="51" t="s">
        <v>171</v>
      </c>
      <c r="B12213" s="55" t="n">
        <v>46022</v>
      </c>
      <c r="C12213" s="51" t="s">
        <v>791</v>
      </c>
      <c r="D12213" s="51" t="n">
        <v>0</v>
      </c>
    </row>
    <row r="12214" customFormat="false" ht="15" hidden="true" customHeight="false" outlineLevel="0" collapsed="false">
      <c r="A12214" s="51" t="s">
        <v>176</v>
      </c>
      <c r="B12214" s="55" t="n">
        <v>46022</v>
      </c>
      <c r="C12214" s="51" t="s">
        <v>791</v>
      </c>
      <c r="D12214" s="51" t="n">
        <v>0</v>
      </c>
    </row>
    <row r="12215" customFormat="false" ht="15" hidden="true" customHeight="false" outlineLevel="0" collapsed="false">
      <c r="A12215" s="51" t="s">
        <v>181</v>
      </c>
      <c r="B12215" s="55" t="n">
        <v>46022</v>
      </c>
      <c r="C12215" s="51" t="s">
        <v>791</v>
      </c>
      <c r="D12215" s="51" t="n">
        <v>0</v>
      </c>
    </row>
    <row r="12216" customFormat="false" ht="15" hidden="true" customHeight="false" outlineLevel="0" collapsed="false">
      <c r="A12216" s="51" t="s">
        <v>186</v>
      </c>
      <c r="B12216" s="55" t="n">
        <v>46022</v>
      </c>
      <c r="C12216" s="51" t="s">
        <v>791</v>
      </c>
      <c r="D12216" s="51" t="n">
        <v>0</v>
      </c>
    </row>
    <row r="12217" customFormat="false" ht="15" hidden="true" customHeight="false" outlineLevel="0" collapsed="false">
      <c r="A12217" s="51" t="s">
        <v>191</v>
      </c>
      <c r="B12217" s="55" t="n">
        <v>46022</v>
      </c>
      <c r="C12217" s="51" t="s">
        <v>791</v>
      </c>
      <c r="D12217" s="51" t="n">
        <v>0</v>
      </c>
    </row>
    <row r="12218" customFormat="false" ht="15" hidden="true" customHeight="false" outlineLevel="0" collapsed="false">
      <c r="A12218" s="51" t="s">
        <v>196</v>
      </c>
      <c r="B12218" s="55" t="n">
        <v>46022</v>
      </c>
      <c r="C12218" s="51" t="s">
        <v>791</v>
      </c>
      <c r="D12218" s="51" t="n">
        <v>0</v>
      </c>
    </row>
    <row r="12219" customFormat="false" ht="15" hidden="true" customHeight="false" outlineLevel="0" collapsed="false">
      <c r="A12219" s="51" t="s">
        <v>201</v>
      </c>
      <c r="B12219" s="55" t="n">
        <v>46022</v>
      </c>
      <c r="C12219" s="51" t="s">
        <v>791</v>
      </c>
      <c r="D12219" s="51" t="n">
        <v>0</v>
      </c>
    </row>
    <row r="12220" customFormat="false" ht="15" hidden="true" customHeight="false" outlineLevel="0" collapsed="false">
      <c r="A12220" s="51" t="s">
        <v>206</v>
      </c>
      <c r="B12220" s="55" t="n">
        <v>46022</v>
      </c>
      <c r="C12220" s="51" t="s">
        <v>791</v>
      </c>
      <c r="D12220" s="51" t="n">
        <v>0</v>
      </c>
    </row>
    <row r="12221" customFormat="false" ht="15" hidden="true" customHeight="false" outlineLevel="0" collapsed="false">
      <c r="A12221" s="51" t="s">
        <v>210</v>
      </c>
      <c r="B12221" s="55" t="n">
        <v>46022</v>
      </c>
      <c r="C12221" s="51" t="s">
        <v>791</v>
      </c>
      <c r="D12221" s="51" t="n">
        <v>0</v>
      </c>
    </row>
    <row r="12222" customFormat="false" ht="15" hidden="true" customHeight="false" outlineLevel="0" collapsed="false">
      <c r="A12222" s="51" t="s">
        <v>215</v>
      </c>
      <c r="B12222" s="55" t="n">
        <v>46022</v>
      </c>
      <c r="C12222" s="51" t="s">
        <v>791</v>
      </c>
      <c r="D12222" s="51" t="n">
        <v>0</v>
      </c>
    </row>
    <row r="12223" customFormat="false" ht="15" hidden="true" customHeight="false" outlineLevel="0" collapsed="false">
      <c r="A12223" s="51" t="s">
        <v>790</v>
      </c>
      <c r="B12223" s="55" t="n">
        <v>46022</v>
      </c>
      <c r="C12223" s="51" t="s">
        <v>791</v>
      </c>
      <c r="D12223" s="51" t="n">
        <v>0</v>
      </c>
    </row>
    <row r="12224" customFormat="false" ht="15" hidden="true" customHeight="false" outlineLevel="0" collapsed="false">
      <c r="A12224" s="51" t="s">
        <v>225</v>
      </c>
      <c r="B12224" s="55" t="n">
        <v>46022</v>
      </c>
      <c r="C12224" s="51" t="s">
        <v>791</v>
      </c>
      <c r="D12224" s="51" t="n">
        <v>0</v>
      </c>
    </row>
    <row r="12225" customFormat="false" ht="15" hidden="true" customHeight="false" outlineLevel="0" collapsed="false">
      <c r="A12225" s="51" t="s">
        <v>230</v>
      </c>
      <c r="B12225" s="55" t="n">
        <v>46022</v>
      </c>
      <c r="C12225" s="51" t="s">
        <v>791</v>
      </c>
      <c r="D12225" s="51" t="n">
        <v>0</v>
      </c>
    </row>
    <row r="12226" customFormat="false" ht="15" hidden="true" customHeight="false" outlineLevel="0" collapsed="false">
      <c r="A12226" s="51" t="s">
        <v>235</v>
      </c>
      <c r="B12226" s="55" t="n">
        <v>46022</v>
      </c>
      <c r="C12226" s="51" t="s">
        <v>791</v>
      </c>
      <c r="D12226" s="51" t="n">
        <v>0</v>
      </c>
    </row>
    <row r="12227" customFormat="false" ht="15" hidden="true" customHeight="false" outlineLevel="0" collapsed="false">
      <c r="A12227" s="51" t="s">
        <v>240</v>
      </c>
      <c r="B12227" s="55" t="n">
        <v>46022</v>
      </c>
      <c r="C12227" s="51" t="s">
        <v>791</v>
      </c>
      <c r="D12227" s="51" t="n">
        <v>0</v>
      </c>
    </row>
    <row r="12228" customFormat="false" ht="15" hidden="true" customHeight="false" outlineLevel="0" collapsed="false">
      <c r="A12228" s="51" t="s">
        <v>246</v>
      </c>
      <c r="B12228" s="55" t="n">
        <v>46022</v>
      </c>
      <c r="C12228" s="51" t="s">
        <v>791</v>
      </c>
      <c r="D12228" s="51" t="n">
        <v>0</v>
      </c>
    </row>
    <row r="12229" customFormat="false" ht="15" hidden="true" customHeight="false" outlineLevel="0" collapsed="false">
      <c r="A12229" s="51" t="s">
        <v>252</v>
      </c>
      <c r="B12229" s="55" t="n">
        <v>46022</v>
      </c>
      <c r="C12229" s="51" t="s">
        <v>791</v>
      </c>
      <c r="D12229" s="51" t="n">
        <v>0</v>
      </c>
    </row>
    <row r="12230" customFormat="false" ht="15" hidden="true" customHeight="false" outlineLevel="0" collapsed="false">
      <c r="A12230" s="51" t="s">
        <v>257</v>
      </c>
      <c r="B12230" s="55" t="n">
        <v>46022</v>
      </c>
      <c r="C12230" s="51" t="s">
        <v>791</v>
      </c>
      <c r="D12230" s="51" t="n">
        <v>0</v>
      </c>
    </row>
    <row r="12231" customFormat="false" ht="15" hidden="true" customHeight="false" outlineLevel="0" collapsed="false">
      <c r="A12231" s="51" t="s">
        <v>262</v>
      </c>
      <c r="B12231" s="55" t="n">
        <v>46022</v>
      </c>
      <c r="C12231" s="51" t="s">
        <v>791</v>
      </c>
      <c r="D12231" s="51" t="n">
        <v>0</v>
      </c>
    </row>
    <row r="12232" customFormat="false" ht="15" hidden="true" customHeight="false" outlineLevel="0" collapsed="false">
      <c r="A12232" s="51" t="s">
        <v>267</v>
      </c>
      <c r="B12232" s="55" t="n">
        <v>46022</v>
      </c>
      <c r="C12232" s="51" t="s">
        <v>791</v>
      </c>
      <c r="D12232" s="51" t="n">
        <v>0</v>
      </c>
    </row>
    <row r="12233" customFormat="false" ht="15" hidden="true" customHeight="false" outlineLevel="0" collapsed="false">
      <c r="A12233" s="51" t="s">
        <v>272</v>
      </c>
      <c r="B12233" s="55" t="n">
        <v>46022</v>
      </c>
      <c r="C12233" s="51" t="s">
        <v>791</v>
      </c>
      <c r="D12233" s="51" t="n">
        <v>0</v>
      </c>
    </row>
    <row r="12234" customFormat="false" ht="15" hidden="true" customHeight="false" outlineLevel="0" collapsed="false">
      <c r="A12234" s="51" t="s">
        <v>277</v>
      </c>
      <c r="B12234" s="55" t="n">
        <v>46022</v>
      </c>
      <c r="C12234" s="51" t="s">
        <v>791</v>
      </c>
      <c r="D12234" s="51" t="n">
        <v>0</v>
      </c>
    </row>
    <row r="12235" customFormat="false" ht="15" hidden="true" customHeight="false" outlineLevel="0" collapsed="false">
      <c r="A12235" s="51" t="s">
        <v>282</v>
      </c>
      <c r="B12235" s="55" t="n">
        <v>46022</v>
      </c>
      <c r="C12235" s="51" t="s">
        <v>791</v>
      </c>
      <c r="D12235" s="51" t="n">
        <v>0</v>
      </c>
    </row>
    <row r="12236" customFormat="false" ht="15" hidden="true" customHeight="false" outlineLevel="0" collapsed="false">
      <c r="A12236" s="51" t="s">
        <v>287</v>
      </c>
      <c r="B12236" s="55" t="n">
        <v>46022</v>
      </c>
      <c r="C12236" s="51" t="s">
        <v>791</v>
      </c>
      <c r="D12236" s="51" t="n">
        <v>0</v>
      </c>
    </row>
    <row r="12237" customFormat="false" ht="15" hidden="true" customHeight="false" outlineLevel="0" collapsed="false">
      <c r="A12237" s="51" t="s">
        <v>292</v>
      </c>
      <c r="B12237" s="55" t="n">
        <v>46022</v>
      </c>
      <c r="C12237" s="51" t="s">
        <v>791</v>
      </c>
      <c r="D12237" s="51" t="n">
        <v>0</v>
      </c>
    </row>
    <row r="12238" customFormat="false" ht="15" hidden="true" customHeight="false" outlineLevel="0" collapsed="false">
      <c r="A12238" s="51" t="s">
        <v>297</v>
      </c>
      <c r="B12238" s="55" t="n">
        <v>46022</v>
      </c>
      <c r="C12238" s="51" t="s">
        <v>791</v>
      </c>
      <c r="D12238" s="51" t="n">
        <v>0</v>
      </c>
    </row>
    <row r="12239" customFormat="false" ht="15" hidden="true" customHeight="false" outlineLevel="0" collapsed="false">
      <c r="A12239" s="51" t="s">
        <v>302</v>
      </c>
      <c r="B12239" s="55" t="n">
        <v>46022</v>
      </c>
      <c r="C12239" s="51" t="s">
        <v>791</v>
      </c>
      <c r="D12239" s="51" t="n">
        <v>0</v>
      </c>
    </row>
    <row r="12240" customFormat="false" ht="15" hidden="true" customHeight="false" outlineLevel="0" collapsed="false">
      <c r="A12240" s="51" t="s">
        <v>307</v>
      </c>
      <c r="B12240" s="55" t="n">
        <v>46022</v>
      </c>
      <c r="C12240" s="51" t="s">
        <v>791</v>
      </c>
      <c r="D12240" s="51" t="n">
        <v>0</v>
      </c>
    </row>
    <row r="12241" customFormat="false" ht="15" hidden="true" customHeight="false" outlineLevel="0" collapsed="false">
      <c r="A12241" s="51" t="s">
        <v>311</v>
      </c>
      <c r="B12241" s="55" t="n">
        <v>46022</v>
      </c>
      <c r="C12241" s="51" t="s">
        <v>791</v>
      </c>
      <c r="D12241" s="51" t="n">
        <v>0</v>
      </c>
    </row>
    <row r="12242" customFormat="false" ht="15" hidden="true" customHeight="false" outlineLevel="0" collapsed="false">
      <c r="A12242" s="51" t="s">
        <v>317</v>
      </c>
      <c r="B12242" s="55" t="n">
        <v>46022</v>
      </c>
      <c r="C12242" s="51" t="s">
        <v>791</v>
      </c>
      <c r="D12242" s="51" t="n">
        <v>0</v>
      </c>
    </row>
    <row r="12243" customFormat="false" ht="15" hidden="true" customHeight="false" outlineLevel="0" collapsed="false">
      <c r="A12243" s="51" t="s">
        <v>322</v>
      </c>
      <c r="B12243" s="55" t="n">
        <v>46022</v>
      </c>
      <c r="C12243" s="51" t="s">
        <v>791</v>
      </c>
      <c r="D12243" s="51" t="n">
        <v>0</v>
      </c>
    </row>
    <row r="12244" customFormat="false" ht="15" hidden="true" customHeight="false" outlineLevel="0" collapsed="false">
      <c r="A12244" s="51" t="s">
        <v>327</v>
      </c>
      <c r="B12244" s="55" t="n">
        <v>46022</v>
      </c>
      <c r="C12244" s="51" t="s">
        <v>791</v>
      </c>
      <c r="D12244" s="51" t="n">
        <v>0</v>
      </c>
    </row>
    <row r="12245" customFormat="false" ht="15" hidden="true" customHeight="false" outlineLevel="0" collapsed="false">
      <c r="A12245" s="51" t="s">
        <v>332</v>
      </c>
      <c r="B12245" s="55" t="n">
        <v>46022</v>
      </c>
      <c r="C12245" s="51" t="s">
        <v>791</v>
      </c>
      <c r="D12245" s="51" t="n">
        <v>0</v>
      </c>
    </row>
    <row r="12246" customFormat="false" ht="15" hidden="true" customHeight="false" outlineLevel="0" collapsed="false">
      <c r="A12246" s="51" t="s">
        <v>339</v>
      </c>
      <c r="B12246" s="55" t="n">
        <v>46022</v>
      </c>
      <c r="C12246" s="51" t="s">
        <v>791</v>
      </c>
      <c r="D12246" s="51" t="n">
        <v>0</v>
      </c>
    </row>
    <row r="12247" customFormat="false" ht="15" hidden="true" customHeight="false" outlineLevel="0" collapsed="false">
      <c r="A12247" s="51" t="s">
        <v>344</v>
      </c>
      <c r="B12247" s="55" t="n">
        <v>46022</v>
      </c>
      <c r="C12247" s="51" t="s">
        <v>791</v>
      </c>
      <c r="D12247" s="51" t="n">
        <v>0</v>
      </c>
    </row>
    <row r="12248" customFormat="false" ht="15" hidden="true" customHeight="false" outlineLevel="0" collapsed="false">
      <c r="A12248" s="51" t="s">
        <v>349</v>
      </c>
      <c r="B12248" s="55" t="n">
        <v>46022</v>
      </c>
      <c r="C12248" s="51" t="s">
        <v>791</v>
      </c>
      <c r="D12248" s="51" t="n">
        <v>0</v>
      </c>
    </row>
    <row r="12249" customFormat="false" ht="15" hidden="true" customHeight="false" outlineLevel="0" collapsed="false">
      <c r="A12249" s="51" t="s">
        <v>354</v>
      </c>
      <c r="B12249" s="55" t="n">
        <v>46022</v>
      </c>
      <c r="C12249" s="51" t="s">
        <v>791</v>
      </c>
      <c r="D12249" s="51" t="n">
        <v>0</v>
      </c>
    </row>
    <row r="12250" customFormat="false" ht="15" hidden="true" customHeight="false" outlineLevel="0" collapsed="false">
      <c r="A12250" s="51" t="s">
        <v>359</v>
      </c>
      <c r="B12250" s="55" t="n">
        <v>46022</v>
      </c>
      <c r="C12250" s="51" t="s">
        <v>791</v>
      </c>
      <c r="D12250" s="51" t="n">
        <v>0</v>
      </c>
    </row>
    <row r="12251" customFormat="false" ht="15" hidden="true" customHeight="false" outlineLevel="0" collapsed="false">
      <c r="A12251" s="51" t="s">
        <v>364</v>
      </c>
      <c r="B12251" s="55" t="n">
        <v>46022</v>
      </c>
      <c r="C12251" s="51" t="s">
        <v>791</v>
      </c>
      <c r="D12251" s="51" t="n">
        <v>0</v>
      </c>
    </row>
    <row r="12252" customFormat="false" ht="15" hidden="true" customHeight="false" outlineLevel="0" collapsed="false">
      <c r="A12252" s="51" t="s">
        <v>369</v>
      </c>
      <c r="B12252" s="55" t="n">
        <v>46022</v>
      </c>
      <c r="C12252" s="51" t="s">
        <v>791</v>
      </c>
      <c r="D12252" s="51" t="n">
        <v>0</v>
      </c>
    </row>
    <row r="12253" customFormat="false" ht="15" hidden="true" customHeight="false" outlineLevel="0" collapsed="false">
      <c r="A12253" s="51" t="s">
        <v>374</v>
      </c>
      <c r="B12253" s="55" t="n">
        <v>46022</v>
      </c>
      <c r="C12253" s="51" t="s">
        <v>791</v>
      </c>
      <c r="D12253" s="51" t="n">
        <v>0</v>
      </c>
    </row>
    <row r="12254" customFormat="false" ht="15" hidden="true" customHeight="false" outlineLevel="0" collapsed="false">
      <c r="A12254" s="51" t="s">
        <v>379</v>
      </c>
      <c r="B12254" s="55" t="n">
        <v>46022</v>
      </c>
      <c r="C12254" s="51" t="s">
        <v>791</v>
      </c>
      <c r="D12254" s="51" t="n">
        <v>0</v>
      </c>
    </row>
    <row r="12255" customFormat="false" ht="15" hidden="true" customHeight="false" outlineLevel="0" collapsed="false">
      <c r="A12255" s="51" t="s">
        <v>384</v>
      </c>
      <c r="B12255" s="55" t="n">
        <v>46022</v>
      </c>
      <c r="C12255" s="51" t="s">
        <v>791</v>
      </c>
      <c r="D12255" s="51" t="n">
        <v>0</v>
      </c>
    </row>
    <row r="12256" customFormat="false" ht="15" hidden="true" customHeight="false" outlineLevel="0" collapsed="false">
      <c r="A12256" s="51" t="s">
        <v>389</v>
      </c>
      <c r="B12256" s="55" t="n">
        <v>46022</v>
      </c>
      <c r="C12256" s="51" t="s">
        <v>791</v>
      </c>
      <c r="D12256" s="51" t="n">
        <v>-1024085.9</v>
      </c>
    </row>
    <row r="12257" customFormat="false" ht="15" hidden="true" customHeight="false" outlineLevel="0" collapsed="false">
      <c r="A12257" s="51" t="s">
        <v>394</v>
      </c>
      <c r="B12257" s="55" t="n">
        <v>46022</v>
      </c>
      <c r="C12257" s="51" t="s">
        <v>791</v>
      </c>
      <c r="D12257" s="51" t="n">
        <v>1664288.27</v>
      </c>
    </row>
    <row r="12258" customFormat="false" ht="15" hidden="true" customHeight="false" outlineLevel="0" collapsed="false">
      <c r="A12258" s="51" t="s">
        <v>399</v>
      </c>
      <c r="B12258" s="55" t="n">
        <v>46022</v>
      </c>
      <c r="C12258" s="51" t="s">
        <v>791</v>
      </c>
      <c r="D12258" s="51" t="n">
        <v>0</v>
      </c>
    </row>
    <row r="12259" customFormat="false" ht="15" hidden="true" customHeight="false" outlineLevel="0" collapsed="false">
      <c r="A12259" s="51" t="s">
        <v>404</v>
      </c>
      <c r="B12259" s="55" t="n">
        <v>46022</v>
      </c>
      <c r="C12259" s="51" t="s">
        <v>791</v>
      </c>
      <c r="D12259" s="51" t="n">
        <v>-500000</v>
      </c>
    </row>
    <row r="12260" customFormat="false" ht="15" hidden="true" customHeight="false" outlineLevel="0" collapsed="false">
      <c r="A12260" s="51" t="s">
        <v>409</v>
      </c>
      <c r="B12260" s="55" t="n">
        <v>46022</v>
      </c>
      <c r="C12260" s="51" t="s">
        <v>791</v>
      </c>
      <c r="D12260" s="51" t="n">
        <v>0</v>
      </c>
    </row>
    <row r="12261" customFormat="false" ht="15" hidden="true" customHeight="false" outlineLevel="0" collapsed="false">
      <c r="A12261" s="51" t="s">
        <v>414</v>
      </c>
      <c r="B12261" s="55" t="n">
        <v>46022</v>
      </c>
      <c r="C12261" s="51" t="s">
        <v>791</v>
      </c>
      <c r="D12261" s="51" t="n">
        <v>0</v>
      </c>
    </row>
    <row r="12262" customFormat="false" ht="15" hidden="true" customHeight="false" outlineLevel="0" collapsed="false">
      <c r="A12262" s="51" t="s">
        <v>419</v>
      </c>
      <c r="B12262" s="55" t="n">
        <v>46022</v>
      </c>
      <c r="C12262" s="51" t="s">
        <v>791</v>
      </c>
      <c r="D12262" s="51" t="n">
        <v>0</v>
      </c>
    </row>
    <row r="12263" customFormat="false" ht="15" hidden="true" customHeight="false" outlineLevel="0" collapsed="false">
      <c r="A12263" s="51" t="s">
        <v>424</v>
      </c>
      <c r="B12263" s="55" t="n">
        <v>46022</v>
      </c>
      <c r="C12263" s="51" t="s">
        <v>791</v>
      </c>
      <c r="D12263" s="51" t="n">
        <v>0</v>
      </c>
    </row>
    <row r="12264" customFormat="false" ht="15" hidden="true" customHeight="false" outlineLevel="0" collapsed="false">
      <c r="A12264" s="51" t="s">
        <v>429</v>
      </c>
      <c r="B12264" s="55" t="n">
        <v>46022</v>
      </c>
      <c r="C12264" s="51" t="s">
        <v>791</v>
      </c>
      <c r="D12264" s="51" t="n">
        <v>0</v>
      </c>
    </row>
    <row r="12265" customFormat="false" ht="15" hidden="true" customHeight="false" outlineLevel="0" collapsed="false">
      <c r="A12265" s="51" t="s">
        <v>434</v>
      </c>
      <c r="B12265" s="55" t="n">
        <v>46022</v>
      </c>
      <c r="C12265" s="51" t="s">
        <v>791</v>
      </c>
      <c r="D12265" s="51" t="n">
        <v>0</v>
      </c>
    </row>
    <row r="12266" customFormat="false" ht="15" hidden="true" customHeight="false" outlineLevel="0" collapsed="false">
      <c r="A12266" s="51" t="s">
        <v>438</v>
      </c>
      <c r="B12266" s="55" t="n">
        <v>46022</v>
      </c>
      <c r="C12266" s="51" t="s">
        <v>791</v>
      </c>
      <c r="D12266" s="51" t="n">
        <v>0</v>
      </c>
    </row>
    <row r="12267" customFormat="false" ht="15" hidden="true" customHeight="false" outlineLevel="0" collapsed="false">
      <c r="A12267" s="51" t="s">
        <v>443</v>
      </c>
      <c r="B12267" s="55" t="n">
        <v>46022</v>
      </c>
      <c r="C12267" s="51" t="s">
        <v>791</v>
      </c>
      <c r="D12267" s="51" t="n">
        <v>0</v>
      </c>
    </row>
    <row r="12268" customFormat="false" ht="15" hidden="true" customHeight="false" outlineLevel="0" collapsed="false">
      <c r="A12268" s="51" t="s">
        <v>448</v>
      </c>
      <c r="B12268" s="55" t="n">
        <v>46022</v>
      </c>
      <c r="C12268" s="51" t="s">
        <v>791</v>
      </c>
      <c r="D12268" s="51" t="n">
        <v>0</v>
      </c>
    </row>
    <row r="12269" customFormat="false" ht="15" hidden="true" customHeight="false" outlineLevel="0" collapsed="false">
      <c r="A12269" s="51" t="s">
        <v>453</v>
      </c>
      <c r="B12269" s="55" t="n">
        <v>46022</v>
      </c>
      <c r="C12269" s="51" t="s">
        <v>791</v>
      </c>
      <c r="D12269" s="51" t="n">
        <v>0</v>
      </c>
    </row>
    <row r="12270" customFormat="false" ht="15" hidden="true" customHeight="false" outlineLevel="0" collapsed="false">
      <c r="A12270" s="51" t="s">
        <v>458</v>
      </c>
      <c r="B12270" s="55" t="n">
        <v>46022</v>
      </c>
      <c r="C12270" s="51" t="s">
        <v>791</v>
      </c>
      <c r="D12270" s="51" t="n">
        <v>0</v>
      </c>
    </row>
    <row r="12271" customFormat="false" ht="15" hidden="true" customHeight="false" outlineLevel="0" collapsed="false">
      <c r="A12271" s="51" t="s">
        <v>473</v>
      </c>
      <c r="B12271" s="55" t="n">
        <v>46022</v>
      </c>
      <c r="C12271" s="51" t="s">
        <v>791</v>
      </c>
      <c r="D12271" s="51" t="n">
        <v>0</v>
      </c>
    </row>
    <row r="12272" customFormat="false" ht="15" hidden="true" customHeight="false" outlineLevel="0" collapsed="false">
      <c r="A12272" s="51" t="s">
        <v>479</v>
      </c>
      <c r="B12272" s="55" t="n">
        <v>46022</v>
      </c>
      <c r="C12272" s="51" t="s">
        <v>791</v>
      </c>
      <c r="D12272" s="51" t="n">
        <v>0</v>
      </c>
    </row>
    <row r="12273" customFormat="false" ht="15" hidden="true" customHeight="false" outlineLevel="0" collapsed="false">
      <c r="A12273" s="51" t="s">
        <v>484</v>
      </c>
      <c r="B12273" s="55" t="n">
        <v>46022</v>
      </c>
      <c r="C12273" s="51" t="s">
        <v>791</v>
      </c>
      <c r="D12273" s="51" t="n">
        <v>0</v>
      </c>
    </row>
    <row r="12274" customFormat="false" ht="15" hidden="true" customHeight="false" outlineLevel="0" collapsed="false">
      <c r="A12274" s="51" t="s">
        <v>489</v>
      </c>
      <c r="B12274" s="55" t="n">
        <v>46022</v>
      </c>
      <c r="C12274" s="51" t="s">
        <v>791</v>
      </c>
      <c r="D12274" s="51" t="n">
        <v>0</v>
      </c>
    </row>
    <row r="12275" customFormat="false" ht="15" hidden="true" customHeight="false" outlineLevel="0" collapsed="false">
      <c r="A12275" s="51" t="s">
        <v>494</v>
      </c>
      <c r="B12275" s="55" t="n">
        <v>46022</v>
      </c>
      <c r="C12275" s="51" t="s">
        <v>791</v>
      </c>
      <c r="D12275" s="51" t="n">
        <v>0</v>
      </c>
    </row>
    <row r="12276" customFormat="false" ht="15" hidden="true" customHeight="false" outlineLevel="0" collapsed="false">
      <c r="A12276" s="51" t="s">
        <v>499</v>
      </c>
      <c r="B12276" s="55" t="n">
        <v>46022</v>
      </c>
      <c r="C12276" s="51" t="s">
        <v>791</v>
      </c>
      <c r="D12276" s="51" t="n">
        <v>0</v>
      </c>
    </row>
    <row r="12277" customFormat="false" ht="15" hidden="true" customHeight="false" outlineLevel="0" collapsed="false">
      <c r="A12277" s="51" t="s">
        <v>504</v>
      </c>
      <c r="B12277" s="55" t="n">
        <v>46022</v>
      </c>
      <c r="C12277" s="51" t="s">
        <v>791</v>
      </c>
      <c r="D12277" s="51" t="n">
        <v>0</v>
      </c>
    </row>
    <row r="12278" customFormat="false" ht="15" hidden="true" customHeight="false" outlineLevel="0" collapsed="false">
      <c r="A12278" s="51" t="s">
        <v>509</v>
      </c>
      <c r="B12278" s="55" t="n">
        <v>46022</v>
      </c>
      <c r="C12278" s="51" t="s">
        <v>791</v>
      </c>
      <c r="D12278" s="51" t="n">
        <v>65046.88</v>
      </c>
    </row>
    <row r="12279" customFormat="false" ht="15" hidden="true" customHeight="false" outlineLevel="0" collapsed="false">
      <c r="A12279" s="51" t="s">
        <v>515</v>
      </c>
      <c r="B12279" s="55" t="n">
        <v>46022</v>
      </c>
      <c r="C12279" s="51" t="s">
        <v>791</v>
      </c>
      <c r="D12279" s="51" t="n">
        <v>0</v>
      </c>
    </row>
    <row r="12280" customFormat="false" ht="15" hidden="true" customHeight="false" outlineLevel="0" collapsed="false">
      <c r="A12280" s="51" t="s">
        <v>520</v>
      </c>
      <c r="B12280" s="55" t="n">
        <v>46022</v>
      </c>
      <c r="C12280" s="51" t="s">
        <v>791</v>
      </c>
      <c r="D12280" s="51" t="n">
        <v>0</v>
      </c>
    </row>
    <row r="12281" customFormat="false" ht="15" hidden="true" customHeight="false" outlineLevel="0" collapsed="false">
      <c r="A12281" s="51" t="s">
        <v>525</v>
      </c>
      <c r="B12281" s="55" t="n">
        <v>46022</v>
      </c>
      <c r="C12281" s="51" t="s">
        <v>791</v>
      </c>
      <c r="D12281" s="51" t="n">
        <v>2805000</v>
      </c>
    </row>
    <row r="12282" customFormat="false" ht="15" hidden="true" customHeight="false" outlineLevel="0" collapsed="false">
      <c r="A12282" s="51" t="s">
        <v>531</v>
      </c>
      <c r="B12282" s="55" t="n">
        <v>46022</v>
      </c>
      <c r="C12282" s="51" t="s">
        <v>791</v>
      </c>
      <c r="D12282" s="51" t="n">
        <v>0</v>
      </c>
    </row>
    <row r="12283" customFormat="false" ht="15" hidden="true" customHeight="false" outlineLevel="0" collapsed="false">
      <c r="A12283" s="51" t="s">
        <v>536</v>
      </c>
      <c r="B12283" s="55" t="n">
        <v>46022</v>
      </c>
      <c r="C12283" s="51" t="s">
        <v>791</v>
      </c>
      <c r="D12283" s="51" t="n">
        <v>0</v>
      </c>
    </row>
    <row r="12284" customFormat="false" ht="15" hidden="true" customHeight="false" outlineLevel="0" collapsed="false">
      <c r="A12284" s="51" t="s">
        <v>541</v>
      </c>
      <c r="B12284" s="55" t="n">
        <v>46022</v>
      </c>
      <c r="C12284" s="51" t="s">
        <v>791</v>
      </c>
      <c r="D12284" s="51" t="n">
        <v>0</v>
      </c>
    </row>
    <row r="12285" customFormat="false" ht="15" hidden="true" customHeight="false" outlineLevel="0" collapsed="false">
      <c r="A12285" s="51" t="s">
        <v>549</v>
      </c>
      <c r="B12285" s="55" t="n">
        <v>46022</v>
      </c>
      <c r="C12285" s="51" t="s">
        <v>791</v>
      </c>
      <c r="D12285" s="51" t="n">
        <v>0</v>
      </c>
    </row>
    <row r="12286" customFormat="false" ht="15" hidden="true" customHeight="false" outlineLevel="0" collapsed="false">
      <c r="A12286" s="51" t="s">
        <v>554</v>
      </c>
      <c r="B12286" s="55" t="n">
        <v>46022</v>
      </c>
      <c r="C12286" s="51" t="s">
        <v>791</v>
      </c>
      <c r="D12286" s="51" t="n">
        <v>0</v>
      </c>
    </row>
    <row r="12287" customFormat="false" ht="15" hidden="true" customHeight="false" outlineLevel="0" collapsed="false">
      <c r="A12287" s="51" t="s">
        <v>559</v>
      </c>
      <c r="B12287" s="55" t="n">
        <v>46022</v>
      </c>
      <c r="C12287" s="51" t="s">
        <v>791</v>
      </c>
      <c r="D12287" s="51" t="n">
        <v>0</v>
      </c>
    </row>
    <row r="12288" customFormat="false" ht="15" hidden="true" customHeight="false" outlineLevel="0" collapsed="false">
      <c r="A12288" s="51" t="s">
        <v>564</v>
      </c>
      <c r="B12288" s="55" t="n">
        <v>46022</v>
      </c>
      <c r="C12288" s="51" t="s">
        <v>791</v>
      </c>
      <c r="D12288" s="51" t="n">
        <v>0</v>
      </c>
    </row>
    <row r="12289" customFormat="false" ht="15" hidden="true" customHeight="false" outlineLevel="0" collapsed="false">
      <c r="A12289" s="51" t="s">
        <v>569</v>
      </c>
      <c r="B12289" s="55" t="n">
        <v>46022</v>
      </c>
      <c r="C12289" s="51" t="s">
        <v>791</v>
      </c>
      <c r="D12289" s="51" t="n">
        <v>-100000</v>
      </c>
    </row>
    <row r="12290" customFormat="false" ht="15" hidden="true" customHeight="false" outlineLevel="0" collapsed="false">
      <c r="A12290" s="51" t="s">
        <v>574</v>
      </c>
      <c r="B12290" s="55" t="n">
        <v>46022</v>
      </c>
      <c r="C12290" s="51" t="s">
        <v>791</v>
      </c>
      <c r="D12290" s="51" t="n">
        <v>0</v>
      </c>
    </row>
    <row r="12291" customFormat="false" ht="15" hidden="true" customHeight="false" outlineLevel="0" collapsed="false">
      <c r="A12291" s="51" t="s">
        <v>579</v>
      </c>
      <c r="B12291" s="55" t="n">
        <v>46022</v>
      </c>
      <c r="C12291" s="51" t="s">
        <v>791</v>
      </c>
      <c r="D12291" s="51" t="n">
        <v>0</v>
      </c>
    </row>
    <row r="12292" customFormat="false" ht="15" hidden="true" customHeight="false" outlineLevel="0" collapsed="false">
      <c r="A12292" s="51" t="s">
        <v>584</v>
      </c>
      <c r="B12292" s="55" t="n">
        <v>46022</v>
      </c>
      <c r="C12292" s="51" t="s">
        <v>791</v>
      </c>
      <c r="D12292" s="51" t="n">
        <v>0</v>
      </c>
    </row>
    <row r="12293" customFormat="false" ht="15" hidden="true" customHeight="false" outlineLevel="0" collapsed="false">
      <c r="A12293" s="51" t="s">
        <v>589</v>
      </c>
      <c r="B12293" s="55" t="n">
        <v>46022</v>
      </c>
      <c r="C12293" s="51" t="s">
        <v>791</v>
      </c>
      <c r="D12293" s="51" t="n">
        <v>0</v>
      </c>
    </row>
    <row r="12294" customFormat="false" ht="15" hidden="true" customHeight="false" outlineLevel="0" collapsed="false">
      <c r="A12294" s="51" t="s">
        <v>756</v>
      </c>
      <c r="B12294" s="55" t="n">
        <v>46022</v>
      </c>
      <c r="C12294" s="51" t="s">
        <v>791</v>
      </c>
      <c r="D12294" s="51" t="n">
        <v>0</v>
      </c>
    </row>
    <row r="12295" customFormat="false" ht="15" hidden="true" customHeight="false" outlineLevel="0" collapsed="false">
      <c r="A12295" s="51" t="s">
        <v>594</v>
      </c>
      <c r="B12295" s="55" t="n">
        <v>46022</v>
      </c>
      <c r="C12295" s="51" t="s">
        <v>791</v>
      </c>
      <c r="D12295" s="51" t="n">
        <v>0</v>
      </c>
    </row>
    <row r="12296" customFormat="false" ht="15" hidden="true" customHeight="false" outlineLevel="0" collapsed="false">
      <c r="A12296" s="51" t="s">
        <v>761</v>
      </c>
      <c r="B12296" s="55" t="n">
        <v>46022</v>
      </c>
      <c r="C12296" s="51" t="s">
        <v>791</v>
      </c>
      <c r="D12296" s="51" t="n">
        <v>0</v>
      </c>
    </row>
    <row r="12297" customFormat="false" ht="15" hidden="true" customHeight="false" outlineLevel="0" collapsed="false">
      <c r="A12297" s="51" t="s">
        <v>599</v>
      </c>
      <c r="B12297" s="55" t="n">
        <v>46022</v>
      </c>
      <c r="C12297" s="51" t="s">
        <v>791</v>
      </c>
      <c r="D12297" s="51" t="n">
        <v>-500000</v>
      </c>
    </row>
    <row r="12298" customFormat="false" ht="15" hidden="true" customHeight="false" outlineLevel="0" collapsed="false">
      <c r="A12298" s="51" t="s">
        <v>604</v>
      </c>
      <c r="B12298" s="55" t="n">
        <v>46022</v>
      </c>
      <c r="C12298" s="51" t="s">
        <v>791</v>
      </c>
      <c r="D12298" s="51" t="n">
        <v>0</v>
      </c>
    </row>
    <row r="12299" customFormat="false" ht="15" hidden="true" customHeight="false" outlineLevel="0" collapsed="false">
      <c r="A12299" s="51" t="s">
        <v>609</v>
      </c>
      <c r="B12299" s="55" t="n">
        <v>46022</v>
      </c>
      <c r="C12299" s="51" t="s">
        <v>791</v>
      </c>
      <c r="D12299" s="51" t="n">
        <v>0</v>
      </c>
    </row>
    <row r="12300" customFormat="false" ht="15" hidden="true" customHeight="false" outlineLevel="0" collapsed="false">
      <c r="A12300" s="51" t="s">
        <v>614</v>
      </c>
      <c r="B12300" s="55" t="n">
        <v>46022</v>
      </c>
      <c r="C12300" s="51" t="s">
        <v>791</v>
      </c>
      <c r="D12300" s="51" t="n">
        <v>-250000</v>
      </c>
    </row>
    <row r="12301" customFormat="false" ht="15" hidden="true" customHeight="false" outlineLevel="0" collapsed="false">
      <c r="A12301" s="51" t="s">
        <v>619</v>
      </c>
      <c r="B12301" s="55" t="n">
        <v>46022</v>
      </c>
      <c r="C12301" s="51" t="s">
        <v>791</v>
      </c>
      <c r="D12301" s="51" t="n">
        <v>0</v>
      </c>
    </row>
    <row r="12302" customFormat="false" ht="15" hidden="true" customHeight="false" outlineLevel="0" collapsed="false">
      <c r="A12302" s="51" t="s">
        <v>624</v>
      </c>
      <c r="B12302" s="55" t="n">
        <v>46022</v>
      </c>
      <c r="C12302" s="51" t="s">
        <v>791</v>
      </c>
      <c r="D12302" s="51" t="n">
        <v>0</v>
      </c>
    </row>
    <row r="12303" customFormat="false" ht="15" hidden="true" customHeight="false" outlineLevel="0" collapsed="false">
      <c r="A12303" s="51" t="s">
        <v>629</v>
      </c>
      <c r="B12303" s="55" t="n">
        <v>46022</v>
      </c>
      <c r="C12303" s="51" t="s">
        <v>791</v>
      </c>
      <c r="D12303" s="51" t="n">
        <v>0</v>
      </c>
    </row>
    <row r="12304" customFormat="false" ht="15" hidden="true" customHeight="false" outlineLevel="0" collapsed="false">
      <c r="A12304" s="51" t="s">
        <v>633</v>
      </c>
      <c r="B12304" s="55" t="n">
        <v>46022</v>
      </c>
      <c r="C12304" s="51" t="s">
        <v>791</v>
      </c>
      <c r="D12304" s="51" t="n">
        <v>-150000</v>
      </c>
    </row>
    <row r="12305" customFormat="false" ht="15" hidden="true" customHeight="false" outlineLevel="0" collapsed="false">
      <c r="A12305" s="51" t="s">
        <v>638</v>
      </c>
      <c r="B12305" s="55" t="n">
        <v>46022</v>
      </c>
      <c r="C12305" s="51" t="s">
        <v>791</v>
      </c>
      <c r="D12305" s="51" t="n">
        <v>-150000</v>
      </c>
    </row>
    <row r="12306" customFormat="false" ht="15" hidden="true" customHeight="false" outlineLevel="0" collapsed="false">
      <c r="A12306" s="51" t="s">
        <v>642</v>
      </c>
      <c r="B12306" s="55" t="n">
        <v>46022</v>
      </c>
      <c r="C12306" s="51" t="s">
        <v>791</v>
      </c>
      <c r="D12306" s="51" t="n">
        <v>-500000</v>
      </c>
    </row>
    <row r="12307" customFormat="false" ht="15" hidden="true" customHeight="false" outlineLevel="0" collapsed="false">
      <c r="A12307" s="51" t="s">
        <v>646</v>
      </c>
      <c r="B12307" s="55" t="n">
        <v>46022</v>
      </c>
      <c r="C12307" s="51" t="s">
        <v>791</v>
      </c>
      <c r="D12307" s="51" t="n">
        <v>0</v>
      </c>
    </row>
    <row r="12308" customFormat="false" ht="15" hidden="true" customHeight="false" outlineLevel="0" collapsed="false">
      <c r="A12308" s="51" t="s">
        <v>651</v>
      </c>
      <c r="B12308" s="55" t="n">
        <v>46022</v>
      </c>
      <c r="C12308" s="51" t="s">
        <v>791</v>
      </c>
      <c r="D12308" s="51" t="n">
        <v>0</v>
      </c>
    </row>
    <row r="12309" customFormat="false" ht="15" hidden="true" customHeight="false" outlineLevel="0" collapsed="false">
      <c r="A12309" s="51" t="s">
        <v>656</v>
      </c>
      <c r="B12309" s="55" t="n">
        <v>46022</v>
      </c>
      <c r="C12309" s="51" t="s">
        <v>791</v>
      </c>
      <c r="D12309" s="51" t="n">
        <v>0</v>
      </c>
    </row>
    <row r="12310" customFormat="false" ht="15" hidden="true" customHeight="false" outlineLevel="0" collapsed="false">
      <c r="A12310" s="51" t="s">
        <v>661</v>
      </c>
      <c r="B12310" s="55" t="n">
        <v>46022</v>
      </c>
      <c r="C12310" s="51" t="s">
        <v>791</v>
      </c>
      <c r="D12310" s="51" t="n">
        <v>-600000</v>
      </c>
    </row>
    <row r="12311" customFormat="false" ht="15" hidden="true" customHeight="false" outlineLevel="0" collapsed="false">
      <c r="A12311" s="51" t="s">
        <v>666</v>
      </c>
      <c r="B12311" s="55" t="n">
        <v>46022</v>
      </c>
      <c r="C12311" s="51" t="s">
        <v>791</v>
      </c>
      <c r="D12311" s="51" t="n">
        <v>-200000</v>
      </c>
    </row>
    <row r="12312" customFormat="false" ht="15" hidden="true" customHeight="false" outlineLevel="0" collapsed="false">
      <c r="A12312" s="51" t="s">
        <v>671</v>
      </c>
      <c r="B12312" s="55" t="n">
        <v>46022</v>
      </c>
      <c r="C12312" s="51" t="s">
        <v>791</v>
      </c>
      <c r="D12312" s="51" t="n">
        <v>0</v>
      </c>
    </row>
    <row r="12313" customFormat="false" ht="15" hidden="true" customHeight="false" outlineLevel="0" collapsed="false">
      <c r="A12313" s="51" t="s">
        <v>676</v>
      </c>
      <c r="B12313" s="55" t="n">
        <v>46022</v>
      </c>
      <c r="C12313" s="51" t="s">
        <v>791</v>
      </c>
      <c r="D12313" s="51" t="n">
        <v>-50000</v>
      </c>
    </row>
    <row r="12314" customFormat="false" ht="15" hidden="true" customHeight="false" outlineLevel="0" collapsed="false">
      <c r="A12314" s="51" t="s">
        <v>681</v>
      </c>
      <c r="B12314" s="55" t="n">
        <v>46022</v>
      </c>
      <c r="C12314" s="51" t="s">
        <v>791</v>
      </c>
      <c r="D12314" s="51" t="n">
        <v>0</v>
      </c>
    </row>
    <row r="12315" customFormat="false" ht="15" hidden="true" customHeight="false" outlineLevel="0" collapsed="false">
      <c r="A12315" s="51" t="s">
        <v>686</v>
      </c>
      <c r="B12315" s="55" t="n">
        <v>46022</v>
      </c>
      <c r="C12315" s="51" t="s">
        <v>791</v>
      </c>
      <c r="D12315" s="51" t="n">
        <v>0</v>
      </c>
    </row>
    <row r="12316" customFormat="false" ht="15" hidden="true" customHeight="false" outlineLevel="0" collapsed="false">
      <c r="A12316" s="51" t="s">
        <v>691</v>
      </c>
      <c r="B12316" s="55" t="n">
        <v>46022</v>
      </c>
      <c r="C12316" s="51" t="s">
        <v>791</v>
      </c>
      <c r="D12316" s="51" t="n">
        <v>-50000</v>
      </c>
    </row>
    <row r="12317" customFormat="false" ht="15" hidden="true" customHeight="false" outlineLevel="0" collapsed="false">
      <c r="A12317" s="51" t="s">
        <v>696</v>
      </c>
      <c r="B12317" s="55" t="n">
        <v>46022</v>
      </c>
      <c r="C12317" s="51" t="s">
        <v>791</v>
      </c>
      <c r="D12317" s="51" t="n">
        <v>-325000</v>
      </c>
    </row>
    <row r="12318" customFormat="false" ht="15" hidden="true" customHeight="false" outlineLevel="0" collapsed="false">
      <c r="A12318" s="51" t="s">
        <v>701</v>
      </c>
      <c r="B12318" s="55" t="n">
        <v>46022</v>
      </c>
      <c r="C12318" s="51" t="s">
        <v>791</v>
      </c>
      <c r="D12318" s="51" t="n">
        <v>-135253</v>
      </c>
    </row>
    <row r="12319" customFormat="false" ht="15" hidden="true" customHeight="false" outlineLevel="0" collapsed="false">
      <c r="A12319" s="51" t="s">
        <v>707</v>
      </c>
      <c r="B12319" s="55" t="n">
        <v>46022</v>
      </c>
      <c r="C12319" s="51" t="s">
        <v>791</v>
      </c>
      <c r="D12319" s="51" t="n">
        <v>-1500000</v>
      </c>
    </row>
    <row r="12320" customFormat="false" ht="15" hidden="true" customHeight="false" outlineLevel="0" collapsed="false">
      <c r="A12320" s="51" t="s">
        <v>712</v>
      </c>
      <c r="B12320" s="55" t="n">
        <v>46022</v>
      </c>
      <c r="C12320" s="51" t="s">
        <v>791</v>
      </c>
      <c r="D12320" s="51" t="n">
        <v>0</v>
      </c>
    </row>
    <row r="12321" customFormat="false" ht="15" hidden="true" customHeight="false" outlineLevel="0" collapsed="false">
      <c r="A12321" s="51" t="s">
        <v>717</v>
      </c>
      <c r="B12321" s="55" t="n">
        <v>46022</v>
      </c>
      <c r="C12321" s="51" t="s">
        <v>791</v>
      </c>
      <c r="D12321" s="51" t="n">
        <v>0</v>
      </c>
    </row>
    <row r="12322" customFormat="false" ht="15" hidden="true" customHeight="false" outlineLevel="0" collapsed="false">
      <c r="A12322" s="51" t="s">
        <v>767</v>
      </c>
      <c r="B12322" s="55" t="n">
        <v>46022</v>
      </c>
      <c r="C12322" s="51" t="s">
        <v>791</v>
      </c>
      <c r="D12322" s="51" t="n">
        <v>0</v>
      </c>
    </row>
    <row r="12323" customFormat="false" ht="15" hidden="true" customHeight="false" outlineLevel="0" collapsed="false">
      <c r="A12323" s="51" t="s">
        <v>722</v>
      </c>
      <c r="B12323" s="55" t="n">
        <v>46022</v>
      </c>
      <c r="C12323" s="51" t="s">
        <v>791</v>
      </c>
      <c r="D12323" s="51" t="n">
        <v>0</v>
      </c>
    </row>
    <row r="12324" customFormat="false" ht="15" hidden="true" customHeight="false" outlineLevel="0" collapsed="false">
      <c r="A12324" s="51" t="s">
        <v>727</v>
      </c>
      <c r="B12324" s="55" t="n">
        <v>46022</v>
      </c>
      <c r="C12324" s="51" t="s">
        <v>791</v>
      </c>
      <c r="D12324" s="51" t="n">
        <v>0</v>
      </c>
    </row>
    <row r="12325" customFormat="false" ht="15" hidden="true" customHeight="false" outlineLevel="0" collapsed="false">
      <c r="A12325" s="51" t="s">
        <v>732</v>
      </c>
      <c r="B12325" s="55" t="n">
        <v>46022</v>
      </c>
      <c r="C12325" s="51" t="s">
        <v>791</v>
      </c>
      <c r="D12325" s="51" t="n">
        <v>0</v>
      </c>
    </row>
    <row r="12326" customFormat="false" ht="15" hidden="true" customHeight="false" outlineLevel="0" collapsed="false">
      <c r="A12326" s="51" t="s">
        <v>736</v>
      </c>
      <c r="B12326" s="55" t="n">
        <v>46022</v>
      </c>
      <c r="C12326" s="51" t="s">
        <v>791</v>
      </c>
      <c r="D12326" s="51" t="n">
        <v>0</v>
      </c>
    </row>
    <row r="12327" customFormat="false" ht="15" hidden="true" customHeight="false" outlineLevel="0" collapsed="false">
      <c r="A12327" s="51" t="s">
        <v>741</v>
      </c>
      <c r="B12327" s="55" t="n">
        <v>46022</v>
      </c>
      <c r="C12327" s="51" t="s">
        <v>791</v>
      </c>
      <c r="D12327" s="51" t="n">
        <v>0</v>
      </c>
    </row>
    <row r="12328" customFormat="false" ht="15" hidden="true" customHeight="false" outlineLevel="0" collapsed="false">
      <c r="A12328" s="51" t="s">
        <v>746</v>
      </c>
      <c r="B12328" s="55" t="n">
        <v>46022</v>
      </c>
      <c r="C12328" s="51" t="s">
        <v>791</v>
      </c>
      <c r="D12328" s="51" t="n">
        <v>0</v>
      </c>
    </row>
    <row r="12329" customFormat="false" ht="15" hidden="true" customHeight="false" outlineLevel="0" collapsed="false">
      <c r="A12329" s="51" t="s">
        <v>751</v>
      </c>
      <c r="B12329" s="55" t="n">
        <v>46022</v>
      </c>
      <c r="C12329" s="51" t="s">
        <v>791</v>
      </c>
      <c r="D12329" s="51" t="n">
        <v>0</v>
      </c>
    </row>
    <row r="12330" customFormat="false" ht="15" hidden="false" customHeight="false" outlineLevel="0" collapsed="false">
      <c r="A12330" s="51" t="s">
        <v>781</v>
      </c>
      <c r="B12330" s="55" t="n">
        <v>46111</v>
      </c>
      <c r="C12330" s="51" t="s">
        <v>782</v>
      </c>
      <c r="D12330" s="51" t="n">
        <v>0</v>
      </c>
    </row>
    <row r="12331" customFormat="false" ht="15" hidden="true" customHeight="false" outlineLevel="0" collapsed="false">
      <c r="A12331" s="51" t="s">
        <v>783</v>
      </c>
      <c r="B12331" s="55" t="n">
        <v>46111</v>
      </c>
      <c r="C12331" s="51" t="s">
        <v>782</v>
      </c>
      <c r="D12331" s="51" t="n">
        <v>0</v>
      </c>
    </row>
    <row r="12332" customFormat="false" ht="15" hidden="true" customHeight="false" outlineLevel="0" collapsed="false">
      <c r="A12332" s="51" t="s">
        <v>96</v>
      </c>
      <c r="B12332" s="55" t="n">
        <v>46111</v>
      </c>
      <c r="C12332" s="51" t="s">
        <v>782</v>
      </c>
      <c r="D12332" s="51" t="n">
        <v>0</v>
      </c>
    </row>
    <row r="12333" customFormat="false" ht="15" hidden="true" customHeight="false" outlineLevel="0" collapsed="false">
      <c r="A12333" s="51" t="s">
        <v>101</v>
      </c>
      <c r="B12333" s="55" t="n">
        <v>46111</v>
      </c>
      <c r="C12333" s="51" t="s">
        <v>782</v>
      </c>
      <c r="D12333" s="51" t="n">
        <v>0</v>
      </c>
    </row>
    <row r="12334" customFormat="false" ht="15" hidden="true" customHeight="false" outlineLevel="0" collapsed="false">
      <c r="A12334" s="51" t="s">
        <v>106</v>
      </c>
      <c r="B12334" s="55" t="n">
        <v>46111</v>
      </c>
      <c r="C12334" s="51" t="s">
        <v>782</v>
      </c>
      <c r="D12334" s="51" t="n">
        <v>0</v>
      </c>
    </row>
    <row r="12335" customFormat="false" ht="15" hidden="true" customHeight="false" outlineLevel="0" collapsed="false">
      <c r="A12335" s="51" t="s">
        <v>110</v>
      </c>
      <c r="B12335" s="55" t="n">
        <v>46111</v>
      </c>
      <c r="C12335" s="51" t="s">
        <v>782</v>
      </c>
      <c r="D12335" s="51" t="n">
        <v>0</v>
      </c>
    </row>
    <row r="12336" customFormat="false" ht="15" hidden="true" customHeight="false" outlineLevel="0" collapsed="false">
      <c r="A12336" s="51" t="s">
        <v>115</v>
      </c>
      <c r="B12336" s="55" t="n">
        <v>46111</v>
      </c>
      <c r="C12336" s="51" t="s">
        <v>782</v>
      </c>
      <c r="D12336" s="51" t="n">
        <v>0</v>
      </c>
    </row>
    <row r="12337" customFormat="false" ht="15" hidden="true" customHeight="false" outlineLevel="0" collapsed="false">
      <c r="A12337" s="51" t="s">
        <v>120</v>
      </c>
      <c r="B12337" s="55" t="n">
        <v>46111</v>
      </c>
      <c r="C12337" s="51" t="s">
        <v>782</v>
      </c>
      <c r="D12337" s="51" t="n">
        <v>0</v>
      </c>
    </row>
    <row r="12338" customFormat="false" ht="15" hidden="true" customHeight="false" outlineLevel="0" collapsed="false">
      <c r="A12338" s="51" t="s">
        <v>124</v>
      </c>
      <c r="B12338" s="55" t="n">
        <v>46111</v>
      </c>
      <c r="C12338" s="51" t="s">
        <v>782</v>
      </c>
      <c r="D12338" s="51" t="n">
        <v>0</v>
      </c>
    </row>
    <row r="12339" customFormat="false" ht="15" hidden="true" customHeight="false" outlineLevel="0" collapsed="false">
      <c r="A12339" s="51" t="s">
        <v>129</v>
      </c>
      <c r="B12339" s="55" t="n">
        <v>46111</v>
      </c>
      <c r="C12339" s="51" t="s">
        <v>782</v>
      </c>
      <c r="D12339" s="51" t="n">
        <v>0</v>
      </c>
    </row>
    <row r="12340" customFormat="false" ht="15" hidden="true" customHeight="false" outlineLevel="0" collapsed="false">
      <c r="A12340" s="51" t="s">
        <v>134</v>
      </c>
      <c r="B12340" s="55" t="n">
        <v>46111</v>
      </c>
      <c r="C12340" s="51" t="s">
        <v>782</v>
      </c>
      <c r="D12340" s="51" t="n">
        <v>0</v>
      </c>
    </row>
    <row r="12341" customFormat="false" ht="15" hidden="true" customHeight="false" outlineLevel="0" collapsed="false">
      <c r="A12341" s="51" t="s">
        <v>141</v>
      </c>
      <c r="B12341" s="55" t="n">
        <v>46111</v>
      </c>
      <c r="C12341" s="51" t="s">
        <v>782</v>
      </c>
      <c r="D12341" s="51" t="n">
        <v>0</v>
      </c>
    </row>
    <row r="12342" customFormat="false" ht="15" hidden="true" customHeight="false" outlineLevel="0" collapsed="false">
      <c r="A12342" s="51" t="s">
        <v>146</v>
      </c>
      <c r="B12342" s="55" t="n">
        <v>46111</v>
      </c>
      <c r="C12342" s="51" t="s">
        <v>782</v>
      </c>
      <c r="D12342" s="51" t="n">
        <v>0</v>
      </c>
    </row>
    <row r="12343" customFormat="false" ht="15" hidden="true" customHeight="false" outlineLevel="0" collapsed="false">
      <c r="A12343" s="51" t="s">
        <v>151</v>
      </c>
      <c r="B12343" s="55" t="n">
        <v>46111</v>
      </c>
      <c r="C12343" s="51" t="s">
        <v>782</v>
      </c>
      <c r="D12343" s="51" t="n">
        <v>0</v>
      </c>
    </row>
    <row r="12344" customFormat="false" ht="15" hidden="true" customHeight="false" outlineLevel="0" collapsed="false">
      <c r="A12344" s="51" t="s">
        <v>156</v>
      </c>
      <c r="B12344" s="55" t="n">
        <v>46111</v>
      </c>
      <c r="C12344" s="51" t="s">
        <v>782</v>
      </c>
      <c r="D12344" s="51" t="n">
        <v>0</v>
      </c>
    </row>
    <row r="12345" customFormat="false" ht="15" hidden="true" customHeight="false" outlineLevel="0" collapsed="false">
      <c r="A12345" s="51" t="s">
        <v>161</v>
      </c>
      <c r="B12345" s="55" t="n">
        <v>46111</v>
      </c>
      <c r="C12345" s="51" t="s">
        <v>782</v>
      </c>
      <c r="D12345" s="51" t="n">
        <v>0</v>
      </c>
    </row>
    <row r="12346" customFormat="false" ht="15" hidden="true" customHeight="false" outlineLevel="0" collapsed="false">
      <c r="A12346" s="51" t="s">
        <v>166</v>
      </c>
      <c r="B12346" s="55" t="n">
        <v>46111</v>
      </c>
      <c r="C12346" s="51" t="s">
        <v>782</v>
      </c>
      <c r="D12346" s="51" t="n">
        <v>0</v>
      </c>
    </row>
    <row r="12347" customFormat="false" ht="15" hidden="true" customHeight="false" outlineLevel="0" collapsed="false">
      <c r="A12347" s="51" t="s">
        <v>171</v>
      </c>
      <c r="B12347" s="55" t="n">
        <v>46111</v>
      </c>
      <c r="C12347" s="51" t="s">
        <v>782</v>
      </c>
      <c r="D12347" s="51" t="n">
        <v>0</v>
      </c>
    </row>
    <row r="12348" customFormat="false" ht="15" hidden="true" customHeight="false" outlineLevel="0" collapsed="false">
      <c r="A12348" s="51" t="s">
        <v>176</v>
      </c>
      <c r="B12348" s="55" t="n">
        <v>46111</v>
      </c>
      <c r="C12348" s="51" t="s">
        <v>782</v>
      </c>
      <c r="D12348" s="51" t="n">
        <v>0</v>
      </c>
    </row>
    <row r="12349" customFormat="false" ht="15" hidden="true" customHeight="false" outlineLevel="0" collapsed="false">
      <c r="A12349" s="51" t="s">
        <v>181</v>
      </c>
      <c r="B12349" s="55" t="n">
        <v>46111</v>
      </c>
      <c r="C12349" s="51" t="s">
        <v>782</v>
      </c>
      <c r="D12349" s="51" t="n">
        <v>0</v>
      </c>
    </row>
    <row r="12350" customFormat="false" ht="15" hidden="true" customHeight="false" outlineLevel="0" collapsed="false">
      <c r="A12350" s="51" t="s">
        <v>186</v>
      </c>
      <c r="B12350" s="55" t="n">
        <v>46111</v>
      </c>
      <c r="C12350" s="51" t="s">
        <v>782</v>
      </c>
      <c r="D12350" s="51" t="n">
        <v>0</v>
      </c>
    </row>
    <row r="12351" customFormat="false" ht="15" hidden="true" customHeight="false" outlineLevel="0" collapsed="false">
      <c r="A12351" s="51" t="s">
        <v>191</v>
      </c>
      <c r="B12351" s="55" t="n">
        <v>46111</v>
      </c>
      <c r="C12351" s="51" t="s">
        <v>782</v>
      </c>
      <c r="D12351" s="51" t="n">
        <v>0</v>
      </c>
    </row>
    <row r="12352" customFormat="false" ht="15" hidden="true" customHeight="false" outlineLevel="0" collapsed="false">
      <c r="A12352" s="51" t="s">
        <v>196</v>
      </c>
      <c r="B12352" s="55" t="n">
        <v>46111</v>
      </c>
      <c r="C12352" s="51" t="s">
        <v>782</v>
      </c>
      <c r="D12352" s="51" t="n">
        <v>0</v>
      </c>
    </row>
    <row r="12353" customFormat="false" ht="15" hidden="true" customHeight="false" outlineLevel="0" collapsed="false">
      <c r="A12353" s="51" t="s">
        <v>201</v>
      </c>
      <c r="B12353" s="55" t="n">
        <v>46111</v>
      </c>
      <c r="C12353" s="51" t="s">
        <v>782</v>
      </c>
      <c r="D12353" s="51" t="n">
        <v>0</v>
      </c>
    </row>
    <row r="12354" customFormat="false" ht="15" hidden="true" customHeight="false" outlineLevel="0" collapsed="false">
      <c r="A12354" s="51" t="s">
        <v>206</v>
      </c>
      <c r="B12354" s="55" t="n">
        <v>46111</v>
      </c>
      <c r="C12354" s="51" t="s">
        <v>782</v>
      </c>
      <c r="D12354" s="51" t="n">
        <v>0</v>
      </c>
    </row>
    <row r="12355" customFormat="false" ht="15" hidden="true" customHeight="false" outlineLevel="0" collapsed="false">
      <c r="A12355" s="51" t="s">
        <v>210</v>
      </c>
      <c r="B12355" s="55" t="n">
        <v>46111</v>
      </c>
      <c r="C12355" s="51" t="s">
        <v>782</v>
      </c>
      <c r="D12355" s="51" t="n">
        <v>0</v>
      </c>
    </row>
    <row r="12356" customFormat="false" ht="15" hidden="true" customHeight="false" outlineLevel="0" collapsed="false">
      <c r="A12356" s="51" t="s">
        <v>215</v>
      </c>
      <c r="B12356" s="55" t="n">
        <v>46111</v>
      </c>
      <c r="C12356" s="51" t="s">
        <v>782</v>
      </c>
      <c r="D12356" s="51" t="n">
        <v>0</v>
      </c>
    </row>
    <row r="12357" customFormat="false" ht="15" hidden="true" customHeight="false" outlineLevel="0" collapsed="false">
      <c r="A12357" s="51" t="s">
        <v>790</v>
      </c>
      <c r="B12357" s="55" t="n">
        <v>46111</v>
      </c>
      <c r="C12357" s="51" t="s">
        <v>782</v>
      </c>
      <c r="D12357" s="51" t="n">
        <v>0</v>
      </c>
    </row>
    <row r="12358" customFormat="false" ht="15" hidden="true" customHeight="false" outlineLevel="0" collapsed="false">
      <c r="A12358" s="51" t="s">
        <v>225</v>
      </c>
      <c r="B12358" s="55" t="n">
        <v>46111</v>
      </c>
      <c r="C12358" s="51" t="s">
        <v>782</v>
      </c>
      <c r="D12358" s="51" t="n">
        <v>0</v>
      </c>
    </row>
    <row r="12359" customFormat="false" ht="15" hidden="true" customHeight="false" outlineLevel="0" collapsed="false">
      <c r="A12359" s="51" t="s">
        <v>230</v>
      </c>
      <c r="B12359" s="55" t="n">
        <v>46111</v>
      </c>
      <c r="C12359" s="51" t="s">
        <v>782</v>
      </c>
      <c r="D12359" s="51" t="n">
        <v>0</v>
      </c>
    </row>
    <row r="12360" customFormat="false" ht="15" hidden="true" customHeight="false" outlineLevel="0" collapsed="false">
      <c r="A12360" s="51" t="s">
        <v>235</v>
      </c>
      <c r="B12360" s="55" t="n">
        <v>46111</v>
      </c>
      <c r="C12360" s="51" t="s">
        <v>782</v>
      </c>
      <c r="D12360" s="51" t="n">
        <v>0</v>
      </c>
    </row>
    <row r="12361" customFormat="false" ht="15" hidden="true" customHeight="false" outlineLevel="0" collapsed="false">
      <c r="A12361" s="51" t="s">
        <v>240</v>
      </c>
      <c r="B12361" s="55" t="n">
        <v>46111</v>
      </c>
      <c r="C12361" s="51" t="s">
        <v>782</v>
      </c>
      <c r="D12361" s="51" t="n">
        <v>0</v>
      </c>
    </row>
    <row r="12362" customFormat="false" ht="15" hidden="true" customHeight="false" outlineLevel="0" collapsed="false">
      <c r="A12362" s="51" t="s">
        <v>246</v>
      </c>
      <c r="B12362" s="55" t="n">
        <v>46111</v>
      </c>
      <c r="C12362" s="51" t="s">
        <v>782</v>
      </c>
      <c r="D12362" s="51" t="n">
        <v>0</v>
      </c>
    </row>
    <row r="12363" customFormat="false" ht="15" hidden="true" customHeight="false" outlineLevel="0" collapsed="false">
      <c r="A12363" s="51" t="s">
        <v>252</v>
      </c>
      <c r="B12363" s="55" t="n">
        <v>46111</v>
      </c>
      <c r="C12363" s="51" t="s">
        <v>782</v>
      </c>
      <c r="D12363" s="51" t="n">
        <v>0</v>
      </c>
    </row>
    <row r="12364" customFormat="false" ht="15" hidden="true" customHeight="false" outlineLevel="0" collapsed="false">
      <c r="A12364" s="51" t="s">
        <v>257</v>
      </c>
      <c r="B12364" s="55" t="n">
        <v>46111</v>
      </c>
      <c r="C12364" s="51" t="s">
        <v>782</v>
      </c>
      <c r="D12364" s="51" t="n">
        <v>0</v>
      </c>
    </row>
    <row r="12365" customFormat="false" ht="15" hidden="true" customHeight="false" outlineLevel="0" collapsed="false">
      <c r="A12365" s="51" t="s">
        <v>262</v>
      </c>
      <c r="B12365" s="55" t="n">
        <v>46111</v>
      </c>
      <c r="C12365" s="51" t="s">
        <v>782</v>
      </c>
      <c r="D12365" s="51" t="n">
        <v>0</v>
      </c>
    </row>
    <row r="12366" customFormat="false" ht="15" hidden="true" customHeight="false" outlineLevel="0" collapsed="false">
      <c r="A12366" s="51" t="s">
        <v>267</v>
      </c>
      <c r="B12366" s="55" t="n">
        <v>46111</v>
      </c>
      <c r="C12366" s="51" t="s">
        <v>782</v>
      </c>
      <c r="D12366" s="51" t="n">
        <v>0</v>
      </c>
    </row>
    <row r="12367" customFormat="false" ht="15" hidden="true" customHeight="false" outlineLevel="0" collapsed="false">
      <c r="A12367" s="51" t="s">
        <v>272</v>
      </c>
      <c r="B12367" s="55" t="n">
        <v>46111</v>
      </c>
      <c r="C12367" s="51" t="s">
        <v>782</v>
      </c>
      <c r="D12367" s="51" t="n">
        <v>0</v>
      </c>
    </row>
    <row r="12368" customFormat="false" ht="15" hidden="true" customHeight="false" outlineLevel="0" collapsed="false">
      <c r="A12368" s="51" t="s">
        <v>277</v>
      </c>
      <c r="B12368" s="55" t="n">
        <v>46111</v>
      </c>
      <c r="C12368" s="51" t="s">
        <v>782</v>
      </c>
      <c r="D12368" s="51" t="n">
        <v>0</v>
      </c>
    </row>
    <row r="12369" customFormat="false" ht="15" hidden="true" customHeight="false" outlineLevel="0" collapsed="false">
      <c r="A12369" s="51" t="s">
        <v>282</v>
      </c>
      <c r="B12369" s="55" t="n">
        <v>46111</v>
      </c>
      <c r="C12369" s="51" t="s">
        <v>782</v>
      </c>
      <c r="D12369" s="51" t="n">
        <v>0</v>
      </c>
    </row>
    <row r="12370" customFormat="false" ht="15" hidden="true" customHeight="false" outlineLevel="0" collapsed="false">
      <c r="A12370" s="51" t="s">
        <v>287</v>
      </c>
      <c r="B12370" s="55" t="n">
        <v>46111</v>
      </c>
      <c r="C12370" s="51" t="s">
        <v>782</v>
      </c>
      <c r="D12370" s="51" t="n">
        <v>0</v>
      </c>
    </row>
    <row r="12371" customFormat="false" ht="15" hidden="true" customHeight="false" outlineLevel="0" collapsed="false">
      <c r="A12371" s="51" t="s">
        <v>292</v>
      </c>
      <c r="B12371" s="55" t="n">
        <v>46111</v>
      </c>
      <c r="C12371" s="51" t="s">
        <v>782</v>
      </c>
      <c r="D12371" s="51" t="n">
        <v>0</v>
      </c>
    </row>
    <row r="12372" customFormat="false" ht="15" hidden="true" customHeight="false" outlineLevel="0" collapsed="false">
      <c r="A12372" s="51" t="s">
        <v>297</v>
      </c>
      <c r="B12372" s="55" t="n">
        <v>46111</v>
      </c>
      <c r="C12372" s="51" t="s">
        <v>782</v>
      </c>
      <c r="D12372" s="51" t="n">
        <v>0</v>
      </c>
    </row>
    <row r="12373" customFormat="false" ht="15" hidden="true" customHeight="false" outlineLevel="0" collapsed="false">
      <c r="A12373" s="51" t="s">
        <v>302</v>
      </c>
      <c r="B12373" s="55" t="n">
        <v>46111</v>
      </c>
      <c r="C12373" s="51" t="s">
        <v>782</v>
      </c>
      <c r="D12373" s="51" t="n">
        <v>0</v>
      </c>
    </row>
    <row r="12374" customFormat="false" ht="15" hidden="true" customHeight="false" outlineLevel="0" collapsed="false">
      <c r="A12374" s="51" t="s">
        <v>307</v>
      </c>
      <c r="B12374" s="55" t="n">
        <v>46111</v>
      </c>
      <c r="C12374" s="51" t="s">
        <v>782</v>
      </c>
      <c r="D12374" s="51" t="n">
        <v>0</v>
      </c>
    </row>
    <row r="12375" customFormat="false" ht="15" hidden="true" customHeight="false" outlineLevel="0" collapsed="false">
      <c r="A12375" s="51" t="s">
        <v>311</v>
      </c>
      <c r="B12375" s="55" t="n">
        <v>46111</v>
      </c>
      <c r="C12375" s="51" t="s">
        <v>782</v>
      </c>
      <c r="D12375" s="51" t="n">
        <v>0</v>
      </c>
    </row>
    <row r="12376" customFormat="false" ht="15" hidden="true" customHeight="false" outlineLevel="0" collapsed="false">
      <c r="A12376" s="51" t="s">
        <v>317</v>
      </c>
      <c r="B12376" s="55" t="n">
        <v>46111</v>
      </c>
      <c r="C12376" s="51" t="s">
        <v>782</v>
      </c>
      <c r="D12376" s="51" t="n">
        <v>0</v>
      </c>
    </row>
    <row r="12377" customFormat="false" ht="15" hidden="true" customHeight="false" outlineLevel="0" collapsed="false">
      <c r="A12377" s="51" t="s">
        <v>322</v>
      </c>
      <c r="B12377" s="55" t="n">
        <v>46111</v>
      </c>
      <c r="C12377" s="51" t="s">
        <v>782</v>
      </c>
      <c r="D12377" s="51" t="n">
        <v>0</v>
      </c>
    </row>
    <row r="12378" customFormat="false" ht="15" hidden="true" customHeight="false" outlineLevel="0" collapsed="false">
      <c r="A12378" s="51" t="s">
        <v>327</v>
      </c>
      <c r="B12378" s="55" t="n">
        <v>46111</v>
      </c>
      <c r="C12378" s="51" t="s">
        <v>782</v>
      </c>
      <c r="D12378" s="51" t="n">
        <v>0</v>
      </c>
    </row>
    <row r="12379" customFormat="false" ht="15" hidden="true" customHeight="false" outlineLevel="0" collapsed="false">
      <c r="A12379" s="51" t="s">
        <v>332</v>
      </c>
      <c r="B12379" s="55" t="n">
        <v>46111</v>
      </c>
      <c r="C12379" s="51" t="s">
        <v>782</v>
      </c>
      <c r="D12379" s="51" t="n">
        <v>0</v>
      </c>
    </row>
    <row r="12380" customFormat="false" ht="15" hidden="true" customHeight="false" outlineLevel="0" collapsed="false">
      <c r="A12380" s="51" t="s">
        <v>339</v>
      </c>
      <c r="B12380" s="55" t="n">
        <v>46111</v>
      </c>
      <c r="C12380" s="51" t="s">
        <v>782</v>
      </c>
      <c r="D12380" s="51" t="n">
        <v>0</v>
      </c>
    </row>
    <row r="12381" customFormat="false" ht="15" hidden="true" customHeight="false" outlineLevel="0" collapsed="false">
      <c r="A12381" s="51" t="s">
        <v>344</v>
      </c>
      <c r="B12381" s="55" t="n">
        <v>46111</v>
      </c>
      <c r="C12381" s="51" t="s">
        <v>782</v>
      </c>
      <c r="D12381" s="51" t="n">
        <v>0</v>
      </c>
    </row>
    <row r="12382" customFormat="false" ht="15" hidden="true" customHeight="false" outlineLevel="0" collapsed="false">
      <c r="A12382" s="51" t="s">
        <v>349</v>
      </c>
      <c r="B12382" s="55" t="n">
        <v>46111</v>
      </c>
      <c r="C12382" s="51" t="s">
        <v>782</v>
      </c>
      <c r="D12382" s="51" t="n">
        <v>0</v>
      </c>
    </row>
    <row r="12383" customFormat="false" ht="15" hidden="true" customHeight="false" outlineLevel="0" collapsed="false">
      <c r="A12383" s="51" t="s">
        <v>354</v>
      </c>
      <c r="B12383" s="55" t="n">
        <v>46111</v>
      </c>
      <c r="C12383" s="51" t="s">
        <v>782</v>
      </c>
      <c r="D12383" s="51" t="n">
        <v>0</v>
      </c>
    </row>
    <row r="12384" customFormat="false" ht="15" hidden="true" customHeight="false" outlineLevel="0" collapsed="false">
      <c r="A12384" s="51" t="s">
        <v>359</v>
      </c>
      <c r="B12384" s="55" t="n">
        <v>46111</v>
      </c>
      <c r="C12384" s="51" t="s">
        <v>782</v>
      </c>
      <c r="D12384" s="51" t="n">
        <v>0</v>
      </c>
    </row>
    <row r="12385" customFormat="false" ht="15" hidden="true" customHeight="false" outlineLevel="0" collapsed="false">
      <c r="A12385" s="51" t="s">
        <v>364</v>
      </c>
      <c r="B12385" s="55" t="n">
        <v>46111</v>
      </c>
      <c r="C12385" s="51" t="s">
        <v>782</v>
      </c>
      <c r="D12385" s="51" t="n">
        <v>0</v>
      </c>
    </row>
    <row r="12386" customFormat="false" ht="15" hidden="true" customHeight="false" outlineLevel="0" collapsed="false">
      <c r="A12386" s="51" t="s">
        <v>369</v>
      </c>
      <c r="B12386" s="55" t="n">
        <v>46111</v>
      </c>
      <c r="C12386" s="51" t="s">
        <v>782</v>
      </c>
      <c r="D12386" s="51" t="n">
        <v>0</v>
      </c>
    </row>
    <row r="12387" customFormat="false" ht="15" hidden="true" customHeight="false" outlineLevel="0" collapsed="false">
      <c r="A12387" s="51" t="s">
        <v>374</v>
      </c>
      <c r="B12387" s="55" t="n">
        <v>46111</v>
      </c>
      <c r="C12387" s="51" t="s">
        <v>782</v>
      </c>
      <c r="D12387" s="51" t="n">
        <v>0</v>
      </c>
    </row>
    <row r="12388" customFormat="false" ht="15" hidden="true" customHeight="false" outlineLevel="0" collapsed="false">
      <c r="A12388" s="51" t="s">
        <v>379</v>
      </c>
      <c r="B12388" s="55" t="n">
        <v>46111</v>
      </c>
      <c r="C12388" s="51" t="s">
        <v>782</v>
      </c>
      <c r="D12388" s="51" t="n">
        <v>0</v>
      </c>
    </row>
    <row r="12389" customFormat="false" ht="15" hidden="true" customHeight="false" outlineLevel="0" collapsed="false">
      <c r="A12389" s="51" t="s">
        <v>384</v>
      </c>
      <c r="B12389" s="55" t="n">
        <v>46111</v>
      </c>
      <c r="C12389" s="51" t="s">
        <v>782</v>
      </c>
      <c r="D12389" s="51" t="n">
        <v>0</v>
      </c>
    </row>
    <row r="12390" customFormat="false" ht="15" hidden="true" customHeight="false" outlineLevel="0" collapsed="false">
      <c r="A12390" s="51" t="s">
        <v>389</v>
      </c>
      <c r="B12390" s="55" t="n">
        <v>46111</v>
      </c>
      <c r="C12390" s="51" t="s">
        <v>782</v>
      </c>
      <c r="D12390" s="51" t="n">
        <v>0</v>
      </c>
    </row>
    <row r="12391" customFormat="false" ht="15" hidden="true" customHeight="false" outlineLevel="0" collapsed="false">
      <c r="A12391" s="51" t="s">
        <v>394</v>
      </c>
      <c r="B12391" s="55" t="n">
        <v>46111</v>
      </c>
      <c r="C12391" s="51" t="s">
        <v>782</v>
      </c>
      <c r="D12391" s="51" t="n">
        <v>0</v>
      </c>
    </row>
    <row r="12392" customFormat="false" ht="15" hidden="true" customHeight="false" outlineLevel="0" collapsed="false">
      <c r="A12392" s="51" t="s">
        <v>399</v>
      </c>
      <c r="B12392" s="55" t="n">
        <v>46111</v>
      </c>
      <c r="C12392" s="51" t="s">
        <v>782</v>
      </c>
      <c r="D12392" s="51" t="n">
        <v>0</v>
      </c>
    </row>
    <row r="12393" customFormat="false" ht="15" hidden="true" customHeight="false" outlineLevel="0" collapsed="false">
      <c r="A12393" s="51" t="s">
        <v>404</v>
      </c>
      <c r="B12393" s="55" t="n">
        <v>46111</v>
      </c>
      <c r="C12393" s="51" t="s">
        <v>782</v>
      </c>
      <c r="D12393" s="51" t="n">
        <v>0</v>
      </c>
    </row>
    <row r="12394" customFormat="false" ht="15" hidden="true" customHeight="false" outlineLevel="0" collapsed="false">
      <c r="A12394" s="51" t="s">
        <v>409</v>
      </c>
      <c r="B12394" s="55" t="n">
        <v>46111</v>
      </c>
      <c r="C12394" s="51" t="s">
        <v>782</v>
      </c>
      <c r="D12394" s="51" t="n">
        <v>0</v>
      </c>
    </row>
    <row r="12395" customFormat="false" ht="15" hidden="true" customHeight="false" outlineLevel="0" collapsed="false">
      <c r="A12395" s="51" t="s">
        <v>414</v>
      </c>
      <c r="B12395" s="55" t="n">
        <v>46111</v>
      </c>
      <c r="C12395" s="51" t="s">
        <v>782</v>
      </c>
      <c r="D12395" s="51" t="n">
        <v>0</v>
      </c>
    </row>
    <row r="12396" customFormat="false" ht="15" hidden="true" customHeight="false" outlineLevel="0" collapsed="false">
      <c r="A12396" s="51" t="s">
        <v>419</v>
      </c>
      <c r="B12396" s="55" t="n">
        <v>46111</v>
      </c>
      <c r="C12396" s="51" t="s">
        <v>782</v>
      </c>
      <c r="D12396" s="51" t="n">
        <v>0</v>
      </c>
    </row>
    <row r="12397" customFormat="false" ht="15" hidden="true" customHeight="false" outlineLevel="0" collapsed="false">
      <c r="A12397" s="51" t="s">
        <v>424</v>
      </c>
      <c r="B12397" s="55" t="n">
        <v>46111</v>
      </c>
      <c r="C12397" s="51" t="s">
        <v>782</v>
      </c>
      <c r="D12397" s="51" t="n">
        <v>0</v>
      </c>
    </row>
    <row r="12398" customFormat="false" ht="15" hidden="true" customHeight="false" outlineLevel="0" collapsed="false">
      <c r="A12398" s="51" t="s">
        <v>429</v>
      </c>
      <c r="B12398" s="55" t="n">
        <v>46111</v>
      </c>
      <c r="C12398" s="51" t="s">
        <v>782</v>
      </c>
      <c r="D12398" s="51" t="n">
        <v>0</v>
      </c>
    </row>
    <row r="12399" customFormat="false" ht="15" hidden="true" customHeight="false" outlineLevel="0" collapsed="false">
      <c r="A12399" s="51" t="s">
        <v>434</v>
      </c>
      <c r="B12399" s="55" t="n">
        <v>46111</v>
      </c>
      <c r="C12399" s="51" t="s">
        <v>782</v>
      </c>
      <c r="D12399" s="51" t="n">
        <v>0</v>
      </c>
    </row>
    <row r="12400" customFormat="false" ht="15" hidden="true" customHeight="false" outlineLevel="0" collapsed="false">
      <c r="A12400" s="51" t="s">
        <v>438</v>
      </c>
      <c r="B12400" s="55" t="n">
        <v>46111</v>
      </c>
      <c r="C12400" s="51" t="s">
        <v>782</v>
      </c>
      <c r="D12400" s="51" t="n">
        <v>0</v>
      </c>
    </row>
    <row r="12401" customFormat="false" ht="15" hidden="true" customHeight="false" outlineLevel="0" collapsed="false">
      <c r="A12401" s="51" t="s">
        <v>443</v>
      </c>
      <c r="B12401" s="55" t="n">
        <v>46111</v>
      </c>
      <c r="C12401" s="51" t="s">
        <v>782</v>
      </c>
      <c r="D12401" s="51" t="n">
        <v>0</v>
      </c>
    </row>
    <row r="12402" customFormat="false" ht="15" hidden="true" customHeight="false" outlineLevel="0" collapsed="false">
      <c r="A12402" s="51" t="s">
        <v>448</v>
      </c>
      <c r="B12402" s="55" t="n">
        <v>46111</v>
      </c>
      <c r="C12402" s="51" t="s">
        <v>782</v>
      </c>
      <c r="D12402" s="51" t="n">
        <v>0</v>
      </c>
    </row>
    <row r="12403" customFormat="false" ht="15" hidden="true" customHeight="false" outlineLevel="0" collapsed="false">
      <c r="A12403" s="51" t="s">
        <v>453</v>
      </c>
      <c r="B12403" s="55" t="n">
        <v>46111</v>
      </c>
      <c r="C12403" s="51" t="s">
        <v>782</v>
      </c>
      <c r="D12403" s="51" t="n">
        <v>0</v>
      </c>
    </row>
    <row r="12404" customFormat="false" ht="15" hidden="true" customHeight="false" outlineLevel="0" collapsed="false">
      <c r="A12404" s="51" t="s">
        <v>458</v>
      </c>
      <c r="B12404" s="55" t="n">
        <v>46111</v>
      </c>
      <c r="C12404" s="51" t="s">
        <v>782</v>
      </c>
      <c r="D12404" s="51" t="n">
        <v>0</v>
      </c>
    </row>
    <row r="12405" customFormat="false" ht="15" hidden="true" customHeight="false" outlineLevel="0" collapsed="false">
      <c r="A12405" s="51" t="s">
        <v>473</v>
      </c>
      <c r="B12405" s="55" t="n">
        <v>46111</v>
      </c>
      <c r="C12405" s="51" t="s">
        <v>782</v>
      </c>
      <c r="D12405" s="51" t="n">
        <v>0</v>
      </c>
    </row>
    <row r="12406" customFormat="false" ht="15" hidden="true" customHeight="false" outlineLevel="0" collapsed="false">
      <c r="A12406" s="51" t="s">
        <v>479</v>
      </c>
      <c r="B12406" s="55" t="n">
        <v>46111</v>
      </c>
      <c r="C12406" s="51" t="s">
        <v>782</v>
      </c>
      <c r="D12406" s="51" t="n">
        <v>0</v>
      </c>
    </row>
    <row r="12407" customFormat="false" ht="15" hidden="true" customHeight="false" outlineLevel="0" collapsed="false">
      <c r="A12407" s="51" t="s">
        <v>484</v>
      </c>
      <c r="B12407" s="55" t="n">
        <v>46111</v>
      </c>
      <c r="C12407" s="51" t="s">
        <v>782</v>
      </c>
      <c r="D12407" s="51" t="n">
        <v>0</v>
      </c>
    </row>
    <row r="12408" customFormat="false" ht="15" hidden="true" customHeight="false" outlineLevel="0" collapsed="false">
      <c r="A12408" s="51" t="s">
        <v>489</v>
      </c>
      <c r="B12408" s="55" t="n">
        <v>46111</v>
      </c>
      <c r="C12408" s="51" t="s">
        <v>782</v>
      </c>
      <c r="D12408" s="51" t="n">
        <v>0</v>
      </c>
    </row>
    <row r="12409" customFormat="false" ht="15" hidden="true" customHeight="false" outlineLevel="0" collapsed="false">
      <c r="A12409" s="51" t="s">
        <v>494</v>
      </c>
      <c r="B12409" s="55" t="n">
        <v>46111</v>
      </c>
      <c r="C12409" s="51" t="s">
        <v>782</v>
      </c>
      <c r="D12409" s="51" t="n">
        <v>0</v>
      </c>
    </row>
    <row r="12410" customFormat="false" ht="15" hidden="true" customHeight="false" outlineLevel="0" collapsed="false">
      <c r="A12410" s="51" t="s">
        <v>499</v>
      </c>
      <c r="B12410" s="55" t="n">
        <v>46111</v>
      </c>
      <c r="C12410" s="51" t="s">
        <v>782</v>
      </c>
      <c r="D12410" s="51" t="n">
        <v>0</v>
      </c>
    </row>
    <row r="12411" customFormat="false" ht="15" hidden="true" customHeight="false" outlineLevel="0" collapsed="false">
      <c r="A12411" s="51" t="s">
        <v>504</v>
      </c>
      <c r="B12411" s="55" t="n">
        <v>46111</v>
      </c>
      <c r="C12411" s="51" t="s">
        <v>782</v>
      </c>
      <c r="D12411" s="51" t="n">
        <v>0</v>
      </c>
    </row>
    <row r="12412" customFormat="false" ht="15" hidden="true" customHeight="false" outlineLevel="0" collapsed="false">
      <c r="A12412" s="51" t="s">
        <v>509</v>
      </c>
      <c r="B12412" s="55" t="n">
        <v>46111</v>
      </c>
      <c r="C12412" s="51" t="s">
        <v>782</v>
      </c>
      <c r="D12412" s="51" t="n">
        <v>0</v>
      </c>
    </row>
    <row r="12413" customFormat="false" ht="15" hidden="true" customHeight="false" outlineLevel="0" collapsed="false">
      <c r="A12413" s="51" t="s">
        <v>515</v>
      </c>
      <c r="B12413" s="55" t="n">
        <v>46111</v>
      </c>
      <c r="C12413" s="51" t="s">
        <v>782</v>
      </c>
      <c r="D12413" s="51" t="n">
        <v>0</v>
      </c>
    </row>
    <row r="12414" customFormat="false" ht="15" hidden="true" customHeight="false" outlineLevel="0" collapsed="false">
      <c r="A12414" s="51" t="s">
        <v>520</v>
      </c>
      <c r="B12414" s="55" t="n">
        <v>46111</v>
      </c>
      <c r="C12414" s="51" t="s">
        <v>782</v>
      </c>
      <c r="D12414" s="51" t="n">
        <v>0</v>
      </c>
    </row>
    <row r="12415" customFormat="false" ht="15" hidden="true" customHeight="false" outlineLevel="0" collapsed="false">
      <c r="A12415" s="51" t="s">
        <v>525</v>
      </c>
      <c r="B12415" s="55" t="n">
        <v>46111</v>
      </c>
      <c r="C12415" s="51" t="s">
        <v>782</v>
      </c>
      <c r="D12415" s="51" t="n">
        <v>0</v>
      </c>
    </row>
    <row r="12416" customFormat="false" ht="15" hidden="true" customHeight="false" outlineLevel="0" collapsed="false">
      <c r="A12416" s="51" t="s">
        <v>531</v>
      </c>
      <c r="B12416" s="55" t="n">
        <v>46111</v>
      </c>
      <c r="C12416" s="51" t="s">
        <v>782</v>
      </c>
      <c r="D12416" s="51" t="n">
        <v>0</v>
      </c>
    </row>
    <row r="12417" customFormat="false" ht="15" hidden="true" customHeight="false" outlineLevel="0" collapsed="false">
      <c r="A12417" s="51" t="s">
        <v>536</v>
      </c>
      <c r="B12417" s="55" t="n">
        <v>46111</v>
      </c>
      <c r="C12417" s="51" t="s">
        <v>782</v>
      </c>
      <c r="D12417" s="51" t="n">
        <v>0</v>
      </c>
    </row>
    <row r="12418" customFormat="false" ht="15" hidden="true" customHeight="false" outlineLevel="0" collapsed="false">
      <c r="A12418" s="51" t="s">
        <v>541</v>
      </c>
      <c r="B12418" s="55" t="n">
        <v>46111</v>
      </c>
      <c r="C12418" s="51" t="s">
        <v>782</v>
      </c>
      <c r="D12418" s="51" t="n">
        <v>5367020</v>
      </c>
    </row>
    <row r="12419" customFormat="false" ht="15" hidden="true" customHeight="false" outlineLevel="0" collapsed="false">
      <c r="A12419" s="51" t="s">
        <v>549</v>
      </c>
      <c r="B12419" s="55" t="n">
        <v>46111</v>
      </c>
      <c r="C12419" s="51" t="s">
        <v>782</v>
      </c>
      <c r="D12419" s="51" t="n">
        <v>0</v>
      </c>
    </row>
    <row r="12420" customFormat="false" ht="15" hidden="true" customHeight="false" outlineLevel="0" collapsed="false">
      <c r="A12420" s="51" t="s">
        <v>554</v>
      </c>
      <c r="B12420" s="55" t="n">
        <v>46111</v>
      </c>
      <c r="C12420" s="51" t="s">
        <v>782</v>
      </c>
      <c r="D12420" s="51" t="n">
        <v>0</v>
      </c>
    </row>
    <row r="12421" customFormat="false" ht="15" hidden="true" customHeight="false" outlineLevel="0" collapsed="false">
      <c r="A12421" s="51" t="s">
        <v>559</v>
      </c>
      <c r="B12421" s="55" t="n">
        <v>46111</v>
      </c>
      <c r="C12421" s="51" t="s">
        <v>782</v>
      </c>
      <c r="D12421" s="51" t="n">
        <v>0</v>
      </c>
    </row>
    <row r="12422" customFormat="false" ht="15" hidden="true" customHeight="false" outlineLevel="0" collapsed="false">
      <c r="A12422" s="51" t="s">
        <v>564</v>
      </c>
      <c r="B12422" s="55" t="n">
        <v>46111</v>
      </c>
      <c r="C12422" s="51" t="s">
        <v>782</v>
      </c>
      <c r="D12422" s="51" t="n">
        <v>0</v>
      </c>
    </row>
    <row r="12423" customFormat="false" ht="15" hidden="true" customHeight="false" outlineLevel="0" collapsed="false">
      <c r="A12423" s="51" t="s">
        <v>569</v>
      </c>
      <c r="B12423" s="55" t="n">
        <v>46111</v>
      </c>
      <c r="C12423" s="51" t="s">
        <v>782</v>
      </c>
      <c r="D12423" s="51" t="n">
        <v>0</v>
      </c>
    </row>
    <row r="12424" customFormat="false" ht="15" hidden="true" customHeight="false" outlineLevel="0" collapsed="false">
      <c r="A12424" s="51" t="s">
        <v>574</v>
      </c>
      <c r="B12424" s="55" t="n">
        <v>46111</v>
      </c>
      <c r="C12424" s="51" t="s">
        <v>782</v>
      </c>
      <c r="D12424" s="51" t="n">
        <v>0</v>
      </c>
    </row>
    <row r="12425" customFormat="false" ht="15" hidden="true" customHeight="false" outlineLevel="0" collapsed="false">
      <c r="A12425" s="51" t="s">
        <v>579</v>
      </c>
      <c r="B12425" s="55" t="n">
        <v>46111</v>
      </c>
      <c r="C12425" s="51" t="s">
        <v>782</v>
      </c>
      <c r="D12425" s="51" t="n">
        <v>0</v>
      </c>
    </row>
    <row r="12426" customFormat="false" ht="15" hidden="true" customHeight="false" outlineLevel="0" collapsed="false">
      <c r="A12426" s="51" t="s">
        <v>584</v>
      </c>
      <c r="B12426" s="55" t="n">
        <v>46111</v>
      </c>
      <c r="C12426" s="51" t="s">
        <v>782</v>
      </c>
      <c r="D12426" s="51" t="n">
        <v>0</v>
      </c>
    </row>
    <row r="12427" customFormat="false" ht="15" hidden="true" customHeight="false" outlineLevel="0" collapsed="false">
      <c r="A12427" s="51" t="s">
        <v>589</v>
      </c>
      <c r="B12427" s="55" t="n">
        <v>46111</v>
      </c>
      <c r="C12427" s="51" t="s">
        <v>782</v>
      </c>
      <c r="D12427" s="51" t="n">
        <v>0</v>
      </c>
    </row>
    <row r="12428" customFormat="false" ht="15" hidden="true" customHeight="false" outlineLevel="0" collapsed="false">
      <c r="A12428" s="51" t="s">
        <v>756</v>
      </c>
      <c r="B12428" s="55" t="n">
        <v>46111</v>
      </c>
      <c r="C12428" s="51" t="s">
        <v>782</v>
      </c>
      <c r="D12428" s="51" t="n">
        <v>0</v>
      </c>
    </row>
    <row r="12429" customFormat="false" ht="15" hidden="true" customHeight="false" outlineLevel="0" collapsed="false">
      <c r="A12429" s="51" t="s">
        <v>594</v>
      </c>
      <c r="B12429" s="55" t="n">
        <v>46111</v>
      </c>
      <c r="C12429" s="51" t="s">
        <v>782</v>
      </c>
      <c r="D12429" s="51" t="n">
        <v>0</v>
      </c>
    </row>
    <row r="12430" customFormat="false" ht="15" hidden="true" customHeight="false" outlineLevel="0" collapsed="false">
      <c r="A12430" s="51" t="s">
        <v>761</v>
      </c>
      <c r="B12430" s="55" t="n">
        <v>46111</v>
      </c>
      <c r="C12430" s="51" t="s">
        <v>782</v>
      </c>
      <c r="D12430" s="51" t="n">
        <v>0</v>
      </c>
    </row>
    <row r="12431" customFormat="false" ht="15" hidden="true" customHeight="false" outlineLevel="0" collapsed="false">
      <c r="A12431" s="51" t="s">
        <v>599</v>
      </c>
      <c r="B12431" s="55" t="n">
        <v>46111</v>
      </c>
      <c r="C12431" s="51" t="s">
        <v>782</v>
      </c>
      <c r="D12431" s="51" t="n">
        <v>0</v>
      </c>
    </row>
    <row r="12432" customFormat="false" ht="15" hidden="true" customHeight="false" outlineLevel="0" collapsed="false">
      <c r="A12432" s="51" t="s">
        <v>604</v>
      </c>
      <c r="B12432" s="55" t="n">
        <v>46111</v>
      </c>
      <c r="C12432" s="51" t="s">
        <v>782</v>
      </c>
      <c r="D12432" s="51" t="n">
        <v>0</v>
      </c>
    </row>
    <row r="12433" customFormat="false" ht="15" hidden="true" customHeight="false" outlineLevel="0" collapsed="false">
      <c r="A12433" s="51" t="s">
        <v>609</v>
      </c>
      <c r="B12433" s="55" t="n">
        <v>46111</v>
      </c>
      <c r="C12433" s="51" t="s">
        <v>782</v>
      </c>
      <c r="D12433" s="51" t="n">
        <v>0</v>
      </c>
    </row>
    <row r="12434" customFormat="false" ht="15" hidden="true" customHeight="false" outlineLevel="0" collapsed="false">
      <c r="A12434" s="51" t="s">
        <v>614</v>
      </c>
      <c r="B12434" s="55" t="n">
        <v>46111</v>
      </c>
      <c r="C12434" s="51" t="s">
        <v>782</v>
      </c>
      <c r="D12434" s="51" t="n">
        <v>0</v>
      </c>
    </row>
    <row r="12435" customFormat="false" ht="15" hidden="true" customHeight="false" outlineLevel="0" collapsed="false">
      <c r="A12435" s="51" t="s">
        <v>619</v>
      </c>
      <c r="B12435" s="55" t="n">
        <v>46111</v>
      </c>
      <c r="C12435" s="51" t="s">
        <v>782</v>
      </c>
      <c r="D12435" s="51" t="n">
        <v>0</v>
      </c>
    </row>
    <row r="12436" customFormat="false" ht="15" hidden="true" customHeight="false" outlineLevel="0" collapsed="false">
      <c r="A12436" s="51" t="s">
        <v>624</v>
      </c>
      <c r="B12436" s="55" t="n">
        <v>46111</v>
      </c>
      <c r="C12436" s="51" t="s">
        <v>782</v>
      </c>
      <c r="D12436" s="51" t="n">
        <v>0</v>
      </c>
    </row>
    <row r="12437" customFormat="false" ht="15" hidden="true" customHeight="false" outlineLevel="0" collapsed="false">
      <c r="A12437" s="51" t="s">
        <v>629</v>
      </c>
      <c r="B12437" s="55" t="n">
        <v>46111</v>
      </c>
      <c r="C12437" s="51" t="s">
        <v>782</v>
      </c>
      <c r="D12437" s="51" t="n">
        <v>0</v>
      </c>
    </row>
    <row r="12438" customFormat="false" ht="15" hidden="true" customHeight="false" outlineLevel="0" collapsed="false">
      <c r="A12438" s="51" t="s">
        <v>633</v>
      </c>
      <c r="B12438" s="55" t="n">
        <v>46111</v>
      </c>
      <c r="C12438" s="51" t="s">
        <v>782</v>
      </c>
      <c r="D12438" s="51" t="n">
        <v>0</v>
      </c>
    </row>
    <row r="12439" customFormat="false" ht="15" hidden="true" customHeight="false" outlineLevel="0" collapsed="false">
      <c r="A12439" s="51" t="s">
        <v>638</v>
      </c>
      <c r="B12439" s="55" t="n">
        <v>46111</v>
      </c>
      <c r="C12439" s="51" t="s">
        <v>782</v>
      </c>
      <c r="D12439" s="51" t="n">
        <v>0</v>
      </c>
    </row>
    <row r="12440" customFormat="false" ht="15" hidden="true" customHeight="false" outlineLevel="0" collapsed="false">
      <c r="A12440" s="51" t="s">
        <v>642</v>
      </c>
      <c r="B12440" s="55" t="n">
        <v>46111</v>
      </c>
      <c r="C12440" s="51" t="s">
        <v>782</v>
      </c>
      <c r="D12440" s="51" t="n">
        <v>0</v>
      </c>
    </row>
    <row r="12441" customFormat="false" ht="15" hidden="true" customHeight="false" outlineLevel="0" collapsed="false">
      <c r="A12441" s="51" t="s">
        <v>646</v>
      </c>
      <c r="B12441" s="55" t="n">
        <v>46111</v>
      </c>
      <c r="C12441" s="51" t="s">
        <v>782</v>
      </c>
      <c r="D12441" s="51" t="n">
        <v>0</v>
      </c>
    </row>
    <row r="12442" customFormat="false" ht="15" hidden="true" customHeight="false" outlineLevel="0" collapsed="false">
      <c r="A12442" s="51" t="s">
        <v>651</v>
      </c>
      <c r="B12442" s="55" t="n">
        <v>46111</v>
      </c>
      <c r="C12442" s="51" t="s">
        <v>782</v>
      </c>
      <c r="D12442" s="51" t="n">
        <v>0</v>
      </c>
    </row>
    <row r="12443" customFormat="false" ht="15" hidden="true" customHeight="false" outlineLevel="0" collapsed="false">
      <c r="A12443" s="51" t="s">
        <v>656</v>
      </c>
      <c r="B12443" s="55" t="n">
        <v>46111</v>
      </c>
      <c r="C12443" s="51" t="s">
        <v>782</v>
      </c>
      <c r="D12443" s="51" t="n">
        <v>0</v>
      </c>
    </row>
    <row r="12444" customFormat="false" ht="15" hidden="true" customHeight="false" outlineLevel="0" collapsed="false">
      <c r="A12444" s="51" t="s">
        <v>661</v>
      </c>
      <c r="B12444" s="55" t="n">
        <v>46111</v>
      </c>
      <c r="C12444" s="51" t="s">
        <v>782</v>
      </c>
      <c r="D12444" s="51" t="n">
        <v>0</v>
      </c>
    </row>
    <row r="12445" customFormat="false" ht="15" hidden="true" customHeight="false" outlineLevel="0" collapsed="false">
      <c r="A12445" s="51" t="s">
        <v>666</v>
      </c>
      <c r="B12445" s="55" t="n">
        <v>46111</v>
      </c>
      <c r="C12445" s="51" t="s">
        <v>782</v>
      </c>
      <c r="D12445" s="51" t="n">
        <v>0</v>
      </c>
    </row>
    <row r="12446" customFormat="false" ht="15" hidden="true" customHeight="false" outlineLevel="0" collapsed="false">
      <c r="A12446" s="51" t="s">
        <v>671</v>
      </c>
      <c r="B12446" s="55" t="n">
        <v>46111</v>
      </c>
      <c r="C12446" s="51" t="s">
        <v>782</v>
      </c>
      <c r="D12446" s="51" t="n">
        <v>0</v>
      </c>
    </row>
    <row r="12447" customFormat="false" ht="15" hidden="true" customHeight="false" outlineLevel="0" collapsed="false">
      <c r="A12447" s="51" t="s">
        <v>676</v>
      </c>
      <c r="B12447" s="55" t="n">
        <v>46111</v>
      </c>
      <c r="C12447" s="51" t="s">
        <v>782</v>
      </c>
      <c r="D12447" s="51" t="n">
        <v>0</v>
      </c>
    </row>
    <row r="12448" customFormat="false" ht="15" hidden="true" customHeight="false" outlineLevel="0" collapsed="false">
      <c r="A12448" s="51" t="s">
        <v>681</v>
      </c>
      <c r="B12448" s="55" t="n">
        <v>46111</v>
      </c>
      <c r="C12448" s="51" t="s">
        <v>782</v>
      </c>
      <c r="D12448" s="51" t="n">
        <v>0</v>
      </c>
    </row>
    <row r="12449" customFormat="false" ht="15" hidden="true" customHeight="false" outlineLevel="0" collapsed="false">
      <c r="A12449" s="51" t="s">
        <v>686</v>
      </c>
      <c r="B12449" s="55" t="n">
        <v>46111</v>
      </c>
      <c r="C12449" s="51" t="s">
        <v>782</v>
      </c>
      <c r="D12449" s="51" t="n">
        <v>0</v>
      </c>
    </row>
    <row r="12450" customFormat="false" ht="15" hidden="true" customHeight="false" outlineLevel="0" collapsed="false">
      <c r="A12450" s="51" t="s">
        <v>691</v>
      </c>
      <c r="B12450" s="55" t="n">
        <v>46111</v>
      </c>
      <c r="C12450" s="51" t="s">
        <v>782</v>
      </c>
      <c r="D12450" s="51" t="n">
        <v>0</v>
      </c>
    </row>
    <row r="12451" customFormat="false" ht="15" hidden="true" customHeight="false" outlineLevel="0" collapsed="false">
      <c r="A12451" s="51" t="s">
        <v>696</v>
      </c>
      <c r="B12451" s="55" t="n">
        <v>46111</v>
      </c>
      <c r="C12451" s="51" t="s">
        <v>782</v>
      </c>
      <c r="D12451" s="51" t="n">
        <v>0</v>
      </c>
    </row>
    <row r="12452" customFormat="false" ht="15" hidden="true" customHeight="false" outlineLevel="0" collapsed="false">
      <c r="A12452" s="51" t="s">
        <v>701</v>
      </c>
      <c r="B12452" s="55" t="n">
        <v>46111</v>
      </c>
      <c r="C12452" s="51" t="s">
        <v>782</v>
      </c>
      <c r="D12452" s="51" t="n">
        <v>0</v>
      </c>
    </row>
    <row r="12453" customFormat="false" ht="15" hidden="true" customHeight="false" outlineLevel="0" collapsed="false">
      <c r="A12453" s="51" t="s">
        <v>707</v>
      </c>
      <c r="B12453" s="55" t="n">
        <v>46111</v>
      </c>
      <c r="C12453" s="51" t="s">
        <v>782</v>
      </c>
      <c r="D12453" s="51" t="n">
        <v>0</v>
      </c>
    </row>
    <row r="12454" customFormat="false" ht="15" hidden="true" customHeight="false" outlineLevel="0" collapsed="false">
      <c r="A12454" s="51" t="s">
        <v>712</v>
      </c>
      <c r="B12454" s="55" t="n">
        <v>46111</v>
      </c>
      <c r="C12454" s="51" t="s">
        <v>782</v>
      </c>
      <c r="D12454" s="51" t="n">
        <v>0</v>
      </c>
    </row>
    <row r="12455" customFormat="false" ht="15" hidden="true" customHeight="false" outlineLevel="0" collapsed="false">
      <c r="A12455" s="51" t="s">
        <v>717</v>
      </c>
      <c r="B12455" s="55" t="n">
        <v>46111</v>
      </c>
      <c r="C12455" s="51" t="s">
        <v>782</v>
      </c>
      <c r="D12455" s="51" t="n">
        <v>0</v>
      </c>
    </row>
    <row r="12456" customFormat="false" ht="15" hidden="true" customHeight="false" outlineLevel="0" collapsed="false">
      <c r="A12456" s="51" t="s">
        <v>767</v>
      </c>
      <c r="B12456" s="55" t="n">
        <v>46111</v>
      </c>
      <c r="C12456" s="51" t="s">
        <v>782</v>
      </c>
      <c r="D12456" s="51" t="n">
        <v>3308467.83</v>
      </c>
    </row>
    <row r="12457" customFormat="false" ht="15" hidden="true" customHeight="false" outlineLevel="0" collapsed="false">
      <c r="A12457" s="51" t="s">
        <v>722</v>
      </c>
      <c r="B12457" s="55" t="n">
        <v>46111</v>
      </c>
      <c r="C12457" s="51" t="s">
        <v>782</v>
      </c>
      <c r="D12457" s="51" t="n">
        <v>0</v>
      </c>
    </row>
    <row r="12458" customFormat="false" ht="15" hidden="true" customHeight="false" outlineLevel="0" collapsed="false">
      <c r="A12458" s="51" t="s">
        <v>727</v>
      </c>
      <c r="B12458" s="55" t="n">
        <v>46111</v>
      </c>
      <c r="C12458" s="51" t="s">
        <v>782</v>
      </c>
      <c r="D12458" s="51" t="n">
        <v>0</v>
      </c>
    </row>
    <row r="12459" customFormat="false" ht="15" hidden="true" customHeight="false" outlineLevel="0" collapsed="false">
      <c r="A12459" s="51" t="s">
        <v>732</v>
      </c>
      <c r="B12459" s="55" t="n">
        <v>46111</v>
      </c>
      <c r="C12459" s="51" t="s">
        <v>782</v>
      </c>
      <c r="D12459" s="51" t="n">
        <v>0</v>
      </c>
    </row>
    <row r="12460" customFormat="false" ht="15" hidden="true" customHeight="false" outlineLevel="0" collapsed="false">
      <c r="A12460" s="51" t="s">
        <v>736</v>
      </c>
      <c r="B12460" s="55" t="n">
        <v>46111</v>
      </c>
      <c r="C12460" s="51" t="s">
        <v>782</v>
      </c>
      <c r="D12460" s="51" t="n">
        <v>0</v>
      </c>
    </row>
    <row r="12461" customFormat="false" ht="15" hidden="true" customHeight="false" outlineLevel="0" collapsed="false">
      <c r="A12461" s="51" t="s">
        <v>741</v>
      </c>
      <c r="B12461" s="55" t="n">
        <v>46111</v>
      </c>
      <c r="C12461" s="51" t="s">
        <v>782</v>
      </c>
      <c r="D12461" s="51" t="n">
        <v>0</v>
      </c>
    </row>
    <row r="12462" customFormat="false" ht="15" hidden="true" customHeight="false" outlineLevel="0" collapsed="false">
      <c r="A12462" s="51" t="s">
        <v>746</v>
      </c>
      <c r="B12462" s="55" t="n">
        <v>46111</v>
      </c>
      <c r="C12462" s="51" t="s">
        <v>782</v>
      </c>
      <c r="D12462" s="51" t="n">
        <v>0</v>
      </c>
    </row>
    <row r="12463" customFormat="false" ht="15" hidden="true" customHeight="false" outlineLevel="0" collapsed="false">
      <c r="A12463" s="51" t="s">
        <v>751</v>
      </c>
      <c r="B12463" s="55" t="n">
        <v>46111</v>
      </c>
      <c r="C12463" s="51" t="s">
        <v>782</v>
      </c>
      <c r="D12463" s="51" t="n">
        <v>0</v>
      </c>
    </row>
    <row r="12464" customFormat="false" ht="15" hidden="false" customHeight="false" outlineLevel="0" collapsed="false">
      <c r="A12464" s="51" t="s">
        <v>781</v>
      </c>
      <c r="B12464" s="55" t="n">
        <v>46111</v>
      </c>
      <c r="C12464" s="51" t="s">
        <v>82</v>
      </c>
      <c r="D12464" s="51" t="n">
        <v>0</v>
      </c>
    </row>
    <row r="12465" customFormat="false" ht="15" hidden="true" customHeight="false" outlineLevel="0" collapsed="false">
      <c r="A12465" s="51" t="s">
        <v>783</v>
      </c>
      <c r="B12465" s="55" t="n">
        <v>46111</v>
      </c>
      <c r="C12465" s="51" t="s">
        <v>82</v>
      </c>
      <c r="D12465" s="51" t="n">
        <v>0</v>
      </c>
    </row>
    <row r="12466" customFormat="false" ht="15" hidden="true" customHeight="false" outlineLevel="0" collapsed="false">
      <c r="A12466" s="51" t="s">
        <v>96</v>
      </c>
      <c r="B12466" s="55" t="n">
        <v>46111</v>
      </c>
      <c r="C12466" s="51" t="s">
        <v>82</v>
      </c>
      <c r="D12466" s="51" t="n">
        <v>0</v>
      </c>
    </row>
    <row r="12467" customFormat="false" ht="15" hidden="true" customHeight="false" outlineLevel="0" collapsed="false">
      <c r="A12467" s="51" t="s">
        <v>101</v>
      </c>
      <c r="B12467" s="55" t="n">
        <v>46111</v>
      </c>
      <c r="C12467" s="51" t="s">
        <v>82</v>
      </c>
      <c r="D12467" s="51" t="n">
        <v>0</v>
      </c>
    </row>
    <row r="12468" customFormat="false" ht="15" hidden="true" customHeight="false" outlineLevel="0" collapsed="false">
      <c r="A12468" s="51" t="s">
        <v>106</v>
      </c>
      <c r="B12468" s="55" t="n">
        <v>46111</v>
      </c>
      <c r="C12468" s="51" t="s">
        <v>82</v>
      </c>
      <c r="D12468" s="51" t="n">
        <v>0</v>
      </c>
    </row>
    <row r="12469" customFormat="false" ht="15" hidden="true" customHeight="false" outlineLevel="0" collapsed="false">
      <c r="A12469" s="51" t="s">
        <v>110</v>
      </c>
      <c r="B12469" s="55" t="n">
        <v>46111</v>
      </c>
      <c r="C12469" s="51" t="s">
        <v>82</v>
      </c>
      <c r="D12469" s="51" t="n">
        <v>0</v>
      </c>
    </row>
    <row r="12470" customFormat="false" ht="15" hidden="true" customHeight="false" outlineLevel="0" collapsed="false">
      <c r="A12470" s="51" t="s">
        <v>115</v>
      </c>
      <c r="B12470" s="55" t="n">
        <v>46111</v>
      </c>
      <c r="C12470" s="51" t="s">
        <v>82</v>
      </c>
      <c r="D12470" s="51" t="n">
        <v>0</v>
      </c>
    </row>
    <row r="12471" customFormat="false" ht="15" hidden="true" customHeight="false" outlineLevel="0" collapsed="false">
      <c r="A12471" s="51" t="s">
        <v>120</v>
      </c>
      <c r="B12471" s="55" t="n">
        <v>46111</v>
      </c>
      <c r="C12471" s="51" t="s">
        <v>82</v>
      </c>
      <c r="D12471" s="51" t="n">
        <v>0</v>
      </c>
    </row>
    <row r="12472" customFormat="false" ht="15" hidden="true" customHeight="false" outlineLevel="0" collapsed="false">
      <c r="A12472" s="51" t="s">
        <v>124</v>
      </c>
      <c r="B12472" s="55" t="n">
        <v>46111</v>
      </c>
      <c r="C12472" s="51" t="s">
        <v>82</v>
      </c>
      <c r="D12472" s="51" t="n">
        <v>0</v>
      </c>
    </row>
    <row r="12473" customFormat="false" ht="15" hidden="true" customHeight="false" outlineLevel="0" collapsed="false">
      <c r="A12473" s="51" t="s">
        <v>129</v>
      </c>
      <c r="B12473" s="55" t="n">
        <v>46111</v>
      </c>
      <c r="C12473" s="51" t="s">
        <v>82</v>
      </c>
      <c r="D12473" s="51" t="n">
        <v>0</v>
      </c>
    </row>
    <row r="12474" customFormat="false" ht="15" hidden="true" customHeight="false" outlineLevel="0" collapsed="false">
      <c r="A12474" s="51" t="s">
        <v>134</v>
      </c>
      <c r="B12474" s="55" t="n">
        <v>46111</v>
      </c>
      <c r="C12474" s="51" t="s">
        <v>82</v>
      </c>
      <c r="D12474" s="51" t="n">
        <v>0</v>
      </c>
    </row>
    <row r="12475" customFormat="false" ht="15" hidden="true" customHeight="false" outlineLevel="0" collapsed="false">
      <c r="A12475" s="51" t="s">
        <v>141</v>
      </c>
      <c r="B12475" s="55" t="n">
        <v>46111</v>
      </c>
      <c r="C12475" s="51" t="s">
        <v>82</v>
      </c>
      <c r="D12475" s="51" t="n">
        <v>0</v>
      </c>
    </row>
    <row r="12476" customFormat="false" ht="15" hidden="true" customHeight="false" outlineLevel="0" collapsed="false">
      <c r="A12476" s="51" t="s">
        <v>146</v>
      </c>
      <c r="B12476" s="55" t="n">
        <v>46111</v>
      </c>
      <c r="C12476" s="51" t="s">
        <v>82</v>
      </c>
      <c r="D12476" s="51" t="n">
        <v>0</v>
      </c>
    </row>
    <row r="12477" customFormat="false" ht="15" hidden="true" customHeight="false" outlineLevel="0" collapsed="false">
      <c r="A12477" s="51" t="s">
        <v>151</v>
      </c>
      <c r="B12477" s="55" t="n">
        <v>46111</v>
      </c>
      <c r="C12477" s="51" t="s">
        <v>82</v>
      </c>
      <c r="D12477" s="51" t="n">
        <v>0</v>
      </c>
    </row>
    <row r="12478" customFormat="false" ht="15" hidden="true" customHeight="false" outlineLevel="0" collapsed="false">
      <c r="A12478" s="51" t="s">
        <v>156</v>
      </c>
      <c r="B12478" s="55" t="n">
        <v>46111</v>
      </c>
      <c r="C12478" s="51" t="s">
        <v>82</v>
      </c>
      <c r="D12478" s="51" t="n">
        <v>0</v>
      </c>
    </row>
    <row r="12479" customFormat="false" ht="15" hidden="true" customHeight="false" outlineLevel="0" collapsed="false">
      <c r="A12479" s="51" t="s">
        <v>161</v>
      </c>
      <c r="B12479" s="55" t="n">
        <v>46111</v>
      </c>
      <c r="C12479" s="51" t="s">
        <v>82</v>
      </c>
      <c r="D12479" s="51" t="n">
        <v>0</v>
      </c>
    </row>
    <row r="12480" customFormat="false" ht="15" hidden="true" customHeight="false" outlineLevel="0" collapsed="false">
      <c r="A12480" s="51" t="s">
        <v>166</v>
      </c>
      <c r="B12480" s="55" t="n">
        <v>46111</v>
      </c>
      <c r="C12480" s="51" t="s">
        <v>82</v>
      </c>
      <c r="D12480" s="51" t="n">
        <v>0</v>
      </c>
    </row>
    <row r="12481" customFormat="false" ht="15" hidden="true" customHeight="false" outlineLevel="0" collapsed="false">
      <c r="A12481" s="51" t="s">
        <v>171</v>
      </c>
      <c r="B12481" s="55" t="n">
        <v>46111</v>
      </c>
      <c r="C12481" s="51" t="s">
        <v>82</v>
      </c>
      <c r="D12481" s="51" t="n">
        <v>0</v>
      </c>
    </row>
    <row r="12482" customFormat="false" ht="15" hidden="true" customHeight="false" outlineLevel="0" collapsed="false">
      <c r="A12482" s="51" t="s">
        <v>176</v>
      </c>
      <c r="B12482" s="55" t="n">
        <v>46111</v>
      </c>
      <c r="C12482" s="51" t="s">
        <v>82</v>
      </c>
      <c r="D12482" s="51" t="n">
        <v>0</v>
      </c>
    </row>
    <row r="12483" customFormat="false" ht="15" hidden="true" customHeight="false" outlineLevel="0" collapsed="false">
      <c r="A12483" s="51" t="s">
        <v>181</v>
      </c>
      <c r="B12483" s="55" t="n">
        <v>46111</v>
      </c>
      <c r="C12483" s="51" t="s">
        <v>82</v>
      </c>
      <c r="D12483" s="51" t="n">
        <v>0</v>
      </c>
    </row>
    <row r="12484" customFormat="false" ht="15" hidden="true" customHeight="false" outlineLevel="0" collapsed="false">
      <c r="A12484" s="51" t="s">
        <v>186</v>
      </c>
      <c r="B12484" s="55" t="n">
        <v>46111</v>
      </c>
      <c r="C12484" s="51" t="s">
        <v>82</v>
      </c>
      <c r="D12484" s="51" t="n">
        <v>0</v>
      </c>
    </row>
    <row r="12485" customFormat="false" ht="15" hidden="true" customHeight="false" outlineLevel="0" collapsed="false">
      <c r="A12485" s="51" t="s">
        <v>191</v>
      </c>
      <c r="B12485" s="55" t="n">
        <v>46111</v>
      </c>
      <c r="C12485" s="51" t="s">
        <v>82</v>
      </c>
      <c r="D12485" s="51" t="n">
        <v>0</v>
      </c>
    </row>
    <row r="12486" customFormat="false" ht="15" hidden="true" customHeight="false" outlineLevel="0" collapsed="false">
      <c r="A12486" s="51" t="s">
        <v>196</v>
      </c>
      <c r="B12486" s="55" t="n">
        <v>46111</v>
      </c>
      <c r="C12486" s="51" t="s">
        <v>82</v>
      </c>
      <c r="D12486" s="51" t="n">
        <v>0</v>
      </c>
    </row>
    <row r="12487" customFormat="false" ht="15" hidden="true" customHeight="false" outlineLevel="0" collapsed="false">
      <c r="A12487" s="51" t="s">
        <v>201</v>
      </c>
      <c r="B12487" s="55" t="n">
        <v>46111</v>
      </c>
      <c r="C12487" s="51" t="s">
        <v>82</v>
      </c>
      <c r="D12487" s="51" t="n">
        <v>0</v>
      </c>
    </row>
    <row r="12488" customFormat="false" ht="15" hidden="true" customHeight="false" outlineLevel="0" collapsed="false">
      <c r="A12488" s="51" t="s">
        <v>206</v>
      </c>
      <c r="B12488" s="55" t="n">
        <v>46111</v>
      </c>
      <c r="C12488" s="51" t="s">
        <v>82</v>
      </c>
      <c r="D12488" s="51" t="n">
        <v>0</v>
      </c>
    </row>
    <row r="12489" customFormat="false" ht="15" hidden="true" customHeight="false" outlineLevel="0" collapsed="false">
      <c r="A12489" s="51" t="s">
        <v>210</v>
      </c>
      <c r="B12489" s="55" t="n">
        <v>46111</v>
      </c>
      <c r="C12489" s="51" t="s">
        <v>82</v>
      </c>
      <c r="D12489" s="51" t="n">
        <v>0</v>
      </c>
    </row>
    <row r="12490" customFormat="false" ht="15" hidden="true" customHeight="false" outlineLevel="0" collapsed="false">
      <c r="A12490" s="51" t="s">
        <v>215</v>
      </c>
      <c r="B12490" s="55" t="n">
        <v>46111</v>
      </c>
      <c r="C12490" s="51" t="s">
        <v>82</v>
      </c>
      <c r="D12490" s="51" t="n">
        <v>0</v>
      </c>
    </row>
    <row r="12491" customFormat="false" ht="15" hidden="true" customHeight="false" outlineLevel="0" collapsed="false">
      <c r="A12491" s="51" t="s">
        <v>790</v>
      </c>
      <c r="B12491" s="55" t="n">
        <v>46111</v>
      </c>
      <c r="C12491" s="51" t="s">
        <v>82</v>
      </c>
      <c r="D12491" s="51" t="n">
        <v>0</v>
      </c>
    </row>
    <row r="12492" customFormat="false" ht="15" hidden="true" customHeight="false" outlineLevel="0" collapsed="false">
      <c r="A12492" s="51" t="s">
        <v>225</v>
      </c>
      <c r="B12492" s="55" t="n">
        <v>46111</v>
      </c>
      <c r="C12492" s="51" t="s">
        <v>82</v>
      </c>
      <c r="D12492" s="51" t="n">
        <v>0</v>
      </c>
    </row>
    <row r="12493" customFormat="false" ht="15" hidden="true" customHeight="false" outlineLevel="0" collapsed="false">
      <c r="A12493" s="51" t="s">
        <v>230</v>
      </c>
      <c r="B12493" s="55" t="n">
        <v>46111</v>
      </c>
      <c r="C12493" s="51" t="s">
        <v>82</v>
      </c>
      <c r="D12493" s="51" t="n">
        <v>0</v>
      </c>
    </row>
    <row r="12494" customFormat="false" ht="15" hidden="true" customHeight="false" outlineLevel="0" collapsed="false">
      <c r="A12494" s="51" t="s">
        <v>235</v>
      </c>
      <c r="B12494" s="55" t="n">
        <v>46111</v>
      </c>
      <c r="C12494" s="51" t="s">
        <v>82</v>
      </c>
      <c r="D12494" s="51" t="n">
        <v>0</v>
      </c>
    </row>
    <row r="12495" customFormat="false" ht="15" hidden="true" customHeight="false" outlineLevel="0" collapsed="false">
      <c r="A12495" s="51" t="s">
        <v>240</v>
      </c>
      <c r="B12495" s="55" t="n">
        <v>46111</v>
      </c>
      <c r="C12495" s="51" t="s">
        <v>82</v>
      </c>
      <c r="D12495" s="51" t="n">
        <v>0</v>
      </c>
    </row>
    <row r="12496" customFormat="false" ht="15" hidden="true" customHeight="false" outlineLevel="0" collapsed="false">
      <c r="A12496" s="51" t="s">
        <v>246</v>
      </c>
      <c r="B12496" s="55" t="n">
        <v>46111</v>
      </c>
      <c r="C12496" s="51" t="s">
        <v>82</v>
      </c>
      <c r="D12496" s="51" t="n">
        <v>0</v>
      </c>
    </row>
    <row r="12497" customFormat="false" ht="15" hidden="true" customHeight="false" outlineLevel="0" collapsed="false">
      <c r="A12497" s="51" t="s">
        <v>252</v>
      </c>
      <c r="B12497" s="55" t="n">
        <v>46111</v>
      </c>
      <c r="C12497" s="51" t="s">
        <v>82</v>
      </c>
      <c r="D12497" s="51" t="n">
        <v>0</v>
      </c>
    </row>
    <row r="12498" customFormat="false" ht="15" hidden="true" customHeight="false" outlineLevel="0" collapsed="false">
      <c r="A12498" s="51" t="s">
        <v>257</v>
      </c>
      <c r="B12498" s="55" t="n">
        <v>46111</v>
      </c>
      <c r="C12498" s="51" t="s">
        <v>82</v>
      </c>
      <c r="D12498" s="51" t="n">
        <v>0</v>
      </c>
    </row>
    <row r="12499" customFormat="false" ht="15" hidden="true" customHeight="false" outlineLevel="0" collapsed="false">
      <c r="A12499" s="51" t="s">
        <v>262</v>
      </c>
      <c r="B12499" s="55" t="n">
        <v>46111</v>
      </c>
      <c r="C12499" s="51" t="s">
        <v>82</v>
      </c>
      <c r="D12499" s="51" t="n">
        <v>0</v>
      </c>
    </row>
    <row r="12500" customFormat="false" ht="15" hidden="true" customHeight="false" outlineLevel="0" collapsed="false">
      <c r="A12500" s="51" t="s">
        <v>267</v>
      </c>
      <c r="B12500" s="55" t="n">
        <v>46111</v>
      </c>
      <c r="C12500" s="51" t="s">
        <v>82</v>
      </c>
      <c r="D12500" s="51" t="n">
        <v>0</v>
      </c>
    </row>
    <row r="12501" customFormat="false" ht="15" hidden="true" customHeight="false" outlineLevel="0" collapsed="false">
      <c r="A12501" s="51" t="s">
        <v>272</v>
      </c>
      <c r="B12501" s="55" t="n">
        <v>46111</v>
      </c>
      <c r="C12501" s="51" t="s">
        <v>82</v>
      </c>
      <c r="D12501" s="51" t="n">
        <v>0</v>
      </c>
    </row>
    <row r="12502" customFormat="false" ht="15" hidden="true" customHeight="false" outlineLevel="0" collapsed="false">
      <c r="A12502" s="51" t="s">
        <v>277</v>
      </c>
      <c r="B12502" s="55" t="n">
        <v>46111</v>
      </c>
      <c r="C12502" s="51" t="s">
        <v>82</v>
      </c>
      <c r="D12502" s="51" t="n">
        <v>0</v>
      </c>
    </row>
    <row r="12503" customFormat="false" ht="15" hidden="true" customHeight="false" outlineLevel="0" collapsed="false">
      <c r="A12503" s="51" t="s">
        <v>282</v>
      </c>
      <c r="B12503" s="55" t="n">
        <v>46111</v>
      </c>
      <c r="C12503" s="51" t="s">
        <v>82</v>
      </c>
      <c r="D12503" s="51" t="n">
        <v>0</v>
      </c>
    </row>
    <row r="12504" customFormat="false" ht="15" hidden="true" customHeight="false" outlineLevel="0" collapsed="false">
      <c r="A12504" s="51" t="s">
        <v>287</v>
      </c>
      <c r="B12504" s="55" t="n">
        <v>46111</v>
      </c>
      <c r="C12504" s="51" t="s">
        <v>82</v>
      </c>
      <c r="D12504" s="51" t="n">
        <v>0</v>
      </c>
    </row>
    <row r="12505" customFormat="false" ht="15" hidden="true" customHeight="false" outlineLevel="0" collapsed="false">
      <c r="A12505" s="51" t="s">
        <v>292</v>
      </c>
      <c r="B12505" s="55" t="n">
        <v>46111</v>
      </c>
      <c r="C12505" s="51" t="s">
        <v>82</v>
      </c>
      <c r="D12505" s="51" t="n">
        <v>0</v>
      </c>
    </row>
    <row r="12506" customFormat="false" ht="15" hidden="true" customHeight="false" outlineLevel="0" collapsed="false">
      <c r="A12506" s="51" t="s">
        <v>297</v>
      </c>
      <c r="B12506" s="55" t="n">
        <v>46111</v>
      </c>
      <c r="C12506" s="51" t="s">
        <v>82</v>
      </c>
      <c r="D12506" s="51" t="n">
        <v>0</v>
      </c>
    </row>
    <row r="12507" customFormat="false" ht="15" hidden="true" customHeight="false" outlineLevel="0" collapsed="false">
      <c r="A12507" s="51" t="s">
        <v>302</v>
      </c>
      <c r="B12507" s="55" t="n">
        <v>46111</v>
      </c>
      <c r="C12507" s="51" t="s">
        <v>82</v>
      </c>
      <c r="D12507" s="51" t="n">
        <v>0</v>
      </c>
    </row>
    <row r="12508" customFormat="false" ht="15" hidden="true" customHeight="false" outlineLevel="0" collapsed="false">
      <c r="A12508" s="51" t="s">
        <v>307</v>
      </c>
      <c r="B12508" s="55" t="n">
        <v>46111</v>
      </c>
      <c r="C12508" s="51" t="s">
        <v>82</v>
      </c>
      <c r="D12508" s="51" t="n">
        <v>0</v>
      </c>
    </row>
    <row r="12509" customFormat="false" ht="15" hidden="true" customHeight="false" outlineLevel="0" collapsed="false">
      <c r="A12509" s="51" t="s">
        <v>311</v>
      </c>
      <c r="B12509" s="55" t="n">
        <v>46111</v>
      </c>
      <c r="C12509" s="51" t="s">
        <v>82</v>
      </c>
      <c r="D12509" s="51" t="n">
        <v>0</v>
      </c>
    </row>
    <row r="12510" customFormat="false" ht="15" hidden="true" customHeight="false" outlineLevel="0" collapsed="false">
      <c r="A12510" s="51" t="s">
        <v>317</v>
      </c>
      <c r="B12510" s="55" t="n">
        <v>46111</v>
      </c>
      <c r="C12510" s="51" t="s">
        <v>82</v>
      </c>
      <c r="D12510" s="51" t="n">
        <v>0</v>
      </c>
    </row>
    <row r="12511" customFormat="false" ht="15" hidden="true" customHeight="false" outlineLevel="0" collapsed="false">
      <c r="A12511" s="51" t="s">
        <v>322</v>
      </c>
      <c r="B12511" s="55" t="n">
        <v>46111</v>
      </c>
      <c r="C12511" s="51" t="s">
        <v>82</v>
      </c>
      <c r="D12511" s="51" t="n">
        <v>0</v>
      </c>
    </row>
    <row r="12512" customFormat="false" ht="15" hidden="true" customHeight="false" outlineLevel="0" collapsed="false">
      <c r="A12512" s="51" t="s">
        <v>327</v>
      </c>
      <c r="B12512" s="55" t="n">
        <v>46111</v>
      </c>
      <c r="C12512" s="51" t="s">
        <v>82</v>
      </c>
      <c r="D12512" s="51" t="n">
        <v>0</v>
      </c>
    </row>
    <row r="12513" customFormat="false" ht="15" hidden="true" customHeight="false" outlineLevel="0" collapsed="false">
      <c r="A12513" s="51" t="s">
        <v>332</v>
      </c>
      <c r="B12513" s="55" t="n">
        <v>46111</v>
      </c>
      <c r="C12513" s="51" t="s">
        <v>82</v>
      </c>
      <c r="D12513" s="51" t="n">
        <v>0</v>
      </c>
    </row>
    <row r="12514" customFormat="false" ht="15" hidden="true" customHeight="false" outlineLevel="0" collapsed="false">
      <c r="A12514" s="51" t="s">
        <v>339</v>
      </c>
      <c r="B12514" s="55" t="n">
        <v>46111</v>
      </c>
      <c r="C12514" s="51" t="s">
        <v>82</v>
      </c>
      <c r="D12514" s="51" t="n">
        <v>0</v>
      </c>
    </row>
    <row r="12515" customFormat="false" ht="15" hidden="true" customHeight="false" outlineLevel="0" collapsed="false">
      <c r="A12515" s="51" t="s">
        <v>344</v>
      </c>
      <c r="B12515" s="55" t="n">
        <v>46111</v>
      </c>
      <c r="C12515" s="51" t="s">
        <v>82</v>
      </c>
      <c r="D12515" s="51" t="n">
        <v>0</v>
      </c>
    </row>
    <row r="12516" customFormat="false" ht="15" hidden="true" customHeight="false" outlineLevel="0" collapsed="false">
      <c r="A12516" s="51" t="s">
        <v>349</v>
      </c>
      <c r="B12516" s="55" t="n">
        <v>46111</v>
      </c>
      <c r="C12516" s="51" t="s">
        <v>82</v>
      </c>
      <c r="D12516" s="51" t="n">
        <v>0</v>
      </c>
    </row>
    <row r="12517" customFormat="false" ht="15" hidden="true" customHeight="false" outlineLevel="0" collapsed="false">
      <c r="A12517" s="51" t="s">
        <v>354</v>
      </c>
      <c r="B12517" s="55" t="n">
        <v>46111</v>
      </c>
      <c r="C12517" s="51" t="s">
        <v>82</v>
      </c>
      <c r="D12517" s="51" t="n">
        <v>0</v>
      </c>
    </row>
    <row r="12518" customFormat="false" ht="15" hidden="true" customHeight="false" outlineLevel="0" collapsed="false">
      <c r="A12518" s="51" t="s">
        <v>359</v>
      </c>
      <c r="B12518" s="55" t="n">
        <v>46111</v>
      </c>
      <c r="C12518" s="51" t="s">
        <v>82</v>
      </c>
      <c r="D12518" s="51" t="n">
        <v>0</v>
      </c>
    </row>
    <row r="12519" customFormat="false" ht="15" hidden="true" customHeight="false" outlineLevel="0" collapsed="false">
      <c r="A12519" s="51" t="s">
        <v>364</v>
      </c>
      <c r="B12519" s="55" t="n">
        <v>46111</v>
      </c>
      <c r="C12519" s="51" t="s">
        <v>82</v>
      </c>
      <c r="D12519" s="51" t="n">
        <v>0</v>
      </c>
    </row>
    <row r="12520" customFormat="false" ht="15" hidden="true" customHeight="false" outlineLevel="0" collapsed="false">
      <c r="A12520" s="51" t="s">
        <v>369</v>
      </c>
      <c r="B12520" s="55" t="n">
        <v>46111</v>
      </c>
      <c r="C12520" s="51" t="s">
        <v>82</v>
      </c>
      <c r="D12520" s="51" t="n">
        <v>0</v>
      </c>
    </row>
    <row r="12521" customFormat="false" ht="15" hidden="true" customHeight="false" outlineLevel="0" collapsed="false">
      <c r="A12521" s="51" t="s">
        <v>374</v>
      </c>
      <c r="B12521" s="55" t="n">
        <v>46111</v>
      </c>
      <c r="C12521" s="51" t="s">
        <v>82</v>
      </c>
      <c r="D12521" s="51" t="n">
        <v>0</v>
      </c>
    </row>
    <row r="12522" customFormat="false" ht="15" hidden="true" customHeight="false" outlineLevel="0" collapsed="false">
      <c r="A12522" s="51" t="s">
        <v>379</v>
      </c>
      <c r="B12522" s="55" t="n">
        <v>46111</v>
      </c>
      <c r="C12522" s="51" t="s">
        <v>82</v>
      </c>
      <c r="D12522" s="51" t="n">
        <v>0</v>
      </c>
    </row>
    <row r="12523" customFormat="false" ht="15" hidden="true" customHeight="false" outlineLevel="0" collapsed="false">
      <c r="A12523" s="51" t="s">
        <v>384</v>
      </c>
      <c r="B12523" s="55" t="n">
        <v>46111</v>
      </c>
      <c r="C12523" s="51" t="s">
        <v>82</v>
      </c>
      <c r="D12523" s="51" t="n">
        <v>0</v>
      </c>
    </row>
    <row r="12524" customFormat="false" ht="15" hidden="true" customHeight="false" outlineLevel="0" collapsed="false">
      <c r="A12524" s="51" t="s">
        <v>389</v>
      </c>
      <c r="B12524" s="55" t="n">
        <v>46111</v>
      </c>
      <c r="C12524" s="51" t="s">
        <v>82</v>
      </c>
      <c r="D12524" s="51" t="n">
        <v>0</v>
      </c>
    </row>
    <row r="12525" customFormat="false" ht="15" hidden="true" customHeight="false" outlineLevel="0" collapsed="false">
      <c r="A12525" s="51" t="s">
        <v>394</v>
      </c>
      <c r="B12525" s="55" t="n">
        <v>46111</v>
      </c>
      <c r="C12525" s="51" t="s">
        <v>82</v>
      </c>
      <c r="D12525" s="51" t="n">
        <v>0</v>
      </c>
    </row>
    <row r="12526" customFormat="false" ht="15" hidden="true" customHeight="false" outlineLevel="0" collapsed="false">
      <c r="A12526" s="51" t="s">
        <v>399</v>
      </c>
      <c r="B12526" s="55" t="n">
        <v>46111</v>
      </c>
      <c r="C12526" s="51" t="s">
        <v>82</v>
      </c>
      <c r="D12526" s="51" t="n">
        <v>0</v>
      </c>
    </row>
    <row r="12527" customFormat="false" ht="15" hidden="true" customHeight="false" outlineLevel="0" collapsed="false">
      <c r="A12527" s="51" t="s">
        <v>404</v>
      </c>
      <c r="B12527" s="55" t="n">
        <v>46111</v>
      </c>
      <c r="C12527" s="51" t="s">
        <v>82</v>
      </c>
      <c r="D12527" s="51" t="n">
        <v>0</v>
      </c>
    </row>
    <row r="12528" customFormat="false" ht="15" hidden="true" customHeight="false" outlineLevel="0" collapsed="false">
      <c r="A12528" s="51" t="s">
        <v>409</v>
      </c>
      <c r="B12528" s="55" t="n">
        <v>46111</v>
      </c>
      <c r="C12528" s="51" t="s">
        <v>82</v>
      </c>
      <c r="D12528" s="51" t="n">
        <v>0</v>
      </c>
    </row>
    <row r="12529" customFormat="false" ht="15" hidden="true" customHeight="false" outlineLevel="0" collapsed="false">
      <c r="A12529" s="51" t="s">
        <v>414</v>
      </c>
      <c r="B12529" s="55" t="n">
        <v>46111</v>
      </c>
      <c r="C12529" s="51" t="s">
        <v>82</v>
      </c>
      <c r="D12529" s="51" t="n">
        <v>0</v>
      </c>
    </row>
    <row r="12530" customFormat="false" ht="15" hidden="true" customHeight="false" outlineLevel="0" collapsed="false">
      <c r="A12530" s="51" t="s">
        <v>419</v>
      </c>
      <c r="B12530" s="55" t="n">
        <v>46111</v>
      </c>
      <c r="C12530" s="51" t="s">
        <v>82</v>
      </c>
      <c r="D12530" s="51" t="n">
        <v>0</v>
      </c>
    </row>
    <row r="12531" customFormat="false" ht="15" hidden="true" customHeight="false" outlineLevel="0" collapsed="false">
      <c r="A12531" s="51" t="s">
        <v>424</v>
      </c>
      <c r="B12531" s="55" t="n">
        <v>46111</v>
      </c>
      <c r="C12531" s="51" t="s">
        <v>82</v>
      </c>
      <c r="D12531" s="51" t="n">
        <v>0</v>
      </c>
    </row>
    <row r="12532" customFormat="false" ht="15" hidden="true" customHeight="false" outlineLevel="0" collapsed="false">
      <c r="A12532" s="51" t="s">
        <v>429</v>
      </c>
      <c r="B12532" s="55" t="n">
        <v>46111</v>
      </c>
      <c r="C12532" s="51" t="s">
        <v>82</v>
      </c>
      <c r="D12532" s="51" t="n">
        <v>0</v>
      </c>
    </row>
    <row r="12533" customFormat="false" ht="15" hidden="true" customHeight="false" outlineLevel="0" collapsed="false">
      <c r="A12533" s="51" t="s">
        <v>434</v>
      </c>
      <c r="B12533" s="55" t="n">
        <v>46111</v>
      </c>
      <c r="C12533" s="51" t="s">
        <v>82</v>
      </c>
      <c r="D12533" s="51" t="n">
        <v>0</v>
      </c>
    </row>
    <row r="12534" customFormat="false" ht="15" hidden="true" customHeight="false" outlineLevel="0" collapsed="false">
      <c r="A12534" s="51" t="s">
        <v>438</v>
      </c>
      <c r="B12534" s="55" t="n">
        <v>46111</v>
      </c>
      <c r="C12534" s="51" t="s">
        <v>82</v>
      </c>
      <c r="D12534" s="51" t="n">
        <v>0</v>
      </c>
    </row>
    <row r="12535" customFormat="false" ht="15" hidden="true" customHeight="false" outlineLevel="0" collapsed="false">
      <c r="A12535" s="51" t="s">
        <v>443</v>
      </c>
      <c r="B12535" s="55" t="n">
        <v>46111</v>
      </c>
      <c r="C12535" s="51" t="s">
        <v>82</v>
      </c>
      <c r="D12535" s="51" t="n">
        <v>0</v>
      </c>
    </row>
    <row r="12536" customFormat="false" ht="15" hidden="true" customHeight="false" outlineLevel="0" collapsed="false">
      <c r="A12536" s="51" t="s">
        <v>448</v>
      </c>
      <c r="B12536" s="55" t="n">
        <v>46111</v>
      </c>
      <c r="C12536" s="51" t="s">
        <v>82</v>
      </c>
      <c r="D12536" s="51" t="n">
        <v>0</v>
      </c>
    </row>
    <row r="12537" customFormat="false" ht="15" hidden="true" customHeight="false" outlineLevel="0" collapsed="false">
      <c r="A12537" s="51" t="s">
        <v>453</v>
      </c>
      <c r="B12537" s="55" t="n">
        <v>46111</v>
      </c>
      <c r="C12537" s="51" t="s">
        <v>82</v>
      </c>
      <c r="D12537" s="51" t="n">
        <v>0</v>
      </c>
    </row>
    <row r="12538" customFormat="false" ht="15" hidden="true" customHeight="false" outlineLevel="0" collapsed="false">
      <c r="A12538" s="51" t="s">
        <v>458</v>
      </c>
      <c r="B12538" s="55" t="n">
        <v>46111</v>
      </c>
      <c r="C12538" s="51" t="s">
        <v>82</v>
      </c>
      <c r="D12538" s="51" t="n">
        <v>0</v>
      </c>
    </row>
    <row r="12539" customFormat="false" ht="15" hidden="true" customHeight="false" outlineLevel="0" collapsed="false">
      <c r="A12539" s="51" t="s">
        <v>473</v>
      </c>
      <c r="B12539" s="55" t="n">
        <v>46111</v>
      </c>
      <c r="C12539" s="51" t="s">
        <v>82</v>
      </c>
      <c r="D12539" s="51" t="n">
        <v>0</v>
      </c>
    </row>
    <row r="12540" customFormat="false" ht="15" hidden="true" customHeight="false" outlineLevel="0" collapsed="false">
      <c r="A12540" s="51" t="s">
        <v>479</v>
      </c>
      <c r="B12540" s="55" t="n">
        <v>46111</v>
      </c>
      <c r="C12540" s="51" t="s">
        <v>82</v>
      </c>
      <c r="D12540" s="51" t="n">
        <v>0</v>
      </c>
    </row>
    <row r="12541" customFormat="false" ht="15" hidden="true" customHeight="false" outlineLevel="0" collapsed="false">
      <c r="A12541" s="51" t="s">
        <v>484</v>
      </c>
      <c r="B12541" s="55" t="n">
        <v>46111</v>
      </c>
      <c r="C12541" s="51" t="s">
        <v>82</v>
      </c>
      <c r="D12541" s="51" t="n">
        <v>0</v>
      </c>
    </row>
    <row r="12542" customFormat="false" ht="15" hidden="true" customHeight="false" outlineLevel="0" collapsed="false">
      <c r="A12542" s="51" t="s">
        <v>489</v>
      </c>
      <c r="B12542" s="55" t="n">
        <v>46111</v>
      </c>
      <c r="C12542" s="51" t="s">
        <v>82</v>
      </c>
      <c r="D12542" s="51" t="n">
        <v>0</v>
      </c>
    </row>
    <row r="12543" customFormat="false" ht="15" hidden="true" customHeight="false" outlineLevel="0" collapsed="false">
      <c r="A12543" s="51" t="s">
        <v>494</v>
      </c>
      <c r="B12543" s="55" t="n">
        <v>46111</v>
      </c>
      <c r="C12543" s="51" t="s">
        <v>82</v>
      </c>
      <c r="D12543" s="51" t="n">
        <v>0</v>
      </c>
    </row>
    <row r="12544" customFormat="false" ht="15" hidden="true" customHeight="false" outlineLevel="0" collapsed="false">
      <c r="A12544" s="51" t="s">
        <v>499</v>
      </c>
      <c r="B12544" s="55" t="n">
        <v>46111</v>
      </c>
      <c r="C12544" s="51" t="s">
        <v>82</v>
      </c>
      <c r="D12544" s="51" t="n">
        <v>0</v>
      </c>
    </row>
    <row r="12545" customFormat="false" ht="15" hidden="true" customHeight="false" outlineLevel="0" collapsed="false">
      <c r="A12545" s="51" t="s">
        <v>504</v>
      </c>
      <c r="B12545" s="55" t="n">
        <v>46111</v>
      </c>
      <c r="C12545" s="51" t="s">
        <v>82</v>
      </c>
      <c r="D12545" s="51" t="n">
        <v>0</v>
      </c>
    </row>
    <row r="12546" customFormat="false" ht="15" hidden="true" customHeight="false" outlineLevel="0" collapsed="false">
      <c r="A12546" s="51" t="s">
        <v>509</v>
      </c>
      <c r="B12546" s="55" t="n">
        <v>46111</v>
      </c>
      <c r="C12546" s="51" t="s">
        <v>82</v>
      </c>
      <c r="D12546" s="51" t="n">
        <v>0</v>
      </c>
    </row>
    <row r="12547" customFormat="false" ht="15" hidden="true" customHeight="false" outlineLevel="0" collapsed="false">
      <c r="A12547" s="51" t="s">
        <v>515</v>
      </c>
      <c r="B12547" s="55" t="n">
        <v>46111</v>
      </c>
      <c r="C12547" s="51" t="s">
        <v>82</v>
      </c>
      <c r="D12547" s="51" t="n">
        <v>0</v>
      </c>
    </row>
    <row r="12548" customFormat="false" ht="15" hidden="true" customHeight="false" outlineLevel="0" collapsed="false">
      <c r="A12548" s="51" t="s">
        <v>520</v>
      </c>
      <c r="B12548" s="55" t="n">
        <v>46111</v>
      </c>
      <c r="C12548" s="51" t="s">
        <v>82</v>
      </c>
      <c r="D12548" s="51" t="n">
        <v>0</v>
      </c>
    </row>
    <row r="12549" customFormat="false" ht="15" hidden="true" customHeight="false" outlineLevel="0" collapsed="false">
      <c r="A12549" s="51" t="s">
        <v>525</v>
      </c>
      <c r="B12549" s="55" t="n">
        <v>46111</v>
      </c>
      <c r="C12549" s="51" t="s">
        <v>82</v>
      </c>
      <c r="D12549" s="51" t="n">
        <v>0</v>
      </c>
    </row>
    <row r="12550" customFormat="false" ht="15" hidden="true" customHeight="false" outlineLevel="0" collapsed="false">
      <c r="A12550" s="51" t="s">
        <v>531</v>
      </c>
      <c r="B12550" s="55" t="n">
        <v>46111</v>
      </c>
      <c r="C12550" s="51" t="s">
        <v>82</v>
      </c>
      <c r="D12550" s="51" t="n">
        <v>0</v>
      </c>
    </row>
    <row r="12551" customFormat="false" ht="15" hidden="true" customHeight="false" outlineLevel="0" collapsed="false">
      <c r="A12551" s="51" t="s">
        <v>536</v>
      </c>
      <c r="B12551" s="55" t="n">
        <v>46111</v>
      </c>
      <c r="C12551" s="51" t="s">
        <v>82</v>
      </c>
      <c r="D12551" s="51" t="n">
        <v>0</v>
      </c>
    </row>
    <row r="12552" customFormat="false" ht="15" hidden="true" customHeight="false" outlineLevel="0" collapsed="false">
      <c r="A12552" s="51" t="s">
        <v>541</v>
      </c>
      <c r="B12552" s="55" t="n">
        <v>46111</v>
      </c>
      <c r="C12552" s="51" t="s">
        <v>82</v>
      </c>
      <c r="D12552" s="51" t="n">
        <v>5367020</v>
      </c>
    </row>
    <row r="12553" customFormat="false" ht="15" hidden="true" customHeight="false" outlineLevel="0" collapsed="false">
      <c r="A12553" s="51" t="s">
        <v>549</v>
      </c>
      <c r="B12553" s="55" t="n">
        <v>46111</v>
      </c>
      <c r="C12553" s="51" t="s">
        <v>82</v>
      </c>
      <c r="D12553" s="51" t="n">
        <v>0</v>
      </c>
    </row>
    <row r="12554" customFormat="false" ht="15" hidden="true" customHeight="false" outlineLevel="0" collapsed="false">
      <c r="A12554" s="51" t="s">
        <v>554</v>
      </c>
      <c r="B12554" s="55" t="n">
        <v>46111</v>
      </c>
      <c r="C12554" s="51" t="s">
        <v>82</v>
      </c>
      <c r="D12554" s="51" t="n">
        <v>0</v>
      </c>
    </row>
    <row r="12555" customFormat="false" ht="15" hidden="true" customHeight="false" outlineLevel="0" collapsed="false">
      <c r="A12555" s="51" t="s">
        <v>559</v>
      </c>
      <c r="B12555" s="55" t="n">
        <v>46111</v>
      </c>
      <c r="C12555" s="51" t="s">
        <v>82</v>
      </c>
      <c r="D12555" s="51" t="n">
        <v>0</v>
      </c>
    </row>
    <row r="12556" customFormat="false" ht="15" hidden="true" customHeight="false" outlineLevel="0" collapsed="false">
      <c r="A12556" s="51" t="s">
        <v>564</v>
      </c>
      <c r="B12556" s="55" t="n">
        <v>46111</v>
      </c>
      <c r="C12556" s="51" t="s">
        <v>82</v>
      </c>
      <c r="D12556" s="51" t="n">
        <v>0</v>
      </c>
    </row>
    <row r="12557" customFormat="false" ht="15" hidden="true" customHeight="false" outlineLevel="0" collapsed="false">
      <c r="A12557" s="51" t="s">
        <v>569</v>
      </c>
      <c r="B12557" s="55" t="n">
        <v>46111</v>
      </c>
      <c r="C12557" s="51" t="s">
        <v>82</v>
      </c>
      <c r="D12557" s="51" t="n">
        <v>0</v>
      </c>
    </row>
    <row r="12558" customFormat="false" ht="15" hidden="true" customHeight="false" outlineLevel="0" collapsed="false">
      <c r="A12558" s="51" t="s">
        <v>574</v>
      </c>
      <c r="B12558" s="55" t="n">
        <v>46111</v>
      </c>
      <c r="C12558" s="51" t="s">
        <v>82</v>
      </c>
      <c r="D12558" s="51" t="n">
        <v>0</v>
      </c>
    </row>
    <row r="12559" customFormat="false" ht="15" hidden="true" customHeight="false" outlineLevel="0" collapsed="false">
      <c r="A12559" s="51" t="s">
        <v>579</v>
      </c>
      <c r="B12559" s="55" t="n">
        <v>46111</v>
      </c>
      <c r="C12559" s="51" t="s">
        <v>82</v>
      </c>
      <c r="D12559" s="51" t="n">
        <v>0</v>
      </c>
    </row>
    <row r="12560" customFormat="false" ht="15" hidden="true" customHeight="false" outlineLevel="0" collapsed="false">
      <c r="A12560" s="51" t="s">
        <v>584</v>
      </c>
      <c r="B12560" s="55" t="n">
        <v>46111</v>
      </c>
      <c r="C12560" s="51" t="s">
        <v>82</v>
      </c>
      <c r="D12560" s="51" t="n">
        <v>0</v>
      </c>
    </row>
    <row r="12561" customFormat="false" ht="15" hidden="true" customHeight="false" outlineLevel="0" collapsed="false">
      <c r="A12561" s="51" t="s">
        <v>589</v>
      </c>
      <c r="B12561" s="55" t="n">
        <v>46111</v>
      </c>
      <c r="C12561" s="51" t="s">
        <v>82</v>
      </c>
      <c r="D12561" s="51" t="n">
        <v>0</v>
      </c>
    </row>
    <row r="12562" customFormat="false" ht="15" hidden="true" customHeight="false" outlineLevel="0" collapsed="false">
      <c r="A12562" s="51" t="s">
        <v>756</v>
      </c>
      <c r="B12562" s="55" t="n">
        <v>46111</v>
      </c>
      <c r="C12562" s="51" t="s">
        <v>82</v>
      </c>
      <c r="D12562" s="51" t="n">
        <v>0</v>
      </c>
    </row>
    <row r="12563" customFormat="false" ht="15" hidden="true" customHeight="false" outlineLevel="0" collapsed="false">
      <c r="A12563" s="51" t="s">
        <v>594</v>
      </c>
      <c r="B12563" s="55" t="n">
        <v>46111</v>
      </c>
      <c r="C12563" s="51" t="s">
        <v>82</v>
      </c>
      <c r="D12563" s="51" t="n">
        <v>0</v>
      </c>
    </row>
    <row r="12564" customFormat="false" ht="15" hidden="true" customHeight="false" outlineLevel="0" collapsed="false">
      <c r="A12564" s="51" t="s">
        <v>761</v>
      </c>
      <c r="B12564" s="55" t="n">
        <v>46111</v>
      </c>
      <c r="C12564" s="51" t="s">
        <v>82</v>
      </c>
      <c r="D12564" s="51" t="n">
        <v>0</v>
      </c>
    </row>
    <row r="12565" customFormat="false" ht="15" hidden="true" customHeight="false" outlineLevel="0" collapsed="false">
      <c r="A12565" s="51" t="s">
        <v>599</v>
      </c>
      <c r="B12565" s="55" t="n">
        <v>46111</v>
      </c>
      <c r="C12565" s="51" t="s">
        <v>82</v>
      </c>
      <c r="D12565" s="51" t="n">
        <v>0</v>
      </c>
    </row>
    <row r="12566" customFormat="false" ht="15" hidden="true" customHeight="false" outlineLevel="0" collapsed="false">
      <c r="A12566" s="51" t="s">
        <v>604</v>
      </c>
      <c r="B12566" s="55" t="n">
        <v>46111</v>
      </c>
      <c r="C12566" s="51" t="s">
        <v>82</v>
      </c>
      <c r="D12566" s="51" t="n">
        <v>0</v>
      </c>
    </row>
    <row r="12567" customFormat="false" ht="15" hidden="true" customHeight="false" outlineLevel="0" collapsed="false">
      <c r="A12567" s="51" t="s">
        <v>609</v>
      </c>
      <c r="B12567" s="55" t="n">
        <v>46111</v>
      </c>
      <c r="C12567" s="51" t="s">
        <v>82</v>
      </c>
      <c r="D12567" s="51" t="n">
        <v>0</v>
      </c>
    </row>
    <row r="12568" customFormat="false" ht="15" hidden="true" customHeight="false" outlineLevel="0" collapsed="false">
      <c r="A12568" s="51" t="s">
        <v>614</v>
      </c>
      <c r="B12568" s="55" t="n">
        <v>46111</v>
      </c>
      <c r="C12568" s="51" t="s">
        <v>82</v>
      </c>
      <c r="D12568" s="51" t="n">
        <v>0</v>
      </c>
    </row>
    <row r="12569" customFormat="false" ht="15" hidden="true" customHeight="false" outlineLevel="0" collapsed="false">
      <c r="A12569" s="51" t="s">
        <v>619</v>
      </c>
      <c r="B12569" s="55" t="n">
        <v>46111</v>
      </c>
      <c r="C12569" s="51" t="s">
        <v>82</v>
      </c>
      <c r="D12569" s="51" t="n">
        <v>0</v>
      </c>
    </row>
    <row r="12570" customFormat="false" ht="15" hidden="true" customHeight="false" outlineLevel="0" collapsed="false">
      <c r="A12570" s="51" t="s">
        <v>624</v>
      </c>
      <c r="B12570" s="55" t="n">
        <v>46111</v>
      </c>
      <c r="C12570" s="51" t="s">
        <v>82</v>
      </c>
      <c r="D12570" s="51" t="n">
        <v>0</v>
      </c>
    </row>
    <row r="12571" customFormat="false" ht="15" hidden="true" customHeight="false" outlineLevel="0" collapsed="false">
      <c r="A12571" s="51" t="s">
        <v>629</v>
      </c>
      <c r="B12571" s="55" t="n">
        <v>46111</v>
      </c>
      <c r="C12571" s="51" t="s">
        <v>82</v>
      </c>
      <c r="D12571" s="51" t="n">
        <v>0</v>
      </c>
    </row>
    <row r="12572" customFormat="false" ht="15" hidden="true" customHeight="false" outlineLevel="0" collapsed="false">
      <c r="A12572" s="51" t="s">
        <v>633</v>
      </c>
      <c r="B12572" s="55" t="n">
        <v>46111</v>
      </c>
      <c r="C12572" s="51" t="s">
        <v>82</v>
      </c>
      <c r="D12572" s="51" t="n">
        <v>0</v>
      </c>
    </row>
    <row r="12573" customFormat="false" ht="15" hidden="true" customHeight="false" outlineLevel="0" collapsed="false">
      <c r="A12573" s="51" t="s">
        <v>638</v>
      </c>
      <c r="B12573" s="55" t="n">
        <v>46111</v>
      </c>
      <c r="C12573" s="51" t="s">
        <v>82</v>
      </c>
      <c r="D12573" s="51" t="n">
        <v>0</v>
      </c>
    </row>
    <row r="12574" customFormat="false" ht="15" hidden="true" customHeight="false" outlineLevel="0" collapsed="false">
      <c r="A12574" s="51" t="s">
        <v>642</v>
      </c>
      <c r="B12574" s="55" t="n">
        <v>46111</v>
      </c>
      <c r="C12574" s="51" t="s">
        <v>82</v>
      </c>
      <c r="D12574" s="51" t="n">
        <v>0</v>
      </c>
    </row>
    <row r="12575" customFormat="false" ht="15" hidden="true" customHeight="false" outlineLevel="0" collapsed="false">
      <c r="A12575" s="51" t="s">
        <v>646</v>
      </c>
      <c r="B12575" s="55" t="n">
        <v>46111</v>
      </c>
      <c r="C12575" s="51" t="s">
        <v>82</v>
      </c>
      <c r="D12575" s="51" t="n">
        <v>0</v>
      </c>
    </row>
    <row r="12576" customFormat="false" ht="15" hidden="true" customHeight="false" outlineLevel="0" collapsed="false">
      <c r="A12576" s="51" t="s">
        <v>651</v>
      </c>
      <c r="B12576" s="55" t="n">
        <v>46111</v>
      </c>
      <c r="C12576" s="51" t="s">
        <v>82</v>
      </c>
      <c r="D12576" s="51" t="n">
        <v>0</v>
      </c>
    </row>
    <row r="12577" customFormat="false" ht="15" hidden="true" customHeight="false" outlineLevel="0" collapsed="false">
      <c r="A12577" s="51" t="s">
        <v>656</v>
      </c>
      <c r="B12577" s="55" t="n">
        <v>46111</v>
      </c>
      <c r="C12577" s="51" t="s">
        <v>82</v>
      </c>
      <c r="D12577" s="51" t="n">
        <v>0</v>
      </c>
    </row>
    <row r="12578" customFormat="false" ht="15" hidden="true" customHeight="false" outlineLevel="0" collapsed="false">
      <c r="A12578" s="51" t="s">
        <v>661</v>
      </c>
      <c r="B12578" s="55" t="n">
        <v>46111</v>
      </c>
      <c r="C12578" s="51" t="s">
        <v>82</v>
      </c>
      <c r="D12578" s="51" t="n">
        <v>0</v>
      </c>
    </row>
    <row r="12579" customFormat="false" ht="15" hidden="true" customHeight="false" outlineLevel="0" collapsed="false">
      <c r="A12579" s="51" t="s">
        <v>666</v>
      </c>
      <c r="B12579" s="55" t="n">
        <v>46111</v>
      </c>
      <c r="C12579" s="51" t="s">
        <v>82</v>
      </c>
      <c r="D12579" s="51" t="n">
        <v>0</v>
      </c>
    </row>
    <row r="12580" customFormat="false" ht="15" hidden="true" customHeight="false" outlineLevel="0" collapsed="false">
      <c r="A12580" s="51" t="s">
        <v>671</v>
      </c>
      <c r="B12580" s="55" t="n">
        <v>46111</v>
      </c>
      <c r="C12580" s="51" t="s">
        <v>82</v>
      </c>
      <c r="D12580" s="51" t="n">
        <v>0</v>
      </c>
    </row>
    <row r="12581" customFormat="false" ht="15" hidden="true" customHeight="false" outlineLevel="0" collapsed="false">
      <c r="A12581" s="51" t="s">
        <v>676</v>
      </c>
      <c r="B12581" s="55" t="n">
        <v>46111</v>
      </c>
      <c r="C12581" s="51" t="s">
        <v>82</v>
      </c>
      <c r="D12581" s="51" t="n">
        <v>0</v>
      </c>
    </row>
    <row r="12582" customFormat="false" ht="15" hidden="true" customHeight="false" outlineLevel="0" collapsed="false">
      <c r="A12582" s="51" t="s">
        <v>681</v>
      </c>
      <c r="B12582" s="55" t="n">
        <v>46111</v>
      </c>
      <c r="C12582" s="51" t="s">
        <v>82</v>
      </c>
      <c r="D12582" s="51" t="n">
        <v>0</v>
      </c>
    </row>
    <row r="12583" customFormat="false" ht="15" hidden="true" customHeight="false" outlineLevel="0" collapsed="false">
      <c r="A12583" s="51" t="s">
        <v>686</v>
      </c>
      <c r="B12583" s="55" t="n">
        <v>46111</v>
      </c>
      <c r="C12583" s="51" t="s">
        <v>82</v>
      </c>
      <c r="D12583" s="51" t="n">
        <v>0</v>
      </c>
    </row>
    <row r="12584" customFormat="false" ht="15" hidden="true" customHeight="false" outlineLevel="0" collapsed="false">
      <c r="A12584" s="51" t="s">
        <v>691</v>
      </c>
      <c r="B12584" s="55" t="n">
        <v>46111</v>
      </c>
      <c r="C12584" s="51" t="s">
        <v>82</v>
      </c>
      <c r="D12584" s="51" t="n">
        <v>0</v>
      </c>
    </row>
    <row r="12585" customFormat="false" ht="15" hidden="true" customHeight="false" outlineLevel="0" collapsed="false">
      <c r="A12585" s="51" t="s">
        <v>696</v>
      </c>
      <c r="B12585" s="55" t="n">
        <v>46111</v>
      </c>
      <c r="C12585" s="51" t="s">
        <v>82</v>
      </c>
      <c r="D12585" s="51" t="n">
        <v>0</v>
      </c>
    </row>
    <row r="12586" customFormat="false" ht="15" hidden="true" customHeight="false" outlineLevel="0" collapsed="false">
      <c r="A12586" s="51" t="s">
        <v>701</v>
      </c>
      <c r="B12586" s="55" t="n">
        <v>46111</v>
      </c>
      <c r="C12586" s="51" t="s">
        <v>82</v>
      </c>
      <c r="D12586" s="51" t="n">
        <v>0</v>
      </c>
    </row>
    <row r="12587" customFormat="false" ht="15" hidden="true" customHeight="false" outlineLevel="0" collapsed="false">
      <c r="A12587" s="51" t="s">
        <v>707</v>
      </c>
      <c r="B12587" s="55" t="n">
        <v>46111</v>
      </c>
      <c r="C12587" s="51" t="s">
        <v>82</v>
      </c>
      <c r="D12587" s="51" t="n">
        <v>0</v>
      </c>
    </row>
    <row r="12588" customFormat="false" ht="15" hidden="true" customHeight="false" outlineLevel="0" collapsed="false">
      <c r="A12588" s="51" t="s">
        <v>712</v>
      </c>
      <c r="B12588" s="55" t="n">
        <v>46111</v>
      </c>
      <c r="C12588" s="51" t="s">
        <v>82</v>
      </c>
      <c r="D12588" s="51" t="n">
        <v>0</v>
      </c>
    </row>
    <row r="12589" customFormat="false" ht="15" hidden="true" customHeight="false" outlineLevel="0" collapsed="false">
      <c r="A12589" s="51" t="s">
        <v>717</v>
      </c>
      <c r="B12589" s="55" t="n">
        <v>46111</v>
      </c>
      <c r="C12589" s="51" t="s">
        <v>82</v>
      </c>
      <c r="D12589" s="51" t="n">
        <v>0</v>
      </c>
    </row>
    <row r="12590" customFormat="false" ht="15" hidden="true" customHeight="false" outlineLevel="0" collapsed="false">
      <c r="A12590" s="51" t="s">
        <v>767</v>
      </c>
      <c r="B12590" s="55" t="n">
        <v>46111</v>
      </c>
      <c r="C12590" s="51" t="s">
        <v>82</v>
      </c>
      <c r="D12590" s="51" t="n">
        <v>3308467.83</v>
      </c>
    </row>
    <row r="12591" customFormat="false" ht="15" hidden="true" customHeight="false" outlineLevel="0" collapsed="false">
      <c r="A12591" s="51" t="s">
        <v>722</v>
      </c>
      <c r="B12591" s="55" t="n">
        <v>46111</v>
      </c>
      <c r="C12591" s="51" t="s">
        <v>82</v>
      </c>
      <c r="D12591" s="51" t="n">
        <v>0</v>
      </c>
    </row>
    <row r="12592" customFormat="false" ht="15" hidden="true" customHeight="false" outlineLevel="0" collapsed="false">
      <c r="A12592" s="51" t="s">
        <v>727</v>
      </c>
      <c r="B12592" s="55" t="n">
        <v>46111</v>
      </c>
      <c r="C12592" s="51" t="s">
        <v>82</v>
      </c>
      <c r="D12592" s="51" t="n">
        <v>0</v>
      </c>
    </row>
    <row r="12593" customFormat="false" ht="15" hidden="true" customHeight="false" outlineLevel="0" collapsed="false">
      <c r="A12593" s="51" t="s">
        <v>732</v>
      </c>
      <c r="B12593" s="55" t="n">
        <v>46111</v>
      </c>
      <c r="C12593" s="51" t="s">
        <v>82</v>
      </c>
      <c r="D12593" s="51" t="n">
        <v>0</v>
      </c>
    </row>
    <row r="12594" customFormat="false" ht="15" hidden="true" customHeight="false" outlineLevel="0" collapsed="false">
      <c r="A12594" s="51" t="s">
        <v>736</v>
      </c>
      <c r="B12594" s="55" t="n">
        <v>46111</v>
      </c>
      <c r="C12594" s="51" t="s">
        <v>82</v>
      </c>
      <c r="D12594" s="51" t="n">
        <v>0</v>
      </c>
    </row>
    <row r="12595" customFormat="false" ht="15" hidden="true" customHeight="false" outlineLevel="0" collapsed="false">
      <c r="A12595" s="51" t="s">
        <v>741</v>
      </c>
      <c r="B12595" s="55" t="n">
        <v>46111</v>
      </c>
      <c r="C12595" s="51" t="s">
        <v>82</v>
      </c>
      <c r="D12595" s="51" t="n">
        <v>0</v>
      </c>
    </row>
    <row r="12596" customFormat="false" ht="15" hidden="true" customHeight="false" outlineLevel="0" collapsed="false">
      <c r="A12596" s="51" t="s">
        <v>746</v>
      </c>
      <c r="B12596" s="55" t="n">
        <v>46111</v>
      </c>
      <c r="C12596" s="51" t="s">
        <v>82</v>
      </c>
      <c r="D12596" s="51" t="n">
        <v>0</v>
      </c>
    </row>
    <row r="12597" customFormat="false" ht="15" hidden="true" customHeight="false" outlineLevel="0" collapsed="false">
      <c r="A12597" s="51" t="s">
        <v>751</v>
      </c>
      <c r="B12597" s="55" t="n">
        <v>46111</v>
      </c>
      <c r="C12597" s="51" t="s">
        <v>82</v>
      </c>
      <c r="D12597" s="51" t="n">
        <v>0</v>
      </c>
    </row>
    <row r="12598" customFormat="false" ht="15" hidden="false" customHeight="false" outlineLevel="0" collapsed="false">
      <c r="A12598" s="51" t="s">
        <v>781</v>
      </c>
      <c r="B12598" s="55" t="n">
        <v>46111</v>
      </c>
      <c r="C12598" s="51" t="s">
        <v>73</v>
      </c>
      <c r="D12598" s="51" t="n">
        <v>0</v>
      </c>
    </row>
    <row r="12599" customFormat="false" ht="15" hidden="true" customHeight="false" outlineLevel="0" collapsed="false">
      <c r="A12599" s="51" t="s">
        <v>783</v>
      </c>
      <c r="B12599" s="55" t="n">
        <v>46111</v>
      </c>
      <c r="C12599" s="51" t="s">
        <v>73</v>
      </c>
      <c r="D12599" s="51" t="n">
        <v>0</v>
      </c>
    </row>
    <row r="12600" customFormat="false" ht="15" hidden="true" customHeight="false" outlineLevel="0" collapsed="false">
      <c r="A12600" s="51" t="s">
        <v>96</v>
      </c>
      <c r="B12600" s="55" t="n">
        <v>46111</v>
      </c>
      <c r="C12600" s="51" t="s">
        <v>73</v>
      </c>
      <c r="D12600" s="51" t="n">
        <v>0</v>
      </c>
    </row>
    <row r="12601" customFormat="false" ht="15" hidden="true" customHeight="false" outlineLevel="0" collapsed="false">
      <c r="A12601" s="51" t="s">
        <v>101</v>
      </c>
      <c r="B12601" s="55" t="n">
        <v>46111</v>
      </c>
      <c r="C12601" s="51" t="s">
        <v>73</v>
      </c>
      <c r="D12601" s="51" t="n">
        <v>0</v>
      </c>
    </row>
    <row r="12602" customFormat="false" ht="15" hidden="true" customHeight="false" outlineLevel="0" collapsed="false">
      <c r="A12602" s="51" t="s">
        <v>106</v>
      </c>
      <c r="B12602" s="55" t="n">
        <v>46111</v>
      </c>
      <c r="C12602" s="51" t="s">
        <v>73</v>
      </c>
      <c r="D12602" s="51" t="n">
        <v>0</v>
      </c>
    </row>
    <row r="12603" customFormat="false" ht="15" hidden="true" customHeight="false" outlineLevel="0" collapsed="false">
      <c r="A12603" s="51" t="s">
        <v>110</v>
      </c>
      <c r="B12603" s="55" t="n">
        <v>46111</v>
      </c>
      <c r="C12603" s="51" t="s">
        <v>73</v>
      </c>
      <c r="D12603" s="51" t="n">
        <v>0</v>
      </c>
    </row>
    <row r="12604" customFormat="false" ht="15" hidden="true" customHeight="false" outlineLevel="0" collapsed="false">
      <c r="A12604" s="51" t="s">
        <v>115</v>
      </c>
      <c r="B12604" s="55" t="n">
        <v>46111</v>
      </c>
      <c r="C12604" s="51" t="s">
        <v>73</v>
      </c>
      <c r="D12604" s="51" t="n">
        <v>0</v>
      </c>
    </row>
    <row r="12605" customFormat="false" ht="15" hidden="true" customHeight="false" outlineLevel="0" collapsed="false">
      <c r="A12605" s="51" t="s">
        <v>120</v>
      </c>
      <c r="B12605" s="55" t="n">
        <v>46111</v>
      </c>
      <c r="C12605" s="51" t="s">
        <v>73</v>
      </c>
      <c r="D12605" s="51" t="n">
        <v>0</v>
      </c>
    </row>
    <row r="12606" customFormat="false" ht="15" hidden="true" customHeight="false" outlineLevel="0" collapsed="false">
      <c r="A12606" s="51" t="s">
        <v>124</v>
      </c>
      <c r="B12606" s="55" t="n">
        <v>46111</v>
      </c>
      <c r="C12606" s="51" t="s">
        <v>73</v>
      </c>
      <c r="D12606" s="51" t="n">
        <v>0</v>
      </c>
    </row>
    <row r="12607" customFormat="false" ht="15" hidden="true" customHeight="false" outlineLevel="0" collapsed="false">
      <c r="A12607" s="51" t="s">
        <v>129</v>
      </c>
      <c r="B12607" s="55" t="n">
        <v>46111</v>
      </c>
      <c r="C12607" s="51" t="s">
        <v>73</v>
      </c>
      <c r="D12607" s="51" t="n">
        <v>0</v>
      </c>
    </row>
    <row r="12608" customFormat="false" ht="15" hidden="true" customHeight="false" outlineLevel="0" collapsed="false">
      <c r="A12608" s="51" t="s">
        <v>134</v>
      </c>
      <c r="B12608" s="55" t="n">
        <v>46111</v>
      </c>
      <c r="C12608" s="51" t="s">
        <v>73</v>
      </c>
      <c r="D12608" s="51" t="n">
        <v>0</v>
      </c>
    </row>
    <row r="12609" customFormat="false" ht="15" hidden="true" customHeight="false" outlineLevel="0" collapsed="false">
      <c r="A12609" s="51" t="s">
        <v>141</v>
      </c>
      <c r="B12609" s="55" t="n">
        <v>46111</v>
      </c>
      <c r="C12609" s="51" t="s">
        <v>73</v>
      </c>
      <c r="D12609" s="51" t="n">
        <v>0</v>
      </c>
    </row>
    <row r="12610" customFormat="false" ht="15" hidden="true" customHeight="false" outlineLevel="0" collapsed="false">
      <c r="A12610" s="51" t="s">
        <v>146</v>
      </c>
      <c r="B12610" s="55" t="n">
        <v>46111</v>
      </c>
      <c r="C12610" s="51" t="s">
        <v>73</v>
      </c>
      <c r="D12610" s="51" t="n">
        <v>0</v>
      </c>
    </row>
    <row r="12611" customFormat="false" ht="15" hidden="true" customHeight="false" outlineLevel="0" collapsed="false">
      <c r="A12611" s="51" t="s">
        <v>151</v>
      </c>
      <c r="B12611" s="55" t="n">
        <v>46111</v>
      </c>
      <c r="C12611" s="51" t="s">
        <v>73</v>
      </c>
      <c r="D12611" s="51" t="n">
        <v>0</v>
      </c>
    </row>
    <row r="12612" customFormat="false" ht="15" hidden="true" customHeight="false" outlineLevel="0" collapsed="false">
      <c r="A12612" s="51" t="s">
        <v>156</v>
      </c>
      <c r="B12612" s="55" t="n">
        <v>46111</v>
      </c>
      <c r="C12612" s="51" t="s">
        <v>73</v>
      </c>
      <c r="D12612" s="51" t="n">
        <v>0</v>
      </c>
    </row>
    <row r="12613" customFormat="false" ht="15" hidden="true" customHeight="false" outlineLevel="0" collapsed="false">
      <c r="A12613" s="51" t="s">
        <v>161</v>
      </c>
      <c r="B12613" s="55" t="n">
        <v>46111</v>
      </c>
      <c r="C12613" s="51" t="s">
        <v>73</v>
      </c>
      <c r="D12613" s="51" t="n">
        <v>0</v>
      </c>
    </row>
    <row r="12614" customFormat="false" ht="15" hidden="true" customHeight="false" outlineLevel="0" collapsed="false">
      <c r="A12614" s="51" t="s">
        <v>166</v>
      </c>
      <c r="B12614" s="55" t="n">
        <v>46111</v>
      </c>
      <c r="C12614" s="51" t="s">
        <v>73</v>
      </c>
      <c r="D12614" s="51" t="n">
        <v>0</v>
      </c>
    </row>
    <row r="12615" customFormat="false" ht="15" hidden="true" customHeight="false" outlineLevel="0" collapsed="false">
      <c r="A12615" s="51" t="s">
        <v>171</v>
      </c>
      <c r="B12615" s="55" t="n">
        <v>46111</v>
      </c>
      <c r="C12615" s="51" t="s">
        <v>73</v>
      </c>
      <c r="D12615" s="51" t="n">
        <v>0</v>
      </c>
    </row>
    <row r="12616" customFormat="false" ht="15" hidden="true" customHeight="false" outlineLevel="0" collapsed="false">
      <c r="A12616" s="51" t="s">
        <v>176</v>
      </c>
      <c r="B12616" s="55" t="n">
        <v>46111</v>
      </c>
      <c r="C12616" s="51" t="s">
        <v>73</v>
      </c>
      <c r="D12616" s="51" t="n">
        <v>0</v>
      </c>
    </row>
    <row r="12617" customFormat="false" ht="15" hidden="true" customHeight="false" outlineLevel="0" collapsed="false">
      <c r="A12617" s="51" t="s">
        <v>181</v>
      </c>
      <c r="B12617" s="55" t="n">
        <v>46111</v>
      </c>
      <c r="C12617" s="51" t="s">
        <v>73</v>
      </c>
      <c r="D12617" s="51" t="n">
        <v>0</v>
      </c>
    </row>
    <row r="12618" customFormat="false" ht="15" hidden="true" customHeight="false" outlineLevel="0" collapsed="false">
      <c r="A12618" s="51" t="s">
        <v>186</v>
      </c>
      <c r="B12618" s="55" t="n">
        <v>46111</v>
      </c>
      <c r="C12618" s="51" t="s">
        <v>73</v>
      </c>
      <c r="D12618" s="51" t="n">
        <v>0</v>
      </c>
    </row>
    <row r="12619" customFormat="false" ht="15" hidden="true" customHeight="false" outlineLevel="0" collapsed="false">
      <c r="A12619" s="51" t="s">
        <v>191</v>
      </c>
      <c r="B12619" s="55" t="n">
        <v>46111</v>
      </c>
      <c r="C12619" s="51" t="s">
        <v>73</v>
      </c>
      <c r="D12619" s="51" t="n">
        <v>0</v>
      </c>
    </row>
    <row r="12620" customFormat="false" ht="15" hidden="true" customHeight="false" outlineLevel="0" collapsed="false">
      <c r="A12620" s="51" t="s">
        <v>196</v>
      </c>
      <c r="B12620" s="55" t="n">
        <v>46111</v>
      </c>
      <c r="C12620" s="51" t="s">
        <v>73</v>
      </c>
      <c r="D12620" s="51" t="n">
        <v>0</v>
      </c>
    </row>
    <row r="12621" customFormat="false" ht="15" hidden="true" customHeight="false" outlineLevel="0" collapsed="false">
      <c r="A12621" s="51" t="s">
        <v>201</v>
      </c>
      <c r="B12621" s="55" t="n">
        <v>46111</v>
      </c>
      <c r="C12621" s="51" t="s">
        <v>73</v>
      </c>
      <c r="D12621" s="51" t="n">
        <v>0</v>
      </c>
    </row>
    <row r="12622" customFormat="false" ht="15" hidden="true" customHeight="false" outlineLevel="0" collapsed="false">
      <c r="A12622" s="51" t="s">
        <v>206</v>
      </c>
      <c r="B12622" s="55" t="n">
        <v>46111</v>
      </c>
      <c r="C12622" s="51" t="s">
        <v>73</v>
      </c>
      <c r="D12622" s="51" t="n">
        <v>0</v>
      </c>
    </row>
    <row r="12623" customFormat="false" ht="15" hidden="true" customHeight="false" outlineLevel="0" collapsed="false">
      <c r="A12623" s="51" t="s">
        <v>210</v>
      </c>
      <c r="B12623" s="55" t="n">
        <v>46111</v>
      </c>
      <c r="C12623" s="51" t="s">
        <v>73</v>
      </c>
      <c r="D12623" s="51" t="n">
        <v>0</v>
      </c>
    </row>
    <row r="12624" customFormat="false" ht="15" hidden="true" customHeight="false" outlineLevel="0" collapsed="false">
      <c r="A12624" s="51" t="s">
        <v>215</v>
      </c>
      <c r="B12624" s="55" t="n">
        <v>46111</v>
      </c>
      <c r="C12624" s="51" t="s">
        <v>73</v>
      </c>
      <c r="D12624" s="51" t="n">
        <v>0</v>
      </c>
    </row>
    <row r="12625" customFormat="false" ht="15" hidden="true" customHeight="false" outlineLevel="0" collapsed="false">
      <c r="A12625" s="51" t="s">
        <v>790</v>
      </c>
      <c r="B12625" s="55" t="n">
        <v>46111</v>
      </c>
      <c r="C12625" s="51" t="s">
        <v>73</v>
      </c>
      <c r="D12625" s="51" t="n">
        <v>0</v>
      </c>
    </row>
    <row r="12626" customFormat="false" ht="15" hidden="true" customHeight="false" outlineLevel="0" collapsed="false">
      <c r="A12626" s="51" t="s">
        <v>225</v>
      </c>
      <c r="B12626" s="55" t="n">
        <v>46111</v>
      </c>
      <c r="C12626" s="51" t="s">
        <v>73</v>
      </c>
      <c r="D12626" s="51" t="n">
        <v>0</v>
      </c>
    </row>
    <row r="12627" customFormat="false" ht="15" hidden="true" customHeight="false" outlineLevel="0" collapsed="false">
      <c r="A12627" s="51" t="s">
        <v>230</v>
      </c>
      <c r="B12627" s="55" t="n">
        <v>46111</v>
      </c>
      <c r="C12627" s="51" t="s">
        <v>73</v>
      </c>
      <c r="D12627" s="51" t="n">
        <v>0</v>
      </c>
    </row>
    <row r="12628" customFormat="false" ht="15" hidden="true" customHeight="false" outlineLevel="0" collapsed="false">
      <c r="A12628" s="51" t="s">
        <v>235</v>
      </c>
      <c r="B12628" s="55" t="n">
        <v>46111</v>
      </c>
      <c r="C12628" s="51" t="s">
        <v>73</v>
      </c>
      <c r="D12628" s="51" t="n">
        <v>0</v>
      </c>
    </row>
    <row r="12629" customFormat="false" ht="15" hidden="true" customHeight="false" outlineLevel="0" collapsed="false">
      <c r="A12629" s="51" t="s">
        <v>240</v>
      </c>
      <c r="B12629" s="55" t="n">
        <v>46111</v>
      </c>
      <c r="C12629" s="51" t="s">
        <v>73</v>
      </c>
      <c r="D12629" s="51" t="n">
        <v>0</v>
      </c>
    </row>
    <row r="12630" customFormat="false" ht="15" hidden="true" customHeight="false" outlineLevel="0" collapsed="false">
      <c r="A12630" s="51" t="s">
        <v>246</v>
      </c>
      <c r="B12630" s="55" t="n">
        <v>46111</v>
      </c>
      <c r="C12630" s="51" t="s">
        <v>73</v>
      </c>
      <c r="D12630" s="51" t="n">
        <v>0</v>
      </c>
    </row>
    <row r="12631" customFormat="false" ht="15" hidden="true" customHeight="false" outlineLevel="0" collapsed="false">
      <c r="A12631" s="51" t="s">
        <v>252</v>
      </c>
      <c r="B12631" s="55" t="n">
        <v>46111</v>
      </c>
      <c r="C12631" s="51" t="s">
        <v>73</v>
      </c>
      <c r="D12631" s="51" t="n">
        <v>0</v>
      </c>
    </row>
    <row r="12632" customFormat="false" ht="15" hidden="true" customHeight="false" outlineLevel="0" collapsed="false">
      <c r="A12632" s="51" t="s">
        <v>257</v>
      </c>
      <c r="B12632" s="55" t="n">
        <v>46111</v>
      </c>
      <c r="C12632" s="51" t="s">
        <v>73</v>
      </c>
      <c r="D12632" s="51" t="n">
        <v>0</v>
      </c>
    </row>
    <row r="12633" customFormat="false" ht="15" hidden="true" customHeight="false" outlineLevel="0" collapsed="false">
      <c r="A12633" s="51" t="s">
        <v>262</v>
      </c>
      <c r="B12633" s="55" t="n">
        <v>46111</v>
      </c>
      <c r="C12633" s="51" t="s">
        <v>73</v>
      </c>
      <c r="D12633" s="51" t="n">
        <v>0</v>
      </c>
    </row>
    <row r="12634" customFormat="false" ht="15" hidden="true" customHeight="false" outlineLevel="0" collapsed="false">
      <c r="A12634" s="51" t="s">
        <v>267</v>
      </c>
      <c r="B12634" s="55" t="n">
        <v>46111</v>
      </c>
      <c r="C12634" s="51" t="s">
        <v>73</v>
      </c>
      <c r="D12634" s="51" t="n">
        <v>0</v>
      </c>
    </row>
    <row r="12635" customFormat="false" ht="15" hidden="true" customHeight="false" outlineLevel="0" collapsed="false">
      <c r="A12635" s="51" t="s">
        <v>272</v>
      </c>
      <c r="B12635" s="55" t="n">
        <v>46111</v>
      </c>
      <c r="C12635" s="51" t="s">
        <v>73</v>
      </c>
      <c r="D12635" s="51" t="n">
        <v>0</v>
      </c>
    </row>
    <row r="12636" customFormat="false" ht="15" hidden="true" customHeight="false" outlineLevel="0" collapsed="false">
      <c r="A12636" s="51" t="s">
        <v>277</v>
      </c>
      <c r="B12636" s="55" t="n">
        <v>46111</v>
      </c>
      <c r="C12636" s="51" t="s">
        <v>73</v>
      </c>
      <c r="D12636" s="51" t="n">
        <v>0</v>
      </c>
    </row>
    <row r="12637" customFormat="false" ht="15" hidden="true" customHeight="false" outlineLevel="0" collapsed="false">
      <c r="A12637" s="51" t="s">
        <v>282</v>
      </c>
      <c r="B12637" s="55" t="n">
        <v>46111</v>
      </c>
      <c r="C12637" s="51" t="s">
        <v>73</v>
      </c>
      <c r="D12637" s="51" t="n">
        <v>0</v>
      </c>
    </row>
    <row r="12638" customFormat="false" ht="15" hidden="true" customHeight="false" outlineLevel="0" collapsed="false">
      <c r="A12638" s="51" t="s">
        <v>287</v>
      </c>
      <c r="B12638" s="55" t="n">
        <v>46111</v>
      </c>
      <c r="C12638" s="51" t="s">
        <v>73</v>
      </c>
      <c r="D12638" s="51" t="n">
        <v>0</v>
      </c>
    </row>
    <row r="12639" customFormat="false" ht="15" hidden="true" customHeight="false" outlineLevel="0" collapsed="false">
      <c r="A12639" s="51" t="s">
        <v>292</v>
      </c>
      <c r="B12639" s="55" t="n">
        <v>46111</v>
      </c>
      <c r="C12639" s="51" t="s">
        <v>73</v>
      </c>
      <c r="D12639" s="51" t="n">
        <v>0</v>
      </c>
    </row>
    <row r="12640" customFormat="false" ht="15" hidden="true" customHeight="false" outlineLevel="0" collapsed="false">
      <c r="A12640" s="51" t="s">
        <v>297</v>
      </c>
      <c r="B12640" s="55" t="n">
        <v>46111</v>
      </c>
      <c r="C12640" s="51" t="s">
        <v>73</v>
      </c>
      <c r="D12640" s="51" t="n">
        <v>0</v>
      </c>
    </row>
    <row r="12641" customFormat="false" ht="15" hidden="true" customHeight="false" outlineLevel="0" collapsed="false">
      <c r="A12641" s="51" t="s">
        <v>302</v>
      </c>
      <c r="B12641" s="55" t="n">
        <v>46111</v>
      </c>
      <c r="C12641" s="51" t="s">
        <v>73</v>
      </c>
      <c r="D12641" s="51" t="n">
        <v>0</v>
      </c>
    </row>
    <row r="12642" customFormat="false" ht="15" hidden="true" customHeight="false" outlineLevel="0" collapsed="false">
      <c r="A12642" s="51" t="s">
        <v>307</v>
      </c>
      <c r="B12642" s="55" t="n">
        <v>46111</v>
      </c>
      <c r="C12642" s="51" t="s">
        <v>73</v>
      </c>
      <c r="D12642" s="51" t="n">
        <v>0</v>
      </c>
    </row>
    <row r="12643" customFormat="false" ht="15" hidden="true" customHeight="false" outlineLevel="0" collapsed="false">
      <c r="A12643" s="51" t="s">
        <v>311</v>
      </c>
      <c r="B12643" s="55" t="n">
        <v>46111</v>
      </c>
      <c r="C12643" s="51" t="s">
        <v>73</v>
      </c>
      <c r="D12643" s="51" t="n">
        <v>0</v>
      </c>
    </row>
    <row r="12644" customFormat="false" ht="15" hidden="true" customHeight="false" outlineLevel="0" collapsed="false">
      <c r="A12644" s="51" t="s">
        <v>317</v>
      </c>
      <c r="B12644" s="55" t="n">
        <v>46111</v>
      </c>
      <c r="C12644" s="51" t="s">
        <v>73</v>
      </c>
      <c r="D12644" s="51" t="n">
        <v>0</v>
      </c>
    </row>
    <row r="12645" customFormat="false" ht="15" hidden="true" customHeight="false" outlineLevel="0" collapsed="false">
      <c r="A12645" s="51" t="s">
        <v>322</v>
      </c>
      <c r="B12645" s="55" t="n">
        <v>46111</v>
      </c>
      <c r="C12645" s="51" t="s">
        <v>73</v>
      </c>
      <c r="D12645" s="51" t="n">
        <v>0</v>
      </c>
    </row>
    <row r="12646" customFormat="false" ht="15" hidden="true" customHeight="false" outlineLevel="0" collapsed="false">
      <c r="A12646" s="51" t="s">
        <v>327</v>
      </c>
      <c r="B12646" s="55" t="n">
        <v>46111</v>
      </c>
      <c r="C12646" s="51" t="s">
        <v>73</v>
      </c>
      <c r="D12646" s="51" t="n">
        <v>0</v>
      </c>
    </row>
    <row r="12647" customFormat="false" ht="15" hidden="true" customHeight="false" outlineLevel="0" collapsed="false">
      <c r="A12647" s="51" t="s">
        <v>332</v>
      </c>
      <c r="B12647" s="55" t="n">
        <v>46111</v>
      </c>
      <c r="C12647" s="51" t="s">
        <v>73</v>
      </c>
      <c r="D12647" s="51" t="n">
        <v>0</v>
      </c>
    </row>
    <row r="12648" customFormat="false" ht="15" hidden="true" customHeight="false" outlineLevel="0" collapsed="false">
      <c r="A12648" s="51" t="s">
        <v>339</v>
      </c>
      <c r="B12648" s="55" t="n">
        <v>46111</v>
      </c>
      <c r="C12648" s="51" t="s">
        <v>73</v>
      </c>
      <c r="D12648" s="51" t="n">
        <v>0</v>
      </c>
    </row>
    <row r="12649" customFormat="false" ht="15" hidden="true" customHeight="false" outlineLevel="0" collapsed="false">
      <c r="A12649" s="51" t="s">
        <v>344</v>
      </c>
      <c r="B12649" s="55" t="n">
        <v>46111</v>
      </c>
      <c r="C12649" s="51" t="s">
        <v>73</v>
      </c>
      <c r="D12649" s="51" t="n">
        <v>0</v>
      </c>
    </row>
    <row r="12650" customFormat="false" ht="15" hidden="true" customHeight="false" outlineLevel="0" collapsed="false">
      <c r="A12650" s="51" t="s">
        <v>349</v>
      </c>
      <c r="B12650" s="55" t="n">
        <v>46111</v>
      </c>
      <c r="C12650" s="51" t="s">
        <v>73</v>
      </c>
      <c r="D12650" s="51" t="n">
        <v>0</v>
      </c>
    </row>
    <row r="12651" customFormat="false" ht="15" hidden="true" customHeight="false" outlineLevel="0" collapsed="false">
      <c r="A12651" s="51" t="s">
        <v>354</v>
      </c>
      <c r="B12651" s="55" t="n">
        <v>46111</v>
      </c>
      <c r="C12651" s="51" t="s">
        <v>73</v>
      </c>
      <c r="D12651" s="51" t="n">
        <v>0</v>
      </c>
    </row>
    <row r="12652" customFormat="false" ht="15" hidden="true" customHeight="false" outlineLevel="0" collapsed="false">
      <c r="A12652" s="51" t="s">
        <v>359</v>
      </c>
      <c r="B12652" s="55" t="n">
        <v>46111</v>
      </c>
      <c r="C12652" s="51" t="s">
        <v>73</v>
      </c>
      <c r="D12652" s="51" t="n">
        <v>0</v>
      </c>
    </row>
    <row r="12653" customFormat="false" ht="15" hidden="true" customHeight="false" outlineLevel="0" collapsed="false">
      <c r="A12653" s="51" t="s">
        <v>364</v>
      </c>
      <c r="B12653" s="55" t="n">
        <v>46111</v>
      </c>
      <c r="C12653" s="51" t="s">
        <v>73</v>
      </c>
      <c r="D12653" s="51" t="n">
        <v>0</v>
      </c>
    </row>
    <row r="12654" customFormat="false" ht="15" hidden="true" customHeight="false" outlineLevel="0" collapsed="false">
      <c r="A12654" s="51" t="s">
        <v>369</v>
      </c>
      <c r="B12654" s="55" t="n">
        <v>46111</v>
      </c>
      <c r="C12654" s="51" t="s">
        <v>73</v>
      </c>
      <c r="D12654" s="51" t="n">
        <v>0</v>
      </c>
    </row>
    <row r="12655" customFormat="false" ht="15" hidden="true" customHeight="false" outlineLevel="0" collapsed="false">
      <c r="A12655" s="51" t="s">
        <v>374</v>
      </c>
      <c r="B12655" s="55" t="n">
        <v>46111</v>
      </c>
      <c r="C12655" s="51" t="s">
        <v>73</v>
      </c>
      <c r="D12655" s="51" t="n">
        <v>0</v>
      </c>
    </row>
    <row r="12656" customFormat="false" ht="15" hidden="true" customHeight="false" outlineLevel="0" collapsed="false">
      <c r="A12656" s="51" t="s">
        <v>379</v>
      </c>
      <c r="B12656" s="55" t="n">
        <v>46111</v>
      </c>
      <c r="C12656" s="51" t="s">
        <v>73</v>
      </c>
      <c r="D12656" s="51" t="n">
        <v>0</v>
      </c>
    </row>
    <row r="12657" customFormat="false" ht="15" hidden="true" customHeight="false" outlineLevel="0" collapsed="false">
      <c r="A12657" s="51" t="s">
        <v>384</v>
      </c>
      <c r="B12657" s="55" t="n">
        <v>46111</v>
      </c>
      <c r="C12657" s="51" t="s">
        <v>73</v>
      </c>
      <c r="D12657" s="51" t="n">
        <v>0</v>
      </c>
    </row>
    <row r="12658" customFormat="false" ht="15" hidden="true" customHeight="false" outlineLevel="0" collapsed="false">
      <c r="A12658" s="51" t="s">
        <v>389</v>
      </c>
      <c r="B12658" s="55" t="n">
        <v>46111</v>
      </c>
      <c r="C12658" s="51" t="s">
        <v>73</v>
      </c>
      <c r="D12658" s="51" t="n">
        <v>0</v>
      </c>
    </row>
    <row r="12659" customFormat="false" ht="15" hidden="true" customHeight="false" outlineLevel="0" collapsed="false">
      <c r="A12659" s="51" t="s">
        <v>394</v>
      </c>
      <c r="B12659" s="55" t="n">
        <v>46111</v>
      </c>
      <c r="C12659" s="51" t="s">
        <v>73</v>
      </c>
      <c r="D12659" s="51" t="n">
        <v>0</v>
      </c>
    </row>
    <row r="12660" customFormat="false" ht="15" hidden="true" customHeight="false" outlineLevel="0" collapsed="false">
      <c r="A12660" s="51" t="s">
        <v>399</v>
      </c>
      <c r="B12660" s="55" t="n">
        <v>46111</v>
      </c>
      <c r="C12660" s="51" t="s">
        <v>73</v>
      </c>
      <c r="D12660" s="51" t="n">
        <v>0</v>
      </c>
    </row>
    <row r="12661" customFormat="false" ht="15" hidden="true" customHeight="false" outlineLevel="0" collapsed="false">
      <c r="A12661" s="51" t="s">
        <v>404</v>
      </c>
      <c r="B12661" s="55" t="n">
        <v>46111</v>
      </c>
      <c r="C12661" s="51" t="s">
        <v>73</v>
      </c>
      <c r="D12661" s="51" t="n">
        <v>0</v>
      </c>
    </row>
    <row r="12662" customFormat="false" ht="15" hidden="true" customHeight="false" outlineLevel="0" collapsed="false">
      <c r="A12662" s="51" t="s">
        <v>409</v>
      </c>
      <c r="B12662" s="55" t="n">
        <v>46111</v>
      </c>
      <c r="C12662" s="51" t="s">
        <v>73</v>
      </c>
      <c r="D12662" s="51" t="n">
        <v>0</v>
      </c>
    </row>
    <row r="12663" customFormat="false" ht="15" hidden="true" customHeight="false" outlineLevel="0" collapsed="false">
      <c r="A12663" s="51" t="s">
        <v>414</v>
      </c>
      <c r="B12663" s="55" t="n">
        <v>46111</v>
      </c>
      <c r="C12663" s="51" t="s">
        <v>73</v>
      </c>
      <c r="D12663" s="51" t="n">
        <v>0</v>
      </c>
    </row>
    <row r="12664" customFormat="false" ht="15" hidden="true" customHeight="false" outlineLevel="0" collapsed="false">
      <c r="A12664" s="51" t="s">
        <v>419</v>
      </c>
      <c r="B12664" s="55" t="n">
        <v>46111</v>
      </c>
      <c r="C12664" s="51" t="s">
        <v>73</v>
      </c>
      <c r="D12664" s="51" t="n">
        <v>0</v>
      </c>
    </row>
    <row r="12665" customFormat="false" ht="15" hidden="true" customHeight="false" outlineLevel="0" collapsed="false">
      <c r="A12665" s="51" t="s">
        <v>424</v>
      </c>
      <c r="B12665" s="55" t="n">
        <v>46111</v>
      </c>
      <c r="C12665" s="51" t="s">
        <v>73</v>
      </c>
      <c r="D12665" s="51" t="n">
        <v>0</v>
      </c>
    </row>
    <row r="12666" customFormat="false" ht="15" hidden="true" customHeight="false" outlineLevel="0" collapsed="false">
      <c r="A12666" s="51" t="s">
        <v>429</v>
      </c>
      <c r="B12666" s="55" t="n">
        <v>46111</v>
      </c>
      <c r="C12666" s="51" t="s">
        <v>73</v>
      </c>
      <c r="D12666" s="51" t="n">
        <v>0</v>
      </c>
    </row>
    <row r="12667" customFormat="false" ht="15" hidden="true" customHeight="false" outlineLevel="0" collapsed="false">
      <c r="A12667" s="51" t="s">
        <v>434</v>
      </c>
      <c r="B12667" s="55" t="n">
        <v>46111</v>
      </c>
      <c r="C12667" s="51" t="s">
        <v>73</v>
      </c>
      <c r="D12667" s="51" t="n">
        <v>0</v>
      </c>
    </row>
    <row r="12668" customFormat="false" ht="15" hidden="true" customHeight="false" outlineLevel="0" collapsed="false">
      <c r="A12668" s="51" t="s">
        <v>438</v>
      </c>
      <c r="B12668" s="55" t="n">
        <v>46111</v>
      </c>
      <c r="C12668" s="51" t="s">
        <v>73</v>
      </c>
      <c r="D12668" s="51" t="n">
        <v>0</v>
      </c>
    </row>
    <row r="12669" customFormat="false" ht="15" hidden="true" customHeight="false" outlineLevel="0" collapsed="false">
      <c r="A12669" s="51" t="s">
        <v>443</v>
      </c>
      <c r="B12669" s="55" t="n">
        <v>46111</v>
      </c>
      <c r="C12669" s="51" t="s">
        <v>73</v>
      </c>
      <c r="D12669" s="51" t="n">
        <v>0</v>
      </c>
    </row>
    <row r="12670" customFormat="false" ht="15" hidden="true" customHeight="false" outlineLevel="0" collapsed="false">
      <c r="A12670" s="51" t="s">
        <v>448</v>
      </c>
      <c r="B12670" s="55" t="n">
        <v>46111</v>
      </c>
      <c r="C12670" s="51" t="s">
        <v>73</v>
      </c>
      <c r="D12670" s="51" t="n">
        <v>0</v>
      </c>
    </row>
    <row r="12671" customFormat="false" ht="15" hidden="true" customHeight="false" outlineLevel="0" collapsed="false">
      <c r="A12671" s="51" t="s">
        <v>453</v>
      </c>
      <c r="B12671" s="55" t="n">
        <v>46111</v>
      </c>
      <c r="C12671" s="51" t="s">
        <v>73</v>
      </c>
      <c r="D12671" s="51" t="n">
        <v>1000000</v>
      </c>
    </row>
    <row r="12672" customFormat="false" ht="15" hidden="true" customHeight="false" outlineLevel="0" collapsed="false">
      <c r="A12672" s="51" t="s">
        <v>458</v>
      </c>
      <c r="B12672" s="55" t="n">
        <v>46111</v>
      </c>
      <c r="C12672" s="51" t="s">
        <v>73</v>
      </c>
      <c r="D12672" s="51" t="n">
        <v>1000000</v>
      </c>
    </row>
    <row r="12673" customFormat="false" ht="15" hidden="true" customHeight="false" outlineLevel="0" collapsed="false">
      <c r="A12673" s="51" t="s">
        <v>473</v>
      </c>
      <c r="B12673" s="55" t="n">
        <v>46111</v>
      </c>
      <c r="C12673" s="51" t="s">
        <v>73</v>
      </c>
      <c r="D12673" s="51" t="n">
        <v>0</v>
      </c>
    </row>
    <row r="12674" customFormat="false" ht="15" hidden="true" customHeight="false" outlineLevel="0" collapsed="false">
      <c r="A12674" s="51" t="s">
        <v>479</v>
      </c>
      <c r="B12674" s="55" t="n">
        <v>46111</v>
      </c>
      <c r="C12674" s="51" t="s">
        <v>73</v>
      </c>
      <c r="D12674" s="51" t="n">
        <v>0</v>
      </c>
    </row>
    <row r="12675" customFormat="false" ht="15" hidden="true" customHeight="false" outlineLevel="0" collapsed="false">
      <c r="A12675" s="51" t="s">
        <v>484</v>
      </c>
      <c r="B12675" s="55" t="n">
        <v>46111</v>
      </c>
      <c r="C12675" s="51" t="s">
        <v>73</v>
      </c>
      <c r="D12675" s="51" t="n">
        <v>0</v>
      </c>
    </row>
    <row r="12676" customFormat="false" ht="15" hidden="true" customHeight="false" outlineLevel="0" collapsed="false">
      <c r="A12676" s="51" t="s">
        <v>489</v>
      </c>
      <c r="B12676" s="55" t="n">
        <v>46111</v>
      </c>
      <c r="C12676" s="51" t="s">
        <v>73</v>
      </c>
      <c r="D12676" s="51" t="n">
        <v>0</v>
      </c>
    </row>
    <row r="12677" customFormat="false" ht="15" hidden="true" customHeight="false" outlineLevel="0" collapsed="false">
      <c r="A12677" s="51" t="s">
        <v>494</v>
      </c>
      <c r="B12677" s="55" t="n">
        <v>46111</v>
      </c>
      <c r="C12677" s="51" t="s">
        <v>73</v>
      </c>
      <c r="D12677" s="51" t="n">
        <v>0</v>
      </c>
    </row>
    <row r="12678" customFormat="false" ht="15" hidden="true" customHeight="false" outlineLevel="0" collapsed="false">
      <c r="A12678" s="51" t="s">
        <v>499</v>
      </c>
      <c r="B12678" s="55" t="n">
        <v>46111</v>
      </c>
      <c r="C12678" s="51" t="s">
        <v>73</v>
      </c>
      <c r="D12678" s="51" t="n">
        <v>0</v>
      </c>
    </row>
    <row r="12679" customFormat="false" ht="15" hidden="true" customHeight="false" outlineLevel="0" collapsed="false">
      <c r="A12679" s="51" t="s">
        <v>504</v>
      </c>
      <c r="B12679" s="55" t="n">
        <v>46111</v>
      </c>
      <c r="C12679" s="51" t="s">
        <v>73</v>
      </c>
      <c r="D12679" s="51" t="n">
        <v>0</v>
      </c>
    </row>
    <row r="12680" customFormat="false" ht="15" hidden="true" customHeight="false" outlineLevel="0" collapsed="false">
      <c r="A12680" s="51" t="s">
        <v>509</v>
      </c>
      <c r="B12680" s="55" t="n">
        <v>46111</v>
      </c>
      <c r="C12680" s="51" t="s">
        <v>73</v>
      </c>
      <c r="D12680" s="51" t="n">
        <v>0</v>
      </c>
    </row>
    <row r="12681" customFormat="false" ht="15" hidden="true" customHeight="false" outlineLevel="0" collapsed="false">
      <c r="A12681" s="51" t="s">
        <v>515</v>
      </c>
      <c r="B12681" s="55" t="n">
        <v>46111</v>
      </c>
      <c r="C12681" s="51" t="s">
        <v>73</v>
      </c>
      <c r="D12681" s="51" t="n">
        <v>0</v>
      </c>
    </row>
    <row r="12682" customFormat="false" ht="15" hidden="true" customHeight="false" outlineLevel="0" collapsed="false">
      <c r="A12682" s="51" t="s">
        <v>520</v>
      </c>
      <c r="B12682" s="55" t="n">
        <v>46111</v>
      </c>
      <c r="C12682" s="51" t="s">
        <v>73</v>
      </c>
      <c r="D12682" s="51" t="n">
        <v>0</v>
      </c>
    </row>
    <row r="12683" customFormat="false" ht="15" hidden="true" customHeight="false" outlineLevel="0" collapsed="false">
      <c r="A12683" s="51" t="s">
        <v>525</v>
      </c>
      <c r="B12683" s="55" t="n">
        <v>46111</v>
      </c>
      <c r="C12683" s="51" t="s">
        <v>73</v>
      </c>
      <c r="D12683" s="51" t="n">
        <v>0</v>
      </c>
    </row>
    <row r="12684" customFormat="false" ht="15" hidden="true" customHeight="false" outlineLevel="0" collapsed="false">
      <c r="A12684" s="51" t="s">
        <v>531</v>
      </c>
      <c r="B12684" s="55" t="n">
        <v>46111</v>
      </c>
      <c r="C12684" s="51" t="s">
        <v>73</v>
      </c>
      <c r="D12684" s="51" t="n">
        <v>0</v>
      </c>
    </row>
    <row r="12685" customFormat="false" ht="15" hidden="true" customHeight="false" outlineLevel="0" collapsed="false">
      <c r="A12685" s="51" t="s">
        <v>536</v>
      </c>
      <c r="B12685" s="55" t="n">
        <v>46111</v>
      </c>
      <c r="C12685" s="51" t="s">
        <v>73</v>
      </c>
      <c r="D12685" s="51" t="n">
        <v>0</v>
      </c>
    </row>
    <row r="12686" customFormat="false" ht="15" hidden="true" customHeight="false" outlineLevel="0" collapsed="false">
      <c r="A12686" s="51" t="s">
        <v>541</v>
      </c>
      <c r="B12686" s="55" t="n">
        <v>46111</v>
      </c>
      <c r="C12686" s="51" t="s">
        <v>73</v>
      </c>
      <c r="D12686" s="51" t="n">
        <v>87844</v>
      </c>
    </row>
    <row r="12687" customFormat="false" ht="15" hidden="true" customHeight="false" outlineLevel="0" collapsed="false">
      <c r="A12687" s="51" t="s">
        <v>549</v>
      </c>
      <c r="B12687" s="55" t="n">
        <v>46111</v>
      </c>
      <c r="C12687" s="51" t="s">
        <v>73</v>
      </c>
      <c r="D12687" s="51" t="n">
        <v>0</v>
      </c>
    </row>
    <row r="12688" customFormat="false" ht="15" hidden="true" customHeight="false" outlineLevel="0" collapsed="false">
      <c r="A12688" s="51" t="s">
        <v>554</v>
      </c>
      <c r="B12688" s="55" t="n">
        <v>46111</v>
      </c>
      <c r="C12688" s="51" t="s">
        <v>73</v>
      </c>
      <c r="D12688" s="51" t="n">
        <v>0</v>
      </c>
    </row>
    <row r="12689" customFormat="false" ht="15" hidden="true" customHeight="false" outlineLevel="0" collapsed="false">
      <c r="A12689" s="51" t="s">
        <v>559</v>
      </c>
      <c r="B12689" s="55" t="n">
        <v>46111</v>
      </c>
      <c r="C12689" s="51" t="s">
        <v>73</v>
      </c>
      <c r="D12689" s="51" t="n">
        <v>0</v>
      </c>
    </row>
    <row r="12690" customFormat="false" ht="15" hidden="true" customHeight="false" outlineLevel="0" collapsed="false">
      <c r="A12690" s="51" t="s">
        <v>564</v>
      </c>
      <c r="B12690" s="55" t="n">
        <v>46111</v>
      </c>
      <c r="C12690" s="51" t="s">
        <v>73</v>
      </c>
      <c r="D12690" s="51" t="n">
        <v>0</v>
      </c>
    </row>
    <row r="12691" customFormat="false" ht="15" hidden="true" customHeight="false" outlineLevel="0" collapsed="false">
      <c r="A12691" s="51" t="s">
        <v>569</v>
      </c>
      <c r="B12691" s="55" t="n">
        <v>46111</v>
      </c>
      <c r="C12691" s="51" t="s">
        <v>73</v>
      </c>
      <c r="D12691" s="51" t="n">
        <v>50000</v>
      </c>
    </row>
    <row r="12692" customFormat="false" ht="15" hidden="true" customHeight="false" outlineLevel="0" collapsed="false">
      <c r="A12692" s="51" t="s">
        <v>574</v>
      </c>
      <c r="B12692" s="55" t="n">
        <v>46111</v>
      </c>
      <c r="C12692" s="51" t="s">
        <v>73</v>
      </c>
      <c r="D12692" s="51" t="n">
        <v>0</v>
      </c>
    </row>
    <row r="12693" customFormat="false" ht="15" hidden="true" customHeight="false" outlineLevel="0" collapsed="false">
      <c r="A12693" s="51" t="s">
        <v>579</v>
      </c>
      <c r="B12693" s="55" t="n">
        <v>46111</v>
      </c>
      <c r="C12693" s="51" t="s">
        <v>73</v>
      </c>
      <c r="D12693" s="51" t="n">
        <v>0</v>
      </c>
    </row>
    <row r="12694" customFormat="false" ht="15" hidden="true" customHeight="false" outlineLevel="0" collapsed="false">
      <c r="A12694" s="51" t="s">
        <v>584</v>
      </c>
      <c r="B12694" s="55" t="n">
        <v>46111</v>
      </c>
      <c r="C12694" s="51" t="s">
        <v>73</v>
      </c>
      <c r="D12694" s="51" t="n">
        <v>0</v>
      </c>
    </row>
    <row r="12695" customFormat="false" ht="15" hidden="true" customHeight="false" outlineLevel="0" collapsed="false">
      <c r="A12695" s="51" t="s">
        <v>589</v>
      </c>
      <c r="B12695" s="55" t="n">
        <v>46111</v>
      </c>
      <c r="C12695" s="51" t="s">
        <v>73</v>
      </c>
      <c r="D12695" s="51" t="n">
        <v>800000</v>
      </c>
    </row>
    <row r="12696" customFormat="false" ht="15" hidden="true" customHeight="false" outlineLevel="0" collapsed="false">
      <c r="A12696" s="51" t="s">
        <v>756</v>
      </c>
      <c r="B12696" s="55" t="n">
        <v>46111</v>
      </c>
      <c r="C12696" s="51" t="s">
        <v>73</v>
      </c>
      <c r="D12696" s="51" t="n">
        <v>0</v>
      </c>
    </row>
    <row r="12697" customFormat="false" ht="15" hidden="true" customHeight="false" outlineLevel="0" collapsed="false">
      <c r="A12697" s="51" t="s">
        <v>594</v>
      </c>
      <c r="B12697" s="55" t="n">
        <v>46111</v>
      </c>
      <c r="C12697" s="51" t="s">
        <v>73</v>
      </c>
      <c r="D12697" s="51" t="n">
        <v>0</v>
      </c>
    </row>
    <row r="12698" customFormat="false" ht="15" hidden="true" customHeight="false" outlineLevel="0" collapsed="false">
      <c r="A12698" s="51" t="s">
        <v>761</v>
      </c>
      <c r="B12698" s="55" t="n">
        <v>46111</v>
      </c>
      <c r="C12698" s="51" t="s">
        <v>73</v>
      </c>
      <c r="D12698" s="51" t="n">
        <v>1700571.21</v>
      </c>
    </row>
    <row r="12699" customFormat="false" ht="15" hidden="true" customHeight="false" outlineLevel="0" collapsed="false">
      <c r="A12699" s="51" t="s">
        <v>599</v>
      </c>
      <c r="B12699" s="55" t="n">
        <v>46111</v>
      </c>
      <c r="C12699" s="51" t="s">
        <v>73</v>
      </c>
      <c r="D12699" s="51" t="n">
        <v>0</v>
      </c>
    </row>
    <row r="12700" customFormat="false" ht="15" hidden="true" customHeight="false" outlineLevel="0" collapsed="false">
      <c r="A12700" s="51" t="s">
        <v>604</v>
      </c>
      <c r="B12700" s="55" t="n">
        <v>46111</v>
      </c>
      <c r="C12700" s="51" t="s">
        <v>73</v>
      </c>
      <c r="D12700" s="51" t="n">
        <v>0</v>
      </c>
    </row>
    <row r="12701" customFormat="false" ht="15" hidden="true" customHeight="false" outlineLevel="0" collapsed="false">
      <c r="A12701" s="51" t="s">
        <v>609</v>
      </c>
      <c r="B12701" s="55" t="n">
        <v>46111</v>
      </c>
      <c r="C12701" s="51" t="s">
        <v>73</v>
      </c>
      <c r="D12701" s="51" t="n">
        <v>0</v>
      </c>
    </row>
    <row r="12702" customFormat="false" ht="15" hidden="true" customHeight="false" outlineLevel="0" collapsed="false">
      <c r="A12702" s="51" t="s">
        <v>614</v>
      </c>
      <c r="B12702" s="55" t="n">
        <v>46111</v>
      </c>
      <c r="C12702" s="51" t="s">
        <v>73</v>
      </c>
      <c r="D12702" s="51" t="n">
        <v>0</v>
      </c>
    </row>
    <row r="12703" customFormat="false" ht="15" hidden="true" customHeight="false" outlineLevel="0" collapsed="false">
      <c r="A12703" s="51" t="s">
        <v>619</v>
      </c>
      <c r="B12703" s="55" t="n">
        <v>46111</v>
      </c>
      <c r="C12703" s="51" t="s">
        <v>73</v>
      </c>
      <c r="D12703" s="51" t="n">
        <v>0</v>
      </c>
    </row>
    <row r="12704" customFormat="false" ht="15" hidden="true" customHeight="false" outlineLevel="0" collapsed="false">
      <c r="A12704" s="51" t="s">
        <v>624</v>
      </c>
      <c r="B12704" s="55" t="n">
        <v>46111</v>
      </c>
      <c r="C12704" s="51" t="s">
        <v>73</v>
      </c>
      <c r="D12704" s="51" t="n">
        <v>0</v>
      </c>
    </row>
    <row r="12705" customFormat="false" ht="15" hidden="true" customHeight="false" outlineLevel="0" collapsed="false">
      <c r="A12705" s="51" t="s">
        <v>629</v>
      </c>
      <c r="B12705" s="55" t="n">
        <v>46111</v>
      </c>
      <c r="C12705" s="51" t="s">
        <v>73</v>
      </c>
      <c r="D12705" s="51" t="n">
        <v>0</v>
      </c>
    </row>
    <row r="12706" customFormat="false" ht="15" hidden="true" customHeight="false" outlineLevel="0" collapsed="false">
      <c r="A12706" s="51" t="s">
        <v>633</v>
      </c>
      <c r="B12706" s="55" t="n">
        <v>46111</v>
      </c>
      <c r="C12706" s="51" t="s">
        <v>73</v>
      </c>
      <c r="D12706" s="51" t="n">
        <v>250000</v>
      </c>
    </row>
    <row r="12707" customFormat="false" ht="15" hidden="true" customHeight="false" outlineLevel="0" collapsed="false">
      <c r="A12707" s="51" t="s">
        <v>638</v>
      </c>
      <c r="B12707" s="55" t="n">
        <v>46111</v>
      </c>
      <c r="C12707" s="51" t="s">
        <v>73</v>
      </c>
      <c r="D12707" s="51" t="n">
        <v>100000</v>
      </c>
    </row>
    <row r="12708" customFormat="false" ht="15" hidden="true" customHeight="false" outlineLevel="0" collapsed="false">
      <c r="A12708" s="51" t="s">
        <v>642</v>
      </c>
      <c r="B12708" s="55" t="n">
        <v>46111</v>
      </c>
      <c r="C12708" s="51" t="s">
        <v>73</v>
      </c>
      <c r="D12708" s="51" t="n">
        <v>555000</v>
      </c>
    </row>
    <row r="12709" customFormat="false" ht="15" hidden="true" customHeight="false" outlineLevel="0" collapsed="false">
      <c r="A12709" s="51" t="s">
        <v>646</v>
      </c>
      <c r="B12709" s="55" t="n">
        <v>46111</v>
      </c>
      <c r="C12709" s="51" t="s">
        <v>73</v>
      </c>
      <c r="D12709" s="51" t="n">
        <v>0</v>
      </c>
    </row>
    <row r="12710" customFormat="false" ht="15" hidden="true" customHeight="false" outlineLevel="0" collapsed="false">
      <c r="A12710" s="51" t="s">
        <v>651</v>
      </c>
      <c r="B12710" s="55" t="n">
        <v>46111</v>
      </c>
      <c r="C12710" s="51" t="s">
        <v>73</v>
      </c>
      <c r="D12710" s="51" t="n">
        <v>0</v>
      </c>
    </row>
    <row r="12711" customFormat="false" ht="15" hidden="true" customHeight="false" outlineLevel="0" collapsed="false">
      <c r="A12711" s="51" t="s">
        <v>656</v>
      </c>
      <c r="B12711" s="55" t="n">
        <v>46111</v>
      </c>
      <c r="C12711" s="51" t="s">
        <v>73</v>
      </c>
      <c r="D12711" s="51" t="n">
        <v>0</v>
      </c>
    </row>
    <row r="12712" customFormat="false" ht="15" hidden="true" customHeight="false" outlineLevel="0" collapsed="false">
      <c r="A12712" s="51" t="s">
        <v>661</v>
      </c>
      <c r="B12712" s="55" t="n">
        <v>46111</v>
      </c>
      <c r="C12712" s="51" t="s">
        <v>73</v>
      </c>
      <c r="D12712" s="51" t="n">
        <v>250000</v>
      </c>
    </row>
    <row r="12713" customFormat="false" ht="15" hidden="true" customHeight="false" outlineLevel="0" collapsed="false">
      <c r="A12713" s="51" t="s">
        <v>666</v>
      </c>
      <c r="B12713" s="55" t="n">
        <v>46111</v>
      </c>
      <c r="C12713" s="51" t="s">
        <v>73</v>
      </c>
      <c r="D12713" s="51" t="n">
        <v>500000</v>
      </c>
    </row>
    <row r="12714" customFormat="false" ht="15" hidden="true" customHeight="false" outlineLevel="0" collapsed="false">
      <c r="A12714" s="51" t="s">
        <v>671</v>
      </c>
      <c r="B12714" s="55" t="n">
        <v>46111</v>
      </c>
      <c r="C12714" s="51" t="s">
        <v>73</v>
      </c>
      <c r="D12714" s="51" t="n">
        <v>0</v>
      </c>
    </row>
    <row r="12715" customFormat="false" ht="15" hidden="true" customHeight="false" outlineLevel="0" collapsed="false">
      <c r="A12715" s="51" t="s">
        <v>676</v>
      </c>
      <c r="B12715" s="55" t="n">
        <v>46111</v>
      </c>
      <c r="C12715" s="51" t="s">
        <v>73</v>
      </c>
      <c r="D12715" s="51" t="n">
        <v>150000</v>
      </c>
    </row>
    <row r="12716" customFormat="false" ht="15" hidden="true" customHeight="false" outlineLevel="0" collapsed="false">
      <c r="A12716" s="51" t="s">
        <v>681</v>
      </c>
      <c r="B12716" s="55" t="n">
        <v>46111</v>
      </c>
      <c r="C12716" s="51" t="s">
        <v>73</v>
      </c>
      <c r="D12716" s="51" t="n">
        <v>250000</v>
      </c>
    </row>
    <row r="12717" customFormat="false" ht="15" hidden="true" customHeight="false" outlineLevel="0" collapsed="false">
      <c r="A12717" s="51" t="s">
        <v>686</v>
      </c>
      <c r="B12717" s="55" t="n">
        <v>46111</v>
      </c>
      <c r="C12717" s="51" t="s">
        <v>73</v>
      </c>
      <c r="D12717" s="51" t="n">
        <v>0</v>
      </c>
    </row>
    <row r="12718" customFormat="false" ht="15" hidden="true" customHeight="false" outlineLevel="0" collapsed="false">
      <c r="A12718" s="51" t="s">
        <v>691</v>
      </c>
      <c r="B12718" s="55" t="n">
        <v>46111</v>
      </c>
      <c r="C12718" s="51" t="s">
        <v>73</v>
      </c>
      <c r="D12718" s="51" t="n">
        <v>0</v>
      </c>
    </row>
    <row r="12719" customFormat="false" ht="15" hidden="true" customHeight="false" outlineLevel="0" collapsed="false">
      <c r="A12719" s="51" t="s">
        <v>696</v>
      </c>
      <c r="B12719" s="55" t="n">
        <v>46111</v>
      </c>
      <c r="C12719" s="51" t="s">
        <v>73</v>
      </c>
      <c r="D12719" s="51" t="n">
        <v>250000</v>
      </c>
    </row>
    <row r="12720" customFormat="false" ht="15" hidden="true" customHeight="false" outlineLevel="0" collapsed="false">
      <c r="A12720" s="51" t="s">
        <v>701</v>
      </c>
      <c r="B12720" s="55" t="n">
        <v>46111</v>
      </c>
      <c r="C12720" s="51" t="s">
        <v>73</v>
      </c>
      <c r="D12720" s="51" t="n">
        <v>600000</v>
      </c>
    </row>
    <row r="12721" customFormat="false" ht="15" hidden="true" customHeight="false" outlineLevel="0" collapsed="false">
      <c r="A12721" s="51" t="s">
        <v>707</v>
      </c>
      <c r="B12721" s="55" t="n">
        <v>46111</v>
      </c>
      <c r="C12721" s="51" t="s">
        <v>73</v>
      </c>
      <c r="D12721" s="51" t="n">
        <v>880616.24</v>
      </c>
    </row>
    <row r="12722" customFormat="false" ht="15" hidden="true" customHeight="false" outlineLevel="0" collapsed="false">
      <c r="A12722" s="51" t="s">
        <v>712</v>
      </c>
      <c r="B12722" s="55" t="n">
        <v>46111</v>
      </c>
      <c r="C12722" s="51" t="s">
        <v>73</v>
      </c>
      <c r="D12722" s="51" t="n">
        <v>0</v>
      </c>
    </row>
    <row r="12723" customFormat="false" ht="15" hidden="true" customHeight="false" outlineLevel="0" collapsed="false">
      <c r="A12723" s="51" t="s">
        <v>717</v>
      </c>
      <c r="B12723" s="55" t="n">
        <v>46111</v>
      </c>
      <c r="C12723" s="51" t="s">
        <v>73</v>
      </c>
      <c r="D12723" s="51" t="n">
        <v>300000</v>
      </c>
    </row>
    <row r="12724" customFormat="false" ht="15" hidden="true" customHeight="false" outlineLevel="0" collapsed="false">
      <c r="A12724" s="51" t="s">
        <v>767</v>
      </c>
      <c r="B12724" s="55" t="n">
        <v>46111</v>
      </c>
      <c r="C12724" s="51" t="s">
        <v>73</v>
      </c>
      <c r="D12724" s="51" t="n">
        <v>0</v>
      </c>
    </row>
    <row r="12725" customFormat="false" ht="15" hidden="true" customHeight="false" outlineLevel="0" collapsed="false">
      <c r="A12725" s="51" t="s">
        <v>722</v>
      </c>
      <c r="B12725" s="55" t="n">
        <v>46111</v>
      </c>
      <c r="C12725" s="51" t="s">
        <v>73</v>
      </c>
      <c r="D12725" s="51" t="n">
        <v>0</v>
      </c>
    </row>
    <row r="12726" customFormat="false" ht="15" hidden="true" customHeight="false" outlineLevel="0" collapsed="false">
      <c r="A12726" s="51" t="s">
        <v>727</v>
      </c>
      <c r="B12726" s="55" t="n">
        <v>46111</v>
      </c>
      <c r="C12726" s="51" t="s">
        <v>73</v>
      </c>
      <c r="D12726" s="51" t="n">
        <v>0</v>
      </c>
    </row>
    <row r="12727" customFormat="false" ht="15" hidden="true" customHeight="false" outlineLevel="0" collapsed="false">
      <c r="A12727" s="51" t="s">
        <v>732</v>
      </c>
      <c r="B12727" s="55" t="n">
        <v>46111</v>
      </c>
      <c r="C12727" s="51" t="s">
        <v>73</v>
      </c>
      <c r="D12727" s="51" t="n">
        <v>0</v>
      </c>
    </row>
    <row r="12728" customFormat="false" ht="15" hidden="true" customHeight="false" outlineLevel="0" collapsed="false">
      <c r="A12728" s="51" t="s">
        <v>736</v>
      </c>
      <c r="B12728" s="55" t="n">
        <v>46111</v>
      </c>
      <c r="C12728" s="51" t="s">
        <v>73</v>
      </c>
      <c r="D12728" s="51" t="n">
        <v>0</v>
      </c>
    </row>
    <row r="12729" customFormat="false" ht="15" hidden="true" customHeight="false" outlineLevel="0" collapsed="false">
      <c r="A12729" s="51" t="s">
        <v>741</v>
      </c>
      <c r="B12729" s="55" t="n">
        <v>46111</v>
      </c>
      <c r="C12729" s="51" t="s">
        <v>73</v>
      </c>
      <c r="D12729" s="51" t="n">
        <v>0</v>
      </c>
    </row>
    <row r="12730" customFormat="false" ht="15" hidden="true" customHeight="false" outlineLevel="0" collapsed="false">
      <c r="A12730" s="51" t="s">
        <v>746</v>
      </c>
      <c r="B12730" s="55" t="n">
        <v>46111</v>
      </c>
      <c r="C12730" s="51" t="s">
        <v>73</v>
      </c>
      <c r="D12730" s="51" t="n">
        <v>0</v>
      </c>
    </row>
    <row r="12731" customFormat="false" ht="15" hidden="true" customHeight="false" outlineLevel="0" collapsed="false">
      <c r="A12731" s="51" t="s">
        <v>751</v>
      </c>
      <c r="B12731" s="55" t="n">
        <v>46111</v>
      </c>
      <c r="C12731" s="51" t="s">
        <v>73</v>
      </c>
      <c r="D12731" s="51" t="n">
        <v>0</v>
      </c>
    </row>
    <row r="12732" customFormat="false" ht="15" hidden="false" customHeight="false" outlineLevel="0" collapsed="false">
      <c r="A12732" s="51" t="s">
        <v>781</v>
      </c>
      <c r="B12732" s="55" t="n">
        <v>46111</v>
      </c>
      <c r="C12732" s="51" t="s">
        <v>791</v>
      </c>
      <c r="D12732" s="51" t="n">
        <v>0</v>
      </c>
    </row>
    <row r="12733" customFormat="false" ht="15" hidden="true" customHeight="false" outlineLevel="0" collapsed="false">
      <c r="A12733" s="51" t="s">
        <v>783</v>
      </c>
      <c r="B12733" s="55" t="n">
        <v>46111</v>
      </c>
      <c r="C12733" s="51" t="s">
        <v>791</v>
      </c>
      <c r="D12733" s="51" t="n">
        <v>0</v>
      </c>
    </row>
    <row r="12734" customFormat="false" ht="15" hidden="true" customHeight="false" outlineLevel="0" collapsed="false">
      <c r="A12734" s="51" t="s">
        <v>96</v>
      </c>
      <c r="B12734" s="55" t="n">
        <v>46111</v>
      </c>
      <c r="C12734" s="51" t="s">
        <v>791</v>
      </c>
      <c r="D12734" s="51" t="n">
        <v>0</v>
      </c>
    </row>
    <row r="12735" customFormat="false" ht="15" hidden="true" customHeight="false" outlineLevel="0" collapsed="false">
      <c r="A12735" s="51" t="s">
        <v>101</v>
      </c>
      <c r="B12735" s="55" t="n">
        <v>46111</v>
      </c>
      <c r="C12735" s="51" t="s">
        <v>791</v>
      </c>
      <c r="D12735" s="51" t="n">
        <v>0</v>
      </c>
    </row>
    <row r="12736" customFormat="false" ht="15" hidden="true" customHeight="false" outlineLevel="0" collapsed="false">
      <c r="A12736" s="51" t="s">
        <v>106</v>
      </c>
      <c r="B12736" s="55" t="n">
        <v>46111</v>
      </c>
      <c r="C12736" s="51" t="s">
        <v>791</v>
      </c>
      <c r="D12736" s="51" t="n">
        <v>0</v>
      </c>
    </row>
    <row r="12737" customFormat="false" ht="15" hidden="true" customHeight="false" outlineLevel="0" collapsed="false">
      <c r="A12737" s="51" t="s">
        <v>110</v>
      </c>
      <c r="B12737" s="55" t="n">
        <v>46111</v>
      </c>
      <c r="C12737" s="51" t="s">
        <v>791</v>
      </c>
      <c r="D12737" s="51" t="n">
        <v>0</v>
      </c>
    </row>
    <row r="12738" customFormat="false" ht="15" hidden="true" customHeight="false" outlineLevel="0" collapsed="false">
      <c r="A12738" s="51" t="s">
        <v>115</v>
      </c>
      <c r="B12738" s="55" t="n">
        <v>46111</v>
      </c>
      <c r="C12738" s="51" t="s">
        <v>791</v>
      </c>
      <c r="D12738" s="51" t="n">
        <v>0</v>
      </c>
    </row>
    <row r="12739" customFormat="false" ht="15" hidden="true" customHeight="false" outlineLevel="0" collapsed="false">
      <c r="A12739" s="51" t="s">
        <v>120</v>
      </c>
      <c r="B12739" s="55" t="n">
        <v>46111</v>
      </c>
      <c r="C12739" s="51" t="s">
        <v>791</v>
      </c>
      <c r="D12739" s="51" t="n">
        <v>0</v>
      </c>
    </row>
    <row r="12740" customFormat="false" ht="15" hidden="true" customHeight="false" outlineLevel="0" collapsed="false">
      <c r="A12740" s="51" t="s">
        <v>124</v>
      </c>
      <c r="B12740" s="55" t="n">
        <v>46111</v>
      </c>
      <c r="C12740" s="51" t="s">
        <v>791</v>
      </c>
      <c r="D12740" s="51" t="n">
        <v>0</v>
      </c>
    </row>
    <row r="12741" customFormat="false" ht="15" hidden="true" customHeight="false" outlineLevel="0" collapsed="false">
      <c r="A12741" s="51" t="s">
        <v>129</v>
      </c>
      <c r="B12741" s="55" t="n">
        <v>46111</v>
      </c>
      <c r="C12741" s="51" t="s">
        <v>791</v>
      </c>
      <c r="D12741" s="51" t="n">
        <v>0</v>
      </c>
    </row>
    <row r="12742" customFormat="false" ht="15" hidden="true" customHeight="false" outlineLevel="0" collapsed="false">
      <c r="A12742" s="51" t="s">
        <v>134</v>
      </c>
      <c r="B12742" s="55" t="n">
        <v>46111</v>
      </c>
      <c r="C12742" s="51" t="s">
        <v>791</v>
      </c>
      <c r="D12742" s="51" t="n">
        <v>0</v>
      </c>
    </row>
    <row r="12743" customFormat="false" ht="15" hidden="true" customHeight="false" outlineLevel="0" collapsed="false">
      <c r="A12743" s="51" t="s">
        <v>141</v>
      </c>
      <c r="B12743" s="55" t="n">
        <v>46111</v>
      </c>
      <c r="C12743" s="51" t="s">
        <v>791</v>
      </c>
      <c r="D12743" s="51" t="n">
        <v>0</v>
      </c>
    </row>
    <row r="12744" customFormat="false" ht="15" hidden="true" customHeight="false" outlineLevel="0" collapsed="false">
      <c r="A12744" s="51" t="s">
        <v>146</v>
      </c>
      <c r="B12744" s="55" t="n">
        <v>46111</v>
      </c>
      <c r="C12744" s="51" t="s">
        <v>791</v>
      </c>
      <c r="D12744" s="51" t="n">
        <v>0</v>
      </c>
    </row>
    <row r="12745" customFormat="false" ht="15" hidden="true" customHeight="false" outlineLevel="0" collapsed="false">
      <c r="A12745" s="51" t="s">
        <v>151</v>
      </c>
      <c r="B12745" s="55" t="n">
        <v>46111</v>
      </c>
      <c r="C12745" s="51" t="s">
        <v>791</v>
      </c>
      <c r="D12745" s="51" t="n">
        <v>0</v>
      </c>
    </row>
    <row r="12746" customFormat="false" ht="15" hidden="true" customHeight="false" outlineLevel="0" collapsed="false">
      <c r="A12746" s="51" t="s">
        <v>156</v>
      </c>
      <c r="B12746" s="55" t="n">
        <v>46111</v>
      </c>
      <c r="C12746" s="51" t="s">
        <v>791</v>
      </c>
      <c r="D12746" s="51" t="n">
        <v>0</v>
      </c>
    </row>
    <row r="12747" customFormat="false" ht="15" hidden="true" customHeight="false" outlineLevel="0" collapsed="false">
      <c r="A12747" s="51" t="s">
        <v>161</v>
      </c>
      <c r="B12747" s="55" t="n">
        <v>46111</v>
      </c>
      <c r="C12747" s="51" t="s">
        <v>791</v>
      </c>
      <c r="D12747" s="51" t="n">
        <v>0</v>
      </c>
    </row>
    <row r="12748" customFormat="false" ht="15" hidden="true" customHeight="false" outlineLevel="0" collapsed="false">
      <c r="A12748" s="51" t="s">
        <v>166</v>
      </c>
      <c r="B12748" s="55" t="n">
        <v>46111</v>
      </c>
      <c r="C12748" s="51" t="s">
        <v>791</v>
      </c>
      <c r="D12748" s="51" t="n">
        <v>0</v>
      </c>
    </row>
    <row r="12749" customFormat="false" ht="15" hidden="true" customHeight="false" outlineLevel="0" collapsed="false">
      <c r="A12749" s="51" t="s">
        <v>171</v>
      </c>
      <c r="B12749" s="55" t="n">
        <v>46111</v>
      </c>
      <c r="C12749" s="51" t="s">
        <v>791</v>
      </c>
      <c r="D12749" s="51" t="n">
        <v>0</v>
      </c>
    </row>
    <row r="12750" customFormat="false" ht="15" hidden="true" customHeight="false" outlineLevel="0" collapsed="false">
      <c r="A12750" s="51" t="s">
        <v>176</v>
      </c>
      <c r="B12750" s="55" t="n">
        <v>46111</v>
      </c>
      <c r="C12750" s="51" t="s">
        <v>791</v>
      </c>
      <c r="D12750" s="51" t="n">
        <v>0</v>
      </c>
    </row>
    <row r="12751" customFormat="false" ht="15" hidden="true" customHeight="false" outlineLevel="0" collapsed="false">
      <c r="A12751" s="51" t="s">
        <v>181</v>
      </c>
      <c r="B12751" s="55" t="n">
        <v>46111</v>
      </c>
      <c r="C12751" s="51" t="s">
        <v>791</v>
      </c>
      <c r="D12751" s="51" t="n">
        <v>0</v>
      </c>
    </row>
    <row r="12752" customFormat="false" ht="15" hidden="true" customHeight="false" outlineLevel="0" collapsed="false">
      <c r="A12752" s="51" t="s">
        <v>186</v>
      </c>
      <c r="B12752" s="55" t="n">
        <v>46111</v>
      </c>
      <c r="C12752" s="51" t="s">
        <v>791</v>
      </c>
      <c r="D12752" s="51" t="n">
        <v>0</v>
      </c>
    </row>
    <row r="12753" customFormat="false" ht="15" hidden="true" customHeight="false" outlineLevel="0" collapsed="false">
      <c r="A12753" s="51" t="s">
        <v>191</v>
      </c>
      <c r="B12753" s="55" t="n">
        <v>46111</v>
      </c>
      <c r="C12753" s="51" t="s">
        <v>791</v>
      </c>
      <c r="D12753" s="51" t="n">
        <v>0</v>
      </c>
    </row>
    <row r="12754" customFormat="false" ht="15" hidden="true" customHeight="false" outlineLevel="0" collapsed="false">
      <c r="A12754" s="51" t="s">
        <v>196</v>
      </c>
      <c r="B12754" s="55" t="n">
        <v>46111</v>
      </c>
      <c r="C12754" s="51" t="s">
        <v>791</v>
      </c>
      <c r="D12754" s="51" t="n">
        <v>0</v>
      </c>
    </row>
    <row r="12755" customFormat="false" ht="15" hidden="true" customHeight="false" outlineLevel="0" collapsed="false">
      <c r="A12755" s="51" t="s">
        <v>201</v>
      </c>
      <c r="B12755" s="55" t="n">
        <v>46111</v>
      </c>
      <c r="C12755" s="51" t="s">
        <v>791</v>
      </c>
      <c r="D12755" s="51" t="n">
        <v>0</v>
      </c>
    </row>
    <row r="12756" customFormat="false" ht="15" hidden="true" customHeight="false" outlineLevel="0" collapsed="false">
      <c r="A12756" s="51" t="s">
        <v>206</v>
      </c>
      <c r="B12756" s="55" t="n">
        <v>46111</v>
      </c>
      <c r="C12756" s="51" t="s">
        <v>791</v>
      </c>
      <c r="D12756" s="51" t="n">
        <v>0</v>
      </c>
    </row>
    <row r="12757" customFormat="false" ht="15" hidden="true" customHeight="false" outlineLevel="0" collapsed="false">
      <c r="A12757" s="51" t="s">
        <v>210</v>
      </c>
      <c r="B12757" s="55" t="n">
        <v>46111</v>
      </c>
      <c r="C12757" s="51" t="s">
        <v>791</v>
      </c>
      <c r="D12757" s="51" t="n">
        <v>0</v>
      </c>
    </row>
    <row r="12758" customFormat="false" ht="15" hidden="true" customHeight="false" outlineLevel="0" collapsed="false">
      <c r="A12758" s="51" t="s">
        <v>215</v>
      </c>
      <c r="B12758" s="55" t="n">
        <v>46111</v>
      </c>
      <c r="C12758" s="51" t="s">
        <v>791</v>
      </c>
      <c r="D12758" s="51" t="n">
        <v>0</v>
      </c>
    </row>
    <row r="12759" customFormat="false" ht="15" hidden="true" customHeight="false" outlineLevel="0" collapsed="false">
      <c r="A12759" s="51" t="s">
        <v>790</v>
      </c>
      <c r="B12759" s="55" t="n">
        <v>46111</v>
      </c>
      <c r="C12759" s="51" t="s">
        <v>791</v>
      </c>
      <c r="D12759" s="51" t="n">
        <v>0</v>
      </c>
    </row>
    <row r="12760" customFormat="false" ht="15" hidden="true" customHeight="false" outlineLevel="0" collapsed="false">
      <c r="A12760" s="51" t="s">
        <v>225</v>
      </c>
      <c r="B12760" s="55" t="n">
        <v>46111</v>
      </c>
      <c r="C12760" s="51" t="s">
        <v>791</v>
      </c>
      <c r="D12760" s="51" t="n">
        <v>0</v>
      </c>
    </row>
    <row r="12761" customFormat="false" ht="15" hidden="true" customHeight="false" outlineLevel="0" collapsed="false">
      <c r="A12761" s="51" t="s">
        <v>230</v>
      </c>
      <c r="B12761" s="55" t="n">
        <v>46111</v>
      </c>
      <c r="C12761" s="51" t="s">
        <v>791</v>
      </c>
      <c r="D12761" s="51" t="n">
        <v>0</v>
      </c>
    </row>
    <row r="12762" customFormat="false" ht="15" hidden="true" customHeight="false" outlineLevel="0" collapsed="false">
      <c r="A12762" s="51" t="s">
        <v>235</v>
      </c>
      <c r="B12762" s="55" t="n">
        <v>46111</v>
      </c>
      <c r="C12762" s="51" t="s">
        <v>791</v>
      </c>
      <c r="D12762" s="51" t="n">
        <v>0</v>
      </c>
    </row>
    <row r="12763" customFormat="false" ht="15" hidden="true" customHeight="false" outlineLevel="0" collapsed="false">
      <c r="A12763" s="51" t="s">
        <v>240</v>
      </c>
      <c r="B12763" s="55" t="n">
        <v>46111</v>
      </c>
      <c r="C12763" s="51" t="s">
        <v>791</v>
      </c>
      <c r="D12763" s="51" t="n">
        <v>0</v>
      </c>
    </row>
    <row r="12764" customFormat="false" ht="15" hidden="true" customHeight="false" outlineLevel="0" collapsed="false">
      <c r="A12764" s="51" t="s">
        <v>246</v>
      </c>
      <c r="B12764" s="55" t="n">
        <v>46111</v>
      </c>
      <c r="C12764" s="51" t="s">
        <v>791</v>
      </c>
      <c r="D12764" s="51" t="n">
        <v>0</v>
      </c>
    </row>
    <row r="12765" customFormat="false" ht="15" hidden="true" customHeight="false" outlineLevel="0" collapsed="false">
      <c r="A12765" s="51" t="s">
        <v>252</v>
      </c>
      <c r="B12765" s="55" t="n">
        <v>46111</v>
      </c>
      <c r="C12765" s="51" t="s">
        <v>791</v>
      </c>
      <c r="D12765" s="51" t="n">
        <v>0</v>
      </c>
    </row>
    <row r="12766" customFormat="false" ht="15" hidden="true" customHeight="false" outlineLevel="0" collapsed="false">
      <c r="A12766" s="51" t="s">
        <v>257</v>
      </c>
      <c r="B12766" s="55" t="n">
        <v>46111</v>
      </c>
      <c r="C12766" s="51" t="s">
        <v>791</v>
      </c>
      <c r="D12766" s="51" t="n">
        <v>0</v>
      </c>
    </row>
    <row r="12767" customFormat="false" ht="15" hidden="true" customHeight="false" outlineLevel="0" collapsed="false">
      <c r="A12767" s="51" t="s">
        <v>262</v>
      </c>
      <c r="B12767" s="55" t="n">
        <v>46111</v>
      </c>
      <c r="C12767" s="51" t="s">
        <v>791</v>
      </c>
      <c r="D12767" s="51" t="n">
        <v>0</v>
      </c>
    </row>
    <row r="12768" customFormat="false" ht="15" hidden="true" customHeight="false" outlineLevel="0" collapsed="false">
      <c r="A12768" s="51" t="s">
        <v>267</v>
      </c>
      <c r="B12768" s="55" t="n">
        <v>46111</v>
      </c>
      <c r="C12768" s="51" t="s">
        <v>791</v>
      </c>
      <c r="D12768" s="51" t="n">
        <v>0</v>
      </c>
    </row>
    <row r="12769" customFormat="false" ht="15" hidden="true" customHeight="false" outlineLevel="0" collapsed="false">
      <c r="A12769" s="51" t="s">
        <v>272</v>
      </c>
      <c r="B12769" s="55" t="n">
        <v>46111</v>
      </c>
      <c r="C12769" s="51" t="s">
        <v>791</v>
      </c>
      <c r="D12769" s="51" t="n">
        <v>0</v>
      </c>
    </row>
    <row r="12770" customFormat="false" ht="15" hidden="true" customHeight="false" outlineLevel="0" collapsed="false">
      <c r="A12770" s="51" t="s">
        <v>277</v>
      </c>
      <c r="B12770" s="55" t="n">
        <v>46111</v>
      </c>
      <c r="C12770" s="51" t="s">
        <v>791</v>
      </c>
      <c r="D12770" s="51" t="n">
        <v>0</v>
      </c>
    </row>
    <row r="12771" customFormat="false" ht="15" hidden="true" customHeight="false" outlineLevel="0" collapsed="false">
      <c r="A12771" s="51" t="s">
        <v>282</v>
      </c>
      <c r="B12771" s="55" t="n">
        <v>46111</v>
      </c>
      <c r="C12771" s="51" t="s">
        <v>791</v>
      </c>
      <c r="D12771" s="51" t="n">
        <v>0</v>
      </c>
    </row>
    <row r="12772" customFormat="false" ht="15" hidden="true" customHeight="false" outlineLevel="0" collapsed="false">
      <c r="A12772" s="51" t="s">
        <v>287</v>
      </c>
      <c r="B12772" s="55" t="n">
        <v>46111</v>
      </c>
      <c r="C12772" s="51" t="s">
        <v>791</v>
      </c>
      <c r="D12772" s="51" t="n">
        <v>0</v>
      </c>
    </row>
    <row r="12773" customFormat="false" ht="15" hidden="true" customHeight="false" outlineLevel="0" collapsed="false">
      <c r="A12773" s="51" t="s">
        <v>292</v>
      </c>
      <c r="B12773" s="55" t="n">
        <v>46111</v>
      </c>
      <c r="C12773" s="51" t="s">
        <v>791</v>
      </c>
      <c r="D12773" s="51" t="n">
        <v>0</v>
      </c>
    </row>
    <row r="12774" customFormat="false" ht="15" hidden="true" customHeight="false" outlineLevel="0" collapsed="false">
      <c r="A12774" s="51" t="s">
        <v>297</v>
      </c>
      <c r="B12774" s="55" t="n">
        <v>46111</v>
      </c>
      <c r="C12774" s="51" t="s">
        <v>791</v>
      </c>
      <c r="D12774" s="51" t="n">
        <v>0</v>
      </c>
    </row>
    <row r="12775" customFormat="false" ht="15" hidden="true" customHeight="false" outlineLevel="0" collapsed="false">
      <c r="A12775" s="51" t="s">
        <v>302</v>
      </c>
      <c r="B12775" s="55" t="n">
        <v>46111</v>
      </c>
      <c r="C12775" s="51" t="s">
        <v>791</v>
      </c>
      <c r="D12775" s="51" t="n">
        <v>0</v>
      </c>
    </row>
    <row r="12776" customFormat="false" ht="15" hidden="true" customHeight="false" outlineLevel="0" collapsed="false">
      <c r="A12776" s="51" t="s">
        <v>307</v>
      </c>
      <c r="B12776" s="55" t="n">
        <v>46111</v>
      </c>
      <c r="C12776" s="51" t="s">
        <v>791</v>
      </c>
      <c r="D12776" s="51" t="n">
        <v>0</v>
      </c>
    </row>
    <row r="12777" customFormat="false" ht="15" hidden="true" customHeight="false" outlineLevel="0" collapsed="false">
      <c r="A12777" s="51" t="s">
        <v>311</v>
      </c>
      <c r="B12777" s="55" t="n">
        <v>46111</v>
      </c>
      <c r="C12777" s="51" t="s">
        <v>791</v>
      </c>
      <c r="D12777" s="51" t="n">
        <v>0</v>
      </c>
    </row>
    <row r="12778" customFormat="false" ht="15" hidden="true" customHeight="false" outlineLevel="0" collapsed="false">
      <c r="A12778" s="51" t="s">
        <v>317</v>
      </c>
      <c r="B12778" s="55" t="n">
        <v>46111</v>
      </c>
      <c r="C12778" s="51" t="s">
        <v>791</v>
      </c>
      <c r="D12778" s="51" t="n">
        <v>0</v>
      </c>
    </row>
    <row r="12779" customFormat="false" ht="15" hidden="true" customHeight="false" outlineLevel="0" collapsed="false">
      <c r="A12779" s="51" t="s">
        <v>322</v>
      </c>
      <c r="B12779" s="55" t="n">
        <v>46111</v>
      </c>
      <c r="C12779" s="51" t="s">
        <v>791</v>
      </c>
      <c r="D12779" s="51" t="n">
        <v>0</v>
      </c>
    </row>
    <row r="12780" customFormat="false" ht="15" hidden="true" customHeight="false" outlineLevel="0" collapsed="false">
      <c r="A12780" s="51" t="s">
        <v>327</v>
      </c>
      <c r="B12780" s="55" t="n">
        <v>46111</v>
      </c>
      <c r="C12780" s="51" t="s">
        <v>791</v>
      </c>
      <c r="D12780" s="51" t="n">
        <v>0</v>
      </c>
    </row>
    <row r="12781" customFormat="false" ht="15" hidden="true" customHeight="false" outlineLevel="0" collapsed="false">
      <c r="A12781" s="51" t="s">
        <v>332</v>
      </c>
      <c r="B12781" s="55" t="n">
        <v>46111</v>
      </c>
      <c r="C12781" s="51" t="s">
        <v>791</v>
      </c>
      <c r="D12781" s="51" t="n">
        <v>0</v>
      </c>
    </row>
    <row r="12782" customFormat="false" ht="15" hidden="true" customHeight="false" outlineLevel="0" collapsed="false">
      <c r="A12782" s="51" t="s">
        <v>339</v>
      </c>
      <c r="B12782" s="55" t="n">
        <v>46111</v>
      </c>
      <c r="C12782" s="51" t="s">
        <v>791</v>
      </c>
      <c r="D12782" s="51" t="n">
        <v>0</v>
      </c>
    </row>
    <row r="12783" customFormat="false" ht="15" hidden="true" customHeight="false" outlineLevel="0" collapsed="false">
      <c r="A12783" s="51" t="s">
        <v>344</v>
      </c>
      <c r="B12783" s="55" t="n">
        <v>46111</v>
      </c>
      <c r="C12783" s="51" t="s">
        <v>791</v>
      </c>
      <c r="D12783" s="51" t="n">
        <v>0</v>
      </c>
    </row>
    <row r="12784" customFormat="false" ht="15" hidden="true" customHeight="false" outlineLevel="0" collapsed="false">
      <c r="A12784" s="51" t="s">
        <v>349</v>
      </c>
      <c r="B12784" s="55" t="n">
        <v>46111</v>
      </c>
      <c r="C12784" s="51" t="s">
        <v>791</v>
      </c>
      <c r="D12784" s="51" t="n">
        <v>0</v>
      </c>
    </row>
    <row r="12785" customFormat="false" ht="15" hidden="true" customHeight="false" outlineLevel="0" collapsed="false">
      <c r="A12785" s="51" t="s">
        <v>354</v>
      </c>
      <c r="B12785" s="55" t="n">
        <v>46111</v>
      </c>
      <c r="C12785" s="51" t="s">
        <v>791</v>
      </c>
      <c r="D12785" s="51" t="n">
        <v>0</v>
      </c>
    </row>
    <row r="12786" customFormat="false" ht="15" hidden="true" customHeight="false" outlineLevel="0" collapsed="false">
      <c r="A12786" s="51" t="s">
        <v>359</v>
      </c>
      <c r="B12786" s="55" t="n">
        <v>46111</v>
      </c>
      <c r="C12786" s="51" t="s">
        <v>791</v>
      </c>
      <c r="D12786" s="51" t="n">
        <v>0</v>
      </c>
    </row>
    <row r="12787" customFormat="false" ht="15" hidden="true" customHeight="false" outlineLevel="0" collapsed="false">
      <c r="A12787" s="51" t="s">
        <v>364</v>
      </c>
      <c r="B12787" s="55" t="n">
        <v>46111</v>
      </c>
      <c r="C12787" s="51" t="s">
        <v>791</v>
      </c>
      <c r="D12787" s="51" t="n">
        <v>0</v>
      </c>
    </row>
    <row r="12788" customFormat="false" ht="15" hidden="true" customHeight="false" outlineLevel="0" collapsed="false">
      <c r="A12788" s="51" t="s">
        <v>369</v>
      </c>
      <c r="B12788" s="55" t="n">
        <v>46111</v>
      </c>
      <c r="C12788" s="51" t="s">
        <v>791</v>
      </c>
      <c r="D12788" s="51" t="n">
        <v>0</v>
      </c>
    </row>
    <row r="12789" customFormat="false" ht="15" hidden="true" customHeight="false" outlineLevel="0" collapsed="false">
      <c r="A12789" s="51" t="s">
        <v>374</v>
      </c>
      <c r="B12789" s="55" t="n">
        <v>46111</v>
      </c>
      <c r="C12789" s="51" t="s">
        <v>791</v>
      </c>
      <c r="D12789" s="51" t="n">
        <v>0</v>
      </c>
    </row>
    <row r="12790" customFormat="false" ht="15" hidden="true" customHeight="false" outlineLevel="0" collapsed="false">
      <c r="A12790" s="51" t="s">
        <v>379</v>
      </c>
      <c r="B12790" s="55" t="n">
        <v>46111</v>
      </c>
      <c r="C12790" s="51" t="s">
        <v>791</v>
      </c>
      <c r="D12790" s="51" t="n">
        <v>0</v>
      </c>
    </row>
    <row r="12791" customFormat="false" ht="15" hidden="true" customHeight="false" outlineLevel="0" collapsed="false">
      <c r="A12791" s="51" t="s">
        <v>384</v>
      </c>
      <c r="B12791" s="55" t="n">
        <v>46111</v>
      </c>
      <c r="C12791" s="51" t="s">
        <v>791</v>
      </c>
      <c r="D12791" s="51" t="n">
        <v>0</v>
      </c>
    </row>
    <row r="12792" customFormat="false" ht="15" hidden="true" customHeight="false" outlineLevel="0" collapsed="false">
      <c r="A12792" s="51" t="s">
        <v>389</v>
      </c>
      <c r="B12792" s="55" t="n">
        <v>46111</v>
      </c>
      <c r="C12792" s="51" t="s">
        <v>791</v>
      </c>
      <c r="D12792" s="51" t="n">
        <v>0</v>
      </c>
    </row>
    <row r="12793" customFormat="false" ht="15" hidden="true" customHeight="false" outlineLevel="0" collapsed="false">
      <c r="A12793" s="51" t="s">
        <v>394</v>
      </c>
      <c r="B12793" s="55" t="n">
        <v>46111</v>
      </c>
      <c r="C12793" s="51" t="s">
        <v>791</v>
      </c>
      <c r="D12793" s="51" t="n">
        <v>0</v>
      </c>
    </row>
    <row r="12794" customFormat="false" ht="15" hidden="true" customHeight="false" outlineLevel="0" collapsed="false">
      <c r="A12794" s="51" t="s">
        <v>399</v>
      </c>
      <c r="B12794" s="55" t="n">
        <v>46111</v>
      </c>
      <c r="C12794" s="51" t="s">
        <v>791</v>
      </c>
      <c r="D12794" s="51" t="n">
        <v>0</v>
      </c>
    </row>
    <row r="12795" customFormat="false" ht="15" hidden="true" customHeight="false" outlineLevel="0" collapsed="false">
      <c r="A12795" s="51" t="s">
        <v>404</v>
      </c>
      <c r="B12795" s="55" t="n">
        <v>46111</v>
      </c>
      <c r="C12795" s="51" t="s">
        <v>791</v>
      </c>
      <c r="D12795" s="51" t="n">
        <v>0</v>
      </c>
    </row>
    <row r="12796" customFormat="false" ht="15" hidden="true" customHeight="false" outlineLevel="0" collapsed="false">
      <c r="A12796" s="51" t="s">
        <v>409</v>
      </c>
      <c r="B12796" s="55" t="n">
        <v>46111</v>
      </c>
      <c r="C12796" s="51" t="s">
        <v>791</v>
      </c>
      <c r="D12796" s="51" t="n">
        <v>0</v>
      </c>
    </row>
    <row r="12797" customFormat="false" ht="15" hidden="true" customHeight="false" outlineLevel="0" collapsed="false">
      <c r="A12797" s="51" t="s">
        <v>414</v>
      </c>
      <c r="B12797" s="55" t="n">
        <v>46111</v>
      </c>
      <c r="C12797" s="51" t="s">
        <v>791</v>
      </c>
      <c r="D12797" s="51" t="n">
        <v>0</v>
      </c>
    </row>
    <row r="12798" customFormat="false" ht="15" hidden="true" customHeight="false" outlineLevel="0" collapsed="false">
      <c r="A12798" s="51" t="s">
        <v>419</v>
      </c>
      <c r="B12798" s="55" t="n">
        <v>46111</v>
      </c>
      <c r="C12798" s="51" t="s">
        <v>791</v>
      </c>
      <c r="D12798" s="51" t="n">
        <v>0</v>
      </c>
    </row>
    <row r="12799" customFormat="false" ht="15" hidden="true" customHeight="false" outlineLevel="0" collapsed="false">
      <c r="A12799" s="51" t="s">
        <v>424</v>
      </c>
      <c r="B12799" s="55" t="n">
        <v>46111</v>
      </c>
      <c r="C12799" s="51" t="s">
        <v>791</v>
      </c>
      <c r="D12799" s="51" t="n">
        <v>0</v>
      </c>
    </row>
    <row r="12800" customFormat="false" ht="15" hidden="true" customHeight="false" outlineLevel="0" collapsed="false">
      <c r="A12800" s="51" t="s">
        <v>429</v>
      </c>
      <c r="B12800" s="55" t="n">
        <v>46111</v>
      </c>
      <c r="C12800" s="51" t="s">
        <v>791</v>
      </c>
      <c r="D12800" s="51" t="n">
        <v>0</v>
      </c>
    </row>
    <row r="12801" customFormat="false" ht="15" hidden="true" customHeight="false" outlineLevel="0" collapsed="false">
      <c r="A12801" s="51" t="s">
        <v>434</v>
      </c>
      <c r="B12801" s="55" t="n">
        <v>46111</v>
      </c>
      <c r="C12801" s="51" t="s">
        <v>791</v>
      </c>
      <c r="D12801" s="51" t="n">
        <v>0</v>
      </c>
    </row>
    <row r="12802" customFormat="false" ht="15" hidden="true" customHeight="false" outlineLevel="0" collapsed="false">
      <c r="A12802" s="51" t="s">
        <v>438</v>
      </c>
      <c r="B12802" s="55" t="n">
        <v>46111</v>
      </c>
      <c r="C12802" s="51" t="s">
        <v>791</v>
      </c>
      <c r="D12802" s="51" t="n">
        <v>0</v>
      </c>
    </row>
    <row r="12803" customFormat="false" ht="15" hidden="true" customHeight="false" outlineLevel="0" collapsed="false">
      <c r="A12803" s="51" t="s">
        <v>443</v>
      </c>
      <c r="B12803" s="55" t="n">
        <v>46111</v>
      </c>
      <c r="C12803" s="51" t="s">
        <v>791</v>
      </c>
      <c r="D12803" s="51" t="n">
        <v>0</v>
      </c>
    </row>
    <row r="12804" customFormat="false" ht="15" hidden="true" customHeight="false" outlineLevel="0" collapsed="false">
      <c r="A12804" s="51" t="s">
        <v>448</v>
      </c>
      <c r="B12804" s="55" t="n">
        <v>46111</v>
      </c>
      <c r="C12804" s="51" t="s">
        <v>791</v>
      </c>
      <c r="D12804" s="51" t="n">
        <v>0</v>
      </c>
    </row>
    <row r="12805" customFormat="false" ht="15" hidden="true" customHeight="false" outlineLevel="0" collapsed="false">
      <c r="A12805" s="51" t="s">
        <v>453</v>
      </c>
      <c r="B12805" s="55" t="n">
        <v>46111</v>
      </c>
      <c r="C12805" s="51" t="s">
        <v>791</v>
      </c>
      <c r="D12805" s="51" t="n">
        <v>-1000000</v>
      </c>
    </row>
    <row r="12806" customFormat="false" ht="15" hidden="true" customHeight="false" outlineLevel="0" collapsed="false">
      <c r="A12806" s="51" t="s">
        <v>458</v>
      </c>
      <c r="B12806" s="55" t="n">
        <v>46111</v>
      </c>
      <c r="C12806" s="51" t="s">
        <v>791</v>
      </c>
      <c r="D12806" s="51" t="n">
        <v>-1000000</v>
      </c>
    </row>
    <row r="12807" customFormat="false" ht="15" hidden="true" customHeight="false" outlineLevel="0" collapsed="false">
      <c r="A12807" s="51" t="s">
        <v>473</v>
      </c>
      <c r="B12807" s="55" t="n">
        <v>46111</v>
      </c>
      <c r="C12807" s="51" t="s">
        <v>791</v>
      </c>
      <c r="D12807" s="51" t="n">
        <v>0</v>
      </c>
    </row>
    <row r="12808" customFormat="false" ht="15" hidden="true" customHeight="false" outlineLevel="0" collapsed="false">
      <c r="A12808" s="51" t="s">
        <v>479</v>
      </c>
      <c r="B12808" s="55" t="n">
        <v>46111</v>
      </c>
      <c r="C12808" s="51" t="s">
        <v>791</v>
      </c>
      <c r="D12808" s="51" t="n">
        <v>0</v>
      </c>
    </row>
    <row r="12809" customFormat="false" ht="15" hidden="true" customHeight="false" outlineLevel="0" collapsed="false">
      <c r="A12809" s="51" t="s">
        <v>484</v>
      </c>
      <c r="B12809" s="55" t="n">
        <v>46111</v>
      </c>
      <c r="C12809" s="51" t="s">
        <v>791</v>
      </c>
      <c r="D12809" s="51" t="n">
        <v>0</v>
      </c>
    </row>
    <row r="12810" customFormat="false" ht="15" hidden="true" customHeight="false" outlineLevel="0" collapsed="false">
      <c r="A12810" s="51" t="s">
        <v>489</v>
      </c>
      <c r="B12810" s="55" t="n">
        <v>46111</v>
      </c>
      <c r="C12810" s="51" t="s">
        <v>791</v>
      </c>
      <c r="D12810" s="51" t="n">
        <v>0</v>
      </c>
    </row>
    <row r="12811" customFormat="false" ht="15" hidden="true" customHeight="false" outlineLevel="0" collapsed="false">
      <c r="A12811" s="51" t="s">
        <v>494</v>
      </c>
      <c r="B12811" s="55" t="n">
        <v>46111</v>
      </c>
      <c r="C12811" s="51" t="s">
        <v>791</v>
      </c>
      <c r="D12811" s="51" t="n">
        <v>0</v>
      </c>
    </row>
    <row r="12812" customFormat="false" ht="15" hidden="true" customHeight="false" outlineLevel="0" collapsed="false">
      <c r="A12812" s="51" t="s">
        <v>499</v>
      </c>
      <c r="B12812" s="55" t="n">
        <v>46111</v>
      </c>
      <c r="C12812" s="51" t="s">
        <v>791</v>
      </c>
      <c r="D12812" s="51" t="n">
        <v>0</v>
      </c>
    </row>
    <row r="12813" customFormat="false" ht="15" hidden="true" customHeight="false" outlineLevel="0" collapsed="false">
      <c r="A12813" s="51" t="s">
        <v>504</v>
      </c>
      <c r="B12813" s="55" t="n">
        <v>46111</v>
      </c>
      <c r="C12813" s="51" t="s">
        <v>791</v>
      </c>
      <c r="D12813" s="51" t="n">
        <v>0</v>
      </c>
    </row>
    <row r="12814" customFormat="false" ht="15" hidden="true" customHeight="false" outlineLevel="0" collapsed="false">
      <c r="A12814" s="51" t="s">
        <v>509</v>
      </c>
      <c r="B12814" s="55" t="n">
        <v>46111</v>
      </c>
      <c r="C12814" s="51" t="s">
        <v>791</v>
      </c>
      <c r="D12814" s="51" t="n">
        <v>0</v>
      </c>
    </row>
    <row r="12815" customFormat="false" ht="15" hidden="true" customHeight="false" outlineLevel="0" collapsed="false">
      <c r="A12815" s="51" t="s">
        <v>515</v>
      </c>
      <c r="B12815" s="55" t="n">
        <v>46111</v>
      </c>
      <c r="C12815" s="51" t="s">
        <v>791</v>
      </c>
      <c r="D12815" s="51" t="n">
        <v>0</v>
      </c>
    </row>
    <row r="12816" customFormat="false" ht="15" hidden="true" customHeight="false" outlineLevel="0" collapsed="false">
      <c r="A12816" s="51" t="s">
        <v>520</v>
      </c>
      <c r="B12816" s="55" t="n">
        <v>46111</v>
      </c>
      <c r="C12816" s="51" t="s">
        <v>791</v>
      </c>
      <c r="D12816" s="51" t="n">
        <v>0</v>
      </c>
    </row>
    <row r="12817" customFormat="false" ht="15" hidden="true" customHeight="false" outlineLevel="0" collapsed="false">
      <c r="A12817" s="51" t="s">
        <v>525</v>
      </c>
      <c r="B12817" s="55" t="n">
        <v>46111</v>
      </c>
      <c r="C12817" s="51" t="s">
        <v>791</v>
      </c>
      <c r="D12817" s="51" t="n">
        <v>0</v>
      </c>
    </row>
    <row r="12818" customFormat="false" ht="15" hidden="true" customHeight="false" outlineLevel="0" collapsed="false">
      <c r="A12818" s="51" t="s">
        <v>531</v>
      </c>
      <c r="B12818" s="55" t="n">
        <v>46111</v>
      </c>
      <c r="C12818" s="51" t="s">
        <v>791</v>
      </c>
      <c r="D12818" s="51" t="n">
        <v>0</v>
      </c>
    </row>
    <row r="12819" customFormat="false" ht="15" hidden="true" customHeight="false" outlineLevel="0" collapsed="false">
      <c r="A12819" s="51" t="s">
        <v>536</v>
      </c>
      <c r="B12819" s="55" t="n">
        <v>46111</v>
      </c>
      <c r="C12819" s="51" t="s">
        <v>791</v>
      </c>
      <c r="D12819" s="51" t="n">
        <v>0</v>
      </c>
    </row>
    <row r="12820" customFormat="false" ht="15" hidden="true" customHeight="false" outlineLevel="0" collapsed="false">
      <c r="A12820" s="51" t="s">
        <v>541</v>
      </c>
      <c r="B12820" s="55" t="n">
        <v>46111</v>
      </c>
      <c r="C12820" s="51" t="s">
        <v>791</v>
      </c>
      <c r="D12820" s="51" t="n">
        <v>5279176</v>
      </c>
    </row>
    <row r="12821" customFormat="false" ht="15" hidden="true" customHeight="false" outlineLevel="0" collapsed="false">
      <c r="A12821" s="51" t="s">
        <v>549</v>
      </c>
      <c r="B12821" s="55" t="n">
        <v>46111</v>
      </c>
      <c r="C12821" s="51" t="s">
        <v>791</v>
      </c>
      <c r="D12821" s="51" t="n">
        <v>0</v>
      </c>
    </row>
    <row r="12822" customFormat="false" ht="15" hidden="true" customHeight="false" outlineLevel="0" collapsed="false">
      <c r="A12822" s="51" t="s">
        <v>554</v>
      </c>
      <c r="B12822" s="55" t="n">
        <v>46111</v>
      </c>
      <c r="C12822" s="51" t="s">
        <v>791</v>
      </c>
      <c r="D12822" s="51" t="n">
        <v>0</v>
      </c>
    </row>
    <row r="12823" customFormat="false" ht="15" hidden="true" customHeight="false" outlineLevel="0" collapsed="false">
      <c r="A12823" s="51" t="s">
        <v>559</v>
      </c>
      <c r="B12823" s="55" t="n">
        <v>46111</v>
      </c>
      <c r="C12823" s="51" t="s">
        <v>791</v>
      </c>
      <c r="D12823" s="51" t="n">
        <v>0</v>
      </c>
    </row>
    <row r="12824" customFormat="false" ht="15" hidden="true" customHeight="false" outlineLevel="0" collapsed="false">
      <c r="A12824" s="51" t="s">
        <v>564</v>
      </c>
      <c r="B12824" s="55" t="n">
        <v>46111</v>
      </c>
      <c r="C12824" s="51" t="s">
        <v>791</v>
      </c>
      <c r="D12824" s="51" t="n">
        <v>0</v>
      </c>
    </row>
    <row r="12825" customFormat="false" ht="15" hidden="true" customHeight="false" outlineLevel="0" collapsed="false">
      <c r="A12825" s="51" t="s">
        <v>569</v>
      </c>
      <c r="B12825" s="55" t="n">
        <v>46111</v>
      </c>
      <c r="C12825" s="51" t="s">
        <v>791</v>
      </c>
      <c r="D12825" s="51" t="n">
        <v>-50000</v>
      </c>
    </row>
    <row r="12826" customFormat="false" ht="15" hidden="true" customHeight="false" outlineLevel="0" collapsed="false">
      <c r="A12826" s="51" t="s">
        <v>574</v>
      </c>
      <c r="B12826" s="55" t="n">
        <v>46111</v>
      </c>
      <c r="C12826" s="51" t="s">
        <v>791</v>
      </c>
      <c r="D12826" s="51" t="n">
        <v>0</v>
      </c>
    </row>
    <row r="12827" customFormat="false" ht="15" hidden="true" customHeight="false" outlineLevel="0" collapsed="false">
      <c r="A12827" s="51" t="s">
        <v>579</v>
      </c>
      <c r="B12827" s="55" t="n">
        <v>46111</v>
      </c>
      <c r="C12827" s="51" t="s">
        <v>791</v>
      </c>
      <c r="D12827" s="51" t="n">
        <v>0</v>
      </c>
    </row>
    <row r="12828" customFormat="false" ht="15" hidden="true" customHeight="false" outlineLevel="0" collapsed="false">
      <c r="A12828" s="51" t="s">
        <v>584</v>
      </c>
      <c r="B12828" s="55" t="n">
        <v>46111</v>
      </c>
      <c r="C12828" s="51" t="s">
        <v>791</v>
      </c>
      <c r="D12828" s="51" t="n">
        <v>0</v>
      </c>
    </row>
    <row r="12829" customFormat="false" ht="15" hidden="true" customHeight="false" outlineLevel="0" collapsed="false">
      <c r="A12829" s="51" t="s">
        <v>589</v>
      </c>
      <c r="B12829" s="55" t="n">
        <v>46111</v>
      </c>
      <c r="C12829" s="51" t="s">
        <v>791</v>
      </c>
      <c r="D12829" s="51" t="n">
        <v>-800000</v>
      </c>
    </row>
    <row r="12830" customFormat="false" ht="15" hidden="true" customHeight="false" outlineLevel="0" collapsed="false">
      <c r="A12830" s="51" t="s">
        <v>756</v>
      </c>
      <c r="B12830" s="55" t="n">
        <v>46111</v>
      </c>
      <c r="C12830" s="51" t="s">
        <v>791</v>
      </c>
      <c r="D12830" s="51" t="n">
        <v>0</v>
      </c>
    </row>
    <row r="12831" customFormat="false" ht="15" hidden="true" customHeight="false" outlineLevel="0" collapsed="false">
      <c r="A12831" s="51" t="s">
        <v>594</v>
      </c>
      <c r="B12831" s="55" t="n">
        <v>46111</v>
      </c>
      <c r="C12831" s="51" t="s">
        <v>791</v>
      </c>
      <c r="D12831" s="51" t="n">
        <v>0</v>
      </c>
    </row>
    <row r="12832" customFormat="false" ht="15" hidden="true" customHeight="false" outlineLevel="0" collapsed="false">
      <c r="A12832" s="51" t="s">
        <v>761</v>
      </c>
      <c r="B12832" s="55" t="n">
        <v>46111</v>
      </c>
      <c r="C12832" s="51" t="s">
        <v>791</v>
      </c>
      <c r="D12832" s="51" t="n">
        <v>-1700571.21</v>
      </c>
    </row>
    <row r="12833" customFormat="false" ht="15" hidden="true" customHeight="false" outlineLevel="0" collapsed="false">
      <c r="A12833" s="51" t="s">
        <v>599</v>
      </c>
      <c r="B12833" s="55" t="n">
        <v>46111</v>
      </c>
      <c r="C12833" s="51" t="s">
        <v>791</v>
      </c>
      <c r="D12833" s="51" t="n">
        <v>0</v>
      </c>
    </row>
    <row r="12834" customFormat="false" ht="15" hidden="true" customHeight="false" outlineLevel="0" collapsed="false">
      <c r="A12834" s="51" t="s">
        <v>604</v>
      </c>
      <c r="B12834" s="55" t="n">
        <v>46111</v>
      </c>
      <c r="C12834" s="51" t="s">
        <v>791</v>
      </c>
      <c r="D12834" s="51" t="n">
        <v>0</v>
      </c>
    </row>
    <row r="12835" customFormat="false" ht="15" hidden="true" customHeight="false" outlineLevel="0" collapsed="false">
      <c r="A12835" s="51" t="s">
        <v>609</v>
      </c>
      <c r="B12835" s="55" t="n">
        <v>46111</v>
      </c>
      <c r="C12835" s="51" t="s">
        <v>791</v>
      </c>
      <c r="D12835" s="51" t="n">
        <v>0</v>
      </c>
    </row>
    <row r="12836" customFormat="false" ht="15" hidden="true" customHeight="false" outlineLevel="0" collapsed="false">
      <c r="A12836" s="51" t="s">
        <v>614</v>
      </c>
      <c r="B12836" s="55" t="n">
        <v>46111</v>
      </c>
      <c r="C12836" s="51" t="s">
        <v>791</v>
      </c>
      <c r="D12836" s="51" t="n">
        <v>0</v>
      </c>
    </row>
    <row r="12837" customFormat="false" ht="15" hidden="true" customHeight="false" outlineLevel="0" collapsed="false">
      <c r="A12837" s="51" t="s">
        <v>619</v>
      </c>
      <c r="B12837" s="55" t="n">
        <v>46111</v>
      </c>
      <c r="C12837" s="51" t="s">
        <v>791</v>
      </c>
      <c r="D12837" s="51" t="n">
        <v>0</v>
      </c>
    </row>
    <row r="12838" customFormat="false" ht="15" hidden="true" customHeight="false" outlineLevel="0" collapsed="false">
      <c r="A12838" s="51" t="s">
        <v>624</v>
      </c>
      <c r="B12838" s="55" t="n">
        <v>46111</v>
      </c>
      <c r="C12838" s="51" t="s">
        <v>791</v>
      </c>
      <c r="D12838" s="51" t="n">
        <v>0</v>
      </c>
    </row>
    <row r="12839" customFormat="false" ht="15" hidden="true" customHeight="false" outlineLevel="0" collapsed="false">
      <c r="A12839" s="51" t="s">
        <v>629</v>
      </c>
      <c r="B12839" s="55" t="n">
        <v>46111</v>
      </c>
      <c r="C12839" s="51" t="s">
        <v>791</v>
      </c>
      <c r="D12839" s="51" t="n">
        <v>0</v>
      </c>
    </row>
    <row r="12840" customFormat="false" ht="15" hidden="true" customHeight="false" outlineLevel="0" collapsed="false">
      <c r="A12840" s="51" t="s">
        <v>633</v>
      </c>
      <c r="B12840" s="55" t="n">
        <v>46111</v>
      </c>
      <c r="C12840" s="51" t="s">
        <v>791</v>
      </c>
      <c r="D12840" s="51" t="n">
        <v>-250000</v>
      </c>
    </row>
    <row r="12841" customFormat="false" ht="15" hidden="true" customHeight="false" outlineLevel="0" collapsed="false">
      <c r="A12841" s="51" t="s">
        <v>638</v>
      </c>
      <c r="B12841" s="55" t="n">
        <v>46111</v>
      </c>
      <c r="C12841" s="51" t="s">
        <v>791</v>
      </c>
      <c r="D12841" s="51" t="n">
        <v>-100000</v>
      </c>
    </row>
    <row r="12842" customFormat="false" ht="15" hidden="true" customHeight="false" outlineLevel="0" collapsed="false">
      <c r="A12842" s="51" t="s">
        <v>642</v>
      </c>
      <c r="B12842" s="55" t="n">
        <v>46111</v>
      </c>
      <c r="C12842" s="51" t="s">
        <v>791</v>
      </c>
      <c r="D12842" s="51" t="n">
        <v>-555000</v>
      </c>
    </row>
    <row r="12843" customFormat="false" ht="15" hidden="true" customHeight="false" outlineLevel="0" collapsed="false">
      <c r="A12843" s="51" t="s">
        <v>646</v>
      </c>
      <c r="B12843" s="55" t="n">
        <v>46111</v>
      </c>
      <c r="C12843" s="51" t="s">
        <v>791</v>
      </c>
      <c r="D12843" s="51" t="n">
        <v>0</v>
      </c>
    </row>
    <row r="12844" customFormat="false" ht="15" hidden="true" customHeight="false" outlineLevel="0" collapsed="false">
      <c r="A12844" s="51" t="s">
        <v>651</v>
      </c>
      <c r="B12844" s="55" t="n">
        <v>46111</v>
      </c>
      <c r="C12844" s="51" t="s">
        <v>791</v>
      </c>
      <c r="D12844" s="51" t="n">
        <v>0</v>
      </c>
    </row>
    <row r="12845" customFormat="false" ht="15" hidden="true" customHeight="false" outlineLevel="0" collapsed="false">
      <c r="A12845" s="51" t="s">
        <v>656</v>
      </c>
      <c r="B12845" s="55" t="n">
        <v>46111</v>
      </c>
      <c r="C12845" s="51" t="s">
        <v>791</v>
      </c>
      <c r="D12845" s="51" t="n">
        <v>0</v>
      </c>
    </row>
    <row r="12846" customFormat="false" ht="15" hidden="true" customHeight="false" outlineLevel="0" collapsed="false">
      <c r="A12846" s="51" t="s">
        <v>661</v>
      </c>
      <c r="B12846" s="55" t="n">
        <v>46111</v>
      </c>
      <c r="C12846" s="51" t="s">
        <v>791</v>
      </c>
      <c r="D12846" s="51" t="n">
        <v>-250000</v>
      </c>
    </row>
    <row r="12847" customFormat="false" ht="15" hidden="true" customHeight="false" outlineLevel="0" collapsed="false">
      <c r="A12847" s="51" t="s">
        <v>666</v>
      </c>
      <c r="B12847" s="55" t="n">
        <v>46111</v>
      </c>
      <c r="C12847" s="51" t="s">
        <v>791</v>
      </c>
      <c r="D12847" s="51" t="n">
        <v>-500000</v>
      </c>
    </row>
    <row r="12848" customFormat="false" ht="15" hidden="true" customHeight="false" outlineLevel="0" collapsed="false">
      <c r="A12848" s="51" t="s">
        <v>671</v>
      </c>
      <c r="B12848" s="55" t="n">
        <v>46111</v>
      </c>
      <c r="C12848" s="51" t="s">
        <v>791</v>
      </c>
      <c r="D12848" s="51" t="n">
        <v>0</v>
      </c>
    </row>
    <row r="12849" customFormat="false" ht="15" hidden="true" customHeight="false" outlineLevel="0" collapsed="false">
      <c r="A12849" s="51" t="s">
        <v>676</v>
      </c>
      <c r="B12849" s="55" t="n">
        <v>46111</v>
      </c>
      <c r="C12849" s="51" t="s">
        <v>791</v>
      </c>
      <c r="D12849" s="51" t="n">
        <v>-150000</v>
      </c>
    </row>
    <row r="12850" customFormat="false" ht="15" hidden="true" customHeight="false" outlineLevel="0" collapsed="false">
      <c r="A12850" s="51" t="s">
        <v>681</v>
      </c>
      <c r="B12850" s="55" t="n">
        <v>46111</v>
      </c>
      <c r="C12850" s="51" t="s">
        <v>791</v>
      </c>
      <c r="D12850" s="51" t="n">
        <v>-250000</v>
      </c>
    </row>
    <row r="12851" customFormat="false" ht="15" hidden="true" customHeight="false" outlineLevel="0" collapsed="false">
      <c r="A12851" s="51" t="s">
        <v>686</v>
      </c>
      <c r="B12851" s="55" t="n">
        <v>46111</v>
      </c>
      <c r="C12851" s="51" t="s">
        <v>791</v>
      </c>
      <c r="D12851" s="51" t="n">
        <v>0</v>
      </c>
    </row>
    <row r="12852" customFormat="false" ht="15" hidden="true" customHeight="false" outlineLevel="0" collapsed="false">
      <c r="A12852" s="51" t="s">
        <v>691</v>
      </c>
      <c r="B12852" s="55" t="n">
        <v>46111</v>
      </c>
      <c r="C12852" s="51" t="s">
        <v>791</v>
      </c>
      <c r="D12852" s="51" t="n">
        <v>0</v>
      </c>
    </row>
    <row r="12853" customFormat="false" ht="15" hidden="true" customHeight="false" outlineLevel="0" collapsed="false">
      <c r="A12853" s="51" t="s">
        <v>696</v>
      </c>
      <c r="B12853" s="55" t="n">
        <v>46111</v>
      </c>
      <c r="C12853" s="51" t="s">
        <v>791</v>
      </c>
      <c r="D12853" s="51" t="n">
        <v>-250000</v>
      </c>
    </row>
    <row r="12854" customFormat="false" ht="15" hidden="true" customHeight="false" outlineLevel="0" collapsed="false">
      <c r="A12854" s="51" t="s">
        <v>701</v>
      </c>
      <c r="B12854" s="55" t="n">
        <v>46111</v>
      </c>
      <c r="C12854" s="51" t="s">
        <v>791</v>
      </c>
      <c r="D12854" s="51" t="n">
        <v>-600000</v>
      </c>
    </row>
    <row r="12855" customFormat="false" ht="15" hidden="true" customHeight="false" outlineLevel="0" collapsed="false">
      <c r="A12855" s="51" t="s">
        <v>707</v>
      </c>
      <c r="B12855" s="55" t="n">
        <v>46111</v>
      </c>
      <c r="C12855" s="51" t="s">
        <v>791</v>
      </c>
      <c r="D12855" s="51" t="n">
        <v>-880616.24</v>
      </c>
    </row>
    <row r="12856" customFormat="false" ht="15" hidden="true" customHeight="false" outlineLevel="0" collapsed="false">
      <c r="A12856" s="51" t="s">
        <v>712</v>
      </c>
      <c r="B12856" s="55" t="n">
        <v>46111</v>
      </c>
      <c r="C12856" s="51" t="s">
        <v>791</v>
      </c>
      <c r="D12856" s="51" t="n">
        <v>0</v>
      </c>
    </row>
    <row r="12857" customFormat="false" ht="15" hidden="true" customHeight="false" outlineLevel="0" collapsed="false">
      <c r="A12857" s="51" t="s">
        <v>717</v>
      </c>
      <c r="B12857" s="55" t="n">
        <v>46111</v>
      </c>
      <c r="C12857" s="51" t="s">
        <v>791</v>
      </c>
      <c r="D12857" s="51" t="n">
        <v>-300000</v>
      </c>
    </row>
    <row r="12858" customFormat="false" ht="15" hidden="true" customHeight="false" outlineLevel="0" collapsed="false">
      <c r="A12858" s="51" t="s">
        <v>767</v>
      </c>
      <c r="B12858" s="55" t="n">
        <v>46111</v>
      </c>
      <c r="C12858" s="51" t="s">
        <v>791</v>
      </c>
      <c r="D12858" s="51" t="n">
        <v>3308467.83</v>
      </c>
    </row>
    <row r="12859" customFormat="false" ht="15" hidden="true" customHeight="false" outlineLevel="0" collapsed="false">
      <c r="A12859" s="51" t="s">
        <v>722</v>
      </c>
      <c r="B12859" s="55" t="n">
        <v>46111</v>
      </c>
      <c r="C12859" s="51" t="s">
        <v>791</v>
      </c>
      <c r="D12859" s="51" t="n">
        <v>0</v>
      </c>
    </row>
    <row r="12860" customFormat="false" ht="15" hidden="true" customHeight="false" outlineLevel="0" collapsed="false">
      <c r="A12860" s="51" t="s">
        <v>727</v>
      </c>
      <c r="B12860" s="55" t="n">
        <v>46111</v>
      </c>
      <c r="C12860" s="51" t="s">
        <v>791</v>
      </c>
      <c r="D12860" s="51" t="n">
        <v>0</v>
      </c>
    </row>
    <row r="12861" customFormat="false" ht="15" hidden="true" customHeight="false" outlineLevel="0" collapsed="false">
      <c r="A12861" s="51" t="s">
        <v>732</v>
      </c>
      <c r="B12861" s="55" t="n">
        <v>46111</v>
      </c>
      <c r="C12861" s="51" t="s">
        <v>791</v>
      </c>
      <c r="D12861" s="51" t="n">
        <v>0</v>
      </c>
    </row>
    <row r="12862" customFormat="false" ht="15" hidden="true" customHeight="false" outlineLevel="0" collapsed="false">
      <c r="A12862" s="51" t="s">
        <v>736</v>
      </c>
      <c r="B12862" s="55" t="n">
        <v>46111</v>
      </c>
      <c r="C12862" s="51" t="s">
        <v>791</v>
      </c>
      <c r="D12862" s="51" t="n">
        <v>0</v>
      </c>
    </row>
    <row r="12863" customFormat="false" ht="15" hidden="true" customHeight="false" outlineLevel="0" collapsed="false">
      <c r="A12863" s="51" t="s">
        <v>741</v>
      </c>
      <c r="B12863" s="55" t="n">
        <v>46111</v>
      </c>
      <c r="C12863" s="51" t="s">
        <v>791</v>
      </c>
      <c r="D12863" s="51" t="n">
        <v>0</v>
      </c>
    </row>
    <row r="12864" customFormat="false" ht="15" hidden="true" customHeight="false" outlineLevel="0" collapsed="false">
      <c r="A12864" s="51" t="s">
        <v>746</v>
      </c>
      <c r="B12864" s="55" t="n">
        <v>46111</v>
      </c>
      <c r="C12864" s="51" t="s">
        <v>791</v>
      </c>
      <c r="D12864" s="51" t="n">
        <v>0</v>
      </c>
    </row>
    <row r="12865" customFormat="false" ht="15" hidden="true" customHeight="false" outlineLevel="0" collapsed="false">
      <c r="A12865" s="51" t="s">
        <v>751</v>
      </c>
      <c r="B12865" s="55" t="n">
        <v>46111</v>
      </c>
      <c r="C12865" s="51" t="s">
        <v>791</v>
      </c>
      <c r="D12865" s="51" t="n">
        <v>0</v>
      </c>
    </row>
    <row r="12866" customFormat="false" ht="15" hidden="false" customHeight="false" outlineLevel="0" collapsed="false">
      <c r="A12866" s="51" t="s">
        <v>781</v>
      </c>
      <c r="B12866" s="55" t="n">
        <v>46203</v>
      </c>
      <c r="C12866" s="51" t="s">
        <v>782</v>
      </c>
      <c r="D12866" s="51" t="n">
        <v>0</v>
      </c>
    </row>
    <row r="12867" customFormat="false" ht="15" hidden="true" customHeight="false" outlineLevel="0" collapsed="false">
      <c r="A12867" s="51" t="s">
        <v>783</v>
      </c>
      <c r="B12867" s="55" t="n">
        <v>46203</v>
      </c>
      <c r="C12867" s="51" t="s">
        <v>782</v>
      </c>
      <c r="D12867" s="51" t="n">
        <v>0</v>
      </c>
    </row>
    <row r="12868" customFormat="false" ht="15" hidden="true" customHeight="false" outlineLevel="0" collapsed="false">
      <c r="A12868" s="51" t="s">
        <v>96</v>
      </c>
      <c r="B12868" s="55" t="n">
        <v>46203</v>
      </c>
      <c r="C12868" s="51" t="s">
        <v>782</v>
      </c>
      <c r="D12868" s="51" t="n">
        <v>0</v>
      </c>
    </row>
    <row r="12869" customFormat="false" ht="15" hidden="true" customHeight="false" outlineLevel="0" collapsed="false">
      <c r="A12869" s="51" t="s">
        <v>101</v>
      </c>
      <c r="B12869" s="55" t="n">
        <v>46203</v>
      </c>
      <c r="C12869" s="51" t="s">
        <v>782</v>
      </c>
      <c r="D12869" s="51" t="n">
        <v>0</v>
      </c>
    </row>
    <row r="12870" customFormat="false" ht="15" hidden="true" customHeight="false" outlineLevel="0" collapsed="false">
      <c r="A12870" s="51" t="s">
        <v>106</v>
      </c>
      <c r="B12870" s="55" t="n">
        <v>46203</v>
      </c>
      <c r="C12870" s="51" t="s">
        <v>782</v>
      </c>
      <c r="D12870" s="51" t="n">
        <v>0</v>
      </c>
    </row>
    <row r="12871" customFormat="false" ht="15" hidden="true" customHeight="false" outlineLevel="0" collapsed="false">
      <c r="A12871" s="51" t="s">
        <v>110</v>
      </c>
      <c r="B12871" s="55" t="n">
        <v>46203</v>
      </c>
      <c r="C12871" s="51" t="s">
        <v>782</v>
      </c>
      <c r="D12871" s="51" t="n">
        <v>0</v>
      </c>
    </row>
    <row r="12872" customFormat="false" ht="15" hidden="true" customHeight="false" outlineLevel="0" collapsed="false">
      <c r="A12872" s="51" t="s">
        <v>115</v>
      </c>
      <c r="B12872" s="55" t="n">
        <v>46203</v>
      </c>
      <c r="C12872" s="51" t="s">
        <v>782</v>
      </c>
      <c r="D12872" s="51" t="n">
        <v>0</v>
      </c>
    </row>
    <row r="12873" customFormat="false" ht="15" hidden="true" customHeight="false" outlineLevel="0" collapsed="false">
      <c r="A12873" s="51" t="s">
        <v>120</v>
      </c>
      <c r="B12873" s="55" t="n">
        <v>46203</v>
      </c>
      <c r="C12873" s="51" t="s">
        <v>782</v>
      </c>
      <c r="D12873" s="51" t="n">
        <v>0</v>
      </c>
    </row>
    <row r="12874" customFormat="false" ht="15" hidden="true" customHeight="false" outlineLevel="0" collapsed="false">
      <c r="A12874" s="51" t="s">
        <v>124</v>
      </c>
      <c r="B12874" s="55" t="n">
        <v>46203</v>
      </c>
      <c r="C12874" s="51" t="s">
        <v>782</v>
      </c>
      <c r="D12874" s="51" t="n">
        <v>0</v>
      </c>
    </row>
    <row r="12875" customFormat="false" ht="15" hidden="true" customHeight="false" outlineLevel="0" collapsed="false">
      <c r="A12875" s="51" t="s">
        <v>129</v>
      </c>
      <c r="B12875" s="55" t="n">
        <v>46203</v>
      </c>
      <c r="C12875" s="51" t="s">
        <v>782</v>
      </c>
      <c r="D12875" s="51" t="n">
        <v>0</v>
      </c>
    </row>
    <row r="12876" customFormat="false" ht="15" hidden="true" customHeight="false" outlineLevel="0" collapsed="false">
      <c r="A12876" s="51" t="s">
        <v>134</v>
      </c>
      <c r="B12876" s="55" t="n">
        <v>46203</v>
      </c>
      <c r="C12876" s="51" t="s">
        <v>782</v>
      </c>
      <c r="D12876" s="51" t="n">
        <v>0</v>
      </c>
    </row>
    <row r="12877" customFormat="false" ht="15" hidden="true" customHeight="false" outlineLevel="0" collapsed="false">
      <c r="A12877" s="51" t="s">
        <v>141</v>
      </c>
      <c r="B12877" s="55" t="n">
        <v>46203</v>
      </c>
      <c r="C12877" s="51" t="s">
        <v>782</v>
      </c>
      <c r="D12877" s="51" t="n">
        <v>0</v>
      </c>
    </row>
    <row r="12878" customFormat="false" ht="15" hidden="true" customHeight="false" outlineLevel="0" collapsed="false">
      <c r="A12878" s="51" t="s">
        <v>146</v>
      </c>
      <c r="B12878" s="55" t="n">
        <v>46203</v>
      </c>
      <c r="C12878" s="51" t="s">
        <v>782</v>
      </c>
      <c r="D12878" s="51" t="n">
        <v>0</v>
      </c>
    </row>
    <row r="12879" customFormat="false" ht="15" hidden="true" customHeight="false" outlineLevel="0" collapsed="false">
      <c r="A12879" s="51" t="s">
        <v>151</v>
      </c>
      <c r="B12879" s="55" t="n">
        <v>46203</v>
      </c>
      <c r="C12879" s="51" t="s">
        <v>782</v>
      </c>
      <c r="D12879" s="51" t="n">
        <v>0</v>
      </c>
    </row>
    <row r="12880" customFormat="false" ht="15" hidden="true" customHeight="false" outlineLevel="0" collapsed="false">
      <c r="A12880" s="51" t="s">
        <v>156</v>
      </c>
      <c r="B12880" s="55" t="n">
        <v>46203</v>
      </c>
      <c r="C12880" s="51" t="s">
        <v>782</v>
      </c>
      <c r="D12880" s="51" t="n">
        <v>0</v>
      </c>
    </row>
    <row r="12881" customFormat="false" ht="15" hidden="true" customHeight="false" outlineLevel="0" collapsed="false">
      <c r="A12881" s="51" t="s">
        <v>161</v>
      </c>
      <c r="B12881" s="55" t="n">
        <v>46203</v>
      </c>
      <c r="C12881" s="51" t="s">
        <v>782</v>
      </c>
      <c r="D12881" s="51" t="n">
        <v>0</v>
      </c>
    </row>
    <row r="12882" customFormat="false" ht="15" hidden="true" customHeight="false" outlineLevel="0" collapsed="false">
      <c r="A12882" s="51" t="s">
        <v>166</v>
      </c>
      <c r="B12882" s="55" t="n">
        <v>46203</v>
      </c>
      <c r="C12882" s="51" t="s">
        <v>782</v>
      </c>
      <c r="D12882" s="51" t="n">
        <v>0</v>
      </c>
    </row>
    <row r="12883" customFormat="false" ht="15" hidden="true" customHeight="false" outlineLevel="0" collapsed="false">
      <c r="A12883" s="51" t="s">
        <v>171</v>
      </c>
      <c r="B12883" s="55" t="n">
        <v>46203</v>
      </c>
      <c r="C12883" s="51" t="s">
        <v>782</v>
      </c>
      <c r="D12883" s="51" t="n">
        <v>0</v>
      </c>
    </row>
    <row r="12884" customFormat="false" ht="15" hidden="true" customHeight="false" outlineLevel="0" collapsed="false">
      <c r="A12884" s="51" t="s">
        <v>176</v>
      </c>
      <c r="B12884" s="55" t="n">
        <v>46203</v>
      </c>
      <c r="C12884" s="51" t="s">
        <v>782</v>
      </c>
      <c r="D12884" s="51" t="n">
        <v>0</v>
      </c>
    </row>
    <row r="12885" customFormat="false" ht="15" hidden="true" customHeight="false" outlineLevel="0" collapsed="false">
      <c r="A12885" s="51" t="s">
        <v>181</v>
      </c>
      <c r="B12885" s="55" t="n">
        <v>46203</v>
      </c>
      <c r="C12885" s="51" t="s">
        <v>782</v>
      </c>
      <c r="D12885" s="51" t="n">
        <v>0</v>
      </c>
    </row>
    <row r="12886" customFormat="false" ht="15" hidden="true" customHeight="false" outlineLevel="0" collapsed="false">
      <c r="A12886" s="51" t="s">
        <v>186</v>
      </c>
      <c r="B12886" s="55" t="n">
        <v>46203</v>
      </c>
      <c r="C12886" s="51" t="s">
        <v>782</v>
      </c>
      <c r="D12886" s="51" t="n">
        <v>0</v>
      </c>
    </row>
    <row r="12887" customFormat="false" ht="15" hidden="true" customHeight="false" outlineLevel="0" collapsed="false">
      <c r="A12887" s="51" t="s">
        <v>191</v>
      </c>
      <c r="B12887" s="55" t="n">
        <v>46203</v>
      </c>
      <c r="C12887" s="51" t="s">
        <v>782</v>
      </c>
      <c r="D12887" s="51" t="n">
        <v>0</v>
      </c>
    </row>
    <row r="12888" customFormat="false" ht="15" hidden="true" customHeight="false" outlineLevel="0" collapsed="false">
      <c r="A12888" s="51" t="s">
        <v>196</v>
      </c>
      <c r="B12888" s="55" t="n">
        <v>46203</v>
      </c>
      <c r="C12888" s="51" t="s">
        <v>782</v>
      </c>
      <c r="D12888" s="51" t="n">
        <v>0</v>
      </c>
    </row>
    <row r="12889" customFormat="false" ht="15" hidden="true" customHeight="false" outlineLevel="0" collapsed="false">
      <c r="A12889" s="51" t="s">
        <v>201</v>
      </c>
      <c r="B12889" s="55" t="n">
        <v>46203</v>
      </c>
      <c r="C12889" s="51" t="s">
        <v>782</v>
      </c>
      <c r="D12889" s="51" t="n">
        <v>0</v>
      </c>
    </row>
    <row r="12890" customFormat="false" ht="15" hidden="true" customHeight="false" outlineLevel="0" collapsed="false">
      <c r="A12890" s="51" t="s">
        <v>206</v>
      </c>
      <c r="B12890" s="55" t="n">
        <v>46203</v>
      </c>
      <c r="C12890" s="51" t="s">
        <v>782</v>
      </c>
      <c r="D12890" s="51" t="n">
        <v>0</v>
      </c>
    </row>
    <row r="12891" customFormat="false" ht="15" hidden="true" customHeight="false" outlineLevel="0" collapsed="false">
      <c r="A12891" s="51" t="s">
        <v>210</v>
      </c>
      <c r="B12891" s="55" t="n">
        <v>46203</v>
      </c>
      <c r="C12891" s="51" t="s">
        <v>782</v>
      </c>
      <c r="D12891" s="51" t="n">
        <v>0</v>
      </c>
    </row>
    <row r="12892" customFormat="false" ht="15" hidden="true" customHeight="false" outlineLevel="0" collapsed="false">
      <c r="A12892" s="51" t="s">
        <v>215</v>
      </c>
      <c r="B12892" s="55" t="n">
        <v>46203</v>
      </c>
      <c r="C12892" s="51" t="s">
        <v>782</v>
      </c>
      <c r="D12892" s="51" t="n">
        <v>0</v>
      </c>
    </row>
    <row r="12893" customFormat="false" ht="15" hidden="true" customHeight="false" outlineLevel="0" collapsed="false">
      <c r="A12893" s="51" t="s">
        <v>790</v>
      </c>
      <c r="B12893" s="55" t="n">
        <v>46203</v>
      </c>
      <c r="C12893" s="51" t="s">
        <v>782</v>
      </c>
      <c r="D12893" s="51" t="n">
        <v>0</v>
      </c>
    </row>
    <row r="12894" customFormat="false" ht="15" hidden="true" customHeight="false" outlineLevel="0" collapsed="false">
      <c r="A12894" s="51" t="s">
        <v>225</v>
      </c>
      <c r="B12894" s="55" t="n">
        <v>46203</v>
      </c>
      <c r="C12894" s="51" t="s">
        <v>782</v>
      </c>
      <c r="D12894" s="51" t="n">
        <v>0</v>
      </c>
    </row>
    <row r="12895" customFormat="false" ht="15" hidden="true" customHeight="false" outlineLevel="0" collapsed="false">
      <c r="A12895" s="51" t="s">
        <v>230</v>
      </c>
      <c r="B12895" s="55" t="n">
        <v>46203</v>
      </c>
      <c r="C12895" s="51" t="s">
        <v>782</v>
      </c>
      <c r="D12895" s="51" t="n">
        <v>0</v>
      </c>
    </row>
    <row r="12896" customFormat="false" ht="15" hidden="true" customHeight="false" outlineLevel="0" collapsed="false">
      <c r="A12896" s="51" t="s">
        <v>235</v>
      </c>
      <c r="B12896" s="55" t="n">
        <v>46203</v>
      </c>
      <c r="C12896" s="51" t="s">
        <v>782</v>
      </c>
      <c r="D12896" s="51" t="n">
        <v>0</v>
      </c>
    </row>
    <row r="12897" customFormat="false" ht="15" hidden="true" customHeight="false" outlineLevel="0" collapsed="false">
      <c r="A12897" s="51" t="s">
        <v>240</v>
      </c>
      <c r="B12897" s="55" t="n">
        <v>46203</v>
      </c>
      <c r="C12897" s="51" t="s">
        <v>782</v>
      </c>
      <c r="D12897" s="51" t="n">
        <v>0</v>
      </c>
    </row>
    <row r="12898" customFormat="false" ht="15" hidden="true" customHeight="false" outlineLevel="0" collapsed="false">
      <c r="A12898" s="51" t="s">
        <v>246</v>
      </c>
      <c r="B12898" s="55" t="n">
        <v>46203</v>
      </c>
      <c r="C12898" s="51" t="s">
        <v>782</v>
      </c>
      <c r="D12898" s="51" t="n">
        <v>0</v>
      </c>
    </row>
    <row r="12899" customFormat="false" ht="15" hidden="true" customHeight="false" outlineLevel="0" collapsed="false">
      <c r="A12899" s="51" t="s">
        <v>252</v>
      </c>
      <c r="B12899" s="55" t="n">
        <v>46203</v>
      </c>
      <c r="C12899" s="51" t="s">
        <v>782</v>
      </c>
      <c r="D12899" s="51" t="n">
        <v>0</v>
      </c>
    </row>
    <row r="12900" customFormat="false" ht="15" hidden="true" customHeight="false" outlineLevel="0" collapsed="false">
      <c r="A12900" s="51" t="s">
        <v>257</v>
      </c>
      <c r="B12900" s="55" t="n">
        <v>46203</v>
      </c>
      <c r="C12900" s="51" t="s">
        <v>782</v>
      </c>
      <c r="D12900" s="51" t="n">
        <v>0</v>
      </c>
    </row>
    <row r="12901" customFormat="false" ht="15" hidden="true" customHeight="false" outlineLevel="0" collapsed="false">
      <c r="A12901" s="51" t="s">
        <v>262</v>
      </c>
      <c r="B12901" s="55" t="n">
        <v>46203</v>
      </c>
      <c r="C12901" s="51" t="s">
        <v>782</v>
      </c>
      <c r="D12901" s="51" t="n">
        <v>0</v>
      </c>
    </row>
    <row r="12902" customFormat="false" ht="15" hidden="true" customHeight="false" outlineLevel="0" collapsed="false">
      <c r="A12902" s="51" t="s">
        <v>267</v>
      </c>
      <c r="B12902" s="55" t="n">
        <v>46203</v>
      </c>
      <c r="C12902" s="51" t="s">
        <v>782</v>
      </c>
      <c r="D12902" s="51" t="n">
        <v>0</v>
      </c>
    </row>
    <row r="12903" customFormat="false" ht="15" hidden="true" customHeight="false" outlineLevel="0" collapsed="false">
      <c r="A12903" s="51" t="s">
        <v>272</v>
      </c>
      <c r="B12903" s="55" t="n">
        <v>46203</v>
      </c>
      <c r="C12903" s="51" t="s">
        <v>782</v>
      </c>
      <c r="D12903" s="51" t="n">
        <v>0</v>
      </c>
    </row>
    <row r="12904" customFormat="false" ht="15" hidden="true" customHeight="false" outlineLevel="0" collapsed="false">
      <c r="A12904" s="51" t="s">
        <v>277</v>
      </c>
      <c r="B12904" s="55" t="n">
        <v>46203</v>
      </c>
      <c r="C12904" s="51" t="s">
        <v>782</v>
      </c>
      <c r="D12904" s="51" t="n">
        <v>0</v>
      </c>
    </row>
    <row r="12905" customFormat="false" ht="15" hidden="true" customHeight="false" outlineLevel="0" collapsed="false">
      <c r="A12905" s="51" t="s">
        <v>282</v>
      </c>
      <c r="B12905" s="55" t="n">
        <v>46203</v>
      </c>
      <c r="C12905" s="51" t="s">
        <v>782</v>
      </c>
      <c r="D12905" s="51" t="n">
        <v>0</v>
      </c>
    </row>
    <row r="12906" customFormat="false" ht="15" hidden="true" customHeight="false" outlineLevel="0" collapsed="false">
      <c r="A12906" s="51" t="s">
        <v>287</v>
      </c>
      <c r="B12906" s="55" t="n">
        <v>46203</v>
      </c>
      <c r="C12906" s="51" t="s">
        <v>782</v>
      </c>
      <c r="D12906" s="51" t="n">
        <v>0</v>
      </c>
    </row>
    <row r="12907" customFormat="false" ht="15" hidden="true" customHeight="false" outlineLevel="0" collapsed="false">
      <c r="A12907" s="51" t="s">
        <v>292</v>
      </c>
      <c r="B12907" s="55" t="n">
        <v>46203</v>
      </c>
      <c r="C12907" s="51" t="s">
        <v>782</v>
      </c>
      <c r="D12907" s="51" t="n">
        <v>0</v>
      </c>
    </row>
    <row r="12908" customFormat="false" ht="15" hidden="true" customHeight="false" outlineLevel="0" collapsed="false">
      <c r="A12908" s="51" t="s">
        <v>297</v>
      </c>
      <c r="B12908" s="55" t="n">
        <v>46203</v>
      </c>
      <c r="C12908" s="51" t="s">
        <v>782</v>
      </c>
      <c r="D12908" s="51" t="n">
        <v>0</v>
      </c>
    </row>
    <row r="12909" customFormat="false" ht="15" hidden="true" customHeight="false" outlineLevel="0" collapsed="false">
      <c r="A12909" s="51" t="s">
        <v>302</v>
      </c>
      <c r="B12909" s="55" t="n">
        <v>46203</v>
      </c>
      <c r="C12909" s="51" t="s">
        <v>782</v>
      </c>
      <c r="D12909" s="51" t="n">
        <v>0</v>
      </c>
    </row>
    <row r="12910" customFormat="false" ht="15" hidden="true" customHeight="false" outlineLevel="0" collapsed="false">
      <c r="A12910" s="51" t="s">
        <v>307</v>
      </c>
      <c r="B12910" s="55" t="n">
        <v>46203</v>
      </c>
      <c r="C12910" s="51" t="s">
        <v>782</v>
      </c>
      <c r="D12910" s="51" t="n">
        <v>0</v>
      </c>
    </row>
    <row r="12911" customFormat="false" ht="15" hidden="true" customHeight="false" outlineLevel="0" collapsed="false">
      <c r="A12911" s="51" t="s">
        <v>311</v>
      </c>
      <c r="B12911" s="55" t="n">
        <v>46203</v>
      </c>
      <c r="C12911" s="51" t="s">
        <v>782</v>
      </c>
      <c r="D12911" s="51" t="n">
        <v>0</v>
      </c>
    </row>
    <row r="12912" customFormat="false" ht="15" hidden="true" customHeight="false" outlineLevel="0" collapsed="false">
      <c r="A12912" s="51" t="s">
        <v>317</v>
      </c>
      <c r="B12912" s="55" t="n">
        <v>46203</v>
      </c>
      <c r="C12912" s="51" t="s">
        <v>782</v>
      </c>
      <c r="D12912" s="51" t="n">
        <v>0</v>
      </c>
    </row>
    <row r="12913" customFormat="false" ht="15" hidden="true" customHeight="false" outlineLevel="0" collapsed="false">
      <c r="A12913" s="51" t="s">
        <v>322</v>
      </c>
      <c r="B12913" s="55" t="n">
        <v>46203</v>
      </c>
      <c r="C12913" s="51" t="s">
        <v>782</v>
      </c>
      <c r="D12913" s="51" t="n">
        <v>0</v>
      </c>
    </row>
    <row r="12914" customFormat="false" ht="15" hidden="true" customHeight="false" outlineLevel="0" collapsed="false">
      <c r="A12914" s="51" t="s">
        <v>327</v>
      </c>
      <c r="B12914" s="55" t="n">
        <v>46203</v>
      </c>
      <c r="C12914" s="51" t="s">
        <v>782</v>
      </c>
      <c r="D12914" s="51" t="n">
        <v>0</v>
      </c>
    </row>
    <row r="12915" customFormat="false" ht="15" hidden="true" customHeight="false" outlineLevel="0" collapsed="false">
      <c r="A12915" s="51" t="s">
        <v>332</v>
      </c>
      <c r="B12915" s="55" t="n">
        <v>46203</v>
      </c>
      <c r="C12915" s="51" t="s">
        <v>782</v>
      </c>
      <c r="D12915" s="51" t="n">
        <v>0</v>
      </c>
    </row>
    <row r="12916" customFormat="false" ht="15" hidden="true" customHeight="false" outlineLevel="0" collapsed="false">
      <c r="A12916" s="51" t="s">
        <v>339</v>
      </c>
      <c r="B12916" s="55" t="n">
        <v>46203</v>
      </c>
      <c r="C12916" s="51" t="s">
        <v>782</v>
      </c>
      <c r="D12916" s="51" t="n">
        <v>0</v>
      </c>
    </row>
    <row r="12917" customFormat="false" ht="15" hidden="true" customHeight="false" outlineLevel="0" collapsed="false">
      <c r="A12917" s="51" t="s">
        <v>344</v>
      </c>
      <c r="B12917" s="55" t="n">
        <v>46203</v>
      </c>
      <c r="C12917" s="51" t="s">
        <v>782</v>
      </c>
      <c r="D12917" s="51" t="n">
        <v>0</v>
      </c>
    </row>
    <row r="12918" customFormat="false" ht="15" hidden="true" customHeight="false" outlineLevel="0" collapsed="false">
      <c r="A12918" s="51" t="s">
        <v>349</v>
      </c>
      <c r="B12918" s="55" t="n">
        <v>46203</v>
      </c>
      <c r="C12918" s="51" t="s">
        <v>782</v>
      </c>
      <c r="D12918" s="51" t="n">
        <v>0</v>
      </c>
    </row>
    <row r="12919" customFormat="false" ht="15" hidden="true" customHeight="false" outlineLevel="0" collapsed="false">
      <c r="A12919" s="51" t="s">
        <v>354</v>
      </c>
      <c r="B12919" s="55" t="n">
        <v>46203</v>
      </c>
      <c r="C12919" s="51" t="s">
        <v>782</v>
      </c>
      <c r="D12919" s="51" t="n">
        <v>0</v>
      </c>
    </row>
    <row r="12920" customFormat="false" ht="15" hidden="true" customHeight="false" outlineLevel="0" collapsed="false">
      <c r="A12920" s="51" t="s">
        <v>359</v>
      </c>
      <c r="B12920" s="55" t="n">
        <v>46203</v>
      </c>
      <c r="C12920" s="51" t="s">
        <v>782</v>
      </c>
      <c r="D12920" s="51" t="n">
        <v>0</v>
      </c>
    </row>
    <row r="12921" customFormat="false" ht="15" hidden="true" customHeight="false" outlineLevel="0" collapsed="false">
      <c r="A12921" s="51" t="s">
        <v>364</v>
      </c>
      <c r="B12921" s="55" t="n">
        <v>46203</v>
      </c>
      <c r="C12921" s="51" t="s">
        <v>782</v>
      </c>
      <c r="D12921" s="51" t="n">
        <v>0</v>
      </c>
    </row>
    <row r="12922" customFormat="false" ht="15" hidden="true" customHeight="false" outlineLevel="0" collapsed="false">
      <c r="A12922" s="51" t="s">
        <v>369</v>
      </c>
      <c r="B12922" s="55" t="n">
        <v>46203</v>
      </c>
      <c r="C12922" s="51" t="s">
        <v>782</v>
      </c>
      <c r="D12922" s="51" t="n">
        <v>0</v>
      </c>
    </row>
    <row r="12923" customFormat="false" ht="15" hidden="true" customHeight="false" outlineLevel="0" collapsed="false">
      <c r="A12923" s="51" t="s">
        <v>374</v>
      </c>
      <c r="B12923" s="55" t="n">
        <v>46203</v>
      </c>
      <c r="C12923" s="51" t="s">
        <v>782</v>
      </c>
      <c r="D12923" s="51" t="n">
        <v>0</v>
      </c>
    </row>
    <row r="12924" customFormat="false" ht="15" hidden="true" customHeight="false" outlineLevel="0" collapsed="false">
      <c r="A12924" s="51" t="s">
        <v>379</v>
      </c>
      <c r="B12924" s="55" t="n">
        <v>46203</v>
      </c>
      <c r="C12924" s="51" t="s">
        <v>782</v>
      </c>
      <c r="D12924" s="51" t="n">
        <v>0</v>
      </c>
    </row>
    <row r="12925" customFormat="false" ht="15" hidden="true" customHeight="false" outlineLevel="0" collapsed="false">
      <c r="A12925" s="51" t="s">
        <v>384</v>
      </c>
      <c r="B12925" s="55" t="n">
        <v>46203</v>
      </c>
      <c r="C12925" s="51" t="s">
        <v>782</v>
      </c>
      <c r="D12925" s="51" t="n">
        <v>0</v>
      </c>
    </row>
    <row r="12926" customFormat="false" ht="15" hidden="true" customHeight="false" outlineLevel="0" collapsed="false">
      <c r="A12926" s="51" t="s">
        <v>389</v>
      </c>
      <c r="B12926" s="55" t="n">
        <v>46203</v>
      </c>
      <c r="C12926" s="51" t="s">
        <v>782</v>
      </c>
      <c r="D12926" s="51" t="n">
        <v>0</v>
      </c>
    </row>
    <row r="12927" customFormat="false" ht="15" hidden="true" customHeight="false" outlineLevel="0" collapsed="false">
      <c r="A12927" s="51" t="s">
        <v>394</v>
      </c>
      <c r="B12927" s="55" t="n">
        <v>46203</v>
      </c>
      <c r="C12927" s="51" t="s">
        <v>782</v>
      </c>
      <c r="D12927" s="51" t="n">
        <v>0</v>
      </c>
    </row>
    <row r="12928" customFormat="false" ht="15" hidden="true" customHeight="false" outlineLevel="0" collapsed="false">
      <c r="A12928" s="51" t="s">
        <v>399</v>
      </c>
      <c r="B12928" s="55" t="n">
        <v>46203</v>
      </c>
      <c r="C12928" s="51" t="s">
        <v>782</v>
      </c>
      <c r="D12928" s="51" t="n">
        <v>0</v>
      </c>
    </row>
    <row r="12929" customFormat="false" ht="15" hidden="true" customHeight="false" outlineLevel="0" collapsed="false">
      <c r="A12929" s="51" t="s">
        <v>404</v>
      </c>
      <c r="B12929" s="55" t="n">
        <v>46203</v>
      </c>
      <c r="C12929" s="51" t="s">
        <v>782</v>
      </c>
      <c r="D12929" s="51" t="n">
        <v>0</v>
      </c>
    </row>
    <row r="12930" customFormat="false" ht="15" hidden="true" customHeight="false" outlineLevel="0" collapsed="false">
      <c r="A12930" s="51" t="s">
        <v>409</v>
      </c>
      <c r="B12930" s="55" t="n">
        <v>46203</v>
      </c>
      <c r="C12930" s="51" t="s">
        <v>782</v>
      </c>
      <c r="D12930" s="51" t="n">
        <v>0</v>
      </c>
    </row>
    <row r="12931" customFormat="false" ht="15" hidden="true" customHeight="false" outlineLevel="0" collapsed="false">
      <c r="A12931" s="51" t="s">
        <v>414</v>
      </c>
      <c r="B12931" s="55" t="n">
        <v>46203</v>
      </c>
      <c r="C12931" s="51" t="s">
        <v>782</v>
      </c>
      <c r="D12931" s="51" t="n">
        <v>0</v>
      </c>
    </row>
    <row r="12932" customFormat="false" ht="15" hidden="true" customHeight="false" outlineLevel="0" collapsed="false">
      <c r="A12932" s="51" t="s">
        <v>419</v>
      </c>
      <c r="B12932" s="55" t="n">
        <v>46203</v>
      </c>
      <c r="C12932" s="51" t="s">
        <v>782</v>
      </c>
      <c r="D12932" s="51" t="n">
        <v>0</v>
      </c>
    </row>
    <row r="12933" customFormat="false" ht="15" hidden="true" customHeight="false" outlineLevel="0" collapsed="false">
      <c r="A12933" s="51" t="s">
        <v>424</v>
      </c>
      <c r="B12933" s="55" t="n">
        <v>46203</v>
      </c>
      <c r="C12933" s="51" t="s">
        <v>782</v>
      </c>
      <c r="D12933" s="51" t="n">
        <v>0</v>
      </c>
    </row>
    <row r="12934" customFormat="false" ht="15" hidden="true" customHeight="false" outlineLevel="0" collapsed="false">
      <c r="A12934" s="51" t="s">
        <v>429</v>
      </c>
      <c r="B12934" s="55" t="n">
        <v>46203</v>
      </c>
      <c r="C12934" s="51" t="s">
        <v>782</v>
      </c>
      <c r="D12934" s="51" t="n">
        <v>0</v>
      </c>
    </row>
    <row r="12935" customFormat="false" ht="15" hidden="true" customHeight="false" outlineLevel="0" collapsed="false">
      <c r="A12935" s="51" t="s">
        <v>434</v>
      </c>
      <c r="B12935" s="55" t="n">
        <v>46203</v>
      </c>
      <c r="C12935" s="51" t="s">
        <v>782</v>
      </c>
      <c r="D12935" s="51" t="n">
        <v>0</v>
      </c>
    </row>
    <row r="12936" customFormat="false" ht="15" hidden="true" customHeight="false" outlineLevel="0" collapsed="false">
      <c r="A12936" s="51" t="s">
        <v>438</v>
      </c>
      <c r="B12936" s="55" t="n">
        <v>46203</v>
      </c>
      <c r="C12936" s="51" t="s">
        <v>782</v>
      </c>
      <c r="D12936" s="51" t="n">
        <v>0</v>
      </c>
    </row>
    <row r="12937" customFormat="false" ht="15" hidden="true" customHeight="false" outlineLevel="0" collapsed="false">
      <c r="A12937" s="51" t="s">
        <v>443</v>
      </c>
      <c r="B12937" s="55" t="n">
        <v>46203</v>
      </c>
      <c r="C12937" s="51" t="s">
        <v>782</v>
      </c>
      <c r="D12937" s="51" t="n">
        <v>0</v>
      </c>
    </row>
    <row r="12938" customFormat="false" ht="15" hidden="true" customHeight="false" outlineLevel="0" collapsed="false">
      <c r="A12938" s="51" t="s">
        <v>448</v>
      </c>
      <c r="B12938" s="55" t="n">
        <v>46203</v>
      </c>
      <c r="C12938" s="51" t="s">
        <v>782</v>
      </c>
      <c r="D12938" s="51" t="n">
        <v>0</v>
      </c>
    </row>
    <row r="12939" customFormat="false" ht="15" hidden="true" customHeight="false" outlineLevel="0" collapsed="false">
      <c r="A12939" s="51" t="s">
        <v>453</v>
      </c>
      <c r="B12939" s="55" t="n">
        <v>46203</v>
      </c>
      <c r="C12939" s="51" t="s">
        <v>782</v>
      </c>
      <c r="D12939" s="51" t="n">
        <v>0</v>
      </c>
    </row>
    <row r="12940" customFormat="false" ht="15" hidden="true" customHeight="false" outlineLevel="0" collapsed="false">
      <c r="A12940" s="51" t="s">
        <v>458</v>
      </c>
      <c r="B12940" s="55" t="n">
        <v>46203</v>
      </c>
      <c r="C12940" s="51" t="s">
        <v>782</v>
      </c>
      <c r="D12940" s="51" t="n">
        <v>0</v>
      </c>
    </row>
    <row r="12941" customFormat="false" ht="15" hidden="true" customHeight="false" outlineLevel="0" collapsed="false">
      <c r="A12941" s="51" t="s">
        <v>473</v>
      </c>
      <c r="B12941" s="55" t="n">
        <v>46203</v>
      </c>
      <c r="C12941" s="51" t="s">
        <v>782</v>
      </c>
      <c r="D12941" s="51" t="n">
        <v>0</v>
      </c>
    </row>
    <row r="12942" customFormat="false" ht="15" hidden="true" customHeight="false" outlineLevel="0" collapsed="false">
      <c r="A12942" s="51" t="s">
        <v>479</v>
      </c>
      <c r="B12942" s="55" t="n">
        <v>46203</v>
      </c>
      <c r="C12942" s="51" t="s">
        <v>782</v>
      </c>
      <c r="D12942" s="51" t="n">
        <v>0</v>
      </c>
    </row>
    <row r="12943" customFormat="false" ht="15" hidden="true" customHeight="false" outlineLevel="0" collapsed="false">
      <c r="A12943" s="51" t="s">
        <v>484</v>
      </c>
      <c r="B12943" s="55" t="n">
        <v>46203</v>
      </c>
      <c r="C12943" s="51" t="s">
        <v>782</v>
      </c>
      <c r="D12943" s="51" t="n">
        <v>0</v>
      </c>
    </row>
    <row r="12944" customFormat="false" ht="15" hidden="true" customHeight="false" outlineLevel="0" collapsed="false">
      <c r="A12944" s="51" t="s">
        <v>489</v>
      </c>
      <c r="B12944" s="55" t="n">
        <v>46203</v>
      </c>
      <c r="C12944" s="51" t="s">
        <v>782</v>
      </c>
      <c r="D12944" s="51" t="n">
        <v>0</v>
      </c>
    </row>
    <row r="12945" customFormat="false" ht="15" hidden="true" customHeight="false" outlineLevel="0" collapsed="false">
      <c r="A12945" s="51" t="s">
        <v>494</v>
      </c>
      <c r="B12945" s="55" t="n">
        <v>46203</v>
      </c>
      <c r="C12945" s="51" t="s">
        <v>782</v>
      </c>
      <c r="D12945" s="51" t="n">
        <v>0</v>
      </c>
    </row>
    <row r="12946" customFormat="false" ht="15" hidden="true" customHeight="false" outlineLevel="0" collapsed="false">
      <c r="A12946" s="51" t="s">
        <v>499</v>
      </c>
      <c r="B12946" s="55" t="n">
        <v>46203</v>
      </c>
      <c r="C12946" s="51" t="s">
        <v>782</v>
      </c>
      <c r="D12946" s="51" t="n">
        <v>0</v>
      </c>
    </row>
    <row r="12947" customFormat="false" ht="15" hidden="true" customHeight="false" outlineLevel="0" collapsed="false">
      <c r="A12947" s="51" t="s">
        <v>504</v>
      </c>
      <c r="B12947" s="55" t="n">
        <v>46203</v>
      </c>
      <c r="C12947" s="51" t="s">
        <v>782</v>
      </c>
      <c r="D12947" s="51" t="n">
        <v>0</v>
      </c>
    </row>
    <row r="12948" customFormat="false" ht="15" hidden="true" customHeight="false" outlineLevel="0" collapsed="false">
      <c r="A12948" s="51" t="s">
        <v>509</v>
      </c>
      <c r="B12948" s="55" t="n">
        <v>46203</v>
      </c>
      <c r="C12948" s="51" t="s">
        <v>782</v>
      </c>
      <c r="D12948" s="51" t="n">
        <v>0</v>
      </c>
    </row>
    <row r="12949" customFormat="false" ht="15" hidden="true" customHeight="false" outlineLevel="0" collapsed="false">
      <c r="A12949" s="51" t="s">
        <v>515</v>
      </c>
      <c r="B12949" s="55" t="n">
        <v>46203</v>
      </c>
      <c r="C12949" s="51" t="s">
        <v>782</v>
      </c>
      <c r="D12949" s="51" t="n">
        <v>0</v>
      </c>
    </row>
    <row r="12950" customFormat="false" ht="15" hidden="true" customHeight="false" outlineLevel="0" collapsed="false">
      <c r="A12950" s="51" t="s">
        <v>520</v>
      </c>
      <c r="B12950" s="55" t="n">
        <v>46203</v>
      </c>
      <c r="C12950" s="51" t="s">
        <v>782</v>
      </c>
      <c r="D12950" s="51" t="n">
        <v>0</v>
      </c>
    </row>
    <row r="12951" customFormat="false" ht="15" hidden="true" customHeight="false" outlineLevel="0" collapsed="false">
      <c r="A12951" s="51" t="s">
        <v>525</v>
      </c>
      <c r="B12951" s="55" t="n">
        <v>46203</v>
      </c>
      <c r="C12951" s="51" t="s">
        <v>782</v>
      </c>
      <c r="D12951" s="51" t="n">
        <v>0</v>
      </c>
    </row>
    <row r="12952" customFormat="false" ht="15" hidden="true" customHeight="false" outlineLevel="0" collapsed="false">
      <c r="A12952" s="51" t="s">
        <v>531</v>
      </c>
      <c r="B12952" s="55" t="n">
        <v>46203</v>
      </c>
      <c r="C12952" s="51" t="s">
        <v>782</v>
      </c>
      <c r="D12952" s="51" t="n">
        <v>0</v>
      </c>
    </row>
    <row r="12953" customFormat="false" ht="15" hidden="true" customHeight="false" outlineLevel="0" collapsed="false">
      <c r="A12953" s="51" t="s">
        <v>536</v>
      </c>
      <c r="B12953" s="55" t="n">
        <v>46203</v>
      </c>
      <c r="C12953" s="51" t="s">
        <v>782</v>
      </c>
      <c r="D12953" s="51" t="n">
        <v>0</v>
      </c>
    </row>
    <row r="12954" customFormat="false" ht="15" hidden="true" customHeight="false" outlineLevel="0" collapsed="false">
      <c r="A12954" s="51" t="s">
        <v>541</v>
      </c>
      <c r="B12954" s="55" t="n">
        <v>46203</v>
      </c>
      <c r="C12954" s="51" t="s">
        <v>782</v>
      </c>
      <c r="D12954" s="51" t="n">
        <v>0</v>
      </c>
    </row>
    <row r="12955" customFormat="false" ht="15" hidden="true" customHeight="false" outlineLevel="0" collapsed="false">
      <c r="A12955" s="51" t="s">
        <v>549</v>
      </c>
      <c r="B12955" s="55" t="n">
        <v>46203</v>
      </c>
      <c r="C12955" s="51" t="s">
        <v>782</v>
      </c>
      <c r="D12955" s="51" t="n">
        <v>0</v>
      </c>
    </row>
    <row r="12956" customFormat="false" ht="15" hidden="true" customHeight="false" outlineLevel="0" collapsed="false">
      <c r="A12956" s="51" t="s">
        <v>554</v>
      </c>
      <c r="B12956" s="55" t="n">
        <v>46203</v>
      </c>
      <c r="C12956" s="51" t="s">
        <v>782</v>
      </c>
      <c r="D12956" s="51" t="n">
        <v>0</v>
      </c>
    </row>
    <row r="12957" customFormat="false" ht="15" hidden="true" customHeight="false" outlineLevel="0" collapsed="false">
      <c r="A12957" s="51" t="s">
        <v>559</v>
      </c>
      <c r="B12957" s="55" t="n">
        <v>46203</v>
      </c>
      <c r="C12957" s="51" t="s">
        <v>782</v>
      </c>
      <c r="D12957" s="51" t="n">
        <v>0</v>
      </c>
    </row>
    <row r="12958" customFormat="false" ht="15" hidden="true" customHeight="false" outlineLevel="0" collapsed="false">
      <c r="A12958" s="51" t="s">
        <v>564</v>
      </c>
      <c r="B12958" s="55" t="n">
        <v>46203</v>
      </c>
      <c r="C12958" s="51" t="s">
        <v>782</v>
      </c>
      <c r="D12958" s="51" t="n">
        <v>0</v>
      </c>
    </row>
    <row r="12959" customFormat="false" ht="15" hidden="true" customHeight="false" outlineLevel="0" collapsed="false">
      <c r="A12959" s="51" t="s">
        <v>569</v>
      </c>
      <c r="B12959" s="55" t="n">
        <v>46203</v>
      </c>
      <c r="C12959" s="51" t="s">
        <v>782</v>
      </c>
      <c r="D12959" s="51" t="n">
        <v>0</v>
      </c>
    </row>
    <row r="12960" customFormat="false" ht="15" hidden="true" customHeight="false" outlineLevel="0" collapsed="false">
      <c r="A12960" s="51" t="s">
        <v>574</v>
      </c>
      <c r="B12960" s="55" t="n">
        <v>46203</v>
      </c>
      <c r="C12960" s="51" t="s">
        <v>782</v>
      </c>
      <c r="D12960" s="51" t="n">
        <v>0</v>
      </c>
    </row>
    <row r="12961" customFormat="false" ht="15" hidden="true" customHeight="false" outlineLevel="0" collapsed="false">
      <c r="A12961" s="51" t="s">
        <v>579</v>
      </c>
      <c r="B12961" s="55" t="n">
        <v>46203</v>
      </c>
      <c r="C12961" s="51" t="s">
        <v>782</v>
      </c>
      <c r="D12961" s="51" t="n">
        <v>0</v>
      </c>
    </row>
    <row r="12962" customFormat="false" ht="15" hidden="true" customHeight="false" outlineLevel="0" collapsed="false">
      <c r="A12962" s="51" t="s">
        <v>584</v>
      </c>
      <c r="B12962" s="55" t="n">
        <v>46203</v>
      </c>
      <c r="C12962" s="51" t="s">
        <v>782</v>
      </c>
      <c r="D12962" s="51" t="n">
        <v>0</v>
      </c>
    </row>
    <row r="12963" customFormat="false" ht="15" hidden="true" customHeight="false" outlineLevel="0" collapsed="false">
      <c r="A12963" s="51" t="s">
        <v>589</v>
      </c>
      <c r="B12963" s="55" t="n">
        <v>46203</v>
      </c>
      <c r="C12963" s="51" t="s">
        <v>782</v>
      </c>
      <c r="D12963" s="51" t="n">
        <v>0</v>
      </c>
    </row>
    <row r="12964" customFormat="false" ht="15" hidden="true" customHeight="false" outlineLevel="0" collapsed="false">
      <c r="A12964" s="51" t="s">
        <v>756</v>
      </c>
      <c r="B12964" s="55" t="n">
        <v>46203</v>
      </c>
      <c r="C12964" s="51" t="s">
        <v>782</v>
      </c>
      <c r="D12964" s="51" t="n">
        <v>0</v>
      </c>
    </row>
    <row r="12965" customFormat="false" ht="15" hidden="true" customHeight="false" outlineLevel="0" collapsed="false">
      <c r="A12965" s="51" t="s">
        <v>594</v>
      </c>
      <c r="B12965" s="55" t="n">
        <v>46203</v>
      </c>
      <c r="C12965" s="51" t="s">
        <v>782</v>
      </c>
      <c r="D12965" s="51" t="n">
        <v>0</v>
      </c>
    </row>
    <row r="12966" customFormat="false" ht="15" hidden="true" customHeight="false" outlineLevel="0" collapsed="false">
      <c r="A12966" s="51" t="s">
        <v>761</v>
      </c>
      <c r="B12966" s="55" t="n">
        <v>46203</v>
      </c>
      <c r="C12966" s="51" t="s">
        <v>782</v>
      </c>
      <c r="D12966" s="51" t="n">
        <v>0</v>
      </c>
    </row>
    <row r="12967" customFormat="false" ht="15" hidden="true" customHeight="false" outlineLevel="0" collapsed="false">
      <c r="A12967" s="51" t="s">
        <v>599</v>
      </c>
      <c r="B12967" s="55" t="n">
        <v>46203</v>
      </c>
      <c r="C12967" s="51" t="s">
        <v>782</v>
      </c>
      <c r="D12967" s="51" t="n">
        <v>0</v>
      </c>
    </row>
    <row r="12968" customFormat="false" ht="15" hidden="true" customHeight="false" outlineLevel="0" collapsed="false">
      <c r="A12968" s="51" t="s">
        <v>604</v>
      </c>
      <c r="B12968" s="55" t="n">
        <v>46203</v>
      </c>
      <c r="C12968" s="51" t="s">
        <v>782</v>
      </c>
      <c r="D12968" s="51" t="n">
        <v>0</v>
      </c>
    </row>
    <row r="12969" customFormat="false" ht="15" hidden="true" customHeight="false" outlineLevel="0" collapsed="false">
      <c r="A12969" s="51" t="s">
        <v>609</v>
      </c>
      <c r="B12969" s="55" t="n">
        <v>46203</v>
      </c>
      <c r="C12969" s="51" t="s">
        <v>782</v>
      </c>
      <c r="D12969" s="51" t="n">
        <v>0</v>
      </c>
    </row>
    <row r="12970" customFormat="false" ht="15" hidden="true" customHeight="false" outlineLevel="0" collapsed="false">
      <c r="A12970" s="51" t="s">
        <v>614</v>
      </c>
      <c r="B12970" s="55" t="n">
        <v>46203</v>
      </c>
      <c r="C12970" s="51" t="s">
        <v>782</v>
      </c>
      <c r="D12970" s="51" t="n">
        <v>0</v>
      </c>
    </row>
    <row r="12971" customFormat="false" ht="15" hidden="true" customHeight="false" outlineLevel="0" collapsed="false">
      <c r="A12971" s="51" t="s">
        <v>619</v>
      </c>
      <c r="B12971" s="55" t="n">
        <v>46203</v>
      </c>
      <c r="C12971" s="51" t="s">
        <v>782</v>
      </c>
      <c r="D12971" s="51" t="n">
        <v>0</v>
      </c>
    </row>
    <row r="12972" customFormat="false" ht="15" hidden="true" customHeight="false" outlineLevel="0" collapsed="false">
      <c r="A12972" s="51" t="s">
        <v>624</v>
      </c>
      <c r="B12972" s="55" t="n">
        <v>46203</v>
      </c>
      <c r="C12972" s="51" t="s">
        <v>782</v>
      </c>
      <c r="D12972" s="51" t="n">
        <v>0</v>
      </c>
    </row>
    <row r="12973" customFormat="false" ht="15" hidden="true" customHeight="false" outlineLevel="0" collapsed="false">
      <c r="A12973" s="51" t="s">
        <v>629</v>
      </c>
      <c r="B12973" s="55" t="n">
        <v>46203</v>
      </c>
      <c r="C12973" s="51" t="s">
        <v>782</v>
      </c>
      <c r="D12973" s="51" t="n">
        <v>0</v>
      </c>
    </row>
    <row r="12974" customFormat="false" ht="15" hidden="true" customHeight="false" outlineLevel="0" collapsed="false">
      <c r="A12974" s="51" t="s">
        <v>633</v>
      </c>
      <c r="B12974" s="55" t="n">
        <v>46203</v>
      </c>
      <c r="C12974" s="51" t="s">
        <v>782</v>
      </c>
      <c r="D12974" s="51" t="n">
        <v>0</v>
      </c>
    </row>
    <row r="12975" customFormat="false" ht="15" hidden="true" customHeight="false" outlineLevel="0" collapsed="false">
      <c r="A12975" s="51" t="s">
        <v>638</v>
      </c>
      <c r="B12975" s="55" t="n">
        <v>46203</v>
      </c>
      <c r="C12975" s="51" t="s">
        <v>782</v>
      </c>
      <c r="D12975" s="51" t="n">
        <v>0</v>
      </c>
    </row>
    <row r="12976" customFormat="false" ht="15" hidden="true" customHeight="false" outlineLevel="0" collapsed="false">
      <c r="A12976" s="51" t="s">
        <v>642</v>
      </c>
      <c r="B12976" s="55" t="n">
        <v>46203</v>
      </c>
      <c r="C12976" s="51" t="s">
        <v>782</v>
      </c>
      <c r="D12976" s="51" t="n">
        <v>0</v>
      </c>
    </row>
    <row r="12977" customFormat="false" ht="15" hidden="true" customHeight="false" outlineLevel="0" collapsed="false">
      <c r="A12977" s="51" t="s">
        <v>646</v>
      </c>
      <c r="B12977" s="55" t="n">
        <v>46203</v>
      </c>
      <c r="C12977" s="51" t="s">
        <v>782</v>
      </c>
      <c r="D12977" s="51" t="n">
        <v>0</v>
      </c>
    </row>
    <row r="12978" customFormat="false" ht="15" hidden="true" customHeight="false" outlineLevel="0" collapsed="false">
      <c r="A12978" s="51" t="s">
        <v>651</v>
      </c>
      <c r="B12978" s="55" t="n">
        <v>46203</v>
      </c>
      <c r="C12978" s="51" t="s">
        <v>782</v>
      </c>
      <c r="D12978" s="51" t="n">
        <v>0</v>
      </c>
    </row>
    <row r="12979" customFormat="false" ht="15" hidden="true" customHeight="false" outlineLevel="0" collapsed="false">
      <c r="A12979" s="51" t="s">
        <v>656</v>
      </c>
      <c r="B12979" s="55" t="n">
        <v>46203</v>
      </c>
      <c r="C12979" s="51" t="s">
        <v>782</v>
      </c>
      <c r="D12979" s="51" t="n">
        <v>0</v>
      </c>
    </row>
    <row r="12980" customFormat="false" ht="15" hidden="true" customHeight="false" outlineLevel="0" collapsed="false">
      <c r="A12980" s="51" t="s">
        <v>661</v>
      </c>
      <c r="B12980" s="55" t="n">
        <v>46203</v>
      </c>
      <c r="C12980" s="51" t="s">
        <v>782</v>
      </c>
      <c r="D12980" s="51" t="n">
        <v>0</v>
      </c>
    </row>
    <row r="12981" customFormat="false" ht="15" hidden="true" customHeight="false" outlineLevel="0" collapsed="false">
      <c r="A12981" s="51" t="s">
        <v>666</v>
      </c>
      <c r="B12981" s="55" t="n">
        <v>46203</v>
      </c>
      <c r="C12981" s="51" t="s">
        <v>782</v>
      </c>
      <c r="D12981" s="51" t="n">
        <v>0</v>
      </c>
    </row>
    <row r="12982" customFormat="false" ht="15" hidden="true" customHeight="false" outlineLevel="0" collapsed="false">
      <c r="A12982" s="51" t="s">
        <v>671</v>
      </c>
      <c r="B12982" s="55" t="n">
        <v>46203</v>
      </c>
      <c r="C12982" s="51" t="s">
        <v>782</v>
      </c>
      <c r="D12982" s="51" t="n">
        <v>0</v>
      </c>
    </row>
    <row r="12983" customFormat="false" ht="15" hidden="true" customHeight="false" outlineLevel="0" collapsed="false">
      <c r="A12983" s="51" t="s">
        <v>676</v>
      </c>
      <c r="B12983" s="55" t="n">
        <v>46203</v>
      </c>
      <c r="C12983" s="51" t="s">
        <v>782</v>
      </c>
      <c r="D12983" s="51" t="n">
        <v>0</v>
      </c>
    </row>
    <row r="12984" customFormat="false" ht="15" hidden="true" customHeight="false" outlineLevel="0" collapsed="false">
      <c r="A12984" s="51" t="s">
        <v>681</v>
      </c>
      <c r="B12984" s="55" t="n">
        <v>46203</v>
      </c>
      <c r="C12984" s="51" t="s">
        <v>782</v>
      </c>
      <c r="D12984" s="51" t="n">
        <v>0</v>
      </c>
    </row>
    <row r="12985" customFormat="false" ht="15" hidden="true" customHeight="false" outlineLevel="0" collapsed="false">
      <c r="A12985" s="51" t="s">
        <v>686</v>
      </c>
      <c r="B12985" s="55" t="n">
        <v>46203</v>
      </c>
      <c r="C12985" s="51" t="s">
        <v>782</v>
      </c>
      <c r="D12985" s="51" t="n">
        <v>0</v>
      </c>
    </row>
    <row r="12986" customFormat="false" ht="15" hidden="true" customHeight="false" outlineLevel="0" collapsed="false">
      <c r="A12986" s="51" t="s">
        <v>691</v>
      </c>
      <c r="B12986" s="55" t="n">
        <v>46203</v>
      </c>
      <c r="C12986" s="51" t="s">
        <v>782</v>
      </c>
      <c r="D12986" s="51" t="n">
        <v>0</v>
      </c>
    </row>
    <row r="12987" customFormat="false" ht="15" hidden="true" customHeight="false" outlineLevel="0" collapsed="false">
      <c r="A12987" s="51" t="s">
        <v>696</v>
      </c>
      <c r="B12987" s="55" t="n">
        <v>46203</v>
      </c>
      <c r="C12987" s="51" t="s">
        <v>782</v>
      </c>
      <c r="D12987" s="51" t="n">
        <v>0</v>
      </c>
    </row>
    <row r="12988" customFormat="false" ht="15" hidden="true" customHeight="false" outlineLevel="0" collapsed="false">
      <c r="A12988" s="51" t="s">
        <v>701</v>
      </c>
      <c r="B12988" s="55" t="n">
        <v>46203</v>
      </c>
      <c r="C12988" s="51" t="s">
        <v>782</v>
      </c>
      <c r="D12988" s="51" t="n">
        <v>0</v>
      </c>
    </row>
    <row r="12989" customFormat="false" ht="15" hidden="true" customHeight="false" outlineLevel="0" collapsed="false">
      <c r="A12989" s="51" t="s">
        <v>707</v>
      </c>
      <c r="B12989" s="55" t="n">
        <v>46203</v>
      </c>
      <c r="C12989" s="51" t="s">
        <v>782</v>
      </c>
      <c r="D12989" s="51" t="n">
        <v>0</v>
      </c>
    </row>
    <row r="12990" customFormat="false" ht="15" hidden="true" customHeight="false" outlineLevel="0" collapsed="false">
      <c r="A12990" s="51" t="s">
        <v>712</v>
      </c>
      <c r="B12990" s="55" t="n">
        <v>46203</v>
      </c>
      <c r="C12990" s="51" t="s">
        <v>782</v>
      </c>
      <c r="D12990" s="51" t="n">
        <v>0</v>
      </c>
    </row>
    <row r="12991" customFormat="false" ht="15" hidden="true" customHeight="false" outlineLevel="0" collapsed="false">
      <c r="A12991" s="51" t="s">
        <v>717</v>
      </c>
      <c r="B12991" s="55" t="n">
        <v>46203</v>
      </c>
      <c r="C12991" s="51" t="s">
        <v>782</v>
      </c>
      <c r="D12991" s="51" t="n">
        <v>0</v>
      </c>
    </row>
    <row r="12992" customFormat="false" ht="15" hidden="true" customHeight="false" outlineLevel="0" collapsed="false">
      <c r="A12992" s="51" t="s">
        <v>767</v>
      </c>
      <c r="B12992" s="55" t="n">
        <v>46203</v>
      </c>
      <c r="C12992" s="51" t="s">
        <v>782</v>
      </c>
      <c r="D12992" s="51" t="n">
        <v>0</v>
      </c>
    </row>
    <row r="12993" customFormat="false" ht="15" hidden="true" customHeight="false" outlineLevel="0" collapsed="false">
      <c r="A12993" s="51" t="s">
        <v>722</v>
      </c>
      <c r="B12993" s="55" t="n">
        <v>46203</v>
      </c>
      <c r="C12993" s="51" t="s">
        <v>782</v>
      </c>
      <c r="D12993" s="51" t="n">
        <v>0</v>
      </c>
    </row>
    <row r="12994" customFormat="false" ht="15" hidden="true" customHeight="false" outlineLevel="0" collapsed="false">
      <c r="A12994" s="51" t="s">
        <v>727</v>
      </c>
      <c r="B12994" s="55" t="n">
        <v>46203</v>
      </c>
      <c r="C12994" s="51" t="s">
        <v>782</v>
      </c>
      <c r="D12994" s="51" t="n">
        <v>0</v>
      </c>
    </row>
    <row r="12995" customFormat="false" ht="15" hidden="true" customHeight="false" outlineLevel="0" collapsed="false">
      <c r="A12995" s="51" t="s">
        <v>732</v>
      </c>
      <c r="B12995" s="55" t="n">
        <v>46203</v>
      </c>
      <c r="C12995" s="51" t="s">
        <v>782</v>
      </c>
      <c r="D12995" s="51" t="n">
        <v>0</v>
      </c>
    </row>
    <row r="12996" customFormat="false" ht="15" hidden="true" customHeight="false" outlineLevel="0" collapsed="false">
      <c r="A12996" s="51" t="s">
        <v>736</v>
      </c>
      <c r="B12996" s="55" t="n">
        <v>46203</v>
      </c>
      <c r="C12996" s="51" t="s">
        <v>782</v>
      </c>
      <c r="D12996" s="51" t="n">
        <v>0</v>
      </c>
    </row>
    <row r="12997" customFormat="false" ht="15" hidden="true" customHeight="false" outlineLevel="0" collapsed="false">
      <c r="A12997" s="51" t="s">
        <v>741</v>
      </c>
      <c r="B12997" s="55" t="n">
        <v>46203</v>
      </c>
      <c r="C12997" s="51" t="s">
        <v>782</v>
      </c>
      <c r="D12997" s="51" t="n">
        <v>0</v>
      </c>
    </row>
    <row r="12998" customFormat="false" ht="15" hidden="true" customHeight="false" outlineLevel="0" collapsed="false">
      <c r="A12998" s="51" t="s">
        <v>746</v>
      </c>
      <c r="B12998" s="55" t="n">
        <v>46203</v>
      </c>
      <c r="C12998" s="51" t="s">
        <v>782</v>
      </c>
      <c r="D12998" s="51" t="n">
        <v>0</v>
      </c>
    </row>
    <row r="12999" customFormat="false" ht="15" hidden="true" customHeight="false" outlineLevel="0" collapsed="false">
      <c r="A12999" s="51" t="s">
        <v>751</v>
      </c>
      <c r="B12999" s="55" t="n">
        <v>46203</v>
      </c>
      <c r="C12999" s="51" t="s">
        <v>782</v>
      </c>
      <c r="D12999" s="51" t="n">
        <v>0</v>
      </c>
    </row>
    <row r="13000" customFormat="false" ht="15" hidden="false" customHeight="false" outlineLevel="0" collapsed="false">
      <c r="A13000" s="51" t="s">
        <v>781</v>
      </c>
      <c r="B13000" s="55" t="n">
        <v>46203</v>
      </c>
      <c r="C13000" s="51" t="s">
        <v>82</v>
      </c>
      <c r="D13000" s="51" t="n">
        <v>0</v>
      </c>
    </row>
    <row r="13001" customFormat="false" ht="15" hidden="true" customHeight="false" outlineLevel="0" collapsed="false">
      <c r="A13001" s="51" t="s">
        <v>783</v>
      </c>
      <c r="B13001" s="55" t="n">
        <v>46203</v>
      </c>
      <c r="C13001" s="51" t="s">
        <v>82</v>
      </c>
      <c r="D13001" s="51" t="n">
        <v>0</v>
      </c>
    </row>
    <row r="13002" customFormat="false" ht="15" hidden="true" customHeight="false" outlineLevel="0" collapsed="false">
      <c r="A13002" s="51" t="s">
        <v>96</v>
      </c>
      <c r="B13002" s="55" t="n">
        <v>46203</v>
      </c>
      <c r="C13002" s="51" t="s">
        <v>82</v>
      </c>
      <c r="D13002" s="51" t="n">
        <v>0</v>
      </c>
    </row>
    <row r="13003" customFormat="false" ht="15" hidden="true" customHeight="false" outlineLevel="0" collapsed="false">
      <c r="A13003" s="51" t="s">
        <v>101</v>
      </c>
      <c r="B13003" s="55" t="n">
        <v>46203</v>
      </c>
      <c r="C13003" s="51" t="s">
        <v>82</v>
      </c>
      <c r="D13003" s="51" t="n">
        <v>0</v>
      </c>
    </row>
    <row r="13004" customFormat="false" ht="15" hidden="true" customHeight="false" outlineLevel="0" collapsed="false">
      <c r="A13004" s="51" t="s">
        <v>106</v>
      </c>
      <c r="B13004" s="55" t="n">
        <v>46203</v>
      </c>
      <c r="C13004" s="51" t="s">
        <v>82</v>
      </c>
      <c r="D13004" s="51" t="n">
        <v>0</v>
      </c>
    </row>
    <row r="13005" customFormat="false" ht="15" hidden="true" customHeight="false" outlineLevel="0" collapsed="false">
      <c r="A13005" s="51" t="s">
        <v>110</v>
      </c>
      <c r="B13005" s="55" t="n">
        <v>46203</v>
      </c>
      <c r="C13005" s="51" t="s">
        <v>82</v>
      </c>
      <c r="D13005" s="51" t="n">
        <v>0</v>
      </c>
    </row>
    <row r="13006" customFormat="false" ht="15" hidden="true" customHeight="false" outlineLevel="0" collapsed="false">
      <c r="A13006" s="51" t="s">
        <v>115</v>
      </c>
      <c r="B13006" s="55" t="n">
        <v>46203</v>
      </c>
      <c r="C13006" s="51" t="s">
        <v>82</v>
      </c>
      <c r="D13006" s="51" t="n">
        <v>0</v>
      </c>
    </row>
    <row r="13007" customFormat="false" ht="15" hidden="true" customHeight="false" outlineLevel="0" collapsed="false">
      <c r="A13007" s="51" t="s">
        <v>120</v>
      </c>
      <c r="B13007" s="55" t="n">
        <v>46203</v>
      </c>
      <c r="C13007" s="51" t="s">
        <v>82</v>
      </c>
      <c r="D13007" s="51" t="n">
        <v>0</v>
      </c>
    </row>
    <row r="13008" customFormat="false" ht="15" hidden="true" customHeight="false" outlineLevel="0" collapsed="false">
      <c r="A13008" s="51" t="s">
        <v>124</v>
      </c>
      <c r="B13008" s="55" t="n">
        <v>46203</v>
      </c>
      <c r="C13008" s="51" t="s">
        <v>82</v>
      </c>
      <c r="D13008" s="51" t="n">
        <v>0</v>
      </c>
    </row>
    <row r="13009" customFormat="false" ht="15" hidden="true" customHeight="false" outlineLevel="0" collapsed="false">
      <c r="A13009" s="51" t="s">
        <v>129</v>
      </c>
      <c r="B13009" s="55" t="n">
        <v>46203</v>
      </c>
      <c r="C13009" s="51" t="s">
        <v>82</v>
      </c>
      <c r="D13009" s="51" t="n">
        <v>0</v>
      </c>
    </row>
    <row r="13010" customFormat="false" ht="15" hidden="true" customHeight="false" outlineLevel="0" collapsed="false">
      <c r="A13010" s="51" t="s">
        <v>134</v>
      </c>
      <c r="B13010" s="55" t="n">
        <v>46203</v>
      </c>
      <c r="C13010" s="51" t="s">
        <v>82</v>
      </c>
      <c r="D13010" s="51" t="n">
        <v>0</v>
      </c>
    </row>
    <row r="13011" customFormat="false" ht="15" hidden="true" customHeight="false" outlineLevel="0" collapsed="false">
      <c r="A13011" s="51" t="s">
        <v>141</v>
      </c>
      <c r="B13011" s="55" t="n">
        <v>46203</v>
      </c>
      <c r="C13011" s="51" t="s">
        <v>82</v>
      </c>
      <c r="D13011" s="51" t="n">
        <v>0</v>
      </c>
    </row>
    <row r="13012" customFormat="false" ht="15" hidden="true" customHeight="false" outlineLevel="0" collapsed="false">
      <c r="A13012" s="51" t="s">
        <v>146</v>
      </c>
      <c r="B13012" s="55" t="n">
        <v>46203</v>
      </c>
      <c r="C13012" s="51" t="s">
        <v>82</v>
      </c>
      <c r="D13012" s="51" t="n">
        <v>0</v>
      </c>
    </row>
    <row r="13013" customFormat="false" ht="15" hidden="true" customHeight="false" outlineLevel="0" collapsed="false">
      <c r="A13013" s="51" t="s">
        <v>151</v>
      </c>
      <c r="B13013" s="55" t="n">
        <v>46203</v>
      </c>
      <c r="C13013" s="51" t="s">
        <v>82</v>
      </c>
      <c r="D13013" s="51" t="n">
        <v>0</v>
      </c>
    </row>
    <row r="13014" customFormat="false" ht="15" hidden="true" customHeight="false" outlineLevel="0" collapsed="false">
      <c r="A13014" s="51" t="s">
        <v>156</v>
      </c>
      <c r="B13014" s="55" t="n">
        <v>46203</v>
      </c>
      <c r="C13014" s="51" t="s">
        <v>82</v>
      </c>
      <c r="D13014" s="51" t="n">
        <v>0</v>
      </c>
    </row>
    <row r="13015" customFormat="false" ht="15" hidden="true" customHeight="false" outlineLevel="0" collapsed="false">
      <c r="A13015" s="51" t="s">
        <v>161</v>
      </c>
      <c r="B13015" s="55" t="n">
        <v>46203</v>
      </c>
      <c r="C13015" s="51" t="s">
        <v>82</v>
      </c>
      <c r="D13015" s="51" t="n">
        <v>0</v>
      </c>
    </row>
    <row r="13016" customFormat="false" ht="15" hidden="true" customHeight="false" outlineLevel="0" collapsed="false">
      <c r="A13016" s="51" t="s">
        <v>166</v>
      </c>
      <c r="B13016" s="55" t="n">
        <v>46203</v>
      </c>
      <c r="C13016" s="51" t="s">
        <v>82</v>
      </c>
      <c r="D13016" s="51" t="n">
        <v>0</v>
      </c>
    </row>
    <row r="13017" customFormat="false" ht="15" hidden="true" customHeight="false" outlineLevel="0" collapsed="false">
      <c r="A13017" s="51" t="s">
        <v>171</v>
      </c>
      <c r="B13017" s="55" t="n">
        <v>46203</v>
      </c>
      <c r="C13017" s="51" t="s">
        <v>82</v>
      </c>
      <c r="D13017" s="51" t="n">
        <v>0</v>
      </c>
    </row>
    <row r="13018" customFormat="false" ht="15" hidden="true" customHeight="false" outlineLevel="0" collapsed="false">
      <c r="A13018" s="51" t="s">
        <v>176</v>
      </c>
      <c r="B13018" s="55" t="n">
        <v>46203</v>
      </c>
      <c r="C13018" s="51" t="s">
        <v>82</v>
      </c>
      <c r="D13018" s="51" t="n">
        <v>0</v>
      </c>
    </row>
    <row r="13019" customFormat="false" ht="15" hidden="true" customHeight="false" outlineLevel="0" collapsed="false">
      <c r="A13019" s="51" t="s">
        <v>181</v>
      </c>
      <c r="B13019" s="55" t="n">
        <v>46203</v>
      </c>
      <c r="C13019" s="51" t="s">
        <v>82</v>
      </c>
      <c r="D13019" s="51" t="n">
        <v>0</v>
      </c>
    </row>
    <row r="13020" customFormat="false" ht="15" hidden="true" customHeight="false" outlineLevel="0" collapsed="false">
      <c r="A13020" s="51" t="s">
        <v>186</v>
      </c>
      <c r="B13020" s="55" t="n">
        <v>46203</v>
      </c>
      <c r="C13020" s="51" t="s">
        <v>82</v>
      </c>
      <c r="D13020" s="51" t="n">
        <v>0</v>
      </c>
    </row>
    <row r="13021" customFormat="false" ht="15" hidden="true" customHeight="false" outlineLevel="0" collapsed="false">
      <c r="A13021" s="51" t="s">
        <v>191</v>
      </c>
      <c r="B13021" s="55" t="n">
        <v>46203</v>
      </c>
      <c r="C13021" s="51" t="s">
        <v>82</v>
      </c>
      <c r="D13021" s="51" t="n">
        <v>0</v>
      </c>
    </row>
    <row r="13022" customFormat="false" ht="15" hidden="true" customHeight="false" outlineLevel="0" collapsed="false">
      <c r="A13022" s="51" t="s">
        <v>196</v>
      </c>
      <c r="B13022" s="55" t="n">
        <v>46203</v>
      </c>
      <c r="C13022" s="51" t="s">
        <v>82</v>
      </c>
      <c r="D13022" s="51" t="n">
        <v>0</v>
      </c>
    </row>
    <row r="13023" customFormat="false" ht="15" hidden="true" customHeight="false" outlineLevel="0" collapsed="false">
      <c r="A13023" s="51" t="s">
        <v>201</v>
      </c>
      <c r="B13023" s="55" t="n">
        <v>46203</v>
      </c>
      <c r="C13023" s="51" t="s">
        <v>82</v>
      </c>
      <c r="D13023" s="51" t="n">
        <v>0</v>
      </c>
    </row>
    <row r="13024" customFormat="false" ht="15" hidden="true" customHeight="false" outlineLevel="0" collapsed="false">
      <c r="A13024" s="51" t="s">
        <v>206</v>
      </c>
      <c r="B13024" s="55" t="n">
        <v>46203</v>
      </c>
      <c r="C13024" s="51" t="s">
        <v>82</v>
      </c>
      <c r="D13024" s="51" t="n">
        <v>0</v>
      </c>
    </row>
    <row r="13025" customFormat="false" ht="15" hidden="true" customHeight="false" outlineLevel="0" collapsed="false">
      <c r="A13025" s="51" t="s">
        <v>210</v>
      </c>
      <c r="B13025" s="55" t="n">
        <v>46203</v>
      </c>
      <c r="C13025" s="51" t="s">
        <v>82</v>
      </c>
      <c r="D13025" s="51" t="n">
        <v>0</v>
      </c>
    </row>
    <row r="13026" customFormat="false" ht="15" hidden="true" customHeight="false" outlineLevel="0" collapsed="false">
      <c r="A13026" s="51" t="s">
        <v>215</v>
      </c>
      <c r="B13026" s="55" t="n">
        <v>46203</v>
      </c>
      <c r="C13026" s="51" t="s">
        <v>82</v>
      </c>
      <c r="D13026" s="51" t="n">
        <v>0</v>
      </c>
    </row>
    <row r="13027" customFormat="false" ht="15" hidden="true" customHeight="false" outlineLevel="0" collapsed="false">
      <c r="A13027" s="51" t="s">
        <v>790</v>
      </c>
      <c r="B13027" s="55" t="n">
        <v>46203</v>
      </c>
      <c r="C13027" s="51" t="s">
        <v>82</v>
      </c>
      <c r="D13027" s="51" t="n">
        <v>0</v>
      </c>
    </row>
    <row r="13028" customFormat="false" ht="15" hidden="true" customHeight="false" outlineLevel="0" collapsed="false">
      <c r="A13028" s="51" t="s">
        <v>225</v>
      </c>
      <c r="B13028" s="55" t="n">
        <v>46203</v>
      </c>
      <c r="C13028" s="51" t="s">
        <v>82</v>
      </c>
      <c r="D13028" s="51" t="n">
        <v>0</v>
      </c>
    </row>
    <row r="13029" customFormat="false" ht="15" hidden="true" customHeight="false" outlineLevel="0" collapsed="false">
      <c r="A13029" s="51" t="s">
        <v>230</v>
      </c>
      <c r="B13029" s="55" t="n">
        <v>46203</v>
      </c>
      <c r="C13029" s="51" t="s">
        <v>82</v>
      </c>
      <c r="D13029" s="51" t="n">
        <v>0</v>
      </c>
    </row>
    <row r="13030" customFormat="false" ht="15" hidden="true" customHeight="false" outlineLevel="0" collapsed="false">
      <c r="A13030" s="51" t="s">
        <v>235</v>
      </c>
      <c r="B13030" s="55" t="n">
        <v>46203</v>
      </c>
      <c r="C13030" s="51" t="s">
        <v>82</v>
      </c>
      <c r="D13030" s="51" t="n">
        <v>0</v>
      </c>
    </row>
    <row r="13031" customFormat="false" ht="15" hidden="true" customHeight="false" outlineLevel="0" collapsed="false">
      <c r="A13031" s="51" t="s">
        <v>240</v>
      </c>
      <c r="B13031" s="55" t="n">
        <v>46203</v>
      </c>
      <c r="C13031" s="51" t="s">
        <v>82</v>
      </c>
      <c r="D13031" s="51" t="n">
        <v>0</v>
      </c>
    </row>
    <row r="13032" customFormat="false" ht="15" hidden="true" customHeight="false" outlineLevel="0" collapsed="false">
      <c r="A13032" s="51" t="s">
        <v>246</v>
      </c>
      <c r="B13032" s="55" t="n">
        <v>46203</v>
      </c>
      <c r="C13032" s="51" t="s">
        <v>82</v>
      </c>
      <c r="D13032" s="51" t="n">
        <v>0</v>
      </c>
    </row>
    <row r="13033" customFormat="false" ht="15" hidden="true" customHeight="false" outlineLevel="0" collapsed="false">
      <c r="A13033" s="51" t="s">
        <v>252</v>
      </c>
      <c r="B13033" s="55" t="n">
        <v>46203</v>
      </c>
      <c r="C13033" s="51" t="s">
        <v>82</v>
      </c>
      <c r="D13033" s="51" t="n">
        <v>0</v>
      </c>
    </row>
    <row r="13034" customFormat="false" ht="15" hidden="true" customHeight="false" outlineLevel="0" collapsed="false">
      <c r="A13034" s="51" t="s">
        <v>257</v>
      </c>
      <c r="B13034" s="55" t="n">
        <v>46203</v>
      </c>
      <c r="C13034" s="51" t="s">
        <v>82</v>
      </c>
      <c r="D13034" s="51" t="n">
        <v>0</v>
      </c>
    </row>
    <row r="13035" customFormat="false" ht="15" hidden="true" customHeight="false" outlineLevel="0" collapsed="false">
      <c r="A13035" s="51" t="s">
        <v>262</v>
      </c>
      <c r="B13035" s="55" t="n">
        <v>46203</v>
      </c>
      <c r="C13035" s="51" t="s">
        <v>82</v>
      </c>
      <c r="D13035" s="51" t="n">
        <v>0</v>
      </c>
    </row>
    <row r="13036" customFormat="false" ht="15" hidden="true" customHeight="false" outlineLevel="0" collapsed="false">
      <c r="A13036" s="51" t="s">
        <v>267</v>
      </c>
      <c r="B13036" s="55" t="n">
        <v>46203</v>
      </c>
      <c r="C13036" s="51" t="s">
        <v>82</v>
      </c>
      <c r="D13036" s="51" t="n">
        <v>0</v>
      </c>
    </row>
    <row r="13037" customFormat="false" ht="15" hidden="true" customHeight="false" outlineLevel="0" collapsed="false">
      <c r="A13037" s="51" t="s">
        <v>272</v>
      </c>
      <c r="B13037" s="55" t="n">
        <v>46203</v>
      </c>
      <c r="C13037" s="51" t="s">
        <v>82</v>
      </c>
      <c r="D13037" s="51" t="n">
        <v>0</v>
      </c>
    </row>
    <row r="13038" customFormat="false" ht="15" hidden="true" customHeight="false" outlineLevel="0" collapsed="false">
      <c r="A13038" s="51" t="s">
        <v>277</v>
      </c>
      <c r="B13038" s="55" t="n">
        <v>46203</v>
      </c>
      <c r="C13038" s="51" t="s">
        <v>82</v>
      </c>
      <c r="D13038" s="51" t="n">
        <v>0</v>
      </c>
    </row>
    <row r="13039" customFormat="false" ht="15" hidden="true" customHeight="false" outlineLevel="0" collapsed="false">
      <c r="A13039" s="51" t="s">
        <v>282</v>
      </c>
      <c r="B13039" s="55" t="n">
        <v>46203</v>
      </c>
      <c r="C13039" s="51" t="s">
        <v>82</v>
      </c>
      <c r="D13039" s="51" t="n">
        <v>0</v>
      </c>
    </row>
    <row r="13040" customFormat="false" ht="15" hidden="true" customHeight="false" outlineLevel="0" collapsed="false">
      <c r="A13040" s="51" t="s">
        <v>287</v>
      </c>
      <c r="B13040" s="55" t="n">
        <v>46203</v>
      </c>
      <c r="C13040" s="51" t="s">
        <v>82</v>
      </c>
      <c r="D13040" s="51" t="n">
        <v>0</v>
      </c>
    </row>
    <row r="13041" customFormat="false" ht="15" hidden="true" customHeight="false" outlineLevel="0" collapsed="false">
      <c r="A13041" s="51" t="s">
        <v>292</v>
      </c>
      <c r="B13041" s="55" t="n">
        <v>46203</v>
      </c>
      <c r="C13041" s="51" t="s">
        <v>82</v>
      </c>
      <c r="D13041" s="51" t="n">
        <v>0</v>
      </c>
    </row>
    <row r="13042" customFormat="false" ht="15" hidden="true" customHeight="false" outlineLevel="0" collapsed="false">
      <c r="A13042" s="51" t="s">
        <v>297</v>
      </c>
      <c r="B13042" s="55" t="n">
        <v>46203</v>
      </c>
      <c r="C13042" s="51" t="s">
        <v>82</v>
      </c>
      <c r="D13042" s="51" t="n">
        <v>0</v>
      </c>
    </row>
    <row r="13043" customFormat="false" ht="15" hidden="true" customHeight="false" outlineLevel="0" collapsed="false">
      <c r="A13043" s="51" t="s">
        <v>302</v>
      </c>
      <c r="B13043" s="55" t="n">
        <v>46203</v>
      </c>
      <c r="C13043" s="51" t="s">
        <v>82</v>
      </c>
      <c r="D13043" s="51" t="n">
        <v>0</v>
      </c>
    </row>
    <row r="13044" customFormat="false" ht="15" hidden="true" customHeight="false" outlineLevel="0" collapsed="false">
      <c r="A13044" s="51" t="s">
        <v>307</v>
      </c>
      <c r="B13044" s="55" t="n">
        <v>46203</v>
      </c>
      <c r="C13044" s="51" t="s">
        <v>82</v>
      </c>
      <c r="D13044" s="51" t="n">
        <v>0</v>
      </c>
    </row>
    <row r="13045" customFormat="false" ht="15" hidden="true" customHeight="false" outlineLevel="0" collapsed="false">
      <c r="A13045" s="51" t="s">
        <v>311</v>
      </c>
      <c r="B13045" s="55" t="n">
        <v>46203</v>
      </c>
      <c r="C13045" s="51" t="s">
        <v>82</v>
      </c>
      <c r="D13045" s="51" t="n">
        <v>0</v>
      </c>
    </row>
    <row r="13046" customFormat="false" ht="15" hidden="true" customHeight="false" outlineLevel="0" collapsed="false">
      <c r="A13046" s="51" t="s">
        <v>317</v>
      </c>
      <c r="B13046" s="55" t="n">
        <v>46203</v>
      </c>
      <c r="C13046" s="51" t="s">
        <v>82</v>
      </c>
      <c r="D13046" s="51" t="n">
        <v>0</v>
      </c>
    </row>
    <row r="13047" customFormat="false" ht="15" hidden="true" customHeight="false" outlineLevel="0" collapsed="false">
      <c r="A13047" s="51" t="s">
        <v>322</v>
      </c>
      <c r="B13047" s="55" t="n">
        <v>46203</v>
      </c>
      <c r="C13047" s="51" t="s">
        <v>82</v>
      </c>
      <c r="D13047" s="51" t="n">
        <v>0</v>
      </c>
    </row>
    <row r="13048" customFormat="false" ht="15" hidden="true" customHeight="false" outlineLevel="0" collapsed="false">
      <c r="A13048" s="51" t="s">
        <v>327</v>
      </c>
      <c r="B13048" s="55" t="n">
        <v>46203</v>
      </c>
      <c r="C13048" s="51" t="s">
        <v>82</v>
      </c>
      <c r="D13048" s="51" t="n">
        <v>0</v>
      </c>
    </row>
    <row r="13049" customFormat="false" ht="15" hidden="true" customHeight="false" outlineLevel="0" collapsed="false">
      <c r="A13049" s="51" t="s">
        <v>332</v>
      </c>
      <c r="B13049" s="55" t="n">
        <v>46203</v>
      </c>
      <c r="C13049" s="51" t="s">
        <v>82</v>
      </c>
      <c r="D13049" s="51" t="n">
        <v>0</v>
      </c>
    </row>
    <row r="13050" customFormat="false" ht="15" hidden="true" customHeight="false" outlineLevel="0" collapsed="false">
      <c r="A13050" s="51" t="s">
        <v>339</v>
      </c>
      <c r="B13050" s="55" t="n">
        <v>46203</v>
      </c>
      <c r="C13050" s="51" t="s">
        <v>82</v>
      </c>
      <c r="D13050" s="51" t="n">
        <v>0</v>
      </c>
    </row>
    <row r="13051" customFormat="false" ht="15" hidden="true" customHeight="false" outlineLevel="0" collapsed="false">
      <c r="A13051" s="51" t="s">
        <v>344</v>
      </c>
      <c r="B13051" s="55" t="n">
        <v>46203</v>
      </c>
      <c r="C13051" s="51" t="s">
        <v>82</v>
      </c>
      <c r="D13051" s="51" t="n">
        <v>0</v>
      </c>
    </row>
    <row r="13052" customFormat="false" ht="15" hidden="true" customHeight="false" outlineLevel="0" collapsed="false">
      <c r="A13052" s="51" t="s">
        <v>349</v>
      </c>
      <c r="B13052" s="55" t="n">
        <v>46203</v>
      </c>
      <c r="C13052" s="51" t="s">
        <v>82</v>
      </c>
      <c r="D13052" s="51" t="n">
        <v>0</v>
      </c>
    </row>
    <row r="13053" customFormat="false" ht="15" hidden="true" customHeight="false" outlineLevel="0" collapsed="false">
      <c r="A13053" s="51" t="s">
        <v>354</v>
      </c>
      <c r="B13053" s="55" t="n">
        <v>46203</v>
      </c>
      <c r="C13053" s="51" t="s">
        <v>82</v>
      </c>
      <c r="D13053" s="51" t="n">
        <v>0</v>
      </c>
    </row>
    <row r="13054" customFormat="false" ht="15" hidden="true" customHeight="false" outlineLevel="0" collapsed="false">
      <c r="A13054" s="51" t="s">
        <v>359</v>
      </c>
      <c r="B13054" s="55" t="n">
        <v>46203</v>
      </c>
      <c r="C13054" s="51" t="s">
        <v>82</v>
      </c>
      <c r="D13054" s="51" t="n">
        <v>0</v>
      </c>
    </row>
    <row r="13055" customFormat="false" ht="15" hidden="true" customHeight="false" outlineLevel="0" collapsed="false">
      <c r="A13055" s="51" t="s">
        <v>364</v>
      </c>
      <c r="B13055" s="55" t="n">
        <v>46203</v>
      </c>
      <c r="C13055" s="51" t="s">
        <v>82</v>
      </c>
      <c r="D13055" s="51" t="n">
        <v>0</v>
      </c>
    </row>
    <row r="13056" customFormat="false" ht="15" hidden="true" customHeight="false" outlineLevel="0" collapsed="false">
      <c r="A13056" s="51" t="s">
        <v>369</v>
      </c>
      <c r="B13056" s="55" t="n">
        <v>46203</v>
      </c>
      <c r="C13056" s="51" t="s">
        <v>82</v>
      </c>
      <c r="D13056" s="51" t="n">
        <v>0</v>
      </c>
    </row>
    <row r="13057" customFormat="false" ht="15" hidden="true" customHeight="false" outlineLevel="0" collapsed="false">
      <c r="A13057" s="51" t="s">
        <v>374</v>
      </c>
      <c r="B13057" s="55" t="n">
        <v>46203</v>
      </c>
      <c r="C13057" s="51" t="s">
        <v>82</v>
      </c>
      <c r="D13057" s="51" t="n">
        <v>0</v>
      </c>
    </row>
    <row r="13058" customFormat="false" ht="15" hidden="true" customHeight="false" outlineLevel="0" collapsed="false">
      <c r="A13058" s="51" t="s">
        <v>379</v>
      </c>
      <c r="B13058" s="55" t="n">
        <v>46203</v>
      </c>
      <c r="C13058" s="51" t="s">
        <v>82</v>
      </c>
      <c r="D13058" s="51" t="n">
        <v>0</v>
      </c>
    </row>
    <row r="13059" customFormat="false" ht="15" hidden="true" customHeight="false" outlineLevel="0" collapsed="false">
      <c r="A13059" s="51" t="s">
        <v>384</v>
      </c>
      <c r="B13059" s="55" t="n">
        <v>46203</v>
      </c>
      <c r="C13059" s="51" t="s">
        <v>82</v>
      </c>
      <c r="D13059" s="51" t="n">
        <v>0</v>
      </c>
    </row>
    <row r="13060" customFormat="false" ht="15" hidden="true" customHeight="false" outlineLevel="0" collapsed="false">
      <c r="A13060" s="51" t="s">
        <v>389</v>
      </c>
      <c r="B13060" s="55" t="n">
        <v>46203</v>
      </c>
      <c r="C13060" s="51" t="s">
        <v>82</v>
      </c>
      <c r="D13060" s="51" t="n">
        <v>0</v>
      </c>
    </row>
    <row r="13061" customFormat="false" ht="15" hidden="true" customHeight="false" outlineLevel="0" collapsed="false">
      <c r="A13061" s="51" t="s">
        <v>394</v>
      </c>
      <c r="B13061" s="55" t="n">
        <v>46203</v>
      </c>
      <c r="C13061" s="51" t="s">
        <v>82</v>
      </c>
      <c r="D13061" s="51" t="n">
        <v>0</v>
      </c>
    </row>
    <row r="13062" customFormat="false" ht="15" hidden="true" customHeight="false" outlineLevel="0" collapsed="false">
      <c r="A13062" s="51" t="s">
        <v>399</v>
      </c>
      <c r="B13062" s="55" t="n">
        <v>46203</v>
      </c>
      <c r="C13062" s="51" t="s">
        <v>82</v>
      </c>
      <c r="D13062" s="51" t="n">
        <v>0</v>
      </c>
    </row>
    <row r="13063" customFormat="false" ht="15" hidden="true" customHeight="false" outlineLevel="0" collapsed="false">
      <c r="A13063" s="51" t="s">
        <v>404</v>
      </c>
      <c r="B13063" s="55" t="n">
        <v>46203</v>
      </c>
      <c r="C13063" s="51" t="s">
        <v>82</v>
      </c>
      <c r="D13063" s="51" t="n">
        <v>0</v>
      </c>
    </row>
    <row r="13064" customFormat="false" ht="15" hidden="true" customHeight="false" outlineLevel="0" collapsed="false">
      <c r="A13064" s="51" t="s">
        <v>409</v>
      </c>
      <c r="B13064" s="55" t="n">
        <v>46203</v>
      </c>
      <c r="C13064" s="51" t="s">
        <v>82</v>
      </c>
      <c r="D13064" s="51" t="n">
        <v>0</v>
      </c>
    </row>
    <row r="13065" customFormat="false" ht="15" hidden="true" customHeight="false" outlineLevel="0" collapsed="false">
      <c r="A13065" s="51" t="s">
        <v>414</v>
      </c>
      <c r="B13065" s="55" t="n">
        <v>46203</v>
      </c>
      <c r="C13065" s="51" t="s">
        <v>82</v>
      </c>
      <c r="D13065" s="51" t="n">
        <v>0</v>
      </c>
    </row>
    <row r="13066" customFormat="false" ht="15" hidden="true" customHeight="false" outlineLevel="0" collapsed="false">
      <c r="A13066" s="51" t="s">
        <v>419</v>
      </c>
      <c r="B13066" s="55" t="n">
        <v>46203</v>
      </c>
      <c r="C13066" s="51" t="s">
        <v>82</v>
      </c>
      <c r="D13066" s="51" t="n">
        <v>0</v>
      </c>
    </row>
    <row r="13067" customFormat="false" ht="15" hidden="true" customHeight="false" outlineLevel="0" collapsed="false">
      <c r="A13067" s="51" t="s">
        <v>424</v>
      </c>
      <c r="B13067" s="55" t="n">
        <v>46203</v>
      </c>
      <c r="C13067" s="51" t="s">
        <v>82</v>
      </c>
      <c r="D13067" s="51" t="n">
        <v>0</v>
      </c>
    </row>
    <row r="13068" customFormat="false" ht="15" hidden="true" customHeight="false" outlineLevel="0" collapsed="false">
      <c r="A13068" s="51" t="s">
        <v>429</v>
      </c>
      <c r="B13068" s="55" t="n">
        <v>46203</v>
      </c>
      <c r="C13068" s="51" t="s">
        <v>82</v>
      </c>
      <c r="D13068" s="51" t="n">
        <v>0</v>
      </c>
    </row>
    <row r="13069" customFormat="false" ht="15" hidden="true" customHeight="false" outlineLevel="0" collapsed="false">
      <c r="A13069" s="51" t="s">
        <v>434</v>
      </c>
      <c r="B13069" s="55" t="n">
        <v>46203</v>
      </c>
      <c r="C13069" s="51" t="s">
        <v>82</v>
      </c>
      <c r="D13069" s="51" t="n">
        <v>0</v>
      </c>
    </row>
    <row r="13070" customFormat="false" ht="15" hidden="true" customHeight="false" outlineLevel="0" collapsed="false">
      <c r="A13070" s="51" t="s">
        <v>438</v>
      </c>
      <c r="B13070" s="55" t="n">
        <v>46203</v>
      </c>
      <c r="C13070" s="51" t="s">
        <v>82</v>
      </c>
      <c r="D13070" s="51" t="n">
        <v>0</v>
      </c>
    </row>
    <row r="13071" customFormat="false" ht="15" hidden="true" customHeight="false" outlineLevel="0" collapsed="false">
      <c r="A13071" s="51" t="s">
        <v>443</v>
      </c>
      <c r="B13071" s="55" t="n">
        <v>46203</v>
      </c>
      <c r="C13071" s="51" t="s">
        <v>82</v>
      </c>
      <c r="D13071" s="51" t="n">
        <v>0</v>
      </c>
    </row>
    <row r="13072" customFormat="false" ht="15" hidden="true" customHeight="false" outlineLevel="0" collapsed="false">
      <c r="A13072" s="51" t="s">
        <v>448</v>
      </c>
      <c r="B13072" s="55" t="n">
        <v>46203</v>
      </c>
      <c r="C13072" s="51" t="s">
        <v>82</v>
      </c>
      <c r="D13072" s="51" t="n">
        <v>0</v>
      </c>
    </row>
    <row r="13073" customFormat="false" ht="15" hidden="true" customHeight="false" outlineLevel="0" collapsed="false">
      <c r="A13073" s="51" t="s">
        <v>453</v>
      </c>
      <c r="B13073" s="55" t="n">
        <v>46203</v>
      </c>
      <c r="C13073" s="51" t="s">
        <v>82</v>
      </c>
      <c r="D13073" s="51" t="n">
        <v>0</v>
      </c>
    </row>
    <row r="13074" customFormat="false" ht="15" hidden="true" customHeight="false" outlineLevel="0" collapsed="false">
      <c r="A13074" s="51" t="s">
        <v>458</v>
      </c>
      <c r="B13074" s="55" t="n">
        <v>46203</v>
      </c>
      <c r="C13074" s="51" t="s">
        <v>82</v>
      </c>
      <c r="D13074" s="51" t="n">
        <v>0</v>
      </c>
    </row>
    <row r="13075" customFormat="false" ht="15" hidden="true" customHeight="false" outlineLevel="0" collapsed="false">
      <c r="A13075" s="51" t="s">
        <v>473</v>
      </c>
      <c r="B13075" s="55" t="n">
        <v>46203</v>
      </c>
      <c r="C13075" s="51" t="s">
        <v>82</v>
      </c>
      <c r="D13075" s="51" t="n">
        <v>0</v>
      </c>
    </row>
    <row r="13076" customFormat="false" ht="15" hidden="true" customHeight="false" outlineLevel="0" collapsed="false">
      <c r="A13076" s="51" t="s">
        <v>479</v>
      </c>
      <c r="B13076" s="55" t="n">
        <v>46203</v>
      </c>
      <c r="C13076" s="51" t="s">
        <v>82</v>
      </c>
      <c r="D13076" s="51" t="n">
        <v>0</v>
      </c>
    </row>
    <row r="13077" customFormat="false" ht="15" hidden="true" customHeight="false" outlineLevel="0" collapsed="false">
      <c r="A13077" s="51" t="s">
        <v>484</v>
      </c>
      <c r="B13077" s="55" t="n">
        <v>46203</v>
      </c>
      <c r="C13077" s="51" t="s">
        <v>82</v>
      </c>
      <c r="D13077" s="51" t="n">
        <v>0</v>
      </c>
    </row>
    <row r="13078" customFormat="false" ht="15" hidden="true" customHeight="false" outlineLevel="0" collapsed="false">
      <c r="A13078" s="51" t="s">
        <v>489</v>
      </c>
      <c r="B13078" s="55" t="n">
        <v>46203</v>
      </c>
      <c r="C13078" s="51" t="s">
        <v>82</v>
      </c>
      <c r="D13078" s="51" t="n">
        <v>0</v>
      </c>
    </row>
    <row r="13079" customFormat="false" ht="15" hidden="true" customHeight="false" outlineLevel="0" collapsed="false">
      <c r="A13079" s="51" t="s">
        <v>494</v>
      </c>
      <c r="B13079" s="55" t="n">
        <v>46203</v>
      </c>
      <c r="C13079" s="51" t="s">
        <v>82</v>
      </c>
      <c r="D13079" s="51" t="n">
        <v>0</v>
      </c>
    </row>
    <row r="13080" customFormat="false" ht="15" hidden="true" customHeight="false" outlineLevel="0" collapsed="false">
      <c r="A13080" s="51" t="s">
        <v>499</v>
      </c>
      <c r="B13080" s="55" t="n">
        <v>46203</v>
      </c>
      <c r="C13080" s="51" t="s">
        <v>82</v>
      </c>
      <c r="D13080" s="51" t="n">
        <v>0</v>
      </c>
    </row>
    <row r="13081" customFormat="false" ht="15" hidden="true" customHeight="false" outlineLevel="0" collapsed="false">
      <c r="A13081" s="51" t="s">
        <v>504</v>
      </c>
      <c r="B13081" s="55" t="n">
        <v>46203</v>
      </c>
      <c r="C13081" s="51" t="s">
        <v>82</v>
      </c>
      <c r="D13081" s="51" t="n">
        <v>0</v>
      </c>
    </row>
    <row r="13082" customFormat="false" ht="15" hidden="true" customHeight="false" outlineLevel="0" collapsed="false">
      <c r="A13082" s="51" t="s">
        <v>509</v>
      </c>
      <c r="B13082" s="55" t="n">
        <v>46203</v>
      </c>
      <c r="C13082" s="51" t="s">
        <v>82</v>
      </c>
      <c r="D13082" s="51" t="n">
        <v>0</v>
      </c>
    </row>
    <row r="13083" customFormat="false" ht="15" hidden="true" customHeight="false" outlineLevel="0" collapsed="false">
      <c r="A13083" s="51" t="s">
        <v>515</v>
      </c>
      <c r="B13083" s="55" t="n">
        <v>46203</v>
      </c>
      <c r="C13083" s="51" t="s">
        <v>82</v>
      </c>
      <c r="D13083" s="51" t="n">
        <v>0</v>
      </c>
    </row>
    <row r="13084" customFormat="false" ht="15" hidden="true" customHeight="false" outlineLevel="0" collapsed="false">
      <c r="A13084" s="51" t="s">
        <v>520</v>
      </c>
      <c r="B13084" s="55" t="n">
        <v>46203</v>
      </c>
      <c r="C13084" s="51" t="s">
        <v>82</v>
      </c>
      <c r="D13084" s="51" t="n">
        <v>0</v>
      </c>
    </row>
    <row r="13085" customFormat="false" ht="15" hidden="true" customHeight="false" outlineLevel="0" collapsed="false">
      <c r="A13085" s="51" t="s">
        <v>525</v>
      </c>
      <c r="B13085" s="55" t="n">
        <v>46203</v>
      </c>
      <c r="C13085" s="51" t="s">
        <v>82</v>
      </c>
      <c r="D13085" s="51" t="n">
        <v>0</v>
      </c>
    </row>
    <row r="13086" customFormat="false" ht="15" hidden="true" customHeight="false" outlineLevel="0" collapsed="false">
      <c r="A13086" s="51" t="s">
        <v>531</v>
      </c>
      <c r="B13086" s="55" t="n">
        <v>46203</v>
      </c>
      <c r="C13086" s="51" t="s">
        <v>82</v>
      </c>
      <c r="D13086" s="51" t="n">
        <v>0</v>
      </c>
    </row>
    <row r="13087" customFormat="false" ht="15" hidden="true" customHeight="false" outlineLevel="0" collapsed="false">
      <c r="A13087" s="51" t="s">
        <v>536</v>
      </c>
      <c r="B13087" s="55" t="n">
        <v>46203</v>
      </c>
      <c r="C13087" s="51" t="s">
        <v>82</v>
      </c>
      <c r="D13087" s="51" t="n">
        <v>0</v>
      </c>
    </row>
    <row r="13088" customFormat="false" ht="15" hidden="true" customHeight="false" outlineLevel="0" collapsed="false">
      <c r="A13088" s="51" t="s">
        <v>541</v>
      </c>
      <c r="B13088" s="55" t="n">
        <v>46203</v>
      </c>
      <c r="C13088" s="51" t="s">
        <v>82</v>
      </c>
      <c r="D13088" s="51" t="n">
        <v>0</v>
      </c>
    </row>
    <row r="13089" customFormat="false" ht="15" hidden="true" customHeight="false" outlineLevel="0" collapsed="false">
      <c r="A13089" s="51" t="s">
        <v>549</v>
      </c>
      <c r="B13089" s="55" t="n">
        <v>46203</v>
      </c>
      <c r="C13089" s="51" t="s">
        <v>82</v>
      </c>
      <c r="D13089" s="51" t="n">
        <v>0</v>
      </c>
    </row>
    <row r="13090" customFormat="false" ht="15" hidden="true" customHeight="false" outlineLevel="0" collapsed="false">
      <c r="A13090" s="51" t="s">
        <v>554</v>
      </c>
      <c r="B13090" s="55" t="n">
        <v>46203</v>
      </c>
      <c r="C13090" s="51" t="s">
        <v>82</v>
      </c>
      <c r="D13090" s="51" t="n">
        <v>0</v>
      </c>
    </row>
    <row r="13091" customFormat="false" ht="15" hidden="true" customHeight="false" outlineLevel="0" collapsed="false">
      <c r="A13091" s="51" t="s">
        <v>559</v>
      </c>
      <c r="B13091" s="55" t="n">
        <v>46203</v>
      </c>
      <c r="C13091" s="51" t="s">
        <v>82</v>
      </c>
      <c r="D13091" s="51" t="n">
        <v>0</v>
      </c>
    </row>
    <row r="13092" customFormat="false" ht="15" hidden="true" customHeight="false" outlineLevel="0" collapsed="false">
      <c r="A13092" s="51" t="s">
        <v>564</v>
      </c>
      <c r="B13092" s="55" t="n">
        <v>46203</v>
      </c>
      <c r="C13092" s="51" t="s">
        <v>82</v>
      </c>
      <c r="D13092" s="51" t="n">
        <v>0</v>
      </c>
    </row>
    <row r="13093" customFormat="false" ht="15" hidden="true" customHeight="false" outlineLevel="0" collapsed="false">
      <c r="A13093" s="51" t="s">
        <v>569</v>
      </c>
      <c r="B13093" s="55" t="n">
        <v>46203</v>
      </c>
      <c r="C13093" s="51" t="s">
        <v>82</v>
      </c>
      <c r="D13093" s="51" t="n">
        <v>0</v>
      </c>
    </row>
    <row r="13094" customFormat="false" ht="15" hidden="true" customHeight="false" outlineLevel="0" collapsed="false">
      <c r="A13094" s="51" t="s">
        <v>574</v>
      </c>
      <c r="B13094" s="55" t="n">
        <v>46203</v>
      </c>
      <c r="C13094" s="51" t="s">
        <v>82</v>
      </c>
      <c r="D13094" s="51" t="n">
        <v>0</v>
      </c>
    </row>
    <row r="13095" customFormat="false" ht="15" hidden="true" customHeight="false" outlineLevel="0" collapsed="false">
      <c r="A13095" s="51" t="s">
        <v>579</v>
      </c>
      <c r="B13095" s="55" t="n">
        <v>46203</v>
      </c>
      <c r="C13095" s="51" t="s">
        <v>82</v>
      </c>
      <c r="D13095" s="51" t="n">
        <v>0</v>
      </c>
    </row>
    <row r="13096" customFormat="false" ht="15" hidden="true" customHeight="false" outlineLevel="0" collapsed="false">
      <c r="A13096" s="51" t="s">
        <v>584</v>
      </c>
      <c r="B13096" s="55" t="n">
        <v>46203</v>
      </c>
      <c r="C13096" s="51" t="s">
        <v>82</v>
      </c>
      <c r="D13096" s="51" t="n">
        <v>0</v>
      </c>
    </row>
    <row r="13097" customFormat="false" ht="15" hidden="true" customHeight="false" outlineLevel="0" collapsed="false">
      <c r="A13097" s="51" t="s">
        <v>589</v>
      </c>
      <c r="B13097" s="55" t="n">
        <v>46203</v>
      </c>
      <c r="C13097" s="51" t="s">
        <v>82</v>
      </c>
      <c r="D13097" s="51" t="n">
        <v>0</v>
      </c>
    </row>
    <row r="13098" customFormat="false" ht="15" hidden="true" customHeight="false" outlineLevel="0" collapsed="false">
      <c r="A13098" s="51" t="s">
        <v>756</v>
      </c>
      <c r="B13098" s="55" t="n">
        <v>46203</v>
      </c>
      <c r="C13098" s="51" t="s">
        <v>82</v>
      </c>
      <c r="D13098" s="51" t="n">
        <v>0</v>
      </c>
    </row>
    <row r="13099" customFormat="false" ht="15" hidden="true" customHeight="false" outlineLevel="0" collapsed="false">
      <c r="A13099" s="51" t="s">
        <v>594</v>
      </c>
      <c r="B13099" s="55" t="n">
        <v>46203</v>
      </c>
      <c r="C13099" s="51" t="s">
        <v>82</v>
      </c>
      <c r="D13099" s="51" t="n">
        <v>0</v>
      </c>
    </row>
    <row r="13100" customFormat="false" ht="15" hidden="true" customHeight="false" outlineLevel="0" collapsed="false">
      <c r="A13100" s="51" t="s">
        <v>761</v>
      </c>
      <c r="B13100" s="55" t="n">
        <v>46203</v>
      </c>
      <c r="C13100" s="51" t="s">
        <v>82</v>
      </c>
      <c r="D13100" s="51" t="n">
        <v>0</v>
      </c>
    </row>
    <row r="13101" customFormat="false" ht="15" hidden="true" customHeight="false" outlineLevel="0" collapsed="false">
      <c r="A13101" s="51" t="s">
        <v>599</v>
      </c>
      <c r="B13101" s="55" t="n">
        <v>46203</v>
      </c>
      <c r="C13101" s="51" t="s">
        <v>82</v>
      </c>
      <c r="D13101" s="51" t="n">
        <v>0</v>
      </c>
    </row>
    <row r="13102" customFormat="false" ht="15" hidden="true" customHeight="false" outlineLevel="0" collapsed="false">
      <c r="A13102" s="51" t="s">
        <v>604</v>
      </c>
      <c r="B13102" s="55" t="n">
        <v>46203</v>
      </c>
      <c r="C13102" s="51" t="s">
        <v>82</v>
      </c>
      <c r="D13102" s="51" t="n">
        <v>0</v>
      </c>
    </row>
    <row r="13103" customFormat="false" ht="15" hidden="true" customHeight="false" outlineLevel="0" collapsed="false">
      <c r="A13103" s="51" t="s">
        <v>609</v>
      </c>
      <c r="B13103" s="55" t="n">
        <v>46203</v>
      </c>
      <c r="C13103" s="51" t="s">
        <v>82</v>
      </c>
      <c r="D13103" s="51" t="n">
        <v>0</v>
      </c>
    </row>
    <row r="13104" customFormat="false" ht="15" hidden="true" customHeight="false" outlineLevel="0" collapsed="false">
      <c r="A13104" s="51" t="s">
        <v>614</v>
      </c>
      <c r="B13104" s="55" t="n">
        <v>46203</v>
      </c>
      <c r="C13104" s="51" t="s">
        <v>82</v>
      </c>
      <c r="D13104" s="51" t="n">
        <v>0</v>
      </c>
    </row>
    <row r="13105" customFormat="false" ht="15" hidden="true" customHeight="false" outlineLevel="0" collapsed="false">
      <c r="A13105" s="51" t="s">
        <v>619</v>
      </c>
      <c r="B13105" s="55" t="n">
        <v>46203</v>
      </c>
      <c r="C13105" s="51" t="s">
        <v>82</v>
      </c>
      <c r="D13105" s="51" t="n">
        <v>0</v>
      </c>
    </row>
    <row r="13106" customFormat="false" ht="15" hidden="true" customHeight="false" outlineLevel="0" collapsed="false">
      <c r="A13106" s="51" t="s">
        <v>624</v>
      </c>
      <c r="B13106" s="55" t="n">
        <v>46203</v>
      </c>
      <c r="C13106" s="51" t="s">
        <v>82</v>
      </c>
      <c r="D13106" s="51" t="n">
        <v>0</v>
      </c>
    </row>
    <row r="13107" customFormat="false" ht="15" hidden="true" customHeight="false" outlineLevel="0" collapsed="false">
      <c r="A13107" s="51" t="s">
        <v>629</v>
      </c>
      <c r="B13107" s="55" t="n">
        <v>46203</v>
      </c>
      <c r="C13107" s="51" t="s">
        <v>82</v>
      </c>
      <c r="D13107" s="51" t="n">
        <v>0</v>
      </c>
    </row>
    <row r="13108" customFormat="false" ht="15" hidden="true" customHeight="false" outlineLevel="0" collapsed="false">
      <c r="A13108" s="51" t="s">
        <v>633</v>
      </c>
      <c r="B13108" s="55" t="n">
        <v>46203</v>
      </c>
      <c r="C13108" s="51" t="s">
        <v>82</v>
      </c>
      <c r="D13108" s="51" t="n">
        <v>0</v>
      </c>
    </row>
    <row r="13109" customFormat="false" ht="15" hidden="true" customHeight="false" outlineLevel="0" collapsed="false">
      <c r="A13109" s="51" t="s">
        <v>638</v>
      </c>
      <c r="B13109" s="55" t="n">
        <v>46203</v>
      </c>
      <c r="C13109" s="51" t="s">
        <v>82</v>
      </c>
      <c r="D13109" s="51" t="n">
        <v>0</v>
      </c>
    </row>
    <row r="13110" customFormat="false" ht="15" hidden="true" customHeight="false" outlineLevel="0" collapsed="false">
      <c r="A13110" s="51" t="s">
        <v>642</v>
      </c>
      <c r="B13110" s="55" t="n">
        <v>46203</v>
      </c>
      <c r="C13110" s="51" t="s">
        <v>82</v>
      </c>
      <c r="D13110" s="51" t="n">
        <v>0</v>
      </c>
    </row>
    <row r="13111" customFormat="false" ht="15" hidden="true" customHeight="false" outlineLevel="0" collapsed="false">
      <c r="A13111" s="51" t="s">
        <v>646</v>
      </c>
      <c r="B13111" s="55" t="n">
        <v>46203</v>
      </c>
      <c r="C13111" s="51" t="s">
        <v>82</v>
      </c>
      <c r="D13111" s="51" t="n">
        <v>0</v>
      </c>
    </row>
    <row r="13112" customFormat="false" ht="15" hidden="true" customHeight="false" outlineLevel="0" collapsed="false">
      <c r="A13112" s="51" t="s">
        <v>651</v>
      </c>
      <c r="B13112" s="55" t="n">
        <v>46203</v>
      </c>
      <c r="C13112" s="51" t="s">
        <v>82</v>
      </c>
      <c r="D13112" s="51" t="n">
        <v>0</v>
      </c>
    </row>
    <row r="13113" customFormat="false" ht="15" hidden="true" customHeight="false" outlineLevel="0" collapsed="false">
      <c r="A13113" s="51" t="s">
        <v>656</v>
      </c>
      <c r="B13113" s="55" t="n">
        <v>46203</v>
      </c>
      <c r="C13113" s="51" t="s">
        <v>82</v>
      </c>
      <c r="D13113" s="51" t="n">
        <v>0</v>
      </c>
    </row>
    <row r="13114" customFormat="false" ht="15" hidden="true" customHeight="false" outlineLevel="0" collapsed="false">
      <c r="A13114" s="51" t="s">
        <v>661</v>
      </c>
      <c r="B13114" s="55" t="n">
        <v>46203</v>
      </c>
      <c r="C13114" s="51" t="s">
        <v>82</v>
      </c>
      <c r="D13114" s="51" t="n">
        <v>0</v>
      </c>
    </row>
    <row r="13115" customFormat="false" ht="15" hidden="true" customHeight="false" outlineLevel="0" collapsed="false">
      <c r="A13115" s="51" t="s">
        <v>666</v>
      </c>
      <c r="B13115" s="55" t="n">
        <v>46203</v>
      </c>
      <c r="C13115" s="51" t="s">
        <v>82</v>
      </c>
      <c r="D13115" s="51" t="n">
        <v>0</v>
      </c>
    </row>
    <row r="13116" customFormat="false" ht="15" hidden="true" customHeight="false" outlineLevel="0" collapsed="false">
      <c r="A13116" s="51" t="s">
        <v>671</v>
      </c>
      <c r="B13116" s="55" t="n">
        <v>46203</v>
      </c>
      <c r="C13116" s="51" t="s">
        <v>82</v>
      </c>
      <c r="D13116" s="51" t="n">
        <v>0</v>
      </c>
    </row>
    <row r="13117" customFormat="false" ht="15" hidden="true" customHeight="false" outlineLevel="0" collapsed="false">
      <c r="A13117" s="51" t="s">
        <v>676</v>
      </c>
      <c r="B13117" s="55" t="n">
        <v>46203</v>
      </c>
      <c r="C13117" s="51" t="s">
        <v>82</v>
      </c>
      <c r="D13117" s="51" t="n">
        <v>0</v>
      </c>
    </row>
    <row r="13118" customFormat="false" ht="15" hidden="true" customHeight="false" outlineLevel="0" collapsed="false">
      <c r="A13118" s="51" t="s">
        <v>681</v>
      </c>
      <c r="B13118" s="55" t="n">
        <v>46203</v>
      </c>
      <c r="C13118" s="51" t="s">
        <v>82</v>
      </c>
      <c r="D13118" s="51" t="n">
        <v>0</v>
      </c>
    </row>
    <row r="13119" customFormat="false" ht="15" hidden="true" customHeight="false" outlineLevel="0" collapsed="false">
      <c r="A13119" s="51" t="s">
        <v>686</v>
      </c>
      <c r="B13119" s="55" t="n">
        <v>46203</v>
      </c>
      <c r="C13119" s="51" t="s">
        <v>82</v>
      </c>
      <c r="D13119" s="51" t="n">
        <v>0</v>
      </c>
    </row>
    <row r="13120" customFormat="false" ht="15" hidden="true" customHeight="false" outlineLevel="0" collapsed="false">
      <c r="A13120" s="51" t="s">
        <v>691</v>
      </c>
      <c r="B13120" s="55" t="n">
        <v>46203</v>
      </c>
      <c r="C13120" s="51" t="s">
        <v>82</v>
      </c>
      <c r="D13120" s="51" t="n">
        <v>0</v>
      </c>
    </row>
    <row r="13121" customFormat="false" ht="15" hidden="true" customHeight="false" outlineLevel="0" collapsed="false">
      <c r="A13121" s="51" t="s">
        <v>696</v>
      </c>
      <c r="B13121" s="55" t="n">
        <v>46203</v>
      </c>
      <c r="C13121" s="51" t="s">
        <v>82</v>
      </c>
      <c r="D13121" s="51" t="n">
        <v>0</v>
      </c>
    </row>
    <row r="13122" customFormat="false" ht="15" hidden="true" customHeight="false" outlineLevel="0" collapsed="false">
      <c r="A13122" s="51" t="s">
        <v>701</v>
      </c>
      <c r="B13122" s="55" t="n">
        <v>46203</v>
      </c>
      <c r="C13122" s="51" t="s">
        <v>82</v>
      </c>
      <c r="D13122" s="51" t="n">
        <v>0</v>
      </c>
    </row>
    <row r="13123" customFormat="false" ht="15" hidden="true" customHeight="false" outlineLevel="0" collapsed="false">
      <c r="A13123" s="51" t="s">
        <v>707</v>
      </c>
      <c r="B13123" s="55" t="n">
        <v>46203</v>
      </c>
      <c r="C13123" s="51" t="s">
        <v>82</v>
      </c>
      <c r="D13123" s="51" t="n">
        <v>0</v>
      </c>
    </row>
    <row r="13124" customFormat="false" ht="15" hidden="true" customHeight="false" outlineLevel="0" collapsed="false">
      <c r="A13124" s="51" t="s">
        <v>712</v>
      </c>
      <c r="B13124" s="55" t="n">
        <v>46203</v>
      </c>
      <c r="C13124" s="51" t="s">
        <v>82</v>
      </c>
      <c r="D13124" s="51" t="n">
        <v>0</v>
      </c>
    </row>
    <row r="13125" customFormat="false" ht="15" hidden="true" customHeight="false" outlineLevel="0" collapsed="false">
      <c r="A13125" s="51" t="s">
        <v>717</v>
      </c>
      <c r="B13125" s="55" t="n">
        <v>46203</v>
      </c>
      <c r="C13125" s="51" t="s">
        <v>82</v>
      </c>
      <c r="D13125" s="51" t="n">
        <v>0</v>
      </c>
    </row>
    <row r="13126" customFormat="false" ht="15" hidden="true" customHeight="false" outlineLevel="0" collapsed="false">
      <c r="A13126" s="51" t="s">
        <v>767</v>
      </c>
      <c r="B13126" s="55" t="n">
        <v>46203</v>
      </c>
      <c r="C13126" s="51" t="s">
        <v>82</v>
      </c>
      <c r="D13126" s="51" t="n">
        <v>0</v>
      </c>
    </row>
    <row r="13127" customFormat="false" ht="15" hidden="true" customHeight="false" outlineLevel="0" collapsed="false">
      <c r="A13127" s="51" t="s">
        <v>722</v>
      </c>
      <c r="B13127" s="55" t="n">
        <v>46203</v>
      </c>
      <c r="C13127" s="51" t="s">
        <v>82</v>
      </c>
      <c r="D13127" s="51" t="n">
        <v>0</v>
      </c>
    </row>
    <row r="13128" customFormat="false" ht="15" hidden="true" customHeight="false" outlineLevel="0" collapsed="false">
      <c r="A13128" s="51" t="s">
        <v>727</v>
      </c>
      <c r="B13128" s="55" t="n">
        <v>46203</v>
      </c>
      <c r="C13128" s="51" t="s">
        <v>82</v>
      </c>
      <c r="D13128" s="51" t="n">
        <v>0</v>
      </c>
    </row>
    <row r="13129" customFormat="false" ht="15" hidden="true" customHeight="false" outlineLevel="0" collapsed="false">
      <c r="A13129" s="51" t="s">
        <v>732</v>
      </c>
      <c r="B13129" s="55" t="n">
        <v>46203</v>
      </c>
      <c r="C13129" s="51" t="s">
        <v>82</v>
      </c>
      <c r="D13129" s="51" t="n">
        <v>0</v>
      </c>
    </row>
    <row r="13130" customFormat="false" ht="15" hidden="true" customHeight="false" outlineLevel="0" collapsed="false">
      <c r="A13130" s="51" t="s">
        <v>736</v>
      </c>
      <c r="B13130" s="55" t="n">
        <v>46203</v>
      </c>
      <c r="C13130" s="51" t="s">
        <v>82</v>
      </c>
      <c r="D13130" s="51" t="n">
        <v>0</v>
      </c>
    </row>
    <row r="13131" customFormat="false" ht="15" hidden="true" customHeight="false" outlineLevel="0" collapsed="false">
      <c r="A13131" s="51" t="s">
        <v>741</v>
      </c>
      <c r="B13131" s="55" t="n">
        <v>46203</v>
      </c>
      <c r="C13131" s="51" t="s">
        <v>82</v>
      </c>
      <c r="D13131" s="51" t="n">
        <v>0</v>
      </c>
    </row>
    <row r="13132" customFormat="false" ht="15" hidden="true" customHeight="false" outlineLevel="0" collapsed="false">
      <c r="A13132" s="51" t="s">
        <v>746</v>
      </c>
      <c r="B13132" s="55" t="n">
        <v>46203</v>
      </c>
      <c r="C13132" s="51" t="s">
        <v>82</v>
      </c>
      <c r="D13132" s="51" t="n">
        <v>0</v>
      </c>
    </row>
    <row r="13133" customFormat="false" ht="15" hidden="true" customHeight="false" outlineLevel="0" collapsed="false">
      <c r="A13133" s="51" t="s">
        <v>751</v>
      </c>
      <c r="B13133" s="55" t="n">
        <v>46203</v>
      </c>
      <c r="C13133" s="51" t="s">
        <v>82</v>
      </c>
      <c r="D13133" s="51" t="n">
        <v>0</v>
      </c>
    </row>
    <row r="13134" customFormat="false" ht="15" hidden="false" customHeight="false" outlineLevel="0" collapsed="false">
      <c r="A13134" s="51" t="s">
        <v>781</v>
      </c>
      <c r="B13134" s="55" t="n">
        <v>46203</v>
      </c>
      <c r="C13134" s="51" t="s">
        <v>73</v>
      </c>
      <c r="D13134" s="51" t="n">
        <v>0</v>
      </c>
    </row>
    <row r="13135" customFormat="false" ht="15" hidden="true" customHeight="false" outlineLevel="0" collapsed="false">
      <c r="A13135" s="51" t="s">
        <v>783</v>
      </c>
      <c r="B13135" s="55" t="n">
        <v>46203</v>
      </c>
      <c r="C13135" s="51" t="s">
        <v>73</v>
      </c>
      <c r="D13135" s="51" t="n">
        <v>0</v>
      </c>
    </row>
    <row r="13136" customFormat="false" ht="15" hidden="true" customHeight="false" outlineLevel="0" collapsed="false">
      <c r="A13136" s="51" t="s">
        <v>96</v>
      </c>
      <c r="B13136" s="55" t="n">
        <v>46203</v>
      </c>
      <c r="C13136" s="51" t="s">
        <v>73</v>
      </c>
      <c r="D13136" s="51" t="n">
        <v>0</v>
      </c>
    </row>
    <row r="13137" customFormat="false" ht="15" hidden="true" customHeight="false" outlineLevel="0" collapsed="false">
      <c r="A13137" s="51" t="s">
        <v>101</v>
      </c>
      <c r="B13137" s="55" t="n">
        <v>46203</v>
      </c>
      <c r="C13137" s="51" t="s">
        <v>73</v>
      </c>
      <c r="D13137" s="51" t="n">
        <v>0</v>
      </c>
    </row>
    <row r="13138" customFormat="false" ht="15" hidden="true" customHeight="false" outlineLevel="0" collapsed="false">
      <c r="A13138" s="51" t="s">
        <v>106</v>
      </c>
      <c r="B13138" s="55" t="n">
        <v>46203</v>
      </c>
      <c r="C13138" s="51" t="s">
        <v>73</v>
      </c>
      <c r="D13138" s="51" t="n">
        <v>0</v>
      </c>
    </row>
    <row r="13139" customFormat="false" ht="15" hidden="true" customHeight="false" outlineLevel="0" collapsed="false">
      <c r="A13139" s="51" t="s">
        <v>110</v>
      </c>
      <c r="B13139" s="55" t="n">
        <v>46203</v>
      </c>
      <c r="C13139" s="51" t="s">
        <v>73</v>
      </c>
      <c r="D13139" s="51" t="n">
        <v>0</v>
      </c>
    </row>
    <row r="13140" customFormat="false" ht="15" hidden="true" customHeight="false" outlineLevel="0" collapsed="false">
      <c r="A13140" s="51" t="s">
        <v>115</v>
      </c>
      <c r="B13140" s="55" t="n">
        <v>46203</v>
      </c>
      <c r="C13140" s="51" t="s">
        <v>73</v>
      </c>
      <c r="D13140" s="51" t="n">
        <v>0</v>
      </c>
    </row>
    <row r="13141" customFormat="false" ht="15" hidden="true" customHeight="false" outlineLevel="0" collapsed="false">
      <c r="A13141" s="51" t="s">
        <v>120</v>
      </c>
      <c r="B13141" s="55" t="n">
        <v>46203</v>
      </c>
      <c r="C13141" s="51" t="s">
        <v>73</v>
      </c>
      <c r="D13141" s="51" t="n">
        <v>0</v>
      </c>
    </row>
    <row r="13142" customFormat="false" ht="15" hidden="true" customHeight="false" outlineLevel="0" collapsed="false">
      <c r="A13142" s="51" t="s">
        <v>124</v>
      </c>
      <c r="B13142" s="55" t="n">
        <v>46203</v>
      </c>
      <c r="C13142" s="51" t="s">
        <v>73</v>
      </c>
      <c r="D13142" s="51" t="n">
        <v>0</v>
      </c>
    </row>
    <row r="13143" customFormat="false" ht="15" hidden="true" customHeight="false" outlineLevel="0" collapsed="false">
      <c r="A13143" s="51" t="s">
        <v>129</v>
      </c>
      <c r="B13143" s="55" t="n">
        <v>46203</v>
      </c>
      <c r="C13143" s="51" t="s">
        <v>73</v>
      </c>
      <c r="D13143" s="51" t="n">
        <v>0</v>
      </c>
    </row>
    <row r="13144" customFormat="false" ht="15" hidden="true" customHeight="false" outlineLevel="0" collapsed="false">
      <c r="A13144" s="51" t="s">
        <v>134</v>
      </c>
      <c r="B13144" s="55" t="n">
        <v>46203</v>
      </c>
      <c r="C13144" s="51" t="s">
        <v>73</v>
      </c>
      <c r="D13144" s="51" t="n">
        <v>0</v>
      </c>
    </row>
    <row r="13145" customFormat="false" ht="15" hidden="true" customHeight="false" outlineLevel="0" collapsed="false">
      <c r="A13145" s="51" t="s">
        <v>141</v>
      </c>
      <c r="B13145" s="55" t="n">
        <v>46203</v>
      </c>
      <c r="C13145" s="51" t="s">
        <v>73</v>
      </c>
      <c r="D13145" s="51" t="n">
        <v>0</v>
      </c>
    </row>
    <row r="13146" customFormat="false" ht="15" hidden="true" customHeight="false" outlineLevel="0" collapsed="false">
      <c r="A13146" s="51" t="s">
        <v>146</v>
      </c>
      <c r="B13146" s="55" t="n">
        <v>46203</v>
      </c>
      <c r="C13146" s="51" t="s">
        <v>73</v>
      </c>
      <c r="D13146" s="51" t="n">
        <v>0</v>
      </c>
    </row>
    <row r="13147" customFormat="false" ht="15" hidden="true" customHeight="false" outlineLevel="0" collapsed="false">
      <c r="A13147" s="51" t="s">
        <v>151</v>
      </c>
      <c r="B13147" s="55" t="n">
        <v>46203</v>
      </c>
      <c r="C13147" s="51" t="s">
        <v>73</v>
      </c>
      <c r="D13147" s="51" t="n">
        <v>0</v>
      </c>
    </row>
    <row r="13148" customFormat="false" ht="15" hidden="true" customHeight="false" outlineLevel="0" collapsed="false">
      <c r="A13148" s="51" t="s">
        <v>156</v>
      </c>
      <c r="B13148" s="55" t="n">
        <v>46203</v>
      </c>
      <c r="C13148" s="51" t="s">
        <v>73</v>
      </c>
      <c r="D13148" s="51" t="n">
        <v>0</v>
      </c>
    </row>
    <row r="13149" customFormat="false" ht="15" hidden="true" customHeight="false" outlineLevel="0" collapsed="false">
      <c r="A13149" s="51" t="s">
        <v>161</v>
      </c>
      <c r="B13149" s="55" t="n">
        <v>46203</v>
      </c>
      <c r="C13149" s="51" t="s">
        <v>73</v>
      </c>
      <c r="D13149" s="51" t="n">
        <v>0</v>
      </c>
    </row>
    <row r="13150" customFormat="false" ht="15" hidden="true" customHeight="false" outlineLevel="0" collapsed="false">
      <c r="A13150" s="51" t="s">
        <v>166</v>
      </c>
      <c r="B13150" s="55" t="n">
        <v>46203</v>
      </c>
      <c r="C13150" s="51" t="s">
        <v>73</v>
      </c>
      <c r="D13150" s="51" t="n">
        <v>0</v>
      </c>
    </row>
    <row r="13151" customFormat="false" ht="15" hidden="true" customHeight="false" outlineLevel="0" collapsed="false">
      <c r="A13151" s="51" t="s">
        <v>171</v>
      </c>
      <c r="B13151" s="55" t="n">
        <v>46203</v>
      </c>
      <c r="C13151" s="51" t="s">
        <v>73</v>
      </c>
      <c r="D13151" s="51" t="n">
        <v>0</v>
      </c>
    </row>
    <row r="13152" customFormat="false" ht="15" hidden="true" customHeight="false" outlineLevel="0" collapsed="false">
      <c r="A13152" s="51" t="s">
        <v>176</v>
      </c>
      <c r="B13152" s="55" t="n">
        <v>46203</v>
      </c>
      <c r="C13152" s="51" t="s">
        <v>73</v>
      </c>
      <c r="D13152" s="51" t="n">
        <v>0</v>
      </c>
    </row>
    <row r="13153" customFormat="false" ht="15" hidden="true" customHeight="false" outlineLevel="0" collapsed="false">
      <c r="A13153" s="51" t="s">
        <v>181</v>
      </c>
      <c r="B13153" s="55" t="n">
        <v>46203</v>
      </c>
      <c r="C13153" s="51" t="s">
        <v>73</v>
      </c>
      <c r="D13153" s="51" t="n">
        <v>0</v>
      </c>
    </row>
    <row r="13154" customFormat="false" ht="15" hidden="true" customHeight="false" outlineLevel="0" collapsed="false">
      <c r="A13154" s="51" t="s">
        <v>186</v>
      </c>
      <c r="B13154" s="55" t="n">
        <v>46203</v>
      </c>
      <c r="C13154" s="51" t="s">
        <v>73</v>
      </c>
      <c r="D13154" s="51" t="n">
        <v>0</v>
      </c>
    </row>
    <row r="13155" customFormat="false" ht="15" hidden="true" customHeight="false" outlineLevel="0" collapsed="false">
      <c r="A13155" s="51" t="s">
        <v>191</v>
      </c>
      <c r="B13155" s="55" t="n">
        <v>46203</v>
      </c>
      <c r="C13155" s="51" t="s">
        <v>73</v>
      </c>
      <c r="D13155" s="51" t="n">
        <v>0</v>
      </c>
    </row>
    <row r="13156" customFormat="false" ht="15" hidden="true" customHeight="false" outlineLevel="0" collapsed="false">
      <c r="A13156" s="51" t="s">
        <v>196</v>
      </c>
      <c r="B13156" s="55" t="n">
        <v>46203</v>
      </c>
      <c r="C13156" s="51" t="s">
        <v>73</v>
      </c>
      <c r="D13156" s="51" t="n">
        <v>0</v>
      </c>
    </row>
    <row r="13157" customFormat="false" ht="15" hidden="true" customHeight="false" outlineLevel="0" collapsed="false">
      <c r="A13157" s="51" t="s">
        <v>201</v>
      </c>
      <c r="B13157" s="55" t="n">
        <v>46203</v>
      </c>
      <c r="C13157" s="51" t="s">
        <v>73</v>
      </c>
      <c r="D13157" s="51" t="n">
        <v>0</v>
      </c>
    </row>
    <row r="13158" customFormat="false" ht="15" hidden="true" customHeight="false" outlineLevel="0" collapsed="false">
      <c r="A13158" s="51" t="s">
        <v>206</v>
      </c>
      <c r="B13158" s="55" t="n">
        <v>46203</v>
      </c>
      <c r="C13158" s="51" t="s">
        <v>73</v>
      </c>
      <c r="D13158" s="51" t="n">
        <v>0</v>
      </c>
    </row>
    <row r="13159" customFormat="false" ht="15" hidden="true" customHeight="false" outlineLevel="0" collapsed="false">
      <c r="A13159" s="51" t="s">
        <v>210</v>
      </c>
      <c r="B13159" s="55" t="n">
        <v>46203</v>
      </c>
      <c r="C13159" s="51" t="s">
        <v>73</v>
      </c>
      <c r="D13159" s="51" t="n">
        <v>0</v>
      </c>
    </row>
    <row r="13160" customFormat="false" ht="15" hidden="true" customHeight="false" outlineLevel="0" collapsed="false">
      <c r="A13160" s="51" t="s">
        <v>215</v>
      </c>
      <c r="B13160" s="55" t="n">
        <v>46203</v>
      </c>
      <c r="C13160" s="51" t="s">
        <v>73</v>
      </c>
      <c r="D13160" s="51" t="n">
        <v>0</v>
      </c>
    </row>
    <row r="13161" customFormat="false" ht="15" hidden="true" customHeight="false" outlineLevel="0" collapsed="false">
      <c r="A13161" s="51" t="s">
        <v>790</v>
      </c>
      <c r="B13161" s="55" t="n">
        <v>46203</v>
      </c>
      <c r="C13161" s="51" t="s">
        <v>73</v>
      </c>
      <c r="D13161" s="51" t="n">
        <v>0</v>
      </c>
    </row>
    <row r="13162" customFormat="false" ht="15" hidden="true" customHeight="false" outlineLevel="0" collapsed="false">
      <c r="A13162" s="51" t="s">
        <v>225</v>
      </c>
      <c r="B13162" s="55" t="n">
        <v>46203</v>
      </c>
      <c r="C13162" s="51" t="s">
        <v>73</v>
      </c>
      <c r="D13162" s="51" t="n">
        <v>0</v>
      </c>
    </row>
    <row r="13163" customFormat="false" ht="15" hidden="true" customHeight="false" outlineLevel="0" collapsed="false">
      <c r="A13163" s="51" t="s">
        <v>230</v>
      </c>
      <c r="B13163" s="55" t="n">
        <v>46203</v>
      </c>
      <c r="C13163" s="51" t="s">
        <v>73</v>
      </c>
      <c r="D13163" s="51" t="n">
        <v>0</v>
      </c>
    </row>
    <row r="13164" customFormat="false" ht="15" hidden="true" customHeight="false" outlineLevel="0" collapsed="false">
      <c r="A13164" s="51" t="s">
        <v>235</v>
      </c>
      <c r="B13164" s="55" t="n">
        <v>46203</v>
      </c>
      <c r="C13164" s="51" t="s">
        <v>73</v>
      </c>
      <c r="D13164" s="51" t="n">
        <v>0</v>
      </c>
    </row>
    <row r="13165" customFormat="false" ht="15" hidden="true" customHeight="false" outlineLevel="0" collapsed="false">
      <c r="A13165" s="51" t="s">
        <v>240</v>
      </c>
      <c r="B13165" s="55" t="n">
        <v>46203</v>
      </c>
      <c r="C13165" s="51" t="s">
        <v>73</v>
      </c>
      <c r="D13165" s="51" t="n">
        <v>0</v>
      </c>
    </row>
    <row r="13166" customFormat="false" ht="15" hidden="true" customHeight="false" outlineLevel="0" collapsed="false">
      <c r="A13166" s="51" t="s">
        <v>246</v>
      </c>
      <c r="B13166" s="55" t="n">
        <v>46203</v>
      </c>
      <c r="C13166" s="51" t="s">
        <v>73</v>
      </c>
      <c r="D13166" s="51" t="n">
        <v>0</v>
      </c>
    </row>
    <row r="13167" customFormat="false" ht="15" hidden="true" customHeight="false" outlineLevel="0" collapsed="false">
      <c r="A13167" s="51" t="s">
        <v>252</v>
      </c>
      <c r="B13167" s="55" t="n">
        <v>46203</v>
      </c>
      <c r="C13167" s="51" t="s">
        <v>73</v>
      </c>
      <c r="D13167" s="51" t="n">
        <v>0</v>
      </c>
    </row>
    <row r="13168" customFormat="false" ht="15" hidden="true" customHeight="false" outlineLevel="0" collapsed="false">
      <c r="A13168" s="51" t="s">
        <v>257</v>
      </c>
      <c r="B13168" s="55" t="n">
        <v>46203</v>
      </c>
      <c r="C13168" s="51" t="s">
        <v>73</v>
      </c>
      <c r="D13168" s="51" t="n">
        <v>0</v>
      </c>
    </row>
    <row r="13169" customFormat="false" ht="15" hidden="true" customHeight="false" outlineLevel="0" collapsed="false">
      <c r="A13169" s="51" t="s">
        <v>262</v>
      </c>
      <c r="B13169" s="55" t="n">
        <v>46203</v>
      </c>
      <c r="C13169" s="51" t="s">
        <v>73</v>
      </c>
      <c r="D13169" s="51" t="n">
        <v>0</v>
      </c>
    </row>
    <row r="13170" customFormat="false" ht="15" hidden="true" customHeight="false" outlineLevel="0" collapsed="false">
      <c r="A13170" s="51" t="s">
        <v>267</v>
      </c>
      <c r="B13170" s="55" t="n">
        <v>46203</v>
      </c>
      <c r="C13170" s="51" t="s">
        <v>73</v>
      </c>
      <c r="D13170" s="51" t="n">
        <v>0</v>
      </c>
    </row>
    <row r="13171" customFormat="false" ht="15" hidden="true" customHeight="false" outlineLevel="0" collapsed="false">
      <c r="A13171" s="51" t="s">
        <v>272</v>
      </c>
      <c r="B13171" s="55" t="n">
        <v>46203</v>
      </c>
      <c r="C13171" s="51" t="s">
        <v>73</v>
      </c>
      <c r="D13171" s="51" t="n">
        <v>0</v>
      </c>
    </row>
    <row r="13172" customFormat="false" ht="15" hidden="true" customHeight="false" outlineLevel="0" collapsed="false">
      <c r="A13172" s="51" t="s">
        <v>277</v>
      </c>
      <c r="B13172" s="55" t="n">
        <v>46203</v>
      </c>
      <c r="C13172" s="51" t="s">
        <v>73</v>
      </c>
      <c r="D13172" s="51" t="n">
        <v>0</v>
      </c>
    </row>
    <row r="13173" customFormat="false" ht="15" hidden="true" customHeight="false" outlineLevel="0" collapsed="false">
      <c r="A13173" s="51" t="s">
        <v>282</v>
      </c>
      <c r="B13173" s="55" t="n">
        <v>46203</v>
      </c>
      <c r="C13173" s="51" t="s">
        <v>73</v>
      </c>
      <c r="D13173" s="51" t="n">
        <v>0</v>
      </c>
    </row>
    <row r="13174" customFormat="false" ht="15" hidden="true" customHeight="false" outlineLevel="0" collapsed="false">
      <c r="A13174" s="51" t="s">
        <v>287</v>
      </c>
      <c r="B13174" s="55" t="n">
        <v>46203</v>
      </c>
      <c r="C13174" s="51" t="s">
        <v>73</v>
      </c>
      <c r="D13174" s="51" t="n">
        <v>0</v>
      </c>
    </row>
    <row r="13175" customFormat="false" ht="15" hidden="true" customHeight="false" outlineLevel="0" collapsed="false">
      <c r="A13175" s="51" t="s">
        <v>292</v>
      </c>
      <c r="B13175" s="55" t="n">
        <v>46203</v>
      </c>
      <c r="C13175" s="51" t="s">
        <v>73</v>
      </c>
      <c r="D13175" s="51" t="n">
        <v>0</v>
      </c>
    </row>
    <row r="13176" customFormat="false" ht="15" hidden="true" customHeight="false" outlineLevel="0" collapsed="false">
      <c r="A13176" s="51" t="s">
        <v>297</v>
      </c>
      <c r="B13176" s="55" t="n">
        <v>46203</v>
      </c>
      <c r="C13176" s="51" t="s">
        <v>73</v>
      </c>
      <c r="D13176" s="51" t="n">
        <v>0</v>
      </c>
    </row>
    <row r="13177" customFormat="false" ht="15" hidden="true" customHeight="false" outlineLevel="0" collapsed="false">
      <c r="A13177" s="51" t="s">
        <v>302</v>
      </c>
      <c r="B13177" s="55" t="n">
        <v>46203</v>
      </c>
      <c r="C13177" s="51" t="s">
        <v>73</v>
      </c>
      <c r="D13177" s="51" t="n">
        <v>0</v>
      </c>
    </row>
    <row r="13178" customFormat="false" ht="15" hidden="true" customHeight="false" outlineLevel="0" collapsed="false">
      <c r="A13178" s="51" t="s">
        <v>307</v>
      </c>
      <c r="B13178" s="55" t="n">
        <v>46203</v>
      </c>
      <c r="C13178" s="51" t="s">
        <v>73</v>
      </c>
      <c r="D13178" s="51" t="n">
        <v>0</v>
      </c>
    </row>
    <row r="13179" customFormat="false" ht="15" hidden="true" customHeight="false" outlineLevel="0" collapsed="false">
      <c r="A13179" s="51" t="s">
        <v>311</v>
      </c>
      <c r="B13179" s="55" t="n">
        <v>46203</v>
      </c>
      <c r="C13179" s="51" t="s">
        <v>73</v>
      </c>
      <c r="D13179" s="51" t="n">
        <v>0</v>
      </c>
    </row>
    <row r="13180" customFormat="false" ht="15" hidden="true" customHeight="false" outlineLevel="0" collapsed="false">
      <c r="A13180" s="51" t="s">
        <v>317</v>
      </c>
      <c r="B13180" s="55" t="n">
        <v>46203</v>
      </c>
      <c r="C13180" s="51" t="s">
        <v>73</v>
      </c>
      <c r="D13180" s="51" t="n">
        <v>0</v>
      </c>
    </row>
    <row r="13181" customFormat="false" ht="15" hidden="true" customHeight="false" outlineLevel="0" collapsed="false">
      <c r="A13181" s="51" t="s">
        <v>322</v>
      </c>
      <c r="B13181" s="55" t="n">
        <v>46203</v>
      </c>
      <c r="C13181" s="51" t="s">
        <v>73</v>
      </c>
      <c r="D13181" s="51" t="n">
        <v>0</v>
      </c>
    </row>
    <row r="13182" customFormat="false" ht="15" hidden="true" customHeight="false" outlineLevel="0" collapsed="false">
      <c r="A13182" s="51" t="s">
        <v>327</v>
      </c>
      <c r="B13182" s="55" t="n">
        <v>46203</v>
      </c>
      <c r="C13182" s="51" t="s">
        <v>73</v>
      </c>
      <c r="D13182" s="51" t="n">
        <v>0</v>
      </c>
    </row>
    <row r="13183" customFormat="false" ht="15" hidden="true" customHeight="false" outlineLevel="0" collapsed="false">
      <c r="A13183" s="51" t="s">
        <v>332</v>
      </c>
      <c r="B13183" s="55" t="n">
        <v>46203</v>
      </c>
      <c r="C13183" s="51" t="s">
        <v>73</v>
      </c>
      <c r="D13183" s="51" t="n">
        <v>0</v>
      </c>
    </row>
    <row r="13184" customFormat="false" ht="15" hidden="true" customHeight="false" outlineLevel="0" collapsed="false">
      <c r="A13184" s="51" t="s">
        <v>339</v>
      </c>
      <c r="B13184" s="55" t="n">
        <v>46203</v>
      </c>
      <c r="C13184" s="51" t="s">
        <v>73</v>
      </c>
      <c r="D13184" s="51" t="n">
        <v>0</v>
      </c>
    </row>
    <row r="13185" customFormat="false" ht="15" hidden="true" customHeight="false" outlineLevel="0" collapsed="false">
      <c r="A13185" s="51" t="s">
        <v>344</v>
      </c>
      <c r="B13185" s="55" t="n">
        <v>46203</v>
      </c>
      <c r="C13185" s="51" t="s">
        <v>73</v>
      </c>
      <c r="D13185" s="51" t="n">
        <v>0</v>
      </c>
    </row>
    <row r="13186" customFormat="false" ht="15" hidden="true" customHeight="false" outlineLevel="0" collapsed="false">
      <c r="A13186" s="51" t="s">
        <v>349</v>
      </c>
      <c r="B13186" s="55" t="n">
        <v>46203</v>
      </c>
      <c r="C13186" s="51" t="s">
        <v>73</v>
      </c>
      <c r="D13186" s="51" t="n">
        <v>0</v>
      </c>
    </row>
    <row r="13187" customFormat="false" ht="15" hidden="true" customHeight="false" outlineLevel="0" collapsed="false">
      <c r="A13187" s="51" t="s">
        <v>354</v>
      </c>
      <c r="B13187" s="55" t="n">
        <v>46203</v>
      </c>
      <c r="C13187" s="51" t="s">
        <v>73</v>
      </c>
      <c r="D13187" s="51" t="n">
        <v>0</v>
      </c>
    </row>
    <row r="13188" customFormat="false" ht="15" hidden="true" customHeight="false" outlineLevel="0" collapsed="false">
      <c r="A13188" s="51" t="s">
        <v>359</v>
      </c>
      <c r="B13188" s="55" t="n">
        <v>46203</v>
      </c>
      <c r="C13188" s="51" t="s">
        <v>73</v>
      </c>
      <c r="D13188" s="51" t="n">
        <v>0</v>
      </c>
    </row>
    <row r="13189" customFormat="false" ht="15" hidden="true" customHeight="false" outlineLevel="0" collapsed="false">
      <c r="A13189" s="51" t="s">
        <v>364</v>
      </c>
      <c r="B13189" s="55" t="n">
        <v>46203</v>
      </c>
      <c r="C13189" s="51" t="s">
        <v>73</v>
      </c>
      <c r="D13189" s="51" t="n">
        <v>0</v>
      </c>
    </row>
    <row r="13190" customFormat="false" ht="15" hidden="true" customHeight="false" outlineLevel="0" collapsed="false">
      <c r="A13190" s="51" t="s">
        <v>369</v>
      </c>
      <c r="B13190" s="55" t="n">
        <v>46203</v>
      </c>
      <c r="C13190" s="51" t="s">
        <v>73</v>
      </c>
      <c r="D13190" s="51" t="n">
        <v>0</v>
      </c>
    </row>
    <row r="13191" customFormat="false" ht="15" hidden="true" customHeight="false" outlineLevel="0" collapsed="false">
      <c r="A13191" s="51" t="s">
        <v>374</v>
      </c>
      <c r="B13191" s="55" t="n">
        <v>46203</v>
      </c>
      <c r="C13191" s="51" t="s">
        <v>73</v>
      </c>
      <c r="D13191" s="51" t="n">
        <v>0</v>
      </c>
    </row>
    <row r="13192" customFormat="false" ht="15" hidden="true" customHeight="false" outlineLevel="0" collapsed="false">
      <c r="A13192" s="51" t="s">
        <v>379</v>
      </c>
      <c r="B13192" s="55" t="n">
        <v>46203</v>
      </c>
      <c r="C13192" s="51" t="s">
        <v>73</v>
      </c>
      <c r="D13192" s="51" t="n">
        <v>0</v>
      </c>
    </row>
    <row r="13193" customFormat="false" ht="15" hidden="true" customHeight="false" outlineLevel="0" collapsed="false">
      <c r="A13193" s="51" t="s">
        <v>384</v>
      </c>
      <c r="B13193" s="55" t="n">
        <v>46203</v>
      </c>
      <c r="C13193" s="51" t="s">
        <v>73</v>
      </c>
      <c r="D13193" s="51" t="n">
        <v>0</v>
      </c>
    </row>
    <row r="13194" customFormat="false" ht="15" hidden="true" customHeight="false" outlineLevel="0" collapsed="false">
      <c r="A13194" s="51" t="s">
        <v>389</v>
      </c>
      <c r="B13194" s="55" t="n">
        <v>46203</v>
      </c>
      <c r="C13194" s="51" t="s">
        <v>73</v>
      </c>
      <c r="D13194" s="51" t="n">
        <v>0</v>
      </c>
    </row>
    <row r="13195" customFormat="false" ht="15" hidden="true" customHeight="false" outlineLevel="0" collapsed="false">
      <c r="A13195" s="51" t="s">
        <v>394</v>
      </c>
      <c r="B13195" s="55" t="n">
        <v>46203</v>
      </c>
      <c r="C13195" s="51" t="s">
        <v>73</v>
      </c>
      <c r="D13195" s="51" t="n">
        <v>0</v>
      </c>
    </row>
    <row r="13196" customFormat="false" ht="15" hidden="true" customHeight="false" outlineLevel="0" collapsed="false">
      <c r="A13196" s="51" t="s">
        <v>399</v>
      </c>
      <c r="B13196" s="55" t="n">
        <v>46203</v>
      </c>
      <c r="C13196" s="51" t="s">
        <v>73</v>
      </c>
      <c r="D13196" s="51" t="n">
        <v>0</v>
      </c>
    </row>
    <row r="13197" customFormat="false" ht="15" hidden="true" customHeight="false" outlineLevel="0" collapsed="false">
      <c r="A13197" s="51" t="s">
        <v>404</v>
      </c>
      <c r="B13197" s="55" t="n">
        <v>46203</v>
      </c>
      <c r="C13197" s="51" t="s">
        <v>73</v>
      </c>
      <c r="D13197" s="51" t="n">
        <v>0</v>
      </c>
    </row>
    <row r="13198" customFormat="false" ht="15" hidden="true" customHeight="false" outlineLevel="0" collapsed="false">
      <c r="A13198" s="51" t="s">
        <v>409</v>
      </c>
      <c r="B13198" s="55" t="n">
        <v>46203</v>
      </c>
      <c r="C13198" s="51" t="s">
        <v>73</v>
      </c>
      <c r="D13198" s="51" t="n">
        <v>0</v>
      </c>
    </row>
    <row r="13199" customFormat="false" ht="15" hidden="true" customHeight="false" outlineLevel="0" collapsed="false">
      <c r="A13199" s="51" t="s">
        <v>414</v>
      </c>
      <c r="B13199" s="55" t="n">
        <v>46203</v>
      </c>
      <c r="C13199" s="51" t="s">
        <v>73</v>
      </c>
      <c r="D13199" s="51" t="n">
        <v>0</v>
      </c>
    </row>
    <row r="13200" customFormat="false" ht="15" hidden="true" customHeight="false" outlineLevel="0" collapsed="false">
      <c r="A13200" s="51" t="s">
        <v>419</v>
      </c>
      <c r="B13200" s="55" t="n">
        <v>46203</v>
      </c>
      <c r="C13200" s="51" t="s">
        <v>73</v>
      </c>
      <c r="D13200" s="51" t="n">
        <v>0</v>
      </c>
    </row>
    <row r="13201" customFormat="false" ht="15" hidden="true" customHeight="false" outlineLevel="0" collapsed="false">
      <c r="A13201" s="51" t="s">
        <v>424</v>
      </c>
      <c r="B13201" s="55" t="n">
        <v>46203</v>
      </c>
      <c r="C13201" s="51" t="s">
        <v>73</v>
      </c>
      <c r="D13201" s="51" t="n">
        <v>0</v>
      </c>
    </row>
    <row r="13202" customFormat="false" ht="15" hidden="true" customHeight="false" outlineLevel="0" collapsed="false">
      <c r="A13202" s="51" t="s">
        <v>429</v>
      </c>
      <c r="B13202" s="55" t="n">
        <v>46203</v>
      </c>
      <c r="C13202" s="51" t="s">
        <v>73</v>
      </c>
      <c r="D13202" s="51" t="n">
        <v>0</v>
      </c>
    </row>
    <row r="13203" customFormat="false" ht="15" hidden="true" customHeight="false" outlineLevel="0" collapsed="false">
      <c r="A13203" s="51" t="s">
        <v>434</v>
      </c>
      <c r="B13203" s="55" t="n">
        <v>46203</v>
      </c>
      <c r="C13203" s="51" t="s">
        <v>73</v>
      </c>
      <c r="D13203" s="51" t="n">
        <v>0</v>
      </c>
    </row>
    <row r="13204" customFormat="false" ht="15" hidden="true" customHeight="false" outlineLevel="0" collapsed="false">
      <c r="A13204" s="51" t="s">
        <v>438</v>
      </c>
      <c r="B13204" s="55" t="n">
        <v>46203</v>
      </c>
      <c r="C13204" s="51" t="s">
        <v>73</v>
      </c>
      <c r="D13204" s="51" t="n">
        <v>0</v>
      </c>
    </row>
    <row r="13205" customFormat="false" ht="15" hidden="true" customHeight="false" outlineLevel="0" collapsed="false">
      <c r="A13205" s="51" t="s">
        <v>443</v>
      </c>
      <c r="B13205" s="55" t="n">
        <v>46203</v>
      </c>
      <c r="C13205" s="51" t="s">
        <v>73</v>
      </c>
      <c r="D13205" s="51" t="n">
        <v>0</v>
      </c>
    </row>
    <row r="13206" customFormat="false" ht="15" hidden="true" customHeight="false" outlineLevel="0" collapsed="false">
      <c r="A13206" s="51" t="s">
        <v>448</v>
      </c>
      <c r="B13206" s="55" t="n">
        <v>46203</v>
      </c>
      <c r="C13206" s="51" t="s">
        <v>73</v>
      </c>
      <c r="D13206" s="51" t="n">
        <v>0</v>
      </c>
    </row>
    <row r="13207" customFormat="false" ht="15" hidden="true" customHeight="false" outlineLevel="0" collapsed="false">
      <c r="A13207" s="51" t="s">
        <v>453</v>
      </c>
      <c r="B13207" s="55" t="n">
        <v>46203</v>
      </c>
      <c r="C13207" s="51" t="s">
        <v>73</v>
      </c>
      <c r="D13207" s="51" t="n">
        <v>0</v>
      </c>
    </row>
    <row r="13208" customFormat="false" ht="15" hidden="true" customHeight="false" outlineLevel="0" collapsed="false">
      <c r="A13208" s="51" t="s">
        <v>458</v>
      </c>
      <c r="B13208" s="55" t="n">
        <v>46203</v>
      </c>
      <c r="C13208" s="51" t="s">
        <v>73</v>
      </c>
      <c r="D13208" s="51" t="n">
        <v>0</v>
      </c>
    </row>
    <row r="13209" customFormat="false" ht="15" hidden="true" customHeight="false" outlineLevel="0" collapsed="false">
      <c r="A13209" s="51" t="s">
        <v>473</v>
      </c>
      <c r="B13209" s="55" t="n">
        <v>46203</v>
      </c>
      <c r="C13209" s="51" t="s">
        <v>73</v>
      </c>
      <c r="D13209" s="51" t="n">
        <v>0</v>
      </c>
    </row>
    <row r="13210" customFormat="false" ht="15" hidden="true" customHeight="false" outlineLevel="0" collapsed="false">
      <c r="A13210" s="51" t="s">
        <v>479</v>
      </c>
      <c r="B13210" s="55" t="n">
        <v>46203</v>
      </c>
      <c r="C13210" s="51" t="s">
        <v>73</v>
      </c>
      <c r="D13210" s="51" t="n">
        <v>0</v>
      </c>
    </row>
    <row r="13211" customFormat="false" ht="15" hidden="true" customHeight="false" outlineLevel="0" collapsed="false">
      <c r="A13211" s="51" t="s">
        <v>484</v>
      </c>
      <c r="B13211" s="55" t="n">
        <v>46203</v>
      </c>
      <c r="C13211" s="51" t="s">
        <v>73</v>
      </c>
      <c r="D13211" s="51" t="n">
        <v>0</v>
      </c>
    </row>
    <row r="13212" customFormat="false" ht="15" hidden="true" customHeight="false" outlineLevel="0" collapsed="false">
      <c r="A13212" s="51" t="s">
        <v>489</v>
      </c>
      <c r="B13212" s="55" t="n">
        <v>46203</v>
      </c>
      <c r="C13212" s="51" t="s">
        <v>73</v>
      </c>
      <c r="D13212" s="51" t="n">
        <v>0</v>
      </c>
    </row>
    <row r="13213" customFormat="false" ht="15" hidden="true" customHeight="false" outlineLevel="0" collapsed="false">
      <c r="A13213" s="51" t="s">
        <v>494</v>
      </c>
      <c r="B13213" s="55" t="n">
        <v>46203</v>
      </c>
      <c r="C13213" s="51" t="s">
        <v>73</v>
      </c>
      <c r="D13213" s="51" t="n">
        <v>0</v>
      </c>
    </row>
    <row r="13214" customFormat="false" ht="15" hidden="true" customHeight="false" outlineLevel="0" collapsed="false">
      <c r="A13214" s="51" t="s">
        <v>499</v>
      </c>
      <c r="B13214" s="55" t="n">
        <v>46203</v>
      </c>
      <c r="C13214" s="51" t="s">
        <v>73</v>
      </c>
      <c r="D13214" s="51" t="n">
        <v>0</v>
      </c>
    </row>
    <row r="13215" customFormat="false" ht="15" hidden="true" customHeight="false" outlineLevel="0" collapsed="false">
      <c r="A13215" s="51" t="s">
        <v>504</v>
      </c>
      <c r="B13215" s="55" t="n">
        <v>46203</v>
      </c>
      <c r="C13215" s="51" t="s">
        <v>73</v>
      </c>
      <c r="D13215" s="51" t="n">
        <v>0</v>
      </c>
    </row>
    <row r="13216" customFormat="false" ht="15" hidden="true" customHeight="false" outlineLevel="0" collapsed="false">
      <c r="A13216" s="51" t="s">
        <v>509</v>
      </c>
      <c r="B13216" s="55" t="n">
        <v>46203</v>
      </c>
      <c r="C13216" s="51" t="s">
        <v>73</v>
      </c>
      <c r="D13216" s="51" t="n">
        <v>0</v>
      </c>
    </row>
    <row r="13217" customFormat="false" ht="15" hidden="true" customHeight="false" outlineLevel="0" collapsed="false">
      <c r="A13217" s="51" t="s">
        <v>515</v>
      </c>
      <c r="B13217" s="55" t="n">
        <v>46203</v>
      </c>
      <c r="C13217" s="51" t="s">
        <v>73</v>
      </c>
      <c r="D13217" s="51" t="n">
        <v>0</v>
      </c>
    </row>
    <row r="13218" customFormat="false" ht="15" hidden="true" customHeight="false" outlineLevel="0" collapsed="false">
      <c r="A13218" s="51" t="s">
        <v>520</v>
      </c>
      <c r="B13218" s="55" t="n">
        <v>46203</v>
      </c>
      <c r="C13218" s="51" t="s">
        <v>73</v>
      </c>
      <c r="D13218" s="51" t="n">
        <v>0</v>
      </c>
    </row>
    <row r="13219" customFormat="false" ht="15" hidden="true" customHeight="false" outlineLevel="0" collapsed="false">
      <c r="A13219" s="51" t="s">
        <v>525</v>
      </c>
      <c r="B13219" s="55" t="n">
        <v>46203</v>
      </c>
      <c r="C13219" s="51" t="s">
        <v>73</v>
      </c>
      <c r="D13219" s="51" t="n">
        <v>0</v>
      </c>
    </row>
    <row r="13220" customFormat="false" ht="15" hidden="true" customHeight="false" outlineLevel="0" collapsed="false">
      <c r="A13220" s="51" t="s">
        <v>531</v>
      </c>
      <c r="B13220" s="55" t="n">
        <v>46203</v>
      </c>
      <c r="C13220" s="51" t="s">
        <v>73</v>
      </c>
      <c r="D13220" s="51" t="n">
        <v>0</v>
      </c>
    </row>
    <row r="13221" customFormat="false" ht="15" hidden="true" customHeight="false" outlineLevel="0" collapsed="false">
      <c r="A13221" s="51" t="s">
        <v>536</v>
      </c>
      <c r="B13221" s="55" t="n">
        <v>46203</v>
      </c>
      <c r="C13221" s="51" t="s">
        <v>73</v>
      </c>
      <c r="D13221" s="51" t="n">
        <v>0</v>
      </c>
    </row>
    <row r="13222" customFormat="false" ht="15" hidden="true" customHeight="false" outlineLevel="0" collapsed="false">
      <c r="A13222" s="51" t="s">
        <v>541</v>
      </c>
      <c r="B13222" s="55" t="n">
        <v>46203</v>
      </c>
      <c r="C13222" s="51" t="s">
        <v>73</v>
      </c>
      <c r="D13222" s="51" t="n">
        <v>0</v>
      </c>
    </row>
    <row r="13223" customFormat="false" ht="15" hidden="true" customHeight="false" outlineLevel="0" collapsed="false">
      <c r="A13223" s="51" t="s">
        <v>549</v>
      </c>
      <c r="B13223" s="55" t="n">
        <v>46203</v>
      </c>
      <c r="C13223" s="51" t="s">
        <v>73</v>
      </c>
      <c r="D13223" s="51" t="n">
        <v>0</v>
      </c>
    </row>
    <row r="13224" customFormat="false" ht="15" hidden="true" customHeight="false" outlineLevel="0" collapsed="false">
      <c r="A13224" s="51" t="s">
        <v>554</v>
      </c>
      <c r="B13224" s="55" t="n">
        <v>46203</v>
      </c>
      <c r="C13224" s="51" t="s">
        <v>73</v>
      </c>
      <c r="D13224" s="51" t="n">
        <v>0</v>
      </c>
    </row>
    <row r="13225" customFormat="false" ht="15" hidden="true" customHeight="false" outlineLevel="0" collapsed="false">
      <c r="A13225" s="51" t="s">
        <v>559</v>
      </c>
      <c r="B13225" s="55" t="n">
        <v>46203</v>
      </c>
      <c r="C13225" s="51" t="s">
        <v>73</v>
      </c>
      <c r="D13225" s="51" t="n">
        <v>0</v>
      </c>
    </row>
    <row r="13226" customFormat="false" ht="15" hidden="true" customHeight="false" outlineLevel="0" collapsed="false">
      <c r="A13226" s="51" t="s">
        <v>564</v>
      </c>
      <c r="B13226" s="55" t="n">
        <v>46203</v>
      </c>
      <c r="C13226" s="51" t="s">
        <v>73</v>
      </c>
      <c r="D13226" s="51" t="n">
        <v>0</v>
      </c>
    </row>
    <row r="13227" customFormat="false" ht="15" hidden="true" customHeight="false" outlineLevel="0" collapsed="false">
      <c r="A13227" s="51" t="s">
        <v>569</v>
      </c>
      <c r="B13227" s="55" t="n">
        <v>46203</v>
      </c>
      <c r="C13227" s="51" t="s">
        <v>73</v>
      </c>
      <c r="D13227" s="51" t="n">
        <v>0</v>
      </c>
    </row>
    <row r="13228" customFormat="false" ht="15" hidden="true" customHeight="false" outlineLevel="0" collapsed="false">
      <c r="A13228" s="51" t="s">
        <v>574</v>
      </c>
      <c r="B13228" s="55" t="n">
        <v>46203</v>
      </c>
      <c r="C13228" s="51" t="s">
        <v>73</v>
      </c>
      <c r="D13228" s="51" t="n">
        <v>0</v>
      </c>
    </row>
    <row r="13229" customFormat="false" ht="15" hidden="true" customHeight="false" outlineLevel="0" collapsed="false">
      <c r="A13229" s="51" t="s">
        <v>579</v>
      </c>
      <c r="B13229" s="55" t="n">
        <v>46203</v>
      </c>
      <c r="C13229" s="51" t="s">
        <v>73</v>
      </c>
      <c r="D13229" s="51" t="n">
        <v>0</v>
      </c>
    </row>
    <row r="13230" customFormat="false" ht="15" hidden="true" customHeight="false" outlineLevel="0" collapsed="false">
      <c r="A13230" s="51" t="s">
        <v>584</v>
      </c>
      <c r="B13230" s="55" t="n">
        <v>46203</v>
      </c>
      <c r="C13230" s="51" t="s">
        <v>73</v>
      </c>
      <c r="D13230" s="51" t="n">
        <v>0</v>
      </c>
    </row>
    <row r="13231" customFormat="false" ht="15" hidden="true" customHeight="false" outlineLevel="0" collapsed="false">
      <c r="A13231" s="51" t="s">
        <v>589</v>
      </c>
      <c r="B13231" s="55" t="n">
        <v>46203</v>
      </c>
      <c r="C13231" s="51" t="s">
        <v>73</v>
      </c>
      <c r="D13231" s="51" t="n">
        <v>0</v>
      </c>
    </row>
    <row r="13232" customFormat="false" ht="15" hidden="true" customHeight="false" outlineLevel="0" collapsed="false">
      <c r="A13232" s="51" t="s">
        <v>756</v>
      </c>
      <c r="B13232" s="55" t="n">
        <v>46203</v>
      </c>
      <c r="C13232" s="51" t="s">
        <v>73</v>
      </c>
      <c r="D13232" s="51" t="n">
        <v>0</v>
      </c>
    </row>
    <row r="13233" customFormat="false" ht="15" hidden="true" customHeight="false" outlineLevel="0" collapsed="false">
      <c r="A13233" s="51" t="s">
        <v>594</v>
      </c>
      <c r="B13233" s="55" t="n">
        <v>46203</v>
      </c>
      <c r="C13233" s="51" t="s">
        <v>73</v>
      </c>
      <c r="D13233" s="51" t="n">
        <v>0</v>
      </c>
    </row>
    <row r="13234" customFormat="false" ht="15" hidden="true" customHeight="false" outlineLevel="0" collapsed="false">
      <c r="A13234" s="51" t="s">
        <v>761</v>
      </c>
      <c r="B13234" s="55" t="n">
        <v>46203</v>
      </c>
      <c r="C13234" s="51" t="s">
        <v>73</v>
      </c>
      <c r="D13234" s="51" t="n">
        <v>0</v>
      </c>
    </row>
    <row r="13235" customFormat="false" ht="15" hidden="true" customHeight="false" outlineLevel="0" collapsed="false">
      <c r="A13235" s="51" t="s">
        <v>599</v>
      </c>
      <c r="B13235" s="55" t="n">
        <v>46203</v>
      </c>
      <c r="C13235" s="51" t="s">
        <v>73</v>
      </c>
      <c r="D13235" s="51" t="n">
        <v>0</v>
      </c>
    </row>
    <row r="13236" customFormat="false" ht="15" hidden="true" customHeight="false" outlineLevel="0" collapsed="false">
      <c r="A13236" s="51" t="s">
        <v>604</v>
      </c>
      <c r="B13236" s="55" t="n">
        <v>46203</v>
      </c>
      <c r="C13236" s="51" t="s">
        <v>73</v>
      </c>
      <c r="D13236" s="51" t="n">
        <v>0</v>
      </c>
    </row>
    <row r="13237" customFormat="false" ht="15" hidden="true" customHeight="false" outlineLevel="0" collapsed="false">
      <c r="A13237" s="51" t="s">
        <v>609</v>
      </c>
      <c r="B13237" s="55" t="n">
        <v>46203</v>
      </c>
      <c r="C13237" s="51" t="s">
        <v>73</v>
      </c>
      <c r="D13237" s="51" t="n">
        <v>0</v>
      </c>
    </row>
    <row r="13238" customFormat="false" ht="15" hidden="true" customHeight="false" outlineLevel="0" collapsed="false">
      <c r="A13238" s="51" t="s">
        <v>614</v>
      </c>
      <c r="B13238" s="55" t="n">
        <v>46203</v>
      </c>
      <c r="C13238" s="51" t="s">
        <v>73</v>
      </c>
      <c r="D13238" s="51" t="n">
        <v>0</v>
      </c>
    </row>
    <row r="13239" customFormat="false" ht="15" hidden="true" customHeight="false" outlineLevel="0" collapsed="false">
      <c r="A13239" s="51" t="s">
        <v>619</v>
      </c>
      <c r="B13239" s="55" t="n">
        <v>46203</v>
      </c>
      <c r="C13239" s="51" t="s">
        <v>73</v>
      </c>
      <c r="D13239" s="51" t="n">
        <v>0</v>
      </c>
    </row>
    <row r="13240" customFormat="false" ht="15" hidden="true" customHeight="false" outlineLevel="0" collapsed="false">
      <c r="A13240" s="51" t="s">
        <v>624</v>
      </c>
      <c r="B13240" s="55" t="n">
        <v>46203</v>
      </c>
      <c r="C13240" s="51" t="s">
        <v>73</v>
      </c>
      <c r="D13240" s="51" t="n">
        <v>0</v>
      </c>
    </row>
    <row r="13241" customFormat="false" ht="15" hidden="true" customHeight="false" outlineLevel="0" collapsed="false">
      <c r="A13241" s="51" t="s">
        <v>629</v>
      </c>
      <c r="B13241" s="55" t="n">
        <v>46203</v>
      </c>
      <c r="C13241" s="51" t="s">
        <v>73</v>
      </c>
      <c r="D13241" s="51" t="n">
        <v>0</v>
      </c>
    </row>
    <row r="13242" customFormat="false" ht="15" hidden="true" customHeight="false" outlineLevel="0" collapsed="false">
      <c r="A13242" s="51" t="s">
        <v>633</v>
      </c>
      <c r="B13242" s="55" t="n">
        <v>46203</v>
      </c>
      <c r="C13242" s="51" t="s">
        <v>73</v>
      </c>
      <c r="D13242" s="51" t="n">
        <v>0</v>
      </c>
    </row>
    <row r="13243" customFormat="false" ht="15" hidden="true" customHeight="false" outlineLevel="0" collapsed="false">
      <c r="A13243" s="51" t="s">
        <v>638</v>
      </c>
      <c r="B13243" s="55" t="n">
        <v>46203</v>
      </c>
      <c r="C13243" s="51" t="s">
        <v>73</v>
      </c>
      <c r="D13243" s="51" t="n">
        <v>0</v>
      </c>
    </row>
    <row r="13244" customFormat="false" ht="15" hidden="true" customHeight="false" outlineLevel="0" collapsed="false">
      <c r="A13244" s="51" t="s">
        <v>642</v>
      </c>
      <c r="B13244" s="55" t="n">
        <v>46203</v>
      </c>
      <c r="C13244" s="51" t="s">
        <v>73</v>
      </c>
      <c r="D13244" s="51" t="n">
        <v>0</v>
      </c>
    </row>
    <row r="13245" customFormat="false" ht="15" hidden="true" customHeight="false" outlineLevel="0" collapsed="false">
      <c r="A13245" s="51" t="s">
        <v>646</v>
      </c>
      <c r="B13245" s="55" t="n">
        <v>46203</v>
      </c>
      <c r="C13245" s="51" t="s">
        <v>73</v>
      </c>
      <c r="D13245" s="51" t="n">
        <v>0</v>
      </c>
    </row>
    <row r="13246" customFormat="false" ht="15" hidden="true" customHeight="false" outlineLevel="0" collapsed="false">
      <c r="A13246" s="51" t="s">
        <v>651</v>
      </c>
      <c r="B13246" s="55" t="n">
        <v>46203</v>
      </c>
      <c r="C13246" s="51" t="s">
        <v>73</v>
      </c>
      <c r="D13246" s="51" t="n">
        <v>0</v>
      </c>
    </row>
    <row r="13247" customFormat="false" ht="15" hidden="true" customHeight="false" outlineLevel="0" collapsed="false">
      <c r="A13247" s="51" t="s">
        <v>656</v>
      </c>
      <c r="B13247" s="55" t="n">
        <v>46203</v>
      </c>
      <c r="C13247" s="51" t="s">
        <v>73</v>
      </c>
      <c r="D13247" s="51" t="n">
        <v>0</v>
      </c>
    </row>
    <row r="13248" customFormat="false" ht="15" hidden="true" customHeight="false" outlineLevel="0" collapsed="false">
      <c r="A13248" s="51" t="s">
        <v>661</v>
      </c>
      <c r="B13248" s="55" t="n">
        <v>46203</v>
      </c>
      <c r="C13248" s="51" t="s">
        <v>73</v>
      </c>
      <c r="D13248" s="51" t="n">
        <v>0</v>
      </c>
    </row>
    <row r="13249" customFormat="false" ht="15" hidden="true" customHeight="false" outlineLevel="0" collapsed="false">
      <c r="A13249" s="51" t="s">
        <v>666</v>
      </c>
      <c r="B13249" s="55" t="n">
        <v>46203</v>
      </c>
      <c r="C13249" s="51" t="s">
        <v>73</v>
      </c>
      <c r="D13249" s="51" t="n">
        <v>0</v>
      </c>
    </row>
    <row r="13250" customFormat="false" ht="15" hidden="true" customHeight="false" outlineLevel="0" collapsed="false">
      <c r="A13250" s="51" t="s">
        <v>671</v>
      </c>
      <c r="B13250" s="55" t="n">
        <v>46203</v>
      </c>
      <c r="C13250" s="51" t="s">
        <v>73</v>
      </c>
      <c r="D13250" s="51" t="n">
        <v>0</v>
      </c>
    </row>
    <row r="13251" customFormat="false" ht="15" hidden="true" customHeight="false" outlineLevel="0" collapsed="false">
      <c r="A13251" s="51" t="s">
        <v>676</v>
      </c>
      <c r="B13251" s="55" t="n">
        <v>46203</v>
      </c>
      <c r="C13251" s="51" t="s">
        <v>73</v>
      </c>
      <c r="D13251" s="51" t="n">
        <v>0</v>
      </c>
    </row>
    <row r="13252" customFormat="false" ht="15" hidden="true" customHeight="false" outlineLevel="0" collapsed="false">
      <c r="A13252" s="51" t="s">
        <v>681</v>
      </c>
      <c r="B13252" s="55" t="n">
        <v>46203</v>
      </c>
      <c r="C13252" s="51" t="s">
        <v>73</v>
      </c>
      <c r="D13252" s="51" t="n">
        <v>0</v>
      </c>
    </row>
    <row r="13253" customFormat="false" ht="15" hidden="true" customHeight="false" outlineLevel="0" collapsed="false">
      <c r="A13253" s="51" t="s">
        <v>686</v>
      </c>
      <c r="B13253" s="55" t="n">
        <v>46203</v>
      </c>
      <c r="C13253" s="51" t="s">
        <v>73</v>
      </c>
      <c r="D13253" s="51" t="n">
        <v>0</v>
      </c>
    </row>
    <row r="13254" customFormat="false" ht="15" hidden="true" customHeight="false" outlineLevel="0" collapsed="false">
      <c r="A13254" s="51" t="s">
        <v>691</v>
      </c>
      <c r="B13254" s="55" t="n">
        <v>46203</v>
      </c>
      <c r="C13254" s="51" t="s">
        <v>73</v>
      </c>
      <c r="D13254" s="51" t="n">
        <v>0</v>
      </c>
    </row>
    <row r="13255" customFormat="false" ht="15" hidden="true" customHeight="false" outlineLevel="0" collapsed="false">
      <c r="A13255" s="51" t="s">
        <v>696</v>
      </c>
      <c r="B13255" s="55" t="n">
        <v>46203</v>
      </c>
      <c r="C13255" s="51" t="s">
        <v>73</v>
      </c>
      <c r="D13255" s="51" t="n">
        <v>0</v>
      </c>
    </row>
    <row r="13256" customFormat="false" ht="15" hidden="true" customHeight="false" outlineLevel="0" collapsed="false">
      <c r="A13256" s="51" t="s">
        <v>701</v>
      </c>
      <c r="B13256" s="55" t="n">
        <v>46203</v>
      </c>
      <c r="C13256" s="51" t="s">
        <v>73</v>
      </c>
      <c r="D13256" s="51" t="n">
        <v>0</v>
      </c>
    </row>
    <row r="13257" customFormat="false" ht="15" hidden="true" customHeight="false" outlineLevel="0" collapsed="false">
      <c r="A13257" s="51" t="s">
        <v>707</v>
      </c>
      <c r="B13257" s="55" t="n">
        <v>46203</v>
      </c>
      <c r="C13257" s="51" t="s">
        <v>73</v>
      </c>
      <c r="D13257" s="51" t="n">
        <v>0</v>
      </c>
    </row>
    <row r="13258" customFormat="false" ht="15" hidden="true" customHeight="false" outlineLevel="0" collapsed="false">
      <c r="A13258" s="51" t="s">
        <v>712</v>
      </c>
      <c r="B13258" s="55" t="n">
        <v>46203</v>
      </c>
      <c r="C13258" s="51" t="s">
        <v>73</v>
      </c>
      <c r="D13258" s="51" t="n">
        <v>0</v>
      </c>
    </row>
    <row r="13259" customFormat="false" ht="15" hidden="true" customHeight="false" outlineLevel="0" collapsed="false">
      <c r="A13259" s="51" t="s">
        <v>717</v>
      </c>
      <c r="B13259" s="55" t="n">
        <v>46203</v>
      </c>
      <c r="C13259" s="51" t="s">
        <v>73</v>
      </c>
      <c r="D13259" s="51" t="n">
        <v>0</v>
      </c>
    </row>
    <row r="13260" customFormat="false" ht="15" hidden="true" customHeight="false" outlineLevel="0" collapsed="false">
      <c r="A13260" s="51" t="s">
        <v>767</v>
      </c>
      <c r="B13260" s="55" t="n">
        <v>46203</v>
      </c>
      <c r="C13260" s="51" t="s">
        <v>73</v>
      </c>
      <c r="D13260" s="51" t="n">
        <v>0</v>
      </c>
    </row>
    <row r="13261" customFormat="false" ht="15" hidden="true" customHeight="false" outlineLevel="0" collapsed="false">
      <c r="A13261" s="51" t="s">
        <v>722</v>
      </c>
      <c r="B13261" s="55" t="n">
        <v>46203</v>
      </c>
      <c r="C13261" s="51" t="s">
        <v>73</v>
      </c>
      <c r="D13261" s="51" t="n">
        <v>0</v>
      </c>
    </row>
    <row r="13262" customFormat="false" ht="15" hidden="true" customHeight="false" outlineLevel="0" collapsed="false">
      <c r="A13262" s="51" t="s">
        <v>727</v>
      </c>
      <c r="B13262" s="55" t="n">
        <v>46203</v>
      </c>
      <c r="C13262" s="51" t="s">
        <v>73</v>
      </c>
      <c r="D13262" s="51" t="n">
        <v>0</v>
      </c>
    </row>
    <row r="13263" customFormat="false" ht="15" hidden="true" customHeight="false" outlineLevel="0" collapsed="false">
      <c r="A13263" s="51" t="s">
        <v>732</v>
      </c>
      <c r="B13263" s="55" t="n">
        <v>46203</v>
      </c>
      <c r="C13263" s="51" t="s">
        <v>73</v>
      </c>
      <c r="D13263" s="51" t="n">
        <v>0</v>
      </c>
    </row>
    <row r="13264" customFormat="false" ht="15" hidden="true" customHeight="false" outlineLevel="0" collapsed="false">
      <c r="A13264" s="51" t="s">
        <v>736</v>
      </c>
      <c r="B13264" s="55" t="n">
        <v>46203</v>
      </c>
      <c r="C13264" s="51" t="s">
        <v>73</v>
      </c>
      <c r="D13264" s="51" t="n">
        <v>0</v>
      </c>
    </row>
    <row r="13265" customFormat="false" ht="15" hidden="true" customHeight="false" outlineLevel="0" collapsed="false">
      <c r="A13265" s="51" t="s">
        <v>741</v>
      </c>
      <c r="B13265" s="55" t="n">
        <v>46203</v>
      </c>
      <c r="C13265" s="51" t="s">
        <v>73</v>
      </c>
      <c r="D13265" s="51" t="n">
        <v>0</v>
      </c>
    </row>
    <row r="13266" customFormat="false" ht="15" hidden="true" customHeight="false" outlineLevel="0" collapsed="false">
      <c r="A13266" s="51" t="s">
        <v>746</v>
      </c>
      <c r="B13266" s="55" t="n">
        <v>46203</v>
      </c>
      <c r="C13266" s="51" t="s">
        <v>73</v>
      </c>
      <c r="D13266" s="51" t="n">
        <v>0</v>
      </c>
    </row>
    <row r="13267" customFormat="false" ht="15" hidden="true" customHeight="false" outlineLevel="0" collapsed="false">
      <c r="A13267" s="51" t="s">
        <v>751</v>
      </c>
      <c r="B13267" s="55" t="n">
        <v>46203</v>
      </c>
      <c r="C13267" s="51" t="s">
        <v>73</v>
      </c>
      <c r="D13267" s="51" t="n">
        <v>0</v>
      </c>
    </row>
    <row r="13268" customFormat="false" ht="15" hidden="false" customHeight="false" outlineLevel="0" collapsed="false">
      <c r="A13268" s="51" t="s">
        <v>781</v>
      </c>
      <c r="B13268" s="55" t="n">
        <v>46203</v>
      </c>
      <c r="C13268" s="51" t="s">
        <v>791</v>
      </c>
      <c r="D13268" s="51" t="n">
        <v>0</v>
      </c>
    </row>
    <row r="13269" customFormat="false" ht="15" hidden="true" customHeight="false" outlineLevel="0" collapsed="false">
      <c r="A13269" s="51" t="s">
        <v>783</v>
      </c>
      <c r="B13269" s="55" t="n">
        <v>46203</v>
      </c>
      <c r="C13269" s="51" t="s">
        <v>791</v>
      </c>
      <c r="D13269" s="51" t="n">
        <v>0</v>
      </c>
    </row>
    <row r="13270" customFormat="false" ht="15" hidden="true" customHeight="false" outlineLevel="0" collapsed="false">
      <c r="A13270" s="51" t="s">
        <v>96</v>
      </c>
      <c r="B13270" s="55" t="n">
        <v>46203</v>
      </c>
      <c r="C13270" s="51" t="s">
        <v>791</v>
      </c>
      <c r="D13270" s="51" t="n">
        <v>0</v>
      </c>
    </row>
    <row r="13271" customFormat="false" ht="15" hidden="true" customHeight="false" outlineLevel="0" collapsed="false">
      <c r="A13271" s="51" t="s">
        <v>101</v>
      </c>
      <c r="B13271" s="55" t="n">
        <v>46203</v>
      </c>
      <c r="C13271" s="51" t="s">
        <v>791</v>
      </c>
      <c r="D13271" s="51" t="n">
        <v>0</v>
      </c>
    </row>
    <row r="13272" customFormat="false" ht="15" hidden="true" customHeight="false" outlineLevel="0" collapsed="false">
      <c r="A13272" s="51" t="s">
        <v>106</v>
      </c>
      <c r="B13272" s="55" t="n">
        <v>46203</v>
      </c>
      <c r="C13272" s="51" t="s">
        <v>791</v>
      </c>
      <c r="D13272" s="51" t="n">
        <v>0</v>
      </c>
    </row>
    <row r="13273" customFormat="false" ht="15" hidden="true" customHeight="false" outlineLevel="0" collapsed="false">
      <c r="A13273" s="51" t="s">
        <v>110</v>
      </c>
      <c r="B13273" s="55" t="n">
        <v>46203</v>
      </c>
      <c r="C13273" s="51" t="s">
        <v>791</v>
      </c>
      <c r="D13273" s="51" t="n">
        <v>0</v>
      </c>
    </row>
    <row r="13274" customFormat="false" ht="15" hidden="true" customHeight="false" outlineLevel="0" collapsed="false">
      <c r="A13274" s="51" t="s">
        <v>115</v>
      </c>
      <c r="B13274" s="55" t="n">
        <v>46203</v>
      </c>
      <c r="C13274" s="51" t="s">
        <v>791</v>
      </c>
      <c r="D13274" s="51" t="n">
        <v>0</v>
      </c>
    </row>
    <row r="13275" customFormat="false" ht="15" hidden="true" customHeight="false" outlineLevel="0" collapsed="false">
      <c r="A13275" s="51" t="s">
        <v>120</v>
      </c>
      <c r="B13275" s="55" t="n">
        <v>46203</v>
      </c>
      <c r="C13275" s="51" t="s">
        <v>791</v>
      </c>
      <c r="D13275" s="51" t="n">
        <v>0</v>
      </c>
    </row>
    <row r="13276" customFormat="false" ht="15" hidden="true" customHeight="false" outlineLevel="0" collapsed="false">
      <c r="A13276" s="51" t="s">
        <v>124</v>
      </c>
      <c r="B13276" s="55" t="n">
        <v>46203</v>
      </c>
      <c r="C13276" s="51" t="s">
        <v>791</v>
      </c>
      <c r="D13276" s="51" t="n">
        <v>0</v>
      </c>
    </row>
    <row r="13277" customFormat="false" ht="15" hidden="true" customHeight="false" outlineLevel="0" collapsed="false">
      <c r="A13277" s="51" t="s">
        <v>129</v>
      </c>
      <c r="B13277" s="55" t="n">
        <v>46203</v>
      </c>
      <c r="C13277" s="51" t="s">
        <v>791</v>
      </c>
      <c r="D13277" s="51" t="n">
        <v>0</v>
      </c>
    </row>
    <row r="13278" customFormat="false" ht="15" hidden="true" customHeight="false" outlineLevel="0" collapsed="false">
      <c r="A13278" s="51" t="s">
        <v>134</v>
      </c>
      <c r="B13278" s="55" t="n">
        <v>46203</v>
      </c>
      <c r="C13278" s="51" t="s">
        <v>791</v>
      </c>
      <c r="D13278" s="51" t="n">
        <v>0</v>
      </c>
    </row>
    <row r="13279" customFormat="false" ht="15" hidden="true" customHeight="false" outlineLevel="0" collapsed="false">
      <c r="A13279" s="51" t="s">
        <v>141</v>
      </c>
      <c r="B13279" s="55" t="n">
        <v>46203</v>
      </c>
      <c r="C13279" s="51" t="s">
        <v>791</v>
      </c>
      <c r="D13279" s="51" t="n">
        <v>0</v>
      </c>
    </row>
    <row r="13280" customFormat="false" ht="15" hidden="true" customHeight="false" outlineLevel="0" collapsed="false">
      <c r="A13280" s="51" t="s">
        <v>146</v>
      </c>
      <c r="B13280" s="55" t="n">
        <v>46203</v>
      </c>
      <c r="C13280" s="51" t="s">
        <v>791</v>
      </c>
      <c r="D13280" s="51" t="n">
        <v>0</v>
      </c>
    </row>
    <row r="13281" customFormat="false" ht="15" hidden="true" customHeight="false" outlineLevel="0" collapsed="false">
      <c r="A13281" s="51" t="s">
        <v>151</v>
      </c>
      <c r="B13281" s="55" t="n">
        <v>46203</v>
      </c>
      <c r="C13281" s="51" t="s">
        <v>791</v>
      </c>
      <c r="D13281" s="51" t="n">
        <v>0</v>
      </c>
    </row>
    <row r="13282" customFormat="false" ht="15" hidden="true" customHeight="false" outlineLevel="0" collapsed="false">
      <c r="A13282" s="51" t="s">
        <v>156</v>
      </c>
      <c r="B13282" s="55" t="n">
        <v>46203</v>
      </c>
      <c r="C13282" s="51" t="s">
        <v>791</v>
      </c>
      <c r="D13282" s="51" t="n">
        <v>0</v>
      </c>
    </row>
    <row r="13283" customFormat="false" ht="15" hidden="true" customHeight="false" outlineLevel="0" collapsed="false">
      <c r="A13283" s="51" t="s">
        <v>161</v>
      </c>
      <c r="B13283" s="55" t="n">
        <v>46203</v>
      </c>
      <c r="C13283" s="51" t="s">
        <v>791</v>
      </c>
      <c r="D13283" s="51" t="n">
        <v>0</v>
      </c>
    </row>
    <row r="13284" customFormat="false" ht="15" hidden="true" customHeight="false" outlineLevel="0" collapsed="false">
      <c r="A13284" s="51" t="s">
        <v>166</v>
      </c>
      <c r="B13284" s="55" t="n">
        <v>46203</v>
      </c>
      <c r="C13284" s="51" t="s">
        <v>791</v>
      </c>
      <c r="D13284" s="51" t="n">
        <v>0</v>
      </c>
    </row>
    <row r="13285" customFormat="false" ht="15" hidden="true" customHeight="false" outlineLevel="0" collapsed="false">
      <c r="A13285" s="51" t="s">
        <v>171</v>
      </c>
      <c r="B13285" s="55" t="n">
        <v>46203</v>
      </c>
      <c r="C13285" s="51" t="s">
        <v>791</v>
      </c>
      <c r="D13285" s="51" t="n">
        <v>0</v>
      </c>
    </row>
    <row r="13286" customFormat="false" ht="15" hidden="true" customHeight="false" outlineLevel="0" collapsed="false">
      <c r="A13286" s="51" t="s">
        <v>176</v>
      </c>
      <c r="B13286" s="55" t="n">
        <v>46203</v>
      </c>
      <c r="C13286" s="51" t="s">
        <v>791</v>
      </c>
      <c r="D13286" s="51" t="n">
        <v>0</v>
      </c>
    </row>
    <row r="13287" customFormat="false" ht="15" hidden="true" customHeight="false" outlineLevel="0" collapsed="false">
      <c r="A13287" s="51" t="s">
        <v>181</v>
      </c>
      <c r="B13287" s="55" t="n">
        <v>46203</v>
      </c>
      <c r="C13287" s="51" t="s">
        <v>791</v>
      </c>
      <c r="D13287" s="51" t="n">
        <v>0</v>
      </c>
    </row>
    <row r="13288" customFormat="false" ht="15" hidden="true" customHeight="false" outlineLevel="0" collapsed="false">
      <c r="A13288" s="51" t="s">
        <v>186</v>
      </c>
      <c r="B13288" s="55" t="n">
        <v>46203</v>
      </c>
      <c r="C13288" s="51" t="s">
        <v>791</v>
      </c>
      <c r="D13288" s="51" t="n">
        <v>0</v>
      </c>
    </row>
    <row r="13289" customFormat="false" ht="15" hidden="true" customHeight="false" outlineLevel="0" collapsed="false">
      <c r="A13289" s="51" t="s">
        <v>191</v>
      </c>
      <c r="B13289" s="55" t="n">
        <v>46203</v>
      </c>
      <c r="C13289" s="51" t="s">
        <v>791</v>
      </c>
      <c r="D13289" s="51" t="n">
        <v>0</v>
      </c>
    </row>
    <row r="13290" customFormat="false" ht="15" hidden="true" customHeight="false" outlineLevel="0" collapsed="false">
      <c r="A13290" s="51" t="s">
        <v>196</v>
      </c>
      <c r="B13290" s="55" t="n">
        <v>46203</v>
      </c>
      <c r="C13290" s="51" t="s">
        <v>791</v>
      </c>
      <c r="D13290" s="51" t="n">
        <v>0</v>
      </c>
    </row>
    <row r="13291" customFormat="false" ht="15" hidden="true" customHeight="false" outlineLevel="0" collapsed="false">
      <c r="A13291" s="51" t="s">
        <v>201</v>
      </c>
      <c r="B13291" s="55" t="n">
        <v>46203</v>
      </c>
      <c r="C13291" s="51" t="s">
        <v>791</v>
      </c>
      <c r="D13291" s="51" t="n">
        <v>0</v>
      </c>
    </row>
    <row r="13292" customFormat="false" ht="15" hidden="true" customHeight="false" outlineLevel="0" collapsed="false">
      <c r="A13292" s="51" t="s">
        <v>206</v>
      </c>
      <c r="B13292" s="55" t="n">
        <v>46203</v>
      </c>
      <c r="C13292" s="51" t="s">
        <v>791</v>
      </c>
      <c r="D13292" s="51" t="n">
        <v>0</v>
      </c>
    </row>
    <row r="13293" customFormat="false" ht="15" hidden="true" customHeight="false" outlineLevel="0" collapsed="false">
      <c r="A13293" s="51" t="s">
        <v>210</v>
      </c>
      <c r="B13293" s="55" t="n">
        <v>46203</v>
      </c>
      <c r="C13293" s="51" t="s">
        <v>791</v>
      </c>
      <c r="D13293" s="51" t="n">
        <v>0</v>
      </c>
    </row>
    <row r="13294" customFormat="false" ht="15" hidden="true" customHeight="false" outlineLevel="0" collapsed="false">
      <c r="A13294" s="51" t="s">
        <v>215</v>
      </c>
      <c r="B13294" s="55" t="n">
        <v>46203</v>
      </c>
      <c r="C13294" s="51" t="s">
        <v>791</v>
      </c>
      <c r="D13294" s="51" t="n">
        <v>0</v>
      </c>
    </row>
    <row r="13295" customFormat="false" ht="15" hidden="true" customHeight="false" outlineLevel="0" collapsed="false">
      <c r="A13295" s="51" t="s">
        <v>790</v>
      </c>
      <c r="B13295" s="55" t="n">
        <v>46203</v>
      </c>
      <c r="C13295" s="51" t="s">
        <v>791</v>
      </c>
      <c r="D13295" s="51" t="n">
        <v>0</v>
      </c>
    </row>
    <row r="13296" customFormat="false" ht="15" hidden="true" customHeight="false" outlineLevel="0" collapsed="false">
      <c r="A13296" s="51" t="s">
        <v>225</v>
      </c>
      <c r="B13296" s="55" t="n">
        <v>46203</v>
      </c>
      <c r="C13296" s="51" t="s">
        <v>791</v>
      </c>
      <c r="D13296" s="51" t="n">
        <v>0</v>
      </c>
    </row>
    <row r="13297" customFormat="false" ht="15" hidden="true" customHeight="false" outlineLevel="0" collapsed="false">
      <c r="A13297" s="51" t="s">
        <v>230</v>
      </c>
      <c r="B13297" s="55" t="n">
        <v>46203</v>
      </c>
      <c r="C13297" s="51" t="s">
        <v>791</v>
      </c>
      <c r="D13297" s="51" t="n">
        <v>0</v>
      </c>
    </row>
    <row r="13298" customFormat="false" ht="15" hidden="true" customHeight="false" outlineLevel="0" collapsed="false">
      <c r="A13298" s="51" t="s">
        <v>235</v>
      </c>
      <c r="B13298" s="55" t="n">
        <v>46203</v>
      </c>
      <c r="C13298" s="51" t="s">
        <v>791</v>
      </c>
      <c r="D13298" s="51" t="n">
        <v>0</v>
      </c>
    </row>
    <row r="13299" customFormat="false" ht="15" hidden="true" customHeight="false" outlineLevel="0" collapsed="false">
      <c r="A13299" s="51" t="s">
        <v>240</v>
      </c>
      <c r="B13299" s="55" t="n">
        <v>46203</v>
      </c>
      <c r="C13299" s="51" t="s">
        <v>791</v>
      </c>
      <c r="D13299" s="51" t="n">
        <v>0</v>
      </c>
    </row>
    <row r="13300" customFormat="false" ht="15" hidden="true" customHeight="false" outlineLevel="0" collapsed="false">
      <c r="A13300" s="51" t="s">
        <v>246</v>
      </c>
      <c r="B13300" s="55" t="n">
        <v>46203</v>
      </c>
      <c r="C13300" s="51" t="s">
        <v>791</v>
      </c>
      <c r="D13300" s="51" t="n">
        <v>0</v>
      </c>
    </row>
    <row r="13301" customFormat="false" ht="15" hidden="true" customHeight="false" outlineLevel="0" collapsed="false">
      <c r="A13301" s="51" t="s">
        <v>252</v>
      </c>
      <c r="B13301" s="55" t="n">
        <v>46203</v>
      </c>
      <c r="C13301" s="51" t="s">
        <v>791</v>
      </c>
      <c r="D13301" s="51" t="n">
        <v>0</v>
      </c>
    </row>
    <row r="13302" customFormat="false" ht="15" hidden="true" customHeight="false" outlineLevel="0" collapsed="false">
      <c r="A13302" s="51" t="s">
        <v>257</v>
      </c>
      <c r="B13302" s="55" t="n">
        <v>46203</v>
      </c>
      <c r="C13302" s="51" t="s">
        <v>791</v>
      </c>
      <c r="D13302" s="51" t="n">
        <v>0</v>
      </c>
    </row>
    <row r="13303" customFormat="false" ht="15" hidden="true" customHeight="false" outlineLevel="0" collapsed="false">
      <c r="A13303" s="51" t="s">
        <v>262</v>
      </c>
      <c r="B13303" s="55" t="n">
        <v>46203</v>
      </c>
      <c r="C13303" s="51" t="s">
        <v>791</v>
      </c>
      <c r="D13303" s="51" t="n">
        <v>0</v>
      </c>
    </row>
    <row r="13304" customFormat="false" ht="15" hidden="true" customHeight="false" outlineLevel="0" collapsed="false">
      <c r="A13304" s="51" t="s">
        <v>267</v>
      </c>
      <c r="B13304" s="55" t="n">
        <v>46203</v>
      </c>
      <c r="C13304" s="51" t="s">
        <v>791</v>
      </c>
      <c r="D13304" s="51" t="n">
        <v>0</v>
      </c>
    </row>
    <row r="13305" customFormat="false" ht="15" hidden="true" customHeight="false" outlineLevel="0" collapsed="false">
      <c r="A13305" s="51" t="s">
        <v>272</v>
      </c>
      <c r="B13305" s="55" t="n">
        <v>46203</v>
      </c>
      <c r="C13305" s="51" t="s">
        <v>791</v>
      </c>
      <c r="D13305" s="51" t="n">
        <v>0</v>
      </c>
    </row>
    <row r="13306" customFormat="false" ht="15" hidden="true" customHeight="false" outlineLevel="0" collapsed="false">
      <c r="A13306" s="51" t="s">
        <v>277</v>
      </c>
      <c r="B13306" s="55" t="n">
        <v>46203</v>
      </c>
      <c r="C13306" s="51" t="s">
        <v>791</v>
      </c>
      <c r="D13306" s="51" t="n">
        <v>0</v>
      </c>
    </row>
    <row r="13307" customFormat="false" ht="15" hidden="true" customHeight="false" outlineLevel="0" collapsed="false">
      <c r="A13307" s="51" t="s">
        <v>282</v>
      </c>
      <c r="B13307" s="55" t="n">
        <v>46203</v>
      </c>
      <c r="C13307" s="51" t="s">
        <v>791</v>
      </c>
      <c r="D13307" s="51" t="n">
        <v>0</v>
      </c>
    </row>
    <row r="13308" customFormat="false" ht="15" hidden="true" customHeight="false" outlineLevel="0" collapsed="false">
      <c r="A13308" s="51" t="s">
        <v>287</v>
      </c>
      <c r="B13308" s="55" t="n">
        <v>46203</v>
      </c>
      <c r="C13308" s="51" t="s">
        <v>791</v>
      </c>
      <c r="D13308" s="51" t="n">
        <v>0</v>
      </c>
    </row>
    <row r="13309" customFormat="false" ht="15" hidden="true" customHeight="false" outlineLevel="0" collapsed="false">
      <c r="A13309" s="51" t="s">
        <v>292</v>
      </c>
      <c r="B13309" s="55" t="n">
        <v>46203</v>
      </c>
      <c r="C13309" s="51" t="s">
        <v>791</v>
      </c>
      <c r="D13309" s="51" t="n">
        <v>0</v>
      </c>
    </row>
    <row r="13310" customFormat="false" ht="15" hidden="true" customHeight="false" outlineLevel="0" collapsed="false">
      <c r="A13310" s="51" t="s">
        <v>297</v>
      </c>
      <c r="B13310" s="55" t="n">
        <v>46203</v>
      </c>
      <c r="C13310" s="51" t="s">
        <v>791</v>
      </c>
      <c r="D13310" s="51" t="n">
        <v>0</v>
      </c>
    </row>
    <row r="13311" customFormat="false" ht="15" hidden="true" customHeight="false" outlineLevel="0" collapsed="false">
      <c r="A13311" s="51" t="s">
        <v>302</v>
      </c>
      <c r="B13311" s="55" t="n">
        <v>46203</v>
      </c>
      <c r="C13311" s="51" t="s">
        <v>791</v>
      </c>
      <c r="D13311" s="51" t="n">
        <v>0</v>
      </c>
    </row>
    <row r="13312" customFormat="false" ht="15" hidden="true" customHeight="false" outlineLevel="0" collapsed="false">
      <c r="A13312" s="51" t="s">
        <v>307</v>
      </c>
      <c r="B13312" s="55" t="n">
        <v>46203</v>
      </c>
      <c r="C13312" s="51" t="s">
        <v>791</v>
      </c>
      <c r="D13312" s="51" t="n">
        <v>0</v>
      </c>
    </row>
    <row r="13313" customFormat="false" ht="15" hidden="true" customHeight="false" outlineLevel="0" collapsed="false">
      <c r="A13313" s="51" t="s">
        <v>311</v>
      </c>
      <c r="B13313" s="55" t="n">
        <v>46203</v>
      </c>
      <c r="C13313" s="51" t="s">
        <v>791</v>
      </c>
      <c r="D13313" s="51" t="n">
        <v>0</v>
      </c>
    </row>
    <row r="13314" customFormat="false" ht="15" hidden="true" customHeight="false" outlineLevel="0" collapsed="false">
      <c r="A13314" s="51" t="s">
        <v>317</v>
      </c>
      <c r="B13314" s="55" t="n">
        <v>46203</v>
      </c>
      <c r="C13314" s="51" t="s">
        <v>791</v>
      </c>
      <c r="D13314" s="51" t="n">
        <v>0</v>
      </c>
    </row>
    <row r="13315" customFormat="false" ht="15" hidden="true" customHeight="false" outlineLevel="0" collapsed="false">
      <c r="A13315" s="51" t="s">
        <v>322</v>
      </c>
      <c r="B13315" s="55" t="n">
        <v>46203</v>
      </c>
      <c r="C13315" s="51" t="s">
        <v>791</v>
      </c>
      <c r="D13315" s="51" t="n">
        <v>0</v>
      </c>
    </row>
    <row r="13316" customFormat="false" ht="15" hidden="true" customHeight="false" outlineLevel="0" collapsed="false">
      <c r="A13316" s="51" t="s">
        <v>327</v>
      </c>
      <c r="B13316" s="55" t="n">
        <v>46203</v>
      </c>
      <c r="C13316" s="51" t="s">
        <v>791</v>
      </c>
      <c r="D13316" s="51" t="n">
        <v>0</v>
      </c>
    </row>
    <row r="13317" customFormat="false" ht="15" hidden="true" customHeight="false" outlineLevel="0" collapsed="false">
      <c r="A13317" s="51" t="s">
        <v>332</v>
      </c>
      <c r="B13317" s="55" t="n">
        <v>46203</v>
      </c>
      <c r="C13317" s="51" t="s">
        <v>791</v>
      </c>
      <c r="D13317" s="51" t="n">
        <v>0</v>
      </c>
    </row>
    <row r="13318" customFormat="false" ht="15" hidden="true" customHeight="false" outlineLevel="0" collapsed="false">
      <c r="A13318" s="51" t="s">
        <v>339</v>
      </c>
      <c r="B13318" s="55" t="n">
        <v>46203</v>
      </c>
      <c r="C13318" s="51" t="s">
        <v>791</v>
      </c>
      <c r="D13318" s="51" t="n">
        <v>0</v>
      </c>
    </row>
    <row r="13319" customFormat="false" ht="15" hidden="true" customHeight="false" outlineLevel="0" collapsed="false">
      <c r="A13319" s="51" t="s">
        <v>344</v>
      </c>
      <c r="B13319" s="55" t="n">
        <v>46203</v>
      </c>
      <c r="C13319" s="51" t="s">
        <v>791</v>
      </c>
      <c r="D13319" s="51" t="n">
        <v>0</v>
      </c>
    </row>
    <row r="13320" customFormat="false" ht="15" hidden="true" customHeight="false" outlineLevel="0" collapsed="false">
      <c r="A13320" s="51" t="s">
        <v>349</v>
      </c>
      <c r="B13320" s="55" t="n">
        <v>46203</v>
      </c>
      <c r="C13320" s="51" t="s">
        <v>791</v>
      </c>
      <c r="D13320" s="51" t="n">
        <v>0</v>
      </c>
    </row>
    <row r="13321" customFormat="false" ht="15" hidden="true" customHeight="false" outlineLevel="0" collapsed="false">
      <c r="A13321" s="51" t="s">
        <v>354</v>
      </c>
      <c r="B13321" s="55" t="n">
        <v>46203</v>
      </c>
      <c r="C13321" s="51" t="s">
        <v>791</v>
      </c>
      <c r="D13321" s="51" t="n">
        <v>0</v>
      </c>
    </row>
    <row r="13322" customFormat="false" ht="15" hidden="true" customHeight="false" outlineLevel="0" collapsed="false">
      <c r="A13322" s="51" t="s">
        <v>359</v>
      </c>
      <c r="B13322" s="55" t="n">
        <v>46203</v>
      </c>
      <c r="C13322" s="51" t="s">
        <v>791</v>
      </c>
      <c r="D13322" s="51" t="n">
        <v>0</v>
      </c>
    </row>
    <row r="13323" customFormat="false" ht="15" hidden="true" customHeight="false" outlineLevel="0" collapsed="false">
      <c r="A13323" s="51" t="s">
        <v>364</v>
      </c>
      <c r="B13323" s="55" t="n">
        <v>46203</v>
      </c>
      <c r="C13323" s="51" t="s">
        <v>791</v>
      </c>
      <c r="D13323" s="51" t="n">
        <v>0</v>
      </c>
    </row>
    <row r="13324" customFormat="false" ht="15" hidden="true" customHeight="false" outlineLevel="0" collapsed="false">
      <c r="A13324" s="51" t="s">
        <v>369</v>
      </c>
      <c r="B13324" s="55" t="n">
        <v>46203</v>
      </c>
      <c r="C13324" s="51" t="s">
        <v>791</v>
      </c>
      <c r="D13324" s="51" t="n">
        <v>0</v>
      </c>
    </row>
    <row r="13325" customFormat="false" ht="15" hidden="true" customHeight="false" outlineLevel="0" collapsed="false">
      <c r="A13325" s="51" t="s">
        <v>374</v>
      </c>
      <c r="B13325" s="55" t="n">
        <v>46203</v>
      </c>
      <c r="C13325" s="51" t="s">
        <v>791</v>
      </c>
      <c r="D13325" s="51" t="n">
        <v>0</v>
      </c>
    </row>
    <row r="13326" customFormat="false" ht="15" hidden="true" customHeight="false" outlineLevel="0" collapsed="false">
      <c r="A13326" s="51" t="s">
        <v>379</v>
      </c>
      <c r="B13326" s="55" t="n">
        <v>46203</v>
      </c>
      <c r="C13326" s="51" t="s">
        <v>791</v>
      </c>
      <c r="D13326" s="51" t="n">
        <v>0</v>
      </c>
    </row>
    <row r="13327" customFormat="false" ht="15" hidden="true" customHeight="false" outlineLevel="0" collapsed="false">
      <c r="A13327" s="51" t="s">
        <v>384</v>
      </c>
      <c r="B13327" s="55" t="n">
        <v>46203</v>
      </c>
      <c r="C13327" s="51" t="s">
        <v>791</v>
      </c>
      <c r="D13327" s="51" t="n">
        <v>0</v>
      </c>
    </row>
    <row r="13328" customFormat="false" ht="15" hidden="true" customHeight="false" outlineLevel="0" collapsed="false">
      <c r="A13328" s="51" t="s">
        <v>389</v>
      </c>
      <c r="B13328" s="55" t="n">
        <v>46203</v>
      </c>
      <c r="C13328" s="51" t="s">
        <v>791</v>
      </c>
      <c r="D13328" s="51" t="n">
        <v>0</v>
      </c>
    </row>
    <row r="13329" customFormat="false" ht="15" hidden="true" customHeight="false" outlineLevel="0" collapsed="false">
      <c r="A13329" s="51" t="s">
        <v>394</v>
      </c>
      <c r="B13329" s="55" t="n">
        <v>46203</v>
      </c>
      <c r="C13329" s="51" t="s">
        <v>791</v>
      </c>
      <c r="D13329" s="51" t="n">
        <v>0</v>
      </c>
    </row>
    <row r="13330" customFormat="false" ht="15" hidden="true" customHeight="false" outlineLevel="0" collapsed="false">
      <c r="A13330" s="51" t="s">
        <v>399</v>
      </c>
      <c r="B13330" s="55" t="n">
        <v>46203</v>
      </c>
      <c r="C13330" s="51" t="s">
        <v>791</v>
      </c>
      <c r="D13330" s="51" t="n">
        <v>0</v>
      </c>
    </row>
    <row r="13331" customFormat="false" ht="15" hidden="true" customHeight="false" outlineLevel="0" collapsed="false">
      <c r="A13331" s="51" t="s">
        <v>404</v>
      </c>
      <c r="B13331" s="55" t="n">
        <v>46203</v>
      </c>
      <c r="C13331" s="51" t="s">
        <v>791</v>
      </c>
      <c r="D13331" s="51" t="n">
        <v>0</v>
      </c>
    </row>
    <row r="13332" customFormat="false" ht="15" hidden="true" customHeight="false" outlineLevel="0" collapsed="false">
      <c r="A13332" s="51" t="s">
        <v>409</v>
      </c>
      <c r="B13332" s="55" t="n">
        <v>46203</v>
      </c>
      <c r="C13332" s="51" t="s">
        <v>791</v>
      </c>
      <c r="D13332" s="51" t="n">
        <v>0</v>
      </c>
    </row>
    <row r="13333" customFormat="false" ht="15" hidden="true" customHeight="false" outlineLevel="0" collapsed="false">
      <c r="A13333" s="51" t="s">
        <v>414</v>
      </c>
      <c r="B13333" s="55" t="n">
        <v>46203</v>
      </c>
      <c r="C13333" s="51" t="s">
        <v>791</v>
      </c>
      <c r="D13333" s="51" t="n">
        <v>0</v>
      </c>
    </row>
    <row r="13334" customFormat="false" ht="15" hidden="true" customHeight="false" outlineLevel="0" collapsed="false">
      <c r="A13334" s="51" t="s">
        <v>419</v>
      </c>
      <c r="B13334" s="55" t="n">
        <v>46203</v>
      </c>
      <c r="C13334" s="51" t="s">
        <v>791</v>
      </c>
      <c r="D13334" s="51" t="n">
        <v>0</v>
      </c>
    </row>
    <row r="13335" customFormat="false" ht="15" hidden="true" customHeight="false" outlineLevel="0" collapsed="false">
      <c r="A13335" s="51" t="s">
        <v>424</v>
      </c>
      <c r="B13335" s="55" t="n">
        <v>46203</v>
      </c>
      <c r="C13335" s="51" t="s">
        <v>791</v>
      </c>
      <c r="D13335" s="51" t="n">
        <v>0</v>
      </c>
    </row>
    <row r="13336" customFormat="false" ht="15" hidden="true" customHeight="false" outlineLevel="0" collapsed="false">
      <c r="A13336" s="51" t="s">
        <v>429</v>
      </c>
      <c r="B13336" s="55" t="n">
        <v>46203</v>
      </c>
      <c r="C13336" s="51" t="s">
        <v>791</v>
      </c>
      <c r="D13336" s="51" t="n">
        <v>0</v>
      </c>
    </row>
    <row r="13337" customFormat="false" ht="15" hidden="true" customHeight="false" outlineLevel="0" collapsed="false">
      <c r="A13337" s="51" t="s">
        <v>434</v>
      </c>
      <c r="B13337" s="55" t="n">
        <v>46203</v>
      </c>
      <c r="C13337" s="51" t="s">
        <v>791</v>
      </c>
      <c r="D13337" s="51" t="n">
        <v>0</v>
      </c>
    </row>
    <row r="13338" customFormat="false" ht="15" hidden="true" customHeight="false" outlineLevel="0" collapsed="false">
      <c r="A13338" s="51" t="s">
        <v>438</v>
      </c>
      <c r="B13338" s="55" t="n">
        <v>46203</v>
      </c>
      <c r="C13338" s="51" t="s">
        <v>791</v>
      </c>
      <c r="D13338" s="51" t="n">
        <v>0</v>
      </c>
    </row>
    <row r="13339" customFormat="false" ht="15" hidden="true" customHeight="false" outlineLevel="0" collapsed="false">
      <c r="A13339" s="51" t="s">
        <v>443</v>
      </c>
      <c r="B13339" s="55" t="n">
        <v>46203</v>
      </c>
      <c r="C13339" s="51" t="s">
        <v>791</v>
      </c>
      <c r="D13339" s="51" t="n">
        <v>0</v>
      </c>
    </row>
    <row r="13340" customFormat="false" ht="15" hidden="true" customHeight="false" outlineLevel="0" collapsed="false">
      <c r="A13340" s="51" t="s">
        <v>448</v>
      </c>
      <c r="B13340" s="55" t="n">
        <v>46203</v>
      </c>
      <c r="C13340" s="51" t="s">
        <v>791</v>
      </c>
      <c r="D13340" s="51" t="n">
        <v>0</v>
      </c>
    </row>
    <row r="13341" customFormat="false" ht="15" hidden="true" customHeight="false" outlineLevel="0" collapsed="false">
      <c r="A13341" s="51" t="s">
        <v>453</v>
      </c>
      <c r="B13341" s="55" t="n">
        <v>46203</v>
      </c>
      <c r="C13341" s="51" t="s">
        <v>791</v>
      </c>
      <c r="D13341" s="51" t="n">
        <v>0</v>
      </c>
    </row>
    <row r="13342" customFormat="false" ht="15" hidden="true" customHeight="false" outlineLevel="0" collapsed="false">
      <c r="A13342" s="51" t="s">
        <v>458</v>
      </c>
      <c r="B13342" s="55" t="n">
        <v>46203</v>
      </c>
      <c r="C13342" s="51" t="s">
        <v>791</v>
      </c>
      <c r="D13342" s="51" t="n">
        <v>0</v>
      </c>
    </row>
    <row r="13343" customFormat="false" ht="15" hidden="true" customHeight="false" outlineLevel="0" collapsed="false">
      <c r="A13343" s="51" t="s">
        <v>473</v>
      </c>
      <c r="B13343" s="55" t="n">
        <v>46203</v>
      </c>
      <c r="C13343" s="51" t="s">
        <v>791</v>
      </c>
      <c r="D13343" s="51" t="n">
        <v>0</v>
      </c>
    </row>
    <row r="13344" customFormat="false" ht="15" hidden="true" customHeight="false" outlineLevel="0" collapsed="false">
      <c r="A13344" s="51" t="s">
        <v>479</v>
      </c>
      <c r="B13344" s="55" t="n">
        <v>46203</v>
      </c>
      <c r="C13344" s="51" t="s">
        <v>791</v>
      </c>
      <c r="D13344" s="51" t="n">
        <v>0</v>
      </c>
    </row>
    <row r="13345" customFormat="false" ht="15" hidden="true" customHeight="false" outlineLevel="0" collapsed="false">
      <c r="A13345" s="51" t="s">
        <v>484</v>
      </c>
      <c r="B13345" s="55" t="n">
        <v>46203</v>
      </c>
      <c r="C13345" s="51" t="s">
        <v>791</v>
      </c>
      <c r="D13345" s="51" t="n">
        <v>0</v>
      </c>
    </row>
    <row r="13346" customFormat="false" ht="15" hidden="true" customHeight="false" outlineLevel="0" collapsed="false">
      <c r="A13346" s="51" t="s">
        <v>489</v>
      </c>
      <c r="B13346" s="55" t="n">
        <v>46203</v>
      </c>
      <c r="C13346" s="51" t="s">
        <v>791</v>
      </c>
      <c r="D13346" s="51" t="n">
        <v>0</v>
      </c>
    </row>
    <row r="13347" customFormat="false" ht="15" hidden="true" customHeight="false" outlineLevel="0" collapsed="false">
      <c r="A13347" s="51" t="s">
        <v>494</v>
      </c>
      <c r="B13347" s="55" t="n">
        <v>46203</v>
      </c>
      <c r="C13347" s="51" t="s">
        <v>791</v>
      </c>
      <c r="D13347" s="51" t="n">
        <v>0</v>
      </c>
    </row>
    <row r="13348" customFormat="false" ht="15" hidden="true" customHeight="false" outlineLevel="0" collapsed="false">
      <c r="A13348" s="51" t="s">
        <v>499</v>
      </c>
      <c r="B13348" s="55" t="n">
        <v>46203</v>
      </c>
      <c r="C13348" s="51" t="s">
        <v>791</v>
      </c>
      <c r="D13348" s="51" t="n">
        <v>0</v>
      </c>
    </row>
    <row r="13349" customFormat="false" ht="15" hidden="true" customHeight="false" outlineLevel="0" collapsed="false">
      <c r="A13349" s="51" t="s">
        <v>504</v>
      </c>
      <c r="B13349" s="55" t="n">
        <v>46203</v>
      </c>
      <c r="C13349" s="51" t="s">
        <v>791</v>
      </c>
      <c r="D13349" s="51" t="n">
        <v>0</v>
      </c>
    </row>
    <row r="13350" customFormat="false" ht="15" hidden="true" customHeight="false" outlineLevel="0" collapsed="false">
      <c r="A13350" s="51" t="s">
        <v>509</v>
      </c>
      <c r="B13350" s="55" t="n">
        <v>46203</v>
      </c>
      <c r="C13350" s="51" t="s">
        <v>791</v>
      </c>
      <c r="D13350" s="51" t="n">
        <v>0</v>
      </c>
    </row>
    <row r="13351" customFormat="false" ht="15" hidden="true" customHeight="false" outlineLevel="0" collapsed="false">
      <c r="A13351" s="51" t="s">
        <v>515</v>
      </c>
      <c r="B13351" s="55" t="n">
        <v>46203</v>
      </c>
      <c r="C13351" s="51" t="s">
        <v>791</v>
      </c>
      <c r="D13351" s="51" t="n">
        <v>0</v>
      </c>
    </row>
    <row r="13352" customFormat="false" ht="15" hidden="true" customHeight="false" outlineLevel="0" collapsed="false">
      <c r="A13352" s="51" t="s">
        <v>520</v>
      </c>
      <c r="B13352" s="55" t="n">
        <v>46203</v>
      </c>
      <c r="C13352" s="51" t="s">
        <v>791</v>
      </c>
      <c r="D13352" s="51" t="n">
        <v>0</v>
      </c>
    </row>
    <row r="13353" customFormat="false" ht="15" hidden="true" customHeight="false" outlineLevel="0" collapsed="false">
      <c r="A13353" s="51" t="s">
        <v>525</v>
      </c>
      <c r="B13353" s="55" t="n">
        <v>46203</v>
      </c>
      <c r="C13353" s="51" t="s">
        <v>791</v>
      </c>
      <c r="D13353" s="51" t="n">
        <v>0</v>
      </c>
    </row>
    <row r="13354" customFormat="false" ht="15" hidden="true" customHeight="false" outlineLevel="0" collapsed="false">
      <c r="A13354" s="51" t="s">
        <v>531</v>
      </c>
      <c r="B13354" s="55" t="n">
        <v>46203</v>
      </c>
      <c r="C13354" s="51" t="s">
        <v>791</v>
      </c>
      <c r="D13354" s="51" t="n">
        <v>0</v>
      </c>
    </row>
    <row r="13355" customFormat="false" ht="15" hidden="true" customHeight="false" outlineLevel="0" collapsed="false">
      <c r="A13355" s="51" t="s">
        <v>536</v>
      </c>
      <c r="B13355" s="55" t="n">
        <v>46203</v>
      </c>
      <c r="C13355" s="51" t="s">
        <v>791</v>
      </c>
      <c r="D13355" s="51" t="n">
        <v>0</v>
      </c>
    </row>
    <row r="13356" customFormat="false" ht="15" hidden="true" customHeight="false" outlineLevel="0" collapsed="false">
      <c r="A13356" s="51" t="s">
        <v>541</v>
      </c>
      <c r="B13356" s="55" t="n">
        <v>46203</v>
      </c>
      <c r="C13356" s="51" t="s">
        <v>791</v>
      </c>
      <c r="D13356" s="51" t="n">
        <v>0</v>
      </c>
    </row>
    <row r="13357" customFormat="false" ht="15" hidden="true" customHeight="false" outlineLevel="0" collapsed="false">
      <c r="A13357" s="51" t="s">
        <v>549</v>
      </c>
      <c r="B13357" s="55" t="n">
        <v>46203</v>
      </c>
      <c r="C13357" s="51" t="s">
        <v>791</v>
      </c>
      <c r="D13357" s="51" t="n">
        <v>0</v>
      </c>
    </row>
    <row r="13358" customFormat="false" ht="15" hidden="true" customHeight="false" outlineLevel="0" collapsed="false">
      <c r="A13358" s="51" t="s">
        <v>554</v>
      </c>
      <c r="B13358" s="55" t="n">
        <v>46203</v>
      </c>
      <c r="C13358" s="51" t="s">
        <v>791</v>
      </c>
      <c r="D13358" s="51" t="n">
        <v>0</v>
      </c>
    </row>
    <row r="13359" customFormat="false" ht="15" hidden="true" customHeight="false" outlineLevel="0" collapsed="false">
      <c r="A13359" s="51" t="s">
        <v>559</v>
      </c>
      <c r="B13359" s="55" t="n">
        <v>46203</v>
      </c>
      <c r="C13359" s="51" t="s">
        <v>791</v>
      </c>
      <c r="D13359" s="51" t="n">
        <v>0</v>
      </c>
    </row>
    <row r="13360" customFormat="false" ht="15" hidden="true" customHeight="false" outlineLevel="0" collapsed="false">
      <c r="A13360" s="51" t="s">
        <v>564</v>
      </c>
      <c r="B13360" s="55" t="n">
        <v>46203</v>
      </c>
      <c r="C13360" s="51" t="s">
        <v>791</v>
      </c>
      <c r="D13360" s="51" t="n">
        <v>0</v>
      </c>
    </row>
    <row r="13361" customFormat="false" ht="15" hidden="true" customHeight="false" outlineLevel="0" collapsed="false">
      <c r="A13361" s="51" t="s">
        <v>569</v>
      </c>
      <c r="B13361" s="55" t="n">
        <v>46203</v>
      </c>
      <c r="C13361" s="51" t="s">
        <v>791</v>
      </c>
      <c r="D13361" s="51" t="n">
        <v>0</v>
      </c>
    </row>
    <row r="13362" customFormat="false" ht="15" hidden="true" customHeight="false" outlineLevel="0" collapsed="false">
      <c r="A13362" s="51" t="s">
        <v>574</v>
      </c>
      <c r="B13362" s="55" t="n">
        <v>46203</v>
      </c>
      <c r="C13362" s="51" t="s">
        <v>791</v>
      </c>
      <c r="D13362" s="51" t="n">
        <v>0</v>
      </c>
    </row>
    <row r="13363" customFormat="false" ht="15" hidden="true" customHeight="false" outlineLevel="0" collapsed="false">
      <c r="A13363" s="51" t="s">
        <v>579</v>
      </c>
      <c r="B13363" s="55" t="n">
        <v>46203</v>
      </c>
      <c r="C13363" s="51" t="s">
        <v>791</v>
      </c>
      <c r="D13363" s="51" t="n">
        <v>0</v>
      </c>
    </row>
    <row r="13364" customFormat="false" ht="15" hidden="true" customHeight="false" outlineLevel="0" collapsed="false">
      <c r="A13364" s="51" t="s">
        <v>584</v>
      </c>
      <c r="B13364" s="55" t="n">
        <v>46203</v>
      </c>
      <c r="C13364" s="51" t="s">
        <v>791</v>
      </c>
      <c r="D13364" s="51" t="n">
        <v>0</v>
      </c>
    </row>
    <row r="13365" customFormat="false" ht="15" hidden="true" customHeight="false" outlineLevel="0" collapsed="false">
      <c r="A13365" s="51" t="s">
        <v>589</v>
      </c>
      <c r="B13365" s="55" t="n">
        <v>46203</v>
      </c>
      <c r="C13365" s="51" t="s">
        <v>791</v>
      </c>
      <c r="D13365" s="51" t="n">
        <v>0</v>
      </c>
    </row>
    <row r="13366" customFormat="false" ht="15" hidden="true" customHeight="false" outlineLevel="0" collapsed="false">
      <c r="A13366" s="51" t="s">
        <v>756</v>
      </c>
      <c r="B13366" s="55" t="n">
        <v>46203</v>
      </c>
      <c r="C13366" s="51" t="s">
        <v>791</v>
      </c>
      <c r="D13366" s="51" t="n">
        <v>0</v>
      </c>
    </row>
    <row r="13367" customFormat="false" ht="15" hidden="true" customHeight="false" outlineLevel="0" collapsed="false">
      <c r="A13367" s="51" t="s">
        <v>594</v>
      </c>
      <c r="B13367" s="55" t="n">
        <v>46203</v>
      </c>
      <c r="C13367" s="51" t="s">
        <v>791</v>
      </c>
      <c r="D13367" s="51" t="n">
        <v>0</v>
      </c>
    </row>
    <row r="13368" customFormat="false" ht="15" hidden="true" customHeight="false" outlineLevel="0" collapsed="false">
      <c r="A13368" s="51" t="s">
        <v>761</v>
      </c>
      <c r="B13368" s="55" t="n">
        <v>46203</v>
      </c>
      <c r="C13368" s="51" t="s">
        <v>791</v>
      </c>
      <c r="D13368" s="51" t="n">
        <v>0</v>
      </c>
    </row>
    <row r="13369" customFormat="false" ht="15" hidden="true" customHeight="false" outlineLevel="0" collapsed="false">
      <c r="A13369" s="51" t="s">
        <v>599</v>
      </c>
      <c r="B13369" s="55" t="n">
        <v>46203</v>
      </c>
      <c r="C13369" s="51" t="s">
        <v>791</v>
      </c>
      <c r="D13369" s="51" t="n">
        <v>0</v>
      </c>
    </row>
    <row r="13370" customFormat="false" ht="15" hidden="true" customHeight="false" outlineLevel="0" collapsed="false">
      <c r="A13370" s="51" t="s">
        <v>604</v>
      </c>
      <c r="B13370" s="55" t="n">
        <v>46203</v>
      </c>
      <c r="C13370" s="51" t="s">
        <v>791</v>
      </c>
      <c r="D13370" s="51" t="n">
        <v>0</v>
      </c>
    </row>
    <row r="13371" customFormat="false" ht="15" hidden="true" customHeight="false" outlineLevel="0" collapsed="false">
      <c r="A13371" s="51" t="s">
        <v>609</v>
      </c>
      <c r="B13371" s="55" t="n">
        <v>46203</v>
      </c>
      <c r="C13371" s="51" t="s">
        <v>791</v>
      </c>
      <c r="D13371" s="51" t="n">
        <v>0</v>
      </c>
    </row>
    <row r="13372" customFormat="false" ht="15" hidden="true" customHeight="false" outlineLevel="0" collapsed="false">
      <c r="A13372" s="51" t="s">
        <v>614</v>
      </c>
      <c r="B13372" s="55" t="n">
        <v>46203</v>
      </c>
      <c r="C13372" s="51" t="s">
        <v>791</v>
      </c>
      <c r="D13372" s="51" t="n">
        <v>0</v>
      </c>
    </row>
    <row r="13373" customFormat="false" ht="15" hidden="true" customHeight="false" outlineLevel="0" collapsed="false">
      <c r="A13373" s="51" t="s">
        <v>619</v>
      </c>
      <c r="B13373" s="55" t="n">
        <v>46203</v>
      </c>
      <c r="C13373" s="51" t="s">
        <v>791</v>
      </c>
      <c r="D13373" s="51" t="n">
        <v>0</v>
      </c>
    </row>
    <row r="13374" customFormat="false" ht="15" hidden="true" customHeight="false" outlineLevel="0" collapsed="false">
      <c r="A13374" s="51" t="s">
        <v>624</v>
      </c>
      <c r="B13374" s="55" t="n">
        <v>46203</v>
      </c>
      <c r="C13374" s="51" t="s">
        <v>791</v>
      </c>
      <c r="D13374" s="51" t="n">
        <v>0</v>
      </c>
    </row>
    <row r="13375" customFormat="false" ht="15" hidden="true" customHeight="false" outlineLevel="0" collapsed="false">
      <c r="A13375" s="51" t="s">
        <v>629</v>
      </c>
      <c r="B13375" s="55" t="n">
        <v>46203</v>
      </c>
      <c r="C13375" s="51" t="s">
        <v>791</v>
      </c>
      <c r="D13375" s="51" t="n">
        <v>0</v>
      </c>
    </row>
    <row r="13376" customFormat="false" ht="15" hidden="true" customHeight="false" outlineLevel="0" collapsed="false">
      <c r="A13376" s="51" t="s">
        <v>633</v>
      </c>
      <c r="B13376" s="55" t="n">
        <v>46203</v>
      </c>
      <c r="C13376" s="51" t="s">
        <v>791</v>
      </c>
      <c r="D13376" s="51" t="n">
        <v>0</v>
      </c>
    </row>
    <row r="13377" customFormat="false" ht="15" hidden="true" customHeight="false" outlineLevel="0" collapsed="false">
      <c r="A13377" s="51" t="s">
        <v>638</v>
      </c>
      <c r="B13377" s="55" t="n">
        <v>46203</v>
      </c>
      <c r="C13377" s="51" t="s">
        <v>791</v>
      </c>
      <c r="D13377" s="51" t="n">
        <v>0</v>
      </c>
    </row>
    <row r="13378" customFormat="false" ht="15" hidden="true" customHeight="false" outlineLevel="0" collapsed="false">
      <c r="A13378" s="51" t="s">
        <v>642</v>
      </c>
      <c r="B13378" s="55" t="n">
        <v>46203</v>
      </c>
      <c r="C13378" s="51" t="s">
        <v>791</v>
      </c>
      <c r="D13378" s="51" t="n">
        <v>0</v>
      </c>
    </row>
    <row r="13379" customFormat="false" ht="15" hidden="true" customHeight="false" outlineLevel="0" collapsed="false">
      <c r="A13379" s="51" t="s">
        <v>646</v>
      </c>
      <c r="B13379" s="55" t="n">
        <v>46203</v>
      </c>
      <c r="C13379" s="51" t="s">
        <v>791</v>
      </c>
      <c r="D13379" s="51" t="n">
        <v>0</v>
      </c>
    </row>
    <row r="13380" customFormat="false" ht="15" hidden="true" customHeight="false" outlineLevel="0" collapsed="false">
      <c r="A13380" s="51" t="s">
        <v>651</v>
      </c>
      <c r="B13380" s="55" t="n">
        <v>46203</v>
      </c>
      <c r="C13380" s="51" t="s">
        <v>791</v>
      </c>
      <c r="D13380" s="51" t="n">
        <v>0</v>
      </c>
    </row>
    <row r="13381" customFormat="false" ht="15" hidden="true" customHeight="false" outlineLevel="0" collapsed="false">
      <c r="A13381" s="51" t="s">
        <v>656</v>
      </c>
      <c r="B13381" s="55" t="n">
        <v>46203</v>
      </c>
      <c r="C13381" s="51" t="s">
        <v>791</v>
      </c>
      <c r="D13381" s="51" t="n">
        <v>0</v>
      </c>
    </row>
    <row r="13382" customFormat="false" ht="15" hidden="true" customHeight="false" outlineLevel="0" collapsed="false">
      <c r="A13382" s="51" t="s">
        <v>661</v>
      </c>
      <c r="B13382" s="55" t="n">
        <v>46203</v>
      </c>
      <c r="C13382" s="51" t="s">
        <v>791</v>
      </c>
      <c r="D13382" s="51" t="n">
        <v>0</v>
      </c>
    </row>
    <row r="13383" customFormat="false" ht="15" hidden="true" customHeight="false" outlineLevel="0" collapsed="false">
      <c r="A13383" s="51" t="s">
        <v>666</v>
      </c>
      <c r="B13383" s="55" t="n">
        <v>46203</v>
      </c>
      <c r="C13383" s="51" t="s">
        <v>791</v>
      </c>
      <c r="D13383" s="51" t="n">
        <v>0</v>
      </c>
    </row>
    <row r="13384" customFormat="false" ht="15" hidden="true" customHeight="false" outlineLevel="0" collapsed="false">
      <c r="A13384" s="51" t="s">
        <v>671</v>
      </c>
      <c r="B13384" s="55" t="n">
        <v>46203</v>
      </c>
      <c r="C13384" s="51" t="s">
        <v>791</v>
      </c>
      <c r="D13384" s="51" t="n">
        <v>0</v>
      </c>
    </row>
    <row r="13385" customFormat="false" ht="15" hidden="true" customHeight="false" outlineLevel="0" collapsed="false">
      <c r="A13385" s="51" t="s">
        <v>676</v>
      </c>
      <c r="B13385" s="55" t="n">
        <v>46203</v>
      </c>
      <c r="C13385" s="51" t="s">
        <v>791</v>
      </c>
      <c r="D13385" s="51" t="n">
        <v>0</v>
      </c>
    </row>
    <row r="13386" customFormat="false" ht="15" hidden="true" customHeight="false" outlineLevel="0" collapsed="false">
      <c r="A13386" s="51" t="s">
        <v>681</v>
      </c>
      <c r="B13386" s="55" t="n">
        <v>46203</v>
      </c>
      <c r="C13386" s="51" t="s">
        <v>791</v>
      </c>
      <c r="D13386" s="51" t="n">
        <v>0</v>
      </c>
    </row>
    <row r="13387" customFormat="false" ht="15" hidden="true" customHeight="false" outlineLevel="0" collapsed="false">
      <c r="A13387" s="51" t="s">
        <v>686</v>
      </c>
      <c r="B13387" s="55" t="n">
        <v>46203</v>
      </c>
      <c r="C13387" s="51" t="s">
        <v>791</v>
      </c>
      <c r="D13387" s="51" t="n">
        <v>0</v>
      </c>
    </row>
    <row r="13388" customFormat="false" ht="15" hidden="true" customHeight="false" outlineLevel="0" collapsed="false">
      <c r="A13388" s="51" t="s">
        <v>691</v>
      </c>
      <c r="B13388" s="55" t="n">
        <v>46203</v>
      </c>
      <c r="C13388" s="51" t="s">
        <v>791</v>
      </c>
      <c r="D13388" s="51" t="n">
        <v>0</v>
      </c>
    </row>
    <row r="13389" customFormat="false" ht="15" hidden="true" customHeight="false" outlineLevel="0" collapsed="false">
      <c r="A13389" s="51" t="s">
        <v>696</v>
      </c>
      <c r="B13389" s="55" t="n">
        <v>46203</v>
      </c>
      <c r="C13389" s="51" t="s">
        <v>791</v>
      </c>
      <c r="D13389" s="51" t="n">
        <v>0</v>
      </c>
    </row>
    <row r="13390" customFormat="false" ht="15" hidden="true" customHeight="false" outlineLevel="0" collapsed="false">
      <c r="A13390" s="51" t="s">
        <v>701</v>
      </c>
      <c r="B13390" s="55" t="n">
        <v>46203</v>
      </c>
      <c r="C13390" s="51" t="s">
        <v>791</v>
      </c>
      <c r="D13390" s="51" t="n">
        <v>0</v>
      </c>
    </row>
    <row r="13391" customFormat="false" ht="15" hidden="true" customHeight="false" outlineLevel="0" collapsed="false">
      <c r="A13391" s="51" t="s">
        <v>707</v>
      </c>
      <c r="B13391" s="55" t="n">
        <v>46203</v>
      </c>
      <c r="C13391" s="51" t="s">
        <v>791</v>
      </c>
      <c r="D13391" s="51" t="n">
        <v>0</v>
      </c>
    </row>
    <row r="13392" customFormat="false" ht="15" hidden="true" customHeight="false" outlineLevel="0" collapsed="false">
      <c r="A13392" s="51" t="s">
        <v>712</v>
      </c>
      <c r="B13392" s="55" t="n">
        <v>46203</v>
      </c>
      <c r="C13392" s="51" t="s">
        <v>791</v>
      </c>
      <c r="D13392" s="51" t="n">
        <v>0</v>
      </c>
    </row>
    <row r="13393" customFormat="false" ht="15" hidden="true" customHeight="false" outlineLevel="0" collapsed="false">
      <c r="A13393" s="51" t="s">
        <v>717</v>
      </c>
      <c r="B13393" s="55" t="n">
        <v>46203</v>
      </c>
      <c r="C13393" s="51" t="s">
        <v>791</v>
      </c>
      <c r="D13393" s="51" t="n">
        <v>0</v>
      </c>
    </row>
    <row r="13394" customFormat="false" ht="15" hidden="true" customHeight="false" outlineLevel="0" collapsed="false">
      <c r="A13394" s="51" t="s">
        <v>767</v>
      </c>
      <c r="B13394" s="55" t="n">
        <v>46203</v>
      </c>
      <c r="C13394" s="51" t="s">
        <v>791</v>
      </c>
      <c r="D13394" s="51" t="n">
        <v>0</v>
      </c>
    </row>
    <row r="13395" customFormat="false" ht="15" hidden="true" customHeight="false" outlineLevel="0" collapsed="false">
      <c r="A13395" s="51" t="s">
        <v>722</v>
      </c>
      <c r="B13395" s="55" t="n">
        <v>46203</v>
      </c>
      <c r="C13395" s="51" t="s">
        <v>791</v>
      </c>
      <c r="D13395" s="51" t="n">
        <v>0</v>
      </c>
    </row>
    <row r="13396" customFormat="false" ht="15" hidden="true" customHeight="false" outlineLevel="0" collapsed="false">
      <c r="A13396" s="51" t="s">
        <v>727</v>
      </c>
      <c r="B13396" s="55" t="n">
        <v>46203</v>
      </c>
      <c r="C13396" s="51" t="s">
        <v>791</v>
      </c>
      <c r="D13396" s="51" t="n">
        <v>0</v>
      </c>
    </row>
    <row r="13397" customFormat="false" ht="15" hidden="true" customHeight="false" outlineLevel="0" collapsed="false">
      <c r="A13397" s="51" t="s">
        <v>732</v>
      </c>
      <c r="B13397" s="55" t="n">
        <v>46203</v>
      </c>
      <c r="C13397" s="51" t="s">
        <v>791</v>
      </c>
      <c r="D13397" s="51" t="n">
        <v>0</v>
      </c>
    </row>
    <row r="13398" customFormat="false" ht="15" hidden="true" customHeight="false" outlineLevel="0" collapsed="false">
      <c r="A13398" s="51" t="s">
        <v>736</v>
      </c>
      <c r="B13398" s="55" t="n">
        <v>46203</v>
      </c>
      <c r="C13398" s="51" t="s">
        <v>791</v>
      </c>
      <c r="D13398" s="51" t="n">
        <v>0</v>
      </c>
    </row>
    <row r="13399" customFormat="false" ht="15" hidden="true" customHeight="false" outlineLevel="0" collapsed="false">
      <c r="A13399" s="51" t="s">
        <v>741</v>
      </c>
      <c r="B13399" s="55" t="n">
        <v>46203</v>
      </c>
      <c r="C13399" s="51" t="s">
        <v>791</v>
      </c>
      <c r="D13399" s="51" t="n">
        <v>0</v>
      </c>
    </row>
    <row r="13400" customFormat="false" ht="15" hidden="true" customHeight="false" outlineLevel="0" collapsed="false">
      <c r="A13400" s="51" t="s">
        <v>746</v>
      </c>
      <c r="B13400" s="55" t="n">
        <v>46203</v>
      </c>
      <c r="C13400" s="51" t="s">
        <v>791</v>
      </c>
      <c r="D13400" s="51" t="n">
        <v>0</v>
      </c>
    </row>
    <row r="13401" customFormat="false" ht="15" hidden="true" customHeight="false" outlineLevel="0" collapsed="false">
      <c r="A13401" s="51" t="s">
        <v>751</v>
      </c>
      <c r="B13401" s="55" t="n">
        <v>46203</v>
      </c>
      <c r="C13401" s="51" t="s">
        <v>791</v>
      </c>
      <c r="D13401" s="51" t="n">
        <v>0</v>
      </c>
    </row>
    <row r="13402" customFormat="false" ht="15" hidden="false" customHeight="false" outlineLevel="0" collapsed="false">
      <c r="A13402" s="51" t="s">
        <v>781</v>
      </c>
      <c r="B13402" s="55" t="n">
        <v>46295</v>
      </c>
      <c r="C13402" s="51" t="s">
        <v>782</v>
      </c>
      <c r="D13402" s="51" t="n">
        <v>0</v>
      </c>
    </row>
    <row r="13403" customFormat="false" ht="15" hidden="true" customHeight="false" outlineLevel="0" collapsed="false">
      <c r="A13403" s="51" t="s">
        <v>783</v>
      </c>
      <c r="B13403" s="55" t="n">
        <v>46295</v>
      </c>
      <c r="C13403" s="51" t="s">
        <v>782</v>
      </c>
      <c r="D13403" s="51" t="n">
        <v>0</v>
      </c>
    </row>
    <row r="13404" customFormat="false" ht="15" hidden="true" customHeight="false" outlineLevel="0" collapsed="false">
      <c r="A13404" s="51" t="s">
        <v>96</v>
      </c>
      <c r="B13404" s="55" t="n">
        <v>46295</v>
      </c>
      <c r="C13404" s="51" t="s">
        <v>782</v>
      </c>
      <c r="D13404" s="51" t="n">
        <v>0</v>
      </c>
    </row>
    <row r="13405" customFormat="false" ht="15" hidden="true" customHeight="false" outlineLevel="0" collapsed="false">
      <c r="A13405" s="51" t="s">
        <v>101</v>
      </c>
      <c r="B13405" s="55" t="n">
        <v>46295</v>
      </c>
      <c r="C13405" s="51" t="s">
        <v>782</v>
      </c>
      <c r="D13405" s="51" t="n">
        <v>0</v>
      </c>
    </row>
    <row r="13406" customFormat="false" ht="15" hidden="true" customHeight="false" outlineLevel="0" collapsed="false">
      <c r="A13406" s="51" t="s">
        <v>106</v>
      </c>
      <c r="B13406" s="55" t="n">
        <v>46295</v>
      </c>
      <c r="C13406" s="51" t="s">
        <v>782</v>
      </c>
      <c r="D13406" s="51" t="n">
        <v>0</v>
      </c>
    </row>
    <row r="13407" customFormat="false" ht="15" hidden="true" customHeight="false" outlineLevel="0" collapsed="false">
      <c r="A13407" s="51" t="s">
        <v>110</v>
      </c>
      <c r="B13407" s="55" t="n">
        <v>46295</v>
      </c>
      <c r="C13407" s="51" t="s">
        <v>782</v>
      </c>
      <c r="D13407" s="51" t="n">
        <v>0</v>
      </c>
    </row>
    <row r="13408" customFormat="false" ht="15" hidden="true" customHeight="false" outlineLevel="0" collapsed="false">
      <c r="A13408" s="51" t="s">
        <v>115</v>
      </c>
      <c r="B13408" s="55" t="n">
        <v>46295</v>
      </c>
      <c r="C13408" s="51" t="s">
        <v>782</v>
      </c>
      <c r="D13408" s="51" t="n">
        <v>0</v>
      </c>
    </row>
    <row r="13409" customFormat="false" ht="15" hidden="true" customHeight="false" outlineLevel="0" collapsed="false">
      <c r="A13409" s="51" t="s">
        <v>120</v>
      </c>
      <c r="B13409" s="55" t="n">
        <v>46295</v>
      </c>
      <c r="C13409" s="51" t="s">
        <v>782</v>
      </c>
      <c r="D13409" s="51" t="n">
        <v>0</v>
      </c>
    </row>
    <row r="13410" customFormat="false" ht="15" hidden="true" customHeight="false" outlineLevel="0" collapsed="false">
      <c r="A13410" s="51" t="s">
        <v>124</v>
      </c>
      <c r="B13410" s="55" t="n">
        <v>46295</v>
      </c>
      <c r="C13410" s="51" t="s">
        <v>782</v>
      </c>
      <c r="D13410" s="51" t="n">
        <v>0</v>
      </c>
    </row>
    <row r="13411" customFormat="false" ht="15" hidden="true" customHeight="false" outlineLevel="0" collapsed="false">
      <c r="A13411" s="51" t="s">
        <v>129</v>
      </c>
      <c r="B13411" s="55" t="n">
        <v>46295</v>
      </c>
      <c r="C13411" s="51" t="s">
        <v>782</v>
      </c>
      <c r="D13411" s="51" t="n">
        <v>0</v>
      </c>
    </row>
    <row r="13412" customFormat="false" ht="15" hidden="true" customHeight="false" outlineLevel="0" collapsed="false">
      <c r="A13412" s="51" t="s">
        <v>134</v>
      </c>
      <c r="B13412" s="55" t="n">
        <v>46295</v>
      </c>
      <c r="C13412" s="51" t="s">
        <v>782</v>
      </c>
      <c r="D13412" s="51" t="n">
        <v>0</v>
      </c>
    </row>
    <row r="13413" customFormat="false" ht="15" hidden="true" customHeight="false" outlineLevel="0" collapsed="false">
      <c r="A13413" s="51" t="s">
        <v>141</v>
      </c>
      <c r="B13413" s="55" t="n">
        <v>46295</v>
      </c>
      <c r="C13413" s="51" t="s">
        <v>782</v>
      </c>
      <c r="D13413" s="51" t="n">
        <v>0</v>
      </c>
    </row>
    <row r="13414" customFormat="false" ht="15" hidden="true" customHeight="false" outlineLevel="0" collapsed="false">
      <c r="A13414" s="51" t="s">
        <v>146</v>
      </c>
      <c r="B13414" s="55" t="n">
        <v>46295</v>
      </c>
      <c r="C13414" s="51" t="s">
        <v>782</v>
      </c>
      <c r="D13414" s="51" t="n">
        <v>0</v>
      </c>
    </row>
    <row r="13415" customFormat="false" ht="15" hidden="true" customHeight="false" outlineLevel="0" collapsed="false">
      <c r="A13415" s="51" t="s">
        <v>151</v>
      </c>
      <c r="B13415" s="55" t="n">
        <v>46295</v>
      </c>
      <c r="C13415" s="51" t="s">
        <v>782</v>
      </c>
      <c r="D13415" s="51" t="n">
        <v>0</v>
      </c>
    </row>
    <row r="13416" customFormat="false" ht="15" hidden="true" customHeight="false" outlineLevel="0" collapsed="false">
      <c r="A13416" s="51" t="s">
        <v>156</v>
      </c>
      <c r="B13416" s="55" t="n">
        <v>46295</v>
      </c>
      <c r="C13416" s="51" t="s">
        <v>782</v>
      </c>
      <c r="D13416" s="51" t="n">
        <v>0</v>
      </c>
    </row>
    <row r="13417" customFormat="false" ht="15" hidden="true" customHeight="false" outlineLevel="0" collapsed="false">
      <c r="A13417" s="51" t="s">
        <v>161</v>
      </c>
      <c r="B13417" s="55" t="n">
        <v>46295</v>
      </c>
      <c r="C13417" s="51" t="s">
        <v>782</v>
      </c>
      <c r="D13417" s="51" t="n">
        <v>0</v>
      </c>
    </row>
    <row r="13418" customFormat="false" ht="15" hidden="true" customHeight="false" outlineLevel="0" collapsed="false">
      <c r="A13418" s="51" t="s">
        <v>166</v>
      </c>
      <c r="B13418" s="55" t="n">
        <v>46295</v>
      </c>
      <c r="C13418" s="51" t="s">
        <v>782</v>
      </c>
      <c r="D13418" s="51" t="n">
        <v>0</v>
      </c>
    </row>
    <row r="13419" customFormat="false" ht="15" hidden="true" customHeight="false" outlineLevel="0" collapsed="false">
      <c r="A13419" s="51" t="s">
        <v>171</v>
      </c>
      <c r="B13419" s="55" t="n">
        <v>46295</v>
      </c>
      <c r="C13419" s="51" t="s">
        <v>782</v>
      </c>
      <c r="D13419" s="51" t="n">
        <v>0</v>
      </c>
    </row>
    <row r="13420" customFormat="false" ht="15" hidden="true" customHeight="false" outlineLevel="0" collapsed="false">
      <c r="A13420" s="51" t="s">
        <v>176</v>
      </c>
      <c r="B13420" s="55" t="n">
        <v>46295</v>
      </c>
      <c r="C13420" s="51" t="s">
        <v>782</v>
      </c>
      <c r="D13420" s="51" t="n">
        <v>0</v>
      </c>
    </row>
    <row r="13421" customFormat="false" ht="15" hidden="true" customHeight="false" outlineLevel="0" collapsed="false">
      <c r="A13421" s="51" t="s">
        <v>181</v>
      </c>
      <c r="B13421" s="55" t="n">
        <v>46295</v>
      </c>
      <c r="C13421" s="51" t="s">
        <v>782</v>
      </c>
      <c r="D13421" s="51" t="n">
        <v>0</v>
      </c>
    </row>
    <row r="13422" customFormat="false" ht="15" hidden="true" customHeight="false" outlineLevel="0" collapsed="false">
      <c r="A13422" s="51" t="s">
        <v>186</v>
      </c>
      <c r="B13422" s="55" t="n">
        <v>46295</v>
      </c>
      <c r="C13422" s="51" t="s">
        <v>782</v>
      </c>
      <c r="D13422" s="51" t="n">
        <v>0</v>
      </c>
    </row>
    <row r="13423" customFormat="false" ht="15" hidden="true" customHeight="false" outlineLevel="0" collapsed="false">
      <c r="A13423" s="51" t="s">
        <v>191</v>
      </c>
      <c r="B13423" s="55" t="n">
        <v>46295</v>
      </c>
      <c r="C13423" s="51" t="s">
        <v>782</v>
      </c>
      <c r="D13423" s="51" t="n">
        <v>0</v>
      </c>
    </row>
    <row r="13424" customFormat="false" ht="15" hidden="true" customHeight="false" outlineLevel="0" collapsed="false">
      <c r="A13424" s="51" t="s">
        <v>196</v>
      </c>
      <c r="B13424" s="55" t="n">
        <v>46295</v>
      </c>
      <c r="C13424" s="51" t="s">
        <v>782</v>
      </c>
      <c r="D13424" s="51" t="n">
        <v>0</v>
      </c>
    </row>
    <row r="13425" customFormat="false" ht="15" hidden="true" customHeight="false" outlineLevel="0" collapsed="false">
      <c r="A13425" s="51" t="s">
        <v>201</v>
      </c>
      <c r="B13425" s="55" t="n">
        <v>46295</v>
      </c>
      <c r="C13425" s="51" t="s">
        <v>782</v>
      </c>
      <c r="D13425" s="51" t="n">
        <v>0</v>
      </c>
    </row>
    <row r="13426" customFormat="false" ht="15" hidden="true" customHeight="false" outlineLevel="0" collapsed="false">
      <c r="A13426" s="51" t="s">
        <v>206</v>
      </c>
      <c r="B13426" s="55" t="n">
        <v>46295</v>
      </c>
      <c r="C13426" s="51" t="s">
        <v>782</v>
      </c>
      <c r="D13426" s="51" t="n">
        <v>0</v>
      </c>
    </row>
    <row r="13427" customFormat="false" ht="15" hidden="true" customHeight="false" outlineLevel="0" collapsed="false">
      <c r="A13427" s="51" t="s">
        <v>210</v>
      </c>
      <c r="B13427" s="55" t="n">
        <v>46295</v>
      </c>
      <c r="C13427" s="51" t="s">
        <v>782</v>
      </c>
      <c r="D13427" s="51" t="n">
        <v>0</v>
      </c>
    </row>
    <row r="13428" customFormat="false" ht="15" hidden="true" customHeight="false" outlineLevel="0" collapsed="false">
      <c r="A13428" s="51" t="s">
        <v>215</v>
      </c>
      <c r="B13428" s="55" t="n">
        <v>46295</v>
      </c>
      <c r="C13428" s="51" t="s">
        <v>782</v>
      </c>
      <c r="D13428" s="51" t="n">
        <v>0</v>
      </c>
    </row>
    <row r="13429" customFormat="false" ht="15" hidden="true" customHeight="false" outlineLevel="0" collapsed="false">
      <c r="A13429" s="51" t="s">
        <v>790</v>
      </c>
      <c r="B13429" s="55" t="n">
        <v>46295</v>
      </c>
      <c r="C13429" s="51" t="s">
        <v>782</v>
      </c>
      <c r="D13429" s="51" t="n">
        <v>0</v>
      </c>
    </row>
    <row r="13430" customFormat="false" ht="15" hidden="true" customHeight="false" outlineLevel="0" collapsed="false">
      <c r="A13430" s="51" t="s">
        <v>225</v>
      </c>
      <c r="B13430" s="55" t="n">
        <v>46295</v>
      </c>
      <c r="C13430" s="51" t="s">
        <v>782</v>
      </c>
      <c r="D13430" s="51" t="n">
        <v>0</v>
      </c>
    </row>
    <row r="13431" customFormat="false" ht="15" hidden="true" customHeight="false" outlineLevel="0" collapsed="false">
      <c r="A13431" s="51" t="s">
        <v>230</v>
      </c>
      <c r="B13431" s="55" t="n">
        <v>46295</v>
      </c>
      <c r="C13431" s="51" t="s">
        <v>782</v>
      </c>
      <c r="D13431" s="51" t="n">
        <v>0</v>
      </c>
    </row>
    <row r="13432" customFormat="false" ht="15" hidden="true" customHeight="false" outlineLevel="0" collapsed="false">
      <c r="A13432" s="51" t="s">
        <v>235</v>
      </c>
      <c r="B13432" s="55" t="n">
        <v>46295</v>
      </c>
      <c r="C13432" s="51" t="s">
        <v>782</v>
      </c>
      <c r="D13432" s="51" t="n">
        <v>0</v>
      </c>
    </row>
    <row r="13433" customFormat="false" ht="15" hidden="true" customHeight="false" outlineLevel="0" collapsed="false">
      <c r="A13433" s="51" t="s">
        <v>240</v>
      </c>
      <c r="B13433" s="55" t="n">
        <v>46295</v>
      </c>
      <c r="C13433" s="51" t="s">
        <v>782</v>
      </c>
      <c r="D13433" s="51" t="n">
        <v>0</v>
      </c>
    </row>
    <row r="13434" customFormat="false" ht="15" hidden="true" customHeight="false" outlineLevel="0" collapsed="false">
      <c r="A13434" s="51" t="s">
        <v>246</v>
      </c>
      <c r="B13434" s="55" t="n">
        <v>46295</v>
      </c>
      <c r="C13434" s="51" t="s">
        <v>782</v>
      </c>
      <c r="D13434" s="51" t="n">
        <v>0</v>
      </c>
    </row>
    <row r="13435" customFormat="false" ht="15" hidden="true" customHeight="false" outlineLevel="0" collapsed="false">
      <c r="A13435" s="51" t="s">
        <v>252</v>
      </c>
      <c r="B13435" s="55" t="n">
        <v>46295</v>
      </c>
      <c r="C13435" s="51" t="s">
        <v>782</v>
      </c>
      <c r="D13435" s="51" t="n">
        <v>0</v>
      </c>
    </row>
    <row r="13436" customFormat="false" ht="15" hidden="true" customHeight="false" outlineLevel="0" collapsed="false">
      <c r="A13436" s="51" t="s">
        <v>257</v>
      </c>
      <c r="B13436" s="55" t="n">
        <v>46295</v>
      </c>
      <c r="C13436" s="51" t="s">
        <v>782</v>
      </c>
      <c r="D13436" s="51" t="n">
        <v>0</v>
      </c>
    </row>
    <row r="13437" customFormat="false" ht="15" hidden="true" customHeight="false" outlineLevel="0" collapsed="false">
      <c r="A13437" s="51" t="s">
        <v>262</v>
      </c>
      <c r="B13437" s="55" t="n">
        <v>46295</v>
      </c>
      <c r="C13437" s="51" t="s">
        <v>782</v>
      </c>
      <c r="D13437" s="51" t="n">
        <v>0</v>
      </c>
    </row>
    <row r="13438" customFormat="false" ht="15" hidden="true" customHeight="false" outlineLevel="0" collapsed="false">
      <c r="A13438" s="51" t="s">
        <v>267</v>
      </c>
      <c r="B13438" s="55" t="n">
        <v>46295</v>
      </c>
      <c r="C13438" s="51" t="s">
        <v>782</v>
      </c>
      <c r="D13438" s="51" t="n">
        <v>0</v>
      </c>
    </row>
    <row r="13439" customFormat="false" ht="15" hidden="true" customHeight="false" outlineLevel="0" collapsed="false">
      <c r="A13439" s="51" t="s">
        <v>272</v>
      </c>
      <c r="B13439" s="55" t="n">
        <v>46295</v>
      </c>
      <c r="C13439" s="51" t="s">
        <v>782</v>
      </c>
      <c r="D13439" s="51" t="n">
        <v>0</v>
      </c>
    </row>
    <row r="13440" customFormat="false" ht="15" hidden="true" customHeight="false" outlineLevel="0" collapsed="false">
      <c r="A13440" s="51" t="s">
        <v>277</v>
      </c>
      <c r="B13440" s="55" t="n">
        <v>46295</v>
      </c>
      <c r="C13440" s="51" t="s">
        <v>782</v>
      </c>
      <c r="D13440" s="51" t="n">
        <v>0</v>
      </c>
    </row>
    <row r="13441" customFormat="false" ht="15" hidden="true" customHeight="false" outlineLevel="0" collapsed="false">
      <c r="A13441" s="51" t="s">
        <v>282</v>
      </c>
      <c r="B13441" s="55" t="n">
        <v>46295</v>
      </c>
      <c r="C13441" s="51" t="s">
        <v>782</v>
      </c>
      <c r="D13441" s="51" t="n">
        <v>0</v>
      </c>
    </row>
    <row r="13442" customFormat="false" ht="15" hidden="true" customHeight="false" outlineLevel="0" collapsed="false">
      <c r="A13442" s="51" t="s">
        <v>287</v>
      </c>
      <c r="B13442" s="55" t="n">
        <v>46295</v>
      </c>
      <c r="C13442" s="51" t="s">
        <v>782</v>
      </c>
      <c r="D13442" s="51" t="n">
        <v>0</v>
      </c>
    </row>
    <row r="13443" customFormat="false" ht="15" hidden="true" customHeight="false" outlineLevel="0" collapsed="false">
      <c r="A13443" s="51" t="s">
        <v>292</v>
      </c>
      <c r="B13443" s="55" t="n">
        <v>46295</v>
      </c>
      <c r="C13443" s="51" t="s">
        <v>782</v>
      </c>
      <c r="D13443" s="51" t="n">
        <v>0</v>
      </c>
    </row>
    <row r="13444" customFormat="false" ht="15" hidden="true" customHeight="false" outlineLevel="0" collapsed="false">
      <c r="A13444" s="51" t="s">
        <v>297</v>
      </c>
      <c r="B13444" s="55" t="n">
        <v>46295</v>
      </c>
      <c r="C13444" s="51" t="s">
        <v>782</v>
      </c>
      <c r="D13444" s="51" t="n">
        <v>0</v>
      </c>
    </row>
    <row r="13445" customFormat="false" ht="15" hidden="true" customHeight="false" outlineLevel="0" collapsed="false">
      <c r="A13445" s="51" t="s">
        <v>302</v>
      </c>
      <c r="B13445" s="55" t="n">
        <v>46295</v>
      </c>
      <c r="C13445" s="51" t="s">
        <v>782</v>
      </c>
      <c r="D13445" s="51" t="n">
        <v>0</v>
      </c>
    </row>
    <row r="13446" customFormat="false" ht="15" hidden="true" customHeight="false" outlineLevel="0" collapsed="false">
      <c r="A13446" s="51" t="s">
        <v>307</v>
      </c>
      <c r="B13446" s="55" t="n">
        <v>46295</v>
      </c>
      <c r="C13446" s="51" t="s">
        <v>782</v>
      </c>
      <c r="D13446" s="51" t="n">
        <v>0</v>
      </c>
    </row>
    <row r="13447" customFormat="false" ht="15" hidden="true" customHeight="false" outlineLevel="0" collapsed="false">
      <c r="A13447" s="51" t="s">
        <v>311</v>
      </c>
      <c r="B13447" s="55" t="n">
        <v>46295</v>
      </c>
      <c r="C13447" s="51" t="s">
        <v>782</v>
      </c>
      <c r="D13447" s="51" t="n">
        <v>0</v>
      </c>
    </row>
    <row r="13448" customFormat="false" ht="15" hidden="true" customHeight="false" outlineLevel="0" collapsed="false">
      <c r="A13448" s="51" t="s">
        <v>317</v>
      </c>
      <c r="B13448" s="55" t="n">
        <v>46295</v>
      </c>
      <c r="C13448" s="51" t="s">
        <v>782</v>
      </c>
      <c r="D13448" s="51" t="n">
        <v>0</v>
      </c>
    </row>
    <row r="13449" customFormat="false" ht="15" hidden="true" customHeight="false" outlineLevel="0" collapsed="false">
      <c r="A13449" s="51" t="s">
        <v>322</v>
      </c>
      <c r="B13449" s="55" t="n">
        <v>46295</v>
      </c>
      <c r="C13449" s="51" t="s">
        <v>782</v>
      </c>
      <c r="D13449" s="51" t="n">
        <v>0</v>
      </c>
    </row>
    <row r="13450" customFormat="false" ht="15" hidden="true" customHeight="false" outlineLevel="0" collapsed="false">
      <c r="A13450" s="51" t="s">
        <v>327</v>
      </c>
      <c r="B13450" s="55" t="n">
        <v>46295</v>
      </c>
      <c r="C13450" s="51" t="s">
        <v>782</v>
      </c>
      <c r="D13450" s="51" t="n">
        <v>0</v>
      </c>
    </row>
    <row r="13451" customFormat="false" ht="15" hidden="true" customHeight="false" outlineLevel="0" collapsed="false">
      <c r="A13451" s="51" t="s">
        <v>332</v>
      </c>
      <c r="B13451" s="55" t="n">
        <v>46295</v>
      </c>
      <c r="C13451" s="51" t="s">
        <v>782</v>
      </c>
      <c r="D13451" s="51" t="n">
        <v>0</v>
      </c>
    </row>
    <row r="13452" customFormat="false" ht="15" hidden="true" customHeight="false" outlineLevel="0" collapsed="false">
      <c r="A13452" s="51" t="s">
        <v>339</v>
      </c>
      <c r="B13452" s="55" t="n">
        <v>46295</v>
      </c>
      <c r="C13452" s="51" t="s">
        <v>782</v>
      </c>
      <c r="D13452" s="51" t="n">
        <v>0</v>
      </c>
    </row>
    <row r="13453" customFormat="false" ht="15" hidden="true" customHeight="false" outlineLevel="0" collapsed="false">
      <c r="A13453" s="51" t="s">
        <v>344</v>
      </c>
      <c r="B13453" s="55" t="n">
        <v>46295</v>
      </c>
      <c r="C13453" s="51" t="s">
        <v>782</v>
      </c>
      <c r="D13453" s="51" t="n">
        <v>0</v>
      </c>
    </row>
    <row r="13454" customFormat="false" ht="15" hidden="true" customHeight="false" outlineLevel="0" collapsed="false">
      <c r="A13454" s="51" t="s">
        <v>349</v>
      </c>
      <c r="B13454" s="55" t="n">
        <v>46295</v>
      </c>
      <c r="C13454" s="51" t="s">
        <v>782</v>
      </c>
      <c r="D13454" s="51" t="n">
        <v>0</v>
      </c>
    </row>
    <row r="13455" customFormat="false" ht="15" hidden="true" customHeight="false" outlineLevel="0" collapsed="false">
      <c r="A13455" s="51" t="s">
        <v>354</v>
      </c>
      <c r="B13455" s="55" t="n">
        <v>46295</v>
      </c>
      <c r="C13455" s="51" t="s">
        <v>782</v>
      </c>
      <c r="D13455" s="51" t="n">
        <v>0</v>
      </c>
    </row>
    <row r="13456" customFormat="false" ht="15" hidden="true" customHeight="false" outlineLevel="0" collapsed="false">
      <c r="A13456" s="51" t="s">
        <v>359</v>
      </c>
      <c r="B13456" s="55" t="n">
        <v>46295</v>
      </c>
      <c r="C13456" s="51" t="s">
        <v>782</v>
      </c>
      <c r="D13456" s="51" t="n">
        <v>0</v>
      </c>
    </row>
    <row r="13457" customFormat="false" ht="15" hidden="true" customHeight="false" outlineLevel="0" collapsed="false">
      <c r="A13457" s="51" t="s">
        <v>364</v>
      </c>
      <c r="B13457" s="55" t="n">
        <v>46295</v>
      </c>
      <c r="C13457" s="51" t="s">
        <v>782</v>
      </c>
      <c r="D13457" s="51" t="n">
        <v>0</v>
      </c>
    </row>
    <row r="13458" customFormat="false" ht="15" hidden="true" customHeight="false" outlineLevel="0" collapsed="false">
      <c r="A13458" s="51" t="s">
        <v>369</v>
      </c>
      <c r="B13458" s="55" t="n">
        <v>46295</v>
      </c>
      <c r="C13458" s="51" t="s">
        <v>782</v>
      </c>
      <c r="D13458" s="51" t="n">
        <v>0</v>
      </c>
    </row>
    <row r="13459" customFormat="false" ht="15" hidden="true" customHeight="false" outlineLevel="0" collapsed="false">
      <c r="A13459" s="51" t="s">
        <v>374</v>
      </c>
      <c r="B13459" s="55" t="n">
        <v>46295</v>
      </c>
      <c r="C13459" s="51" t="s">
        <v>782</v>
      </c>
      <c r="D13459" s="51" t="n">
        <v>0</v>
      </c>
    </row>
    <row r="13460" customFormat="false" ht="15" hidden="true" customHeight="false" outlineLevel="0" collapsed="false">
      <c r="A13460" s="51" t="s">
        <v>379</v>
      </c>
      <c r="B13460" s="55" t="n">
        <v>46295</v>
      </c>
      <c r="C13460" s="51" t="s">
        <v>782</v>
      </c>
      <c r="D13460" s="51" t="n">
        <v>0</v>
      </c>
    </row>
    <row r="13461" customFormat="false" ht="15" hidden="true" customHeight="false" outlineLevel="0" collapsed="false">
      <c r="A13461" s="51" t="s">
        <v>384</v>
      </c>
      <c r="B13461" s="55" t="n">
        <v>46295</v>
      </c>
      <c r="C13461" s="51" t="s">
        <v>782</v>
      </c>
      <c r="D13461" s="51" t="n">
        <v>0</v>
      </c>
    </row>
    <row r="13462" customFormat="false" ht="15" hidden="true" customHeight="false" outlineLevel="0" collapsed="false">
      <c r="A13462" s="51" t="s">
        <v>389</v>
      </c>
      <c r="B13462" s="55" t="n">
        <v>46295</v>
      </c>
      <c r="C13462" s="51" t="s">
        <v>782</v>
      </c>
      <c r="D13462" s="51" t="n">
        <v>0</v>
      </c>
    </row>
    <row r="13463" customFormat="false" ht="15" hidden="true" customHeight="false" outlineLevel="0" collapsed="false">
      <c r="A13463" s="51" t="s">
        <v>394</v>
      </c>
      <c r="B13463" s="55" t="n">
        <v>46295</v>
      </c>
      <c r="C13463" s="51" t="s">
        <v>782</v>
      </c>
      <c r="D13463" s="51" t="n">
        <v>0</v>
      </c>
    </row>
    <row r="13464" customFormat="false" ht="15" hidden="true" customHeight="false" outlineLevel="0" collapsed="false">
      <c r="A13464" s="51" t="s">
        <v>399</v>
      </c>
      <c r="B13464" s="55" t="n">
        <v>46295</v>
      </c>
      <c r="C13464" s="51" t="s">
        <v>782</v>
      </c>
      <c r="D13464" s="51" t="n">
        <v>0</v>
      </c>
    </row>
    <row r="13465" customFormat="false" ht="15" hidden="true" customHeight="false" outlineLevel="0" collapsed="false">
      <c r="A13465" s="51" t="s">
        <v>404</v>
      </c>
      <c r="B13465" s="55" t="n">
        <v>46295</v>
      </c>
      <c r="C13465" s="51" t="s">
        <v>782</v>
      </c>
      <c r="D13465" s="51" t="n">
        <v>0</v>
      </c>
    </row>
    <row r="13466" customFormat="false" ht="15" hidden="true" customHeight="false" outlineLevel="0" collapsed="false">
      <c r="A13466" s="51" t="s">
        <v>409</v>
      </c>
      <c r="B13466" s="55" t="n">
        <v>46295</v>
      </c>
      <c r="C13466" s="51" t="s">
        <v>782</v>
      </c>
      <c r="D13466" s="51" t="n">
        <v>0</v>
      </c>
    </row>
    <row r="13467" customFormat="false" ht="15" hidden="true" customHeight="false" outlineLevel="0" collapsed="false">
      <c r="A13467" s="51" t="s">
        <v>414</v>
      </c>
      <c r="B13467" s="55" t="n">
        <v>46295</v>
      </c>
      <c r="C13467" s="51" t="s">
        <v>782</v>
      </c>
      <c r="D13467" s="51" t="n">
        <v>0</v>
      </c>
    </row>
    <row r="13468" customFormat="false" ht="15" hidden="true" customHeight="false" outlineLevel="0" collapsed="false">
      <c r="A13468" s="51" t="s">
        <v>419</v>
      </c>
      <c r="B13468" s="55" t="n">
        <v>46295</v>
      </c>
      <c r="C13468" s="51" t="s">
        <v>782</v>
      </c>
      <c r="D13468" s="51" t="n">
        <v>0</v>
      </c>
    </row>
    <row r="13469" customFormat="false" ht="15" hidden="true" customHeight="false" outlineLevel="0" collapsed="false">
      <c r="A13469" s="51" t="s">
        <v>424</v>
      </c>
      <c r="B13469" s="55" t="n">
        <v>46295</v>
      </c>
      <c r="C13469" s="51" t="s">
        <v>782</v>
      </c>
      <c r="D13469" s="51" t="n">
        <v>0</v>
      </c>
    </row>
    <row r="13470" customFormat="false" ht="15" hidden="true" customHeight="false" outlineLevel="0" collapsed="false">
      <c r="A13470" s="51" t="s">
        <v>429</v>
      </c>
      <c r="B13470" s="55" t="n">
        <v>46295</v>
      </c>
      <c r="C13470" s="51" t="s">
        <v>782</v>
      </c>
      <c r="D13470" s="51" t="n">
        <v>0</v>
      </c>
    </row>
    <row r="13471" customFormat="false" ht="15" hidden="true" customHeight="false" outlineLevel="0" collapsed="false">
      <c r="A13471" s="51" t="s">
        <v>434</v>
      </c>
      <c r="B13471" s="55" t="n">
        <v>46295</v>
      </c>
      <c r="C13471" s="51" t="s">
        <v>782</v>
      </c>
      <c r="D13471" s="51" t="n">
        <v>0</v>
      </c>
    </row>
    <row r="13472" customFormat="false" ht="15" hidden="true" customHeight="false" outlineLevel="0" collapsed="false">
      <c r="A13472" s="51" t="s">
        <v>438</v>
      </c>
      <c r="B13472" s="55" t="n">
        <v>46295</v>
      </c>
      <c r="C13472" s="51" t="s">
        <v>782</v>
      </c>
      <c r="D13472" s="51" t="n">
        <v>0</v>
      </c>
    </row>
    <row r="13473" customFormat="false" ht="15" hidden="true" customHeight="false" outlineLevel="0" collapsed="false">
      <c r="A13473" s="51" t="s">
        <v>443</v>
      </c>
      <c r="B13473" s="55" t="n">
        <v>46295</v>
      </c>
      <c r="C13473" s="51" t="s">
        <v>782</v>
      </c>
      <c r="D13473" s="51" t="n">
        <v>0</v>
      </c>
    </row>
    <row r="13474" customFormat="false" ht="15" hidden="true" customHeight="false" outlineLevel="0" collapsed="false">
      <c r="A13474" s="51" t="s">
        <v>448</v>
      </c>
      <c r="B13474" s="55" t="n">
        <v>46295</v>
      </c>
      <c r="C13474" s="51" t="s">
        <v>782</v>
      </c>
      <c r="D13474" s="51" t="n">
        <v>0</v>
      </c>
    </row>
    <row r="13475" customFormat="false" ht="15" hidden="true" customHeight="false" outlineLevel="0" collapsed="false">
      <c r="A13475" s="51" t="s">
        <v>453</v>
      </c>
      <c r="B13475" s="55" t="n">
        <v>46295</v>
      </c>
      <c r="C13475" s="51" t="s">
        <v>782</v>
      </c>
      <c r="D13475" s="51" t="n">
        <v>0</v>
      </c>
    </row>
    <row r="13476" customFormat="false" ht="15" hidden="true" customHeight="false" outlineLevel="0" collapsed="false">
      <c r="A13476" s="51" t="s">
        <v>458</v>
      </c>
      <c r="B13476" s="55" t="n">
        <v>46295</v>
      </c>
      <c r="C13476" s="51" t="s">
        <v>782</v>
      </c>
      <c r="D13476" s="51" t="n">
        <v>0</v>
      </c>
    </row>
    <row r="13477" customFormat="false" ht="15" hidden="true" customHeight="false" outlineLevel="0" collapsed="false">
      <c r="A13477" s="51" t="s">
        <v>473</v>
      </c>
      <c r="B13477" s="55" t="n">
        <v>46295</v>
      </c>
      <c r="C13477" s="51" t="s">
        <v>782</v>
      </c>
      <c r="D13477" s="51" t="n">
        <v>0</v>
      </c>
    </row>
    <row r="13478" customFormat="false" ht="15" hidden="true" customHeight="false" outlineLevel="0" collapsed="false">
      <c r="A13478" s="51" t="s">
        <v>479</v>
      </c>
      <c r="B13478" s="55" t="n">
        <v>46295</v>
      </c>
      <c r="C13478" s="51" t="s">
        <v>782</v>
      </c>
      <c r="D13478" s="51" t="n">
        <v>0</v>
      </c>
    </row>
    <row r="13479" customFormat="false" ht="15" hidden="true" customHeight="false" outlineLevel="0" collapsed="false">
      <c r="A13479" s="51" t="s">
        <v>484</v>
      </c>
      <c r="B13479" s="55" t="n">
        <v>46295</v>
      </c>
      <c r="C13479" s="51" t="s">
        <v>782</v>
      </c>
      <c r="D13479" s="51" t="n">
        <v>0</v>
      </c>
    </row>
    <row r="13480" customFormat="false" ht="15" hidden="true" customHeight="false" outlineLevel="0" collapsed="false">
      <c r="A13480" s="51" t="s">
        <v>489</v>
      </c>
      <c r="B13480" s="55" t="n">
        <v>46295</v>
      </c>
      <c r="C13480" s="51" t="s">
        <v>782</v>
      </c>
      <c r="D13480" s="51" t="n">
        <v>0</v>
      </c>
    </row>
    <row r="13481" customFormat="false" ht="15" hidden="true" customHeight="false" outlineLevel="0" collapsed="false">
      <c r="A13481" s="51" t="s">
        <v>494</v>
      </c>
      <c r="B13481" s="55" t="n">
        <v>46295</v>
      </c>
      <c r="C13481" s="51" t="s">
        <v>782</v>
      </c>
      <c r="D13481" s="51" t="n">
        <v>0</v>
      </c>
    </row>
    <row r="13482" customFormat="false" ht="15" hidden="true" customHeight="false" outlineLevel="0" collapsed="false">
      <c r="A13482" s="51" t="s">
        <v>499</v>
      </c>
      <c r="B13482" s="55" t="n">
        <v>46295</v>
      </c>
      <c r="C13482" s="51" t="s">
        <v>782</v>
      </c>
      <c r="D13482" s="51" t="n">
        <v>0</v>
      </c>
    </row>
    <row r="13483" customFormat="false" ht="15" hidden="true" customHeight="false" outlineLevel="0" collapsed="false">
      <c r="A13483" s="51" t="s">
        <v>504</v>
      </c>
      <c r="B13483" s="55" t="n">
        <v>46295</v>
      </c>
      <c r="C13483" s="51" t="s">
        <v>782</v>
      </c>
      <c r="D13483" s="51" t="n">
        <v>0</v>
      </c>
    </row>
    <row r="13484" customFormat="false" ht="15" hidden="true" customHeight="false" outlineLevel="0" collapsed="false">
      <c r="A13484" s="51" t="s">
        <v>509</v>
      </c>
      <c r="B13484" s="55" t="n">
        <v>46295</v>
      </c>
      <c r="C13484" s="51" t="s">
        <v>782</v>
      </c>
      <c r="D13484" s="51" t="n">
        <v>0</v>
      </c>
    </row>
    <row r="13485" customFormat="false" ht="15" hidden="true" customHeight="false" outlineLevel="0" collapsed="false">
      <c r="A13485" s="51" t="s">
        <v>515</v>
      </c>
      <c r="B13485" s="55" t="n">
        <v>46295</v>
      </c>
      <c r="C13485" s="51" t="s">
        <v>782</v>
      </c>
      <c r="D13485" s="51" t="n">
        <v>0</v>
      </c>
    </row>
    <row r="13486" customFormat="false" ht="15" hidden="true" customHeight="false" outlineLevel="0" collapsed="false">
      <c r="A13486" s="51" t="s">
        <v>520</v>
      </c>
      <c r="B13486" s="55" t="n">
        <v>46295</v>
      </c>
      <c r="C13486" s="51" t="s">
        <v>782</v>
      </c>
      <c r="D13486" s="51" t="n">
        <v>0</v>
      </c>
    </row>
    <row r="13487" customFormat="false" ht="15" hidden="true" customHeight="false" outlineLevel="0" collapsed="false">
      <c r="A13487" s="51" t="s">
        <v>525</v>
      </c>
      <c r="B13487" s="55" t="n">
        <v>46295</v>
      </c>
      <c r="C13487" s="51" t="s">
        <v>782</v>
      </c>
      <c r="D13487" s="51" t="n">
        <v>0</v>
      </c>
    </row>
    <row r="13488" customFormat="false" ht="15" hidden="true" customHeight="false" outlineLevel="0" collapsed="false">
      <c r="A13488" s="51" t="s">
        <v>531</v>
      </c>
      <c r="B13488" s="55" t="n">
        <v>46295</v>
      </c>
      <c r="C13488" s="51" t="s">
        <v>782</v>
      </c>
      <c r="D13488" s="51" t="n">
        <v>0</v>
      </c>
    </row>
    <row r="13489" customFormat="false" ht="15" hidden="true" customHeight="false" outlineLevel="0" collapsed="false">
      <c r="A13489" s="51" t="s">
        <v>536</v>
      </c>
      <c r="B13489" s="55" t="n">
        <v>46295</v>
      </c>
      <c r="C13489" s="51" t="s">
        <v>782</v>
      </c>
      <c r="D13489" s="51" t="n">
        <v>0</v>
      </c>
    </row>
    <row r="13490" customFormat="false" ht="15" hidden="true" customHeight="false" outlineLevel="0" collapsed="false">
      <c r="A13490" s="51" t="s">
        <v>541</v>
      </c>
      <c r="B13490" s="55" t="n">
        <v>46295</v>
      </c>
      <c r="C13490" s="51" t="s">
        <v>782</v>
      </c>
      <c r="D13490" s="51" t="n">
        <v>0</v>
      </c>
    </row>
    <row r="13491" customFormat="false" ht="15" hidden="true" customHeight="false" outlineLevel="0" collapsed="false">
      <c r="A13491" s="51" t="s">
        <v>549</v>
      </c>
      <c r="B13491" s="55" t="n">
        <v>46295</v>
      </c>
      <c r="C13491" s="51" t="s">
        <v>782</v>
      </c>
      <c r="D13491" s="51" t="n">
        <v>0</v>
      </c>
    </row>
    <row r="13492" customFormat="false" ht="15" hidden="true" customHeight="false" outlineLevel="0" collapsed="false">
      <c r="A13492" s="51" t="s">
        <v>554</v>
      </c>
      <c r="B13492" s="55" t="n">
        <v>46295</v>
      </c>
      <c r="C13492" s="51" t="s">
        <v>782</v>
      </c>
      <c r="D13492" s="51" t="n">
        <v>0</v>
      </c>
    </row>
    <row r="13493" customFormat="false" ht="15" hidden="true" customHeight="false" outlineLevel="0" collapsed="false">
      <c r="A13493" s="51" t="s">
        <v>559</v>
      </c>
      <c r="B13493" s="55" t="n">
        <v>46295</v>
      </c>
      <c r="C13493" s="51" t="s">
        <v>782</v>
      </c>
      <c r="D13493" s="51" t="n">
        <v>0</v>
      </c>
    </row>
    <row r="13494" customFormat="false" ht="15" hidden="true" customHeight="false" outlineLevel="0" collapsed="false">
      <c r="A13494" s="51" t="s">
        <v>564</v>
      </c>
      <c r="B13494" s="55" t="n">
        <v>46295</v>
      </c>
      <c r="C13494" s="51" t="s">
        <v>782</v>
      </c>
      <c r="D13494" s="51" t="n">
        <v>0</v>
      </c>
    </row>
    <row r="13495" customFormat="false" ht="15" hidden="true" customHeight="false" outlineLevel="0" collapsed="false">
      <c r="A13495" s="51" t="s">
        <v>569</v>
      </c>
      <c r="B13495" s="55" t="n">
        <v>46295</v>
      </c>
      <c r="C13495" s="51" t="s">
        <v>782</v>
      </c>
      <c r="D13495" s="51" t="n">
        <v>0</v>
      </c>
    </row>
    <row r="13496" customFormat="false" ht="15" hidden="true" customHeight="false" outlineLevel="0" collapsed="false">
      <c r="A13496" s="51" t="s">
        <v>574</v>
      </c>
      <c r="B13496" s="55" t="n">
        <v>46295</v>
      </c>
      <c r="C13496" s="51" t="s">
        <v>782</v>
      </c>
      <c r="D13496" s="51" t="n">
        <v>0</v>
      </c>
    </row>
    <row r="13497" customFormat="false" ht="15" hidden="true" customHeight="false" outlineLevel="0" collapsed="false">
      <c r="A13497" s="51" t="s">
        <v>579</v>
      </c>
      <c r="B13497" s="55" t="n">
        <v>46295</v>
      </c>
      <c r="C13497" s="51" t="s">
        <v>782</v>
      </c>
      <c r="D13497" s="51" t="n">
        <v>0</v>
      </c>
    </row>
    <row r="13498" customFormat="false" ht="15" hidden="true" customHeight="false" outlineLevel="0" collapsed="false">
      <c r="A13498" s="51" t="s">
        <v>584</v>
      </c>
      <c r="B13498" s="55" t="n">
        <v>46295</v>
      </c>
      <c r="C13498" s="51" t="s">
        <v>782</v>
      </c>
      <c r="D13498" s="51" t="n">
        <v>0</v>
      </c>
    </row>
    <row r="13499" customFormat="false" ht="15" hidden="true" customHeight="false" outlineLevel="0" collapsed="false">
      <c r="A13499" s="51" t="s">
        <v>589</v>
      </c>
      <c r="B13499" s="55" t="n">
        <v>46295</v>
      </c>
      <c r="C13499" s="51" t="s">
        <v>782</v>
      </c>
      <c r="D13499" s="51" t="n">
        <v>0</v>
      </c>
    </row>
    <row r="13500" customFormat="false" ht="15" hidden="true" customHeight="false" outlineLevel="0" collapsed="false">
      <c r="A13500" s="51" t="s">
        <v>756</v>
      </c>
      <c r="B13500" s="55" t="n">
        <v>46295</v>
      </c>
      <c r="C13500" s="51" t="s">
        <v>782</v>
      </c>
      <c r="D13500" s="51" t="n">
        <v>0</v>
      </c>
    </row>
    <row r="13501" customFormat="false" ht="15" hidden="true" customHeight="false" outlineLevel="0" collapsed="false">
      <c r="A13501" s="51" t="s">
        <v>594</v>
      </c>
      <c r="B13501" s="55" t="n">
        <v>46295</v>
      </c>
      <c r="C13501" s="51" t="s">
        <v>782</v>
      </c>
      <c r="D13501" s="51" t="n">
        <v>0</v>
      </c>
    </row>
    <row r="13502" customFormat="false" ht="15" hidden="true" customHeight="false" outlineLevel="0" collapsed="false">
      <c r="A13502" s="51" t="s">
        <v>761</v>
      </c>
      <c r="B13502" s="55" t="n">
        <v>46295</v>
      </c>
      <c r="C13502" s="51" t="s">
        <v>782</v>
      </c>
      <c r="D13502" s="51" t="n">
        <v>0</v>
      </c>
    </row>
    <row r="13503" customFormat="false" ht="15" hidden="true" customHeight="false" outlineLevel="0" collapsed="false">
      <c r="A13503" s="51" t="s">
        <v>599</v>
      </c>
      <c r="B13503" s="55" t="n">
        <v>46295</v>
      </c>
      <c r="C13503" s="51" t="s">
        <v>782</v>
      </c>
      <c r="D13503" s="51" t="n">
        <v>0</v>
      </c>
    </row>
    <row r="13504" customFormat="false" ht="15" hidden="true" customHeight="false" outlineLevel="0" collapsed="false">
      <c r="A13504" s="51" t="s">
        <v>604</v>
      </c>
      <c r="B13504" s="55" t="n">
        <v>46295</v>
      </c>
      <c r="C13504" s="51" t="s">
        <v>782</v>
      </c>
      <c r="D13504" s="51" t="n">
        <v>0</v>
      </c>
    </row>
    <row r="13505" customFormat="false" ht="15" hidden="true" customHeight="false" outlineLevel="0" collapsed="false">
      <c r="A13505" s="51" t="s">
        <v>609</v>
      </c>
      <c r="B13505" s="55" t="n">
        <v>46295</v>
      </c>
      <c r="C13505" s="51" t="s">
        <v>782</v>
      </c>
      <c r="D13505" s="51" t="n">
        <v>0</v>
      </c>
    </row>
    <row r="13506" customFormat="false" ht="15" hidden="true" customHeight="false" outlineLevel="0" collapsed="false">
      <c r="A13506" s="51" t="s">
        <v>614</v>
      </c>
      <c r="B13506" s="55" t="n">
        <v>46295</v>
      </c>
      <c r="C13506" s="51" t="s">
        <v>782</v>
      </c>
      <c r="D13506" s="51" t="n">
        <v>0</v>
      </c>
    </row>
    <row r="13507" customFormat="false" ht="15" hidden="true" customHeight="false" outlineLevel="0" collapsed="false">
      <c r="A13507" s="51" t="s">
        <v>619</v>
      </c>
      <c r="B13507" s="55" t="n">
        <v>46295</v>
      </c>
      <c r="C13507" s="51" t="s">
        <v>782</v>
      </c>
      <c r="D13507" s="51" t="n">
        <v>0</v>
      </c>
    </row>
    <row r="13508" customFormat="false" ht="15" hidden="true" customHeight="false" outlineLevel="0" collapsed="false">
      <c r="A13508" s="51" t="s">
        <v>624</v>
      </c>
      <c r="B13508" s="55" t="n">
        <v>46295</v>
      </c>
      <c r="C13508" s="51" t="s">
        <v>782</v>
      </c>
      <c r="D13508" s="51" t="n">
        <v>0</v>
      </c>
    </row>
    <row r="13509" customFormat="false" ht="15" hidden="true" customHeight="false" outlineLevel="0" collapsed="false">
      <c r="A13509" s="51" t="s">
        <v>629</v>
      </c>
      <c r="B13509" s="55" t="n">
        <v>46295</v>
      </c>
      <c r="C13509" s="51" t="s">
        <v>782</v>
      </c>
      <c r="D13509" s="51" t="n">
        <v>0</v>
      </c>
    </row>
    <row r="13510" customFormat="false" ht="15" hidden="true" customHeight="false" outlineLevel="0" collapsed="false">
      <c r="A13510" s="51" t="s">
        <v>633</v>
      </c>
      <c r="B13510" s="55" t="n">
        <v>46295</v>
      </c>
      <c r="C13510" s="51" t="s">
        <v>782</v>
      </c>
      <c r="D13510" s="51" t="n">
        <v>0</v>
      </c>
    </row>
    <row r="13511" customFormat="false" ht="15" hidden="true" customHeight="false" outlineLevel="0" collapsed="false">
      <c r="A13511" s="51" t="s">
        <v>638</v>
      </c>
      <c r="B13511" s="55" t="n">
        <v>46295</v>
      </c>
      <c r="C13511" s="51" t="s">
        <v>782</v>
      </c>
      <c r="D13511" s="51" t="n">
        <v>0</v>
      </c>
    </row>
    <row r="13512" customFormat="false" ht="15" hidden="true" customHeight="false" outlineLevel="0" collapsed="false">
      <c r="A13512" s="51" t="s">
        <v>642</v>
      </c>
      <c r="B13512" s="55" t="n">
        <v>46295</v>
      </c>
      <c r="C13512" s="51" t="s">
        <v>782</v>
      </c>
      <c r="D13512" s="51" t="n">
        <v>0</v>
      </c>
    </row>
    <row r="13513" customFormat="false" ht="15" hidden="true" customHeight="false" outlineLevel="0" collapsed="false">
      <c r="A13513" s="51" t="s">
        <v>646</v>
      </c>
      <c r="B13513" s="55" t="n">
        <v>46295</v>
      </c>
      <c r="C13513" s="51" t="s">
        <v>782</v>
      </c>
      <c r="D13513" s="51" t="n">
        <v>0</v>
      </c>
    </row>
    <row r="13514" customFormat="false" ht="15" hidden="true" customHeight="false" outlineLevel="0" collapsed="false">
      <c r="A13514" s="51" t="s">
        <v>651</v>
      </c>
      <c r="B13514" s="55" t="n">
        <v>46295</v>
      </c>
      <c r="C13514" s="51" t="s">
        <v>782</v>
      </c>
      <c r="D13514" s="51" t="n">
        <v>0</v>
      </c>
    </row>
    <row r="13515" customFormat="false" ht="15" hidden="true" customHeight="false" outlineLevel="0" collapsed="false">
      <c r="A13515" s="51" t="s">
        <v>656</v>
      </c>
      <c r="B13515" s="55" t="n">
        <v>46295</v>
      </c>
      <c r="C13515" s="51" t="s">
        <v>782</v>
      </c>
      <c r="D13515" s="51" t="n">
        <v>0</v>
      </c>
    </row>
    <row r="13516" customFormat="false" ht="15" hidden="true" customHeight="false" outlineLevel="0" collapsed="false">
      <c r="A13516" s="51" t="s">
        <v>661</v>
      </c>
      <c r="B13516" s="55" t="n">
        <v>46295</v>
      </c>
      <c r="C13516" s="51" t="s">
        <v>782</v>
      </c>
      <c r="D13516" s="51" t="n">
        <v>0</v>
      </c>
    </row>
    <row r="13517" customFormat="false" ht="15" hidden="true" customHeight="false" outlineLevel="0" collapsed="false">
      <c r="A13517" s="51" t="s">
        <v>666</v>
      </c>
      <c r="B13517" s="55" t="n">
        <v>46295</v>
      </c>
      <c r="C13517" s="51" t="s">
        <v>782</v>
      </c>
      <c r="D13517" s="51" t="n">
        <v>0</v>
      </c>
    </row>
    <row r="13518" customFormat="false" ht="15" hidden="true" customHeight="false" outlineLevel="0" collapsed="false">
      <c r="A13518" s="51" t="s">
        <v>671</v>
      </c>
      <c r="B13518" s="55" t="n">
        <v>46295</v>
      </c>
      <c r="C13518" s="51" t="s">
        <v>782</v>
      </c>
      <c r="D13518" s="51" t="n">
        <v>0</v>
      </c>
    </row>
    <row r="13519" customFormat="false" ht="15" hidden="true" customHeight="false" outlineLevel="0" collapsed="false">
      <c r="A13519" s="51" t="s">
        <v>676</v>
      </c>
      <c r="B13519" s="55" t="n">
        <v>46295</v>
      </c>
      <c r="C13519" s="51" t="s">
        <v>782</v>
      </c>
      <c r="D13519" s="51" t="n">
        <v>0</v>
      </c>
    </row>
    <row r="13520" customFormat="false" ht="15" hidden="true" customHeight="false" outlineLevel="0" collapsed="false">
      <c r="A13520" s="51" t="s">
        <v>681</v>
      </c>
      <c r="B13520" s="55" t="n">
        <v>46295</v>
      </c>
      <c r="C13520" s="51" t="s">
        <v>782</v>
      </c>
      <c r="D13520" s="51" t="n">
        <v>0</v>
      </c>
    </row>
    <row r="13521" customFormat="false" ht="15" hidden="true" customHeight="false" outlineLevel="0" collapsed="false">
      <c r="A13521" s="51" t="s">
        <v>686</v>
      </c>
      <c r="B13521" s="55" t="n">
        <v>46295</v>
      </c>
      <c r="C13521" s="51" t="s">
        <v>782</v>
      </c>
      <c r="D13521" s="51" t="n">
        <v>0</v>
      </c>
    </row>
    <row r="13522" customFormat="false" ht="15" hidden="true" customHeight="false" outlineLevel="0" collapsed="false">
      <c r="A13522" s="51" t="s">
        <v>691</v>
      </c>
      <c r="B13522" s="55" t="n">
        <v>46295</v>
      </c>
      <c r="C13522" s="51" t="s">
        <v>782</v>
      </c>
      <c r="D13522" s="51" t="n">
        <v>0</v>
      </c>
    </row>
    <row r="13523" customFormat="false" ht="15" hidden="true" customHeight="false" outlineLevel="0" collapsed="false">
      <c r="A13523" s="51" t="s">
        <v>696</v>
      </c>
      <c r="B13523" s="55" t="n">
        <v>46295</v>
      </c>
      <c r="C13523" s="51" t="s">
        <v>782</v>
      </c>
      <c r="D13523" s="51" t="n">
        <v>0</v>
      </c>
    </row>
    <row r="13524" customFormat="false" ht="15" hidden="true" customHeight="false" outlineLevel="0" collapsed="false">
      <c r="A13524" s="51" t="s">
        <v>701</v>
      </c>
      <c r="B13524" s="55" t="n">
        <v>46295</v>
      </c>
      <c r="C13524" s="51" t="s">
        <v>782</v>
      </c>
      <c r="D13524" s="51" t="n">
        <v>0</v>
      </c>
    </row>
    <row r="13525" customFormat="false" ht="15" hidden="true" customHeight="false" outlineLevel="0" collapsed="false">
      <c r="A13525" s="51" t="s">
        <v>707</v>
      </c>
      <c r="B13525" s="55" t="n">
        <v>46295</v>
      </c>
      <c r="C13525" s="51" t="s">
        <v>782</v>
      </c>
      <c r="D13525" s="51" t="n">
        <v>0</v>
      </c>
    </row>
    <row r="13526" customFormat="false" ht="15" hidden="true" customHeight="false" outlineLevel="0" collapsed="false">
      <c r="A13526" s="51" t="s">
        <v>712</v>
      </c>
      <c r="B13526" s="55" t="n">
        <v>46295</v>
      </c>
      <c r="C13526" s="51" t="s">
        <v>782</v>
      </c>
      <c r="D13526" s="51" t="n">
        <v>0</v>
      </c>
    </row>
    <row r="13527" customFormat="false" ht="15" hidden="true" customHeight="false" outlineLevel="0" collapsed="false">
      <c r="A13527" s="51" t="s">
        <v>717</v>
      </c>
      <c r="B13527" s="55" t="n">
        <v>46295</v>
      </c>
      <c r="C13527" s="51" t="s">
        <v>782</v>
      </c>
      <c r="D13527" s="51" t="n">
        <v>0</v>
      </c>
    </row>
    <row r="13528" customFormat="false" ht="15" hidden="true" customHeight="false" outlineLevel="0" collapsed="false">
      <c r="A13528" s="51" t="s">
        <v>767</v>
      </c>
      <c r="B13528" s="55" t="n">
        <v>46295</v>
      </c>
      <c r="C13528" s="51" t="s">
        <v>782</v>
      </c>
      <c r="D13528" s="51" t="n">
        <v>0</v>
      </c>
    </row>
    <row r="13529" customFormat="false" ht="15" hidden="true" customHeight="false" outlineLevel="0" collapsed="false">
      <c r="A13529" s="51" t="s">
        <v>722</v>
      </c>
      <c r="B13529" s="55" t="n">
        <v>46295</v>
      </c>
      <c r="C13529" s="51" t="s">
        <v>782</v>
      </c>
      <c r="D13529" s="51" t="n">
        <v>0</v>
      </c>
    </row>
    <row r="13530" customFormat="false" ht="15" hidden="true" customHeight="false" outlineLevel="0" collapsed="false">
      <c r="A13530" s="51" t="s">
        <v>727</v>
      </c>
      <c r="B13530" s="55" t="n">
        <v>46295</v>
      </c>
      <c r="C13530" s="51" t="s">
        <v>782</v>
      </c>
      <c r="D13530" s="51" t="n">
        <v>0</v>
      </c>
    </row>
    <row r="13531" customFormat="false" ht="15" hidden="true" customHeight="false" outlineLevel="0" collapsed="false">
      <c r="A13531" s="51" t="s">
        <v>732</v>
      </c>
      <c r="B13531" s="55" t="n">
        <v>46295</v>
      </c>
      <c r="C13531" s="51" t="s">
        <v>782</v>
      </c>
      <c r="D13531" s="51" t="n">
        <v>0</v>
      </c>
    </row>
    <row r="13532" customFormat="false" ht="15" hidden="true" customHeight="false" outlineLevel="0" collapsed="false">
      <c r="A13532" s="51" t="s">
        <v>736</v>
      </c>
      <c r="B13532" s="55" t="n">
        <v>46295</v>
      </c>
      <c r="C13532" s="51" t="s">
        <v>782</v>
      </c>
      <c r="D13532" s="51" t="n">
        <v>0</v>
      </c>
    </row>
    <row r="13533" customFormat="false" ht="15" hidden="true" customHeight="false" outlineLevel="0" collapsed="false">
      <c r="A13533" s="51" t="s">
        <v>741</v>
      </c>
      <c r="B13533" s="55" t="n">
        <v>46295</v>
      </c>
      <c r="C13533" s="51" t="s">
        <v>782</v>
      </c>
      <c r="D13533" s="51" t="n">
        <v>0</v>
      </c>
    </row>
    <row r="13534" customFormat="false" ht="15" hidden="true" customHeight="false" outlineLevel="0" collapsed="false">
      <c r="A13534" s="51" t="s">
        <v>746</v>
      </c>
      <c r="B13534" s="55" t="n">
        <v>46295</v>
      </c>
      <c r="C13534" s="51" t="s">
        <v>782</v>
      </c>
      <c r="D13534" s="51" t="n">
        <v>0</v>
      </c>
    </row>
    <row r="13535" customFormat="false" ht="15" hidden="true" customHeight="false" outlineLevel="0" collapsed="false">
      <c r="A13535" s="51" t="s">
        <v>751</v>
      </c>
      <c r="B13535" s="55" t="n">
        <v>46295</v>
      </c>
      <c r="C13535" s="51" t="s">
        <v>782</v>
      </c>
      <c r="D13535" s="51" t="n">
        <v>0</v>
      </c>
    </row>
    <row r="13536" customFormat="false" ht="15" hidden="false" customHeight="false" outlineLevel="0" collapsed="false">
      <c r="A13536" s="51" t="s">
        <v>781</v>
      </c>
      <c r="B13536" s="55" t="n">
        <v>46295</v>
      </c>
      <c r="C13536" s="51" t="s">
        <v>82</v>
      </c>
      <c r="D13536" s="51" t="n">
        <v>0</v>
      </c>
    </row>
    <row r="13537" customFormat="false" ht="15" hidden="true" customHeight="false" outlineLevel="0" collapsed="false">
      <c r="A13537" s="51" t="s">
        <v>783</v>
      </c>
      <c r="B13537" s="55" t="n">
        <v>46295</v>
      </c>
      <c r="C13537" s="51" t="s">
        <v>82</v>
      </c>
      <c r="D13537" s="51" t="n">
        <v>0</v>
      </c>
    </row>
    <row r="13538" customFormat="false" ht="15" hidden="true" customHeight="false" outlineLevel="0" collapsed="false">
      <c r="A13538" s="51" t="s">
        <v>96</v>
      </c>
      <c r="B13538" s="55" t="n">
        <v>46295</v>
      </c>
      <c r="C13538" s="51" t="s">
        <v>82</v>
      </c>
      <c r="D13538" s="51" t="n">
        <v>0</v>
      </c>
    </row>
    <row r="13539" customFormat="false" ht="15" hidden="true" customHeight="false" outlineLevel="0" collapsed="false">
      <c r="A13539" s="51" t="s">
        <v>101</v>
      </c>
      <c r="B13539" s="55" t="n">
        <v>46295</v>
      </c>
      <c r="C13539" s="51" t="s">
        <v>82</v>
      </c>
      <c r="D13539" s="51" t="n">
        <v>0</v>
      </c>
    </row>
    <row r="13540" customFormat="false" ht="15" hidden="true" customHeight="false" outlineLevel="0" collapsed="false">
      <c r="A13540" s="51" t="s">
        <v>106</v>
      </c>
      <c r="B13540" s="55" t="n">
        <v>46295</v>
      </c>
      <c r="C13540" s="51" t="s">
        <v>82</v>
      </c>
      <c r="D13540" s="51" t="n">
        <v>0</v>
      </c>
    </row>
    <row r="13541" customFormat="false" ht="15" hidden="true" customHeight="false" outlineLevel="0" collapsed="false">
      <c r="A13541" s="51" t="s">
        <v>110</v>
      </c>
      <c r="B13541" s="55" t="n">
        <v>46295</v>
      </c>
      <c r="C13541" s="51" t="s">
        <v>82</v>
      </c>
      <c r="D13541" s="51" t="n">
        <v>0</v>
      </c>
    </row>
    <row r="13542" customFormat="false" ht="15" hidden="true" customHeight="false" outlineLevel="0" collapsed="false">
      <c r="A13542" s="51" t="s">
        <v>115</v>
      </c>
      <c r="B13542" s="55" t="n">
        <v>46295</v>
      </c>
      <c r="C13542" s="51" t="s">
        <v>82</v>
      </c>
      <c r="D13542" s="51" t="n">
        <v>0</v>
      </c>
    </row>
    <row r="13543" customFormat="false" ht="15" hidden="true" customHeight="false" outlineLevel="0" collapsed="false">
      <c r="A13543" s="51" t="s">
        <v>120</v>
      </c>
      <c r="B13543" s="55" t="n">
        <v>46295</v>
      </c>
      <c r="C13543" s="51" t="s">
        <v>82</v>
      </c>
      <c r="D13543" s="51" t="n">
        <v>0</v>
      </c>
    </row>
    <row r="13544" customFormat="false" ht="15" hidden="true" customHeight="false" outlineLevel="0" collapsed="false">
      <c r="A13544" s="51" t="s">
        <v>124</v>
      </c>
      <c r="B13544" s="55" t="n">
        <v>46295</v>
      </c>
      <c r="C13544" s="51" t="s">
        <v>82</v>
      </c>
      <c r="D13544" s="51" t="n">
        <v>0</v>
      </c>
    </row>
    <row r="13545" customFormat="false" ht="15" hidden="true" customHeight="false" outlineLevel="0" collapsed="false">
      <c r="A13545" s="51" t="s">
        <v>129</v>
      </c>
      <c r="B13545" s="55" t="n">
        <v>46295</v>
      </c>
      <c r="C13545" s="51" t="s">
        <v>82</v>
      </c>
      <c r="D13545" s="51" t="n">
        <v>0</v>
      </c>
    </row>
    <row r="13546" customFormat="false" ht="15" hidden="true" customHeight="false" outlineLevel="0" collapsed="false">
      <c r="A13546" s="51" t="s">
        <v>134</v>
      </c>
      <c r="B13546" s="55" t="n">
        <v>46295</v>
      </c>
      <c r="C13546" s="51" t="s">
        <v>82</v>
      </c>
      <c r="D13546" s="51" t="n">
        <v>0</v>
      </c>
    </row>
    <row r="13547" customFormat="false" ht="15" hidden="true" customHeight="false" outlineLevel="0" collapsed="false">
      <c r="A13547" s="51" t="s">
        <v>141</v>
      </c>
      <c r="B13547" s="55" t="n">
        <v>46295</v>
      </c>
      <c r="C13547" s="51" t="s">
        <v>82</v>
      </c>
      <c r="D13547" s="51" t="n">
        <v>0</v>
      </c>
    </row>
    <row r="13548" customFormat="false" ht="15" hidden="true" customHeight="false" outlineLevel="0" collapsed="false">
      <c r="A13548" s="51" t="s">
        <v>146</v>
      </c>
      <c r="B13548" s="55" t="n">
        <v>46295</v>
      </c>
      <c r="C13548" s="51" t="s">
        <v>82</v>
      </c>
      <c r="D13548" s="51" t="n">
        <v>0</v>
      </c>
    </row>
    <row r="13549" customFormat="false" ht="15" hidden="true" customHeight="false" outlineLevel="0" collapsed="false">
      <c r="A13549" s="51" t="s">
        <v>151</v>
      </c>
      <c r="B13549" s="55" t="n">
        <v>46295</v>
      </c>
      <c r="C13549" s="51" t="s">
        <v>82</v>
      </c>
      <c r="D13549" s="51" t="n">
        <v>0</v>
      </c>
    </row>
    <row r="13550" customFormat="false" ht="15" hidden="true" customHeight="false" outlineLevel="0" collapsed="false">
      <c r="A13550" s="51" t="s">
        <v>156</v>
      </c>
      <c r="B13550" s="55" t="n">
        <v>46295</v>
      </c>
      <c r="C13550" s="51" t="s">
        <v>82</v>
      </c>
      <c r="D13550" s="51" t="n">
        <v>0</v>
      </c>
    </row>
    <row r="13551" customFormat="false" ht="15" hidden="true" customHeight="false" outlineLevel="0" collapsed="false">
      <c r="A13551" s="51" t="s">
        <v>161</v>
      </c>
      <c r="B13551" s="55" t="n">
        <v>46295</v>
      </c>
      <c r="C13551" s="51" t="s">
        <v>82</v>
      </c>
      <c r="D13551" s="51" t="n">
        <v>0</v>
      </c>
    </row>
    <row r="13552" customFormat="false" ht="15" hidden="true" customHeight="false" outlineLevel="0" collapsed="false">
      <c r="A13552" s="51" t="s">
        <v>166</v>
      </c>
      <c r="B13552" s="55" t="n">
        <v>46295</v>
      </c>
      <c r="C13552" s="51" t="s">
        <v>82</v>
      </c>
      <c r="D13552" s="51" t="n">
        <v>0</v>
      </c>
    </row>
    <row r="13553" customFormat="false" ht="15" hidden="true" customHeight="false" outlineLevel="0" collapsed="false">
      <c r="A13553" s="51" t="s">
        <v>171</v>
      </c>
      <c r="B13553" s="55" t="n">
        <v>46295</v>
      </c>
      <c r="C13553" s="51" t="s">
        <v>82</v>
      </c>
      <c r="D13553" s="51" t="n">
        <v>0</v>
      </c>
    </row>
    <row r="13554" customFormat="false" ht="15" hidden="true" customHeight="false" outlineLevel="0" collapsed="false">
      <c r="A13554" s="51" t="s">
        <v>176</v>
      </c>
      <c r="B13554" s="55" t="n">
        <v>46295</v>
      </c>
      <c r="C13554" s="51" t="s">
        <v>82</v>
      </c>
      <c r="D13554" s="51" t="n">
        <v>0</v>
      </c>
    </row>
    <row r="13555" customFormat="false" ht="15" hidden="true" customHeight="false" outlineLevel="0" collapsed="false">
      <c r="A13555" s="51" t="s">
        <v>181</v>
      </c>
      <c r="B13555" s="55" t="n">
        <v>46295</v>
      </c>
      <c r="C13555" s="51" t="s">
        <v>82</v>
      </c>
      <c r="D13555" s="51" t="n">
        <v>0</v>
      </c>
    </row>
    <row r="13556" customFormat="false" ht="15" hidden="true" customHeight="false" outlineLevel="0" collapsed="false">
      <c r="A13556" s="51" t="s">
        <v>186</v>
      </c>
      <c r="B13556" s="55" t="n">
        <v>46295</v>
      </c>
      <c r="C13556" s="51" t="s">
        <v>82</v>
      </c>
      <c r="D13556" s="51" t="n">
        <v>0</v>
      </c>
    </row>
    <row r="13557" customFormat="false" ht="15" hidden="true" customHeight="false" outlineLevel="0" collapsed="false">
      <c r="A13557" s="51" t="s">
        <v>191</v>
      </c>
      <c r="B13557" s="55" t="n">
        <v>46295</v>
      </c>
      <c r="C13557" s="51" t="s">
        <v>82</v>
      </c>
      <c r="D13557" s="51" t="n">
        <v>0</v>
      </c>
    </row>
    <row r="13558" customFormat="false" ht="15" hidden="true" customHeight="false" outlineLevel="0" collapsed="false">
      <c r="A13558" s="51" t="s">
        <v>196</v>
      </c>
      <c r="B13558" s="55" t="n">
        <v>46295</v>
      </c>
      <c r="C13558" s="51" t="s">
        <v>82</v>
      </c>
      <c r="D13558" s="51" t="n">
        <v>0</v>
      </c>
    </row>
    <row r="13559" customFormat="false" ht="15" hidden="true" customHeight="false" outlineLevel="0" collapsed="false">
      <c r="A13559" s="51" t="s">
        <v>201</v>
      </c>
      <c r="B13559" s="55" t="n">
        <v>46295</v>
      </c>
      <c r="C13559" s="51" t="s">
        <v>82</v>
      </c>
      <c r="D13559" s="51" t="n">
        <v>0</v>
      </c>
    </row>
    <row r="13560" customFormat="false" ht="15" hidden="true" customHeight="false" outlineLevel="0" collapsed="false">
      <c r="A13560" s="51" t="s">
        <v>206</v>
      </c>
      <c r="B13560" s="55" t="n">
        <v>46295</v>
      </c>
      <c r="C13560" s="51" t="s">
        <v>82</v>
      </c>
      <c r="D13560" s="51" t="n">
        <v>0</v>
      </c>
    </row>
    <row r="13561" customFormat="false" ht="15" hidden="true" customHeight="false" outlineLevel="0" collapsed="false">
      <c r="A13561" s="51" t="s">
        <v>210</v>
      </c>
      <c r="B13561" s="55" t="n">
        <v>46295</v>
      </c>
      <c r="C13561" s="51" t="s">
        <v>82</v>
      </c>
      <c r="D13561" s="51" t="n">
        <v>0</v>
      </c>
    </row>
    <row r="13562" customFormat="false" ht="15" hidden="true" customHeight="false" outlineLevel="0" collapsed="false">
      <c r="A13562" s="51" t="s">
        <v>215</v>
      </c>
      <c r="B13562" s="55" t="n">
        <v>46295</v>
      </c>
      <c r="C13562" s="51" t="s">
        <v>82</v>
      </c>
      <c r="D13562" s="51" t="n">
        <v>0</v>
      </c>
    </row>
    <row r="13563" customFormat="false" ht="15" hidden="true" customHeight="false" outlineLevel="0" collapsed="false">
      <c r="A13563" s="51" t="s">
        <v>790</v>
      </c>
      <c r="B13563" s="55" t="n">
        <v>46295</v>
      </c>
      <c r="C13563" s="51" t="s">
        <v>82</v>
      </c>
      <c r="D13563" s="51" t="n">
        <v>0</v>
      </c>
    </row>
    <row r="13564" customFormat="false" ht="15" hidden="true" customHeight="false" outlineLevel="0" collapsed="false">
      <c r="A13564" s="51" t="s">
        <v>225</v>
      </c>
      <c r="B13564" s="55" t="n">
        <v>46295</v>
      </c>
      <c r="C13564" s="51" t="s">
        <v>82</v>
      </c>
      <c r="D13564" s="51" t="n">
        <v>0</v>
      </c>
    </row>
    <row r="13565" customFormat="false" ht="15" hidden="true" customHeight="false" outlineLevel="0" collapsed="false">
      <c r="A13565" s="51" t="s">
        <v>230</v>
      </c>
      <c r="B13565" s="55" t="n">
        <v>46295</v>
      </c>
      <c r="C13565" s="51" t="s">
        <v>82</v>
      </c>
      <c r="D13565" s="51" t="n">
        <v>0</v>
      </c>
    </row>
    <row r="13566" customFormat="false" ht="15" hidden="true" customHeight="false" outlineLevel="0" collapsed="false">
      <c r="A13566" s="51" t="s">
        <v>235</v>
      </c>
      <c r="B13566" s="55" t="n">
        <v>46295</v>
      </c>
      <c r="C13566" s="51" t="s">
        <v>82</v>
      </c>
      <c r="D13566" s="51" t="n">
        <v>0</v>
      </c>
    </row>
    <row r="13567" customFormat="false" ht="15" hidden="true" customHeight="false" outlineLevel="0" collapsed="false">
      <c r="A13567" s="51" t="s">
        <v>240</v>
      </c>
      <c r="B13567" s="55" t="n">
        <v>46295</v>
      </c>
      <c r="C13567" s="51" t="s">
        <v>82</v>
      </c>
      <c r="D13567" s="51" t="n">
        <v>0</v>
      </c>
    </row>
    <row r="13568" customFormat="false" ht="15" hidden="true" customHeight="false" outlineLevel="0" collapsed="false">
      <c r="A13568" s="51" t="s">
        <v>246</v>
      </c>
      <c r="B13568" s="55" t="n">
        <v>46295</v>
      </c>
      <c r="C13568" s="51" t="s">
        <v>82</v>
      </c>
      <c r="D13568" s="51" t="n">
        <v>0</v>
      </c>
    </row>
    <row r="13569" customFormat="false" ht="15" hidden="true" customHeight="false" outlineLevel="0" collapsed="false">
      <c r="A13569" s="51" t="s">
        <v>252</v>
      </c>
      <c r="B13569" s="55" t="n">
        <v>46295</v>
      </c>
      <c r="C13569" s="51" t="s">
        <v>82</v>
      </c>
      <c r="D13569" s="51" t="n">
        <v>0</v>
      </c>
    </row>
    <row r="13570" customFormat="false" ht="15" hidden="true" customHeight="false" outlineLevel="0" collapsed="false">
      <c r="A13570" s="51" t="s">
        <v>257</v>
      </c>
      <c r="B13570" s="55" t="n">
        <v>46295</v>
      </c>
      <c r="C13570" s="51" t="s">
        <v>82</v>
      </c>
      <c r="D13570" s="51" t="n">
        <v>0</v>
      </c>
    </row>
    <row r="13571" customFormat="false" ht="15" hidden="true" customHeight="false" outlineLevel="0" collapsed="false">
      <c r="A13571" s="51" t="s">
        <v>262</v>
      </c>
      <c r="B13571" s="55" t="n">
        <v>46295</v>
      </c>
      <c r="C13571" s="51" t="s">
        <v>82</v>
      </c>
      <c r="D13571" s="51" t="n">
        <v>0</v>
      </c>
    </row>
    <row r="13572" customFormat="false" ht="15" hidden="true" customHeight="false" outlineLevel="0" collapsed="false">
      <c r="A13572" s="51" t="s">
        <v>267</v>
      </c>
      <c r="B13572" s="55" t="n">
        <v>46295</v>
      </c>
      <c r="C13572" s="51" t="s">
        <v>82</v>
      </c>
      <c r="D13572" s="51" t="n">
        <v>0</v>
      </c>
    </row>
    <row r="13573" customFormat="false" ht="15" hidden="true" customHeight="false" outlineLevel="0" collapsed="false">
      <c r="A13573" s="51" t="s">
        <v>272</v>
      </c>
      <c r="B13573" s="55" t="n">
        <v>46295</v>
      </c>
      <c r="C13573" s="51" t="s">
        <v>82</v>
      </c>
      <c r="D13573" s="51" t="n">
        <v>0</v>
      </c>
    </row>
    <row r="13574" customFormat="false" ht="15" hidden="true" customHeight="false" outlineLevel="0" collapsed="false">
      <c r="A13574" s="51" t="s">
        <v>277</v>
      </c>
      <c r="B13574" s="55" t="n">
        <v>46295</v>
      </c>
      <c r="C13574" s="51" t="s">
        <v>82</v>
      </c>
      <c r="D13574" s="51" t="n">
        <v>0</v>
      </c>
    </row>
    <row r="13575" customFormat="false" ht="15" hidden="true" customHeight="false" outlineLevel="0" collapsed="false">
      <c r="A13575" s="51" t="s">
        <v>282</v>
      </c>
      <c r="B13575" s="55" t="n">
        <v>46295</v>
      </c>
      <c r="C13575" s="51" t="s">
        <v>82</v>
      </c>
      <c r="D13575" s="51" t="n">
        <v>0</v>
      </c>
    </row>
    <row r="13576" customFormat="false" ht="15" hidden="true" customHeight="false" outlineLevel="0" collapsed="false">
      <c r="A13576" s="51" t="s">
        <v>287</v>
      </c>
      <c r="B13576" s="55" t="n">
        <v>46295</v>
      </c>
      <c r="C13576" s="51" t="s">
        <v>82</v>
      </c>
      <c r="D13576" s="51" t="n">
        <v>0</v>
      </c>
    </row>
    <row r="13577" customFormat="false" ht="15" hidden="true" customHeight="false" outlineLevel="0" collapsed="false">
      <c r="A13577" s="51" t="s">
        <v>292</v>
      </c>
      <c r="B13577" s="55" t="n">
        <v>46295</v>
      </c>
      <c r="C13577" s="51" t="s">
        <v>82</v>
      </c>
      <c r="D13577" s="51" t="n">
        <v>0</v>
      </c>
    </row>
    <row r="13578" customFormat="false" ht="15" hidden="true" customHeight="false" outlineLevel="0" collapsed="false">
      <c r="A13578" s="51" t="s">
        <v>297</v>
      </c>
      <c r="B13578" s="55" t="n">
        <v>46295</v>
      </c>
      <c r="C13578" s="51" t="s">
        <v>82</v>
      </c>
      <c r="D13578" s="51" t="n">
        <v>0</v>
      </c>
    </row>
    <row r="13579" customFormat="false" ht="15" hidden="true" customHeight="false" outlineLevel="0" collapsed="false">
      <c r="A13579" s="51" t="s">
        <v>302</v>
      </c>
      <c r="B13579" s="55" t="n">
        <v>46295</v>
      </c>
      <c r="C13579" s="51" t="s">
        <v>82</v>
      </c>
      <c r="D13579" s="51" t="n">
        <v>0</v>
      </c>
    </row>
    <row r="13580" customFormat="false" ht="15" hidden="true" customHeight="false" outlineLevel="0" collapsed="false">
      <c r="A13580" s="51" t="s">
        <v>307</v>
      </c>
      <c r="B13580" s="55" t="n">
        <v>46295</v>
      </c>
      <c r="C13580" s="51" t="s">
        <v>82</v>
      </c>
      <c r="D13580" s="51" t="n">
        <v>0</v>
      </c>
    </row>
    <row r="13581" customFormat="false" ht="15" hidden="true" customHeight="false" outlineLevel="0" collapsed="false">
      <c r="A13581" s="51" t="s">
        <v>311</v>
      </c>
      <c r="B13581" s="55" t="n">
        <v>46295</v>
      </c>
      <c r="C13581" s="51" t="s">
        <v>82</v>
      </c>
      <c r="D13581" s="51" t="n">
        <v>0</v>
      </c>
    </row>
    <row r="13582" customFormat="false" ht="15" hidden="true" customHeight="false" outlineLevel="0" collapsed="false">
      <c r="A13582" s="51" t="s">
        <v>317</v>
      </c>
      <c r="B13582" s="55" t="n">
        <v>46295</v>
      </c>
      <c r="C13582" s="51" t="s">
        <v>82</v>
      </c>
      <c r="D13582" s="51" t="n">
        <v>0</v>
      </c>
    </row>
    <row r="13583" customFormat="false" ht="15" hidden="true" customHeight="false" outlineLevel="0" collapsed="false">
      <c r="A13583" s="51" t="s">
        <v>322</v>
      </c>
      <c r="B13583" s="55" t="n">
        <v>46295</v>
      </c>
      <c r="C13583" s="51" t="s">
        <v>82</v>
      </c>
      <c r="D13583" s="51" t="n">
        <v>0</v>
      </c>
    </row>
    <row r="13584" customFormat="false" ht="15" hidden="true" customHeight="false" outlineLevel="0" collapsed="false">
      <c r="A13584" s="51" t="s">
        <v>327</v>
      </c>
      <c r="B13584" s="55" t="n">
        <v>46295</v>
      </c>
      <c r="C13584" s="51" t="s">
        <v>82</v>
      </c>
      <c r="D13584" s="51" t="n">
        <v>0</v>
      </c>
    </row>
    <row r="13585" customFormat="false" ht="15" hidden="true" customHeight="false" outlineLevel="0" collapsed="false">
      <c r="A13585" s="51" t="s">
        <v>332</v>
      </c>
      <c r="B13585" s="55" t="n">
        <v>46295</v>
      </c>
      <c r="C13585" s="51" t="s">
        <v>82</v>
      </c>
      <c r="D13585" s="51" t="n">
        <v>0</v>
      </c>
    </row>
    <row r="13586" customFormat="false" ht="15" hidden="true" customHeight="false" outlineLevel="0" collapsed="false">
      <c r="A13586" s="51" t="s">
        <v>339</v>
      </c>
      <c r="B13586" s="55" t="n">
        <v>46295</v>
      </c>
      <c r="C13586" s="51" t="s">
        <v>82</v>
      </c>
      <c r="D13586" s="51" t="n">
        <v>0</v>
      </c>
    </row>
    <row r="13587" customFormat="false" ht="15" hidden="true" customHeight="false" outlineLevel="0" collapsed="false">
      <c r="A13587" s="51" t="s">
        <v>344</v>
      </c>
      <c r="B13587" s="55" t="n">
        <v>46295</v>
      </c>
      <c r="C13587" s="51" t="s">
        <v>82</v>
      </c>
      <c r="D13587" s="51" t="n">
        <v>0</v>
      </c>
    </row>
    <row r="13588" customFormat="false" ht="15" hidden="true" customHeight="false" outlineLevel="0" collapsed="false">
      <c r="A13588" s="51" t="s">
        <v>349</v>
      </c>
      <c r="B13588" s="55" t="n">
        <v>46295</v>
      </c>
      <c r="C13588" s="51" t="s">
        <v>82</v>
      </c>
      <c r="D13588" s="51" t="n">
        <v>0</v>
      </c>
    </row>
    <row r="13589" customFormat="false" ht="15" hidden="true" customHeight="false" outlineLevel="0" collapsed="false">
      <c r="A13589" s="51" t="s">
        <v>354</v>
      </c>
      <c r="B13589" s="55" t="n">
        <v>46295</v>
      </c>
      <c r="C13589" s="51" t="s">
        <v>82</v>
      </c>
      <c r="D13589" s="51" t="n">
        <v>0</v>
      </c>
    </row>
    <row r="13590" customFormat="false" ht="15" hidden="true" customHeight="false" outlineLevel="0" collapsed="false">
      <c r="A13590" s="51" t="s">
        <v>359</v>
      </c>
      <c r="B13590" s="55" t="n">
        <v>46295</v>
      </c>
      <c r="C13590" s="51" t="s">
        <v>82</v>
      </c>
      <c r="D13590" s="51" t="n">
        <v>0</v>
      </c>
    </row>
    <row r="13591" customFormat="false" ht="15" hidden="true" customHeight="false" outlineLevel="0" collapsed="false">
      <c r="A13591" s="51" t="s">
        <v>364</v>
      </c>
      <c r="B13591" s="55" t="n">
        <v>46295</v>
      </c>
      <c r="C13591" s="51" t="s">
        <v>82</v>
      </c>
      <c r="D13591" s="51" t="n">
        <v>0</v>
      </c>
    </row>
    <row r="13592" customFormat="false" ht="15" hidden="true" customHeight="false" outlineLevel="0" collapsed="false">
      <c r="A13592" s="51" t="s">
        <v>369</v>
      </c>
      <c r="B13592" s="55" t="n">
        <v>46295</v>
      </c>
      <c r="C13592" s="51" t="s">
        <v>82</v>
      </c>
      <c r="D13592" s="51" t="n">
        <v>0</v>
      </c>
    </row>
    <row r="13593" customFormat="false" ht="15" hidden="true" customHeight="false" outlineLevel="0" collapsed="false">
      <c r="A13593" s="51" t="s">
        <v>374</v>
      </c>
      <c r="B13593" s="55" t="n">
        <v>46295</v>
      </c>
      <c r="C13593" s="51" t="s">
        <v>82</v>
      </c>
      <c r="D13593" s="51" t="n">
        <v>0</v>
      </c>
    </row>
    <row r="13594" customFormat="false" ht="15" hidden="true" customHeight="false" outlineLevel="0" collapsed="false">
      <c r="A13594" s="51" t="s">
        <v>379</v>
      </c>
      <c r="B13594" s="55" t="n">
        <v>46295</v>
      </c>
      <c r="C13594" s="51" t="s">
        <v>82</v>
      </c>
      <c r="D13594" s="51" t="n">
        <v>0</v>
      </c>
    </row>
    <row r="13595" customFormat="false" ht="15" hidden="true" customHeight="false" outlineLevel="0" collapsed="false">
      <c r="A13595" s="51" t="s">
        <v>384</v>
      </c>
      <c r="B13595" s="55" t="n">
        <v>46295</v>
      </c>
      <c r="C13595" s="51" t="s">
        <v>82</v>
      </c>
      <c r="D13595" s="51" t="n">
        <v>0</v>
      </c>
    </row>
    <row r="13596" customFormat="false" ht="15" hidden="true" customHeight="false" outlineLevel="0" collapsed="false">
      <c r="A13596" s="51" t="s">
        <v>389</v>
      </c>
      <c r="B13596" s="55" t="n">
        <v>46295</v>
      </c>
      <c r="C13596" s="51" t="s">
        <v>82</v>
      </c>
      <c r="D13596" s="51" t="n">
        <v>0</v>
      </c>
    </row>
    <row r="13597" customFormat="false" ht="15" hidden="true" customHeight="false" outlineLevel="0" collapsed="false">
      <c r="A13597" s="51" t="s">
        <v>394</v>
      </c>
      <c r="B13597" s="55" t="n">
        <v>46295</v>
      </c>
      <c r="C13597" s="51" t="s">
        <v>82</v>
      </c>
      <c r="D13597" s="51" t="n">
        <v>0</v>
      </c>
    </row>
    <row r="13598" customFormat="false" ht="15" hidden="true" customHeight="false" outlineLevel="0" collapsed="false">
      <c r="A13598" s="51" t="s">
        <v>399</v>
      </c>
      <c r="B13598" s="55" t="n">
        <v>46295</v>
      </c>
      <c r="C13598" s="51" t="s">
        <v>82</v>
      </c>
      <c r="D13598" s="51" t="n">
        <v>0</v>
      </c>
    </row>
    <row r="13599" customFormat="false" ht="15" hidden="true" customHeight="false" outlineLevel="0" collapsed="false">
      <c r="A13599" s="51" t="s">
        <v>404</v>
      </c>
      <c r="B13599" s="55" t="n">
        <v>46295</v>
      </c>
      <c r="C13599" s="51" t="s">
        <v>82</v>
      </c>
      <c r="D13599" s="51" t="n">
        <v>0</v>
      </c>
    </row>
    <row r="13600" customFormat="false" ht="15" hidden="true" customHeight="false" outlineLevel="0" collapsed="false">
      <c r="A13600" s="51" t="s">
        <v>409</v>
      </c>
      <c r="B13600" s="55" t="n">
        <v>46295</v>
      </c>
      <c r="C13600" s="51" t="s">
        <v>82</v>
      </c>
      <c r="D13600" s="51" t="n">
        <v>0</v>
      </c>
    </row>
    <row r="13601" customFormat="false" ht="15" hidden="true" customHeight="false" outlineLevel="0" collapsed="false">
      <c r="A13601" s="51" t="s">
        <v>414</v>
      </c>
      <c r="B13601" s="55" t="n">
        <v>46295</v>
      </c>
      <c r="C13601" s="51" t="s">
        <v>82</v>
      </c>
      <c r="D13601" s="51" t="n">
        <v>0</v>
      </c>
    </row>
    <row r="13602" customFormat="false" ht="15" hidden="true" customHeight="false" outlineLevel="0" collapsed="false">
      <c r="A13602" s="51" t="s">
        <v>419</v>
      </c>
      <c r="B13602" s="55" t="n">
        <v>46295</v>
      </c>
      <c r="C13602" s="51" t="s">
        <v>82</v>
      </c>
      <c r="D13602" s="51" t="n">
        <v>0</v>
      </c>
    </row>
    <row r="13603" customFormat="false" ht="15" hidden="true" customHeight="false" outlineLevel="0" collapsed="false">
      <c r="A13603" s="51" t="s">
        <v>424</v>
      </c>
      <c r="B13603" s="55" t="n">
        <v>46295</v>
      </c>
      <c r="C13603" s="51" t="s">
        <v>82</v>
      </c>
      <c r="D13603" s="51" t="n">
        <v>0</v>
      </c>
    </row>
    <row r="13604" customFormat="false" ht="15" hidden="true" customHeight="false" outlineLevel="0" collapsed="false">
      <c r="A13604" s="51" t="s">
        <v>429</v>
      </c>
      <c r="B13604" s="55" t="n">
        <v>46295</v>
      </c>
      <c r="C13604" s="51" t="s">
        <v>82</v>
      </c>
      <c r="D13604" s="51" t="n">
        <v>0</v>
      </c>
    </row>
    <row r="13605" customFormat="false" ht="15" hidden="true" customHeight="false" outlineLevel="0" collapsed="false">
      <c r="A13605" s="51" t="s">
        <v>434</v>
      </c>
      <c r="B13605" s="55" t="n">
        <v>46295</v>
      </c>
      <c r="C13605" s="51" t="s">
        <v>82</v>
      </c>
      <c r="D13605" s="51" t="n">
        <v>0</v>
      </c>
    </row>
    <row r="13606" customFormat="false" ht="15" hidden="true" customHeight="false" outlineLevel="0" collapsed="false">
      <c r="A13606" s="51" t="s">
        <v>438</v>
      </c>
      <c r="B13606" s="55" t="n">
        <v>46295</v>
      </c>
      <c r="C13606" s="51" t="s">
        <v>82</v>
      </c>
      <c r="D13606" s="51" t="n">
        <v>0</v>
      </c>
    </row>
    <row r="13607" customFormat="false" ht="15" hidden="true" customHeight="false" outlineLevel="0" collapsed="false">
      <c r="A13607" s="51" t="s">
        <v>443</v>
      </c>
      <c r="B13607" s="55" t="n">
        <v>46295</v>
      </c>
      <c r="C13607" s="51" t="s">
        <v>82</v>
      </c>
      <c r="D13607" s="51" t="n">
        <v>0</v>
      </c>
    </row>
    <row r="13608" customFormat="false" ht="15" hidden="true" customHeight="false" outlineLevel="0" collapsed="false">
      <c r="A13608" s="51" t="s">
        <v>448</v>
      </c>
      <c r="B13608" s="55" t="n">
        <v>46295</v>
      </c>
      <c r="C13608" s="51" t="s">
        <v>82</v>
      </c>
      <c r="D13608" s="51" t="n">
        <v>0</v>
      </c>
    </row>
    <row r="13609" customFormat="false" ht="15" hidden="true" customHeight="false" outlineLevel="0" collapsed="false">
      <c r="A13609" s="51" t="s">
        <v>453</v>
      </c>
      <c r="B13609" s="55" t="n">
        <v>46295</v>
      </c>
      <c r="C13609" s="51" t="s">
        <v>82</v>
      </c>
      <c r="D13609" s="51" t="n">
        <v>0</v>
      </c>
    </row>
    <row r="13610" customFormat="false" ht="15" hidden="true" customHeight="false" outlineLevel="0" collapsed="false">
      <c r="A13610" s="51" t="s">
        <v>458</v>
      </c>
      <c r="B13610" s="55" t="n">
        <v>46295</v>
      </c>
      <c r="C13610" s="51" t="s">
        <v>82</v>
      </c>
      <c r="D13610" s="51" t="n">
        <v>0</v>
      </c>
    </row>
    <row r="13611" customFormat="false" ht="15" hidden="true" customHeight="false" outlineLevel="0" collapsed="false">
      <c r="A13611" s="51" t="s">
        <v>473</v>
      </c>
      <c r="B13611" s="55" t="n">
        <v>46295</v>
      </c>
      <c r="C13611" s="51" t="s">
        <v>82</v>
      </c>
      <c r="D13611" s="51" t="n">
        <v>0</v>
      </c>
    </row>
    <row r="13612" customFormat="false" ht="15" hidden="true" customHeight="false" outlineLevel="0" collapsed="false">
      <c r="A13612" s="51" t="s">
        <v>479</v>
      </c>
      <c r="B13612" s="55" t="n">
        <v>46295</v>
      </c>
      <c r="C13612" s="51" t="s">
        <v>82</v>
      </c>
      <c r="D13612" s="51" t="n">
        <v>0</v>
      </c>
    </row>
    <row r="13613" customFormat="false" ht="15" hidden="true" customHeight="false" outlineLevel="0" collapsed="false">
      <c r="A13613" s="51" t="s">
        <v>484</v>
      </c>
      <c r="B13613" s="55" t="n">
        <v>46295</v>
      </c>
      <c r="C13613" s="51" t="s">
        <v>82</v>
      </c>
      <c r="D13613" s="51" t="n">
        <v>0</v>
      </c>
    </row>
    <row r="13614" customFormat="false" ht="15" hidden="true" customHeight="false" outlineLevel="0" collapsed="false">
      <c r="A13614" s="51" t="s">
        <v>489</v>
      </c>
      <c r="B13614" s="55" t="n">
        <v>46295</v>
      </c>
      <c r="C13614" s="51" t="s">
        <v>82</v>
      </c>
      <c r="D13614" s="51" t="n">
        <v>0</v>
      </c>
    </row>
    <row r="13615" customFormat="false" ht="15" hidden="true" customHeight="false" outlineLevel="0" collapsed="false">
      <c r="A13615" s="51" t="s">
        <v>494</v>
      </c>
      <c r="B13615" s="55" t="n">
        <v>46295</v>
      </c>
      <c r="C13615" s="51" t="s">
        <v>82</v>
      </c>
      <c r="D13615" s="51" t="n">
        <v>0</v>
      </c>
    </row>
    <row r="13616" customFormat="false" ht="15" hidden="true" customHeight="false" outlineLevel="0" collapsed="false">
      <c r="A13616" s="51" t="s">
        <v>499</v>
      </c>
      <c r="B13616" s="55" t="n">
        <v>46295</v>
      </c>
      <c r="C13616" s="51" t="s">
        <v>82</v>
      </c>
      <c r="D13616" s="51" t="n">
        <v>0</v>
      </c>
    </row>
    <row r="13617" customFormat="false" ht="15" hidden="true" customHeight="false" outlineLevel="0" collapsed="false">
      <c r="A13617" s="51" t="s">
        <v>504</v>
      </c>
      <c r="B13617" s="55" t="n">
        <v>46295</v>
      </c>
      <c r="C13617" s="51" t="s">
        <v>82</v>
      </c>
      <c r="D13617" s="51" t="n">
        <v>0</v>
      </c>
    </row>
    <row r="13618" customFormat="false" ht="15" hidden="true" customHeight="false" outlineLevel="0" collapsed="false">
      <c r="A13618" s="51" t="s">
        <v>509</v>
      </c>
      <c r="B13618" s="55" t="n">
        <v>46295</v>
      </c>
      <c r="C13618" s="51" t="s">
        <v>82</v>
      </c>
      <c r="D13618" s="51" t="n">
        <v>0</v>
      </c>
    </row>
    <row r="13619" customFormat="false" ht="15" hidden="true" customHeight="false" outlineLevel="0" collapsed="false">
      <c r="A13619" s="51" t="s">
        <v>515</v>
      </c>
      <c r="B13619" s="55" t="n">
        <v>46295</v>
      </c>
      <c r="C13619" s="51" t="s">
        <v>82</v>
      </c>
      <c r="D13619" s="51" t="n">
        <v>0</v>
      </c>
    </row>
    <row r="13620" customFormat="false" ht="15" hidden="true" customHeight="false" outlineLevel="0" collapsed="false">
      <c r="A13620" s="51" t="s">
        <v>520</v>
      </c>
      <c r="B13620" s="55" t="n">
        <v>46295</v>
      </c>
      <c r="C13620" s="51" t="s">
        <v>82</v>
      </c>
      <c r="D13620" s="51" t="n">
        <v>0</v>
      </c>
    </row>
    <row r="13621" customFormat="false" ht="15" hidden="true" customHeight="false" outlineLevel="0" collapsed="false">
      <c r="A13621" s="51" t="s">
        <v>525</v>
      </c>
      <c r="B13621" s="55" t="n">
        <v>46295</v>
      </c>
      <c r="C13621" s="51" t="s">
        <v>82</v>
      </c>
      <c r="D13621" s="51" t="n">
        <v>0</v>
      </c>
    </row>
    <row r="13622" customFormat="false" ht="15" hidden="true" customHeight="false" outlineLevel="0" collapsed="false">
      <c r="A13622" s="51" t="s">
        <v>531</v>
      </c>
      <c r="B13622" s="55" t="n">
        <v>46295</v>
      </c>
      <c r="C13622" s="51" t="s">
        <v>82</v>
      </c>
      <c r="D13622" s="51" t="n">
        <v>0</v>
      </c>
    </row>
    <row r="13623" customFormat="false" ht="15" hidden="true" customHeight="false" outlineLevel="0" collapsed="false">
      <c r="A13623" s="51" t="s">
        <v>536</v>
      </c>
      <c r="B13623" s="55" t="n">
        <v>46295</v>
      </c>
      <c r="C13623" s="51" t="s">
        <v>82</v>
      </c>
      <c r="D13623" s="51" t="n">
        <v>0</v>
      </c>
    </row>
    <row r="13624" customFormat="false" ht="15" hidden="true" customHeight="false" outlineLevel="0" collapsed="false">
      <c r="A13624" s="51" t="s">
        <v>541</v>
      </c>
      <c r="B13624" s="55" t="n">
        <v>46295</v>
      </c>
      <c r="C13624" s="51" t="s">
        <v>82</v>
      </c>
      <c r="D13624" s="51" t="n">
        <v>0</v>
      </c>
    </row>
    <row r="13625" customFormat="false" ht="15" hidden="true" customHeight="false" outlineLevel="0" collapsed="false">
      <c r="A13625" s="51" t="s">
        <v>549</v>
      </c>
      <c r="B13625" s="55" t="n">
        <v>46295</v>
      </c>
      <c r="C13625" s="51" t="s">
        <v>82</v>
      </c>
      <c r="D13625" s="51" t="n">
        <v>0</v>
      </c>
    </row>
    <row r="13626" customFormat="false" ht="15" hidden="true" customHeight="false" outlineLevel="0" collapsed="false">
      <c r="A13626" s="51" t="s">
        <v>554</v>
      </c>
      <c r="B13626" s="55" t="n">
        <v>46295</v>
      </c>
      <c r="C13626" s="51" t="s">
        <v>82</v>
      </c>
      <c r="D13626" s="51" t="n">
        <v>0</v>
      </c>
    </row>
    <row r="13627" customFormat="false" ht="15" hidden="true" customHeight="false" outlineLevel="0" collapsed="false">
      <c r="A13627" s="51" t="s">
        <v>559</v>
      </c>
      <c r="B13627" s="55" t="n">
        <v>46295</v>
      </c>
      <c r="C13627" s="51" t="s">
        <v>82</v>
      </c>
      <c r="D13627" s="51" t="n">
        <v>0</v>
      </c>
    </row>
    <row r="13628" customFormat="false" ht="15" hidden="true" customHeight="false" outlineLevel="0" collapsed="false">
      <c r="A13628" s="51" t="s">
        <v>564</v>
      </c>
      <c r="B13628" s="55" t="n">
        <v>46295</v>
      </c>
      <c r="C13628" s="51" t="s">
        <v>82</v>
      </c>
      <c r="D13628" s="51" t="n">
        <v>0</v>
      </c>
    </row>
    <row r="13629" customFormat="false" ht="15" hidden="true" customHeight="false" outlineLevel="0" collapsed="false">
      <c r="A13629" s="51" t="s">
        <v>569</v>
      </c>
      <c r="B13629" s="55" t="n">
        <v>46295</v>
      </c>
      <c r="C13629" s="51" t="s">
        <v>82</v>
      </c>
      <c r="D13629" s="51" t="n">
        <v>0</v>
      </c>
    </row>
    <row r="13630" customFormat="false" ht="15" hidden="true" customHeight="false" outlineLevel="0" collapsed="false">
      <c r="A13630" s="51" t="s">
        <v>574</v>
      </c>
      <c r="B13630" s="55" t="n">
        <v>46295</v>
      </c>
      <c r="C13630" s="51" t="s">
        <v>82</v>
      </c>
      <c r="D13630" s="51" t="n">
        <v>0</v>
      </c>
    </row>
    <row r="13631" customFormat="false" ht="15" hidden="true" customHeight="false" outlineLevel="0" collapsed="false">
      <c r="A13631" s="51" t="s">
        <v>579</v>
      </c>
      <c r="B13631" s="55" t="n">
        <v>46295</v>
      </c>
      <c r="C13631" s="51" t="s">
        <v>82</v>
      </c>
      <c r="D13631" s="51" t="n">
        <v>0</v>
      </c>
    </row>
    <row r="13632" customFormat="false" ht="15" hidden="true" customHeight="false" outlineLevel="0" collapsed="false">
      <c r="A13632" s="51" t="s">
        <v>584</v>
      </c>
      <c r="B13632" s="55" t="n">
        <v>46295</v>
      </c>
      <c r="C13632" s="51" t="s">
        <v>82</v>
      </c>
      <c r="D13632" s="51" t="n">
        <v>0</v>
      </c>
    </row>
    <row r="13633" customFormat="false" ht="15" hidden="true" customHeight="false" outlineLevel="0" collapsed="false">
      <c r="A13633" s="51" t="s">
        <v>589</v>
      </c>
      <c r="B13633" s="55" t="n">
        <v>46295</v>
      </c>
      <c r="C13633" s="51" t="s">
        <v>82</v>
      </c>
      <c r="D13633" s="51" t="n">
        <v>0</v>
      </c>
    </row>
    <row r="13634" customFormat="false" ht="15" hidden="true" customHeight="false" outlineLevel="0" collapsed="false">
      <c r="A13634" s="51" t="s">
        <v>756</v>
      </c>
      <c r="B13634" s="55" t="n">
        <v>46295</v>
      </c>
      <c r="C13634" s="51" t="s">
        <v>82</v>
      </c>
      <c r="D13634" s="51" t="n">
        <v>0</v>
      </c>
    </row>
    <row r="13635" customFormat="false" ht="15" hidden="true" customHeight="false" outlineLevel="0" collapsed="false">
      <c r="A13635" s="51" t="s">
        <v>594</v>
      </c>
      <c r="B13635" s="55" t="n">
        <v>46295</v>
      </c>
      <c r="C13635" s="51" t="s">
        <v>82</v>
      </c>
      <c r="D13635" s="51" t="n">
        <v>0</v>
      </c>
    </row>
    <row r="13636" customFormat="false" ht="15" hidden="true" customHeight="false" outlineLevel="0" collapsed="false">
      <c r="A13636" s="51" t="s">
        <v>761</v>
      </c>
      <c r="B13636" s="55" t="n">
        <v>46295</v>
      </c>
      <c r="C13636" s="51" t="s">
        <v>82</v>
      </c>
      <c r="D13636" s="51" t="n">
        <v>0</v>
      </c>
    </row>
    <row r="13637" customFormat="false" ht="15" hidden="true" customHeight="false" outlineLevel="0" collapsed="false">
      <c r="A13637" s="51" t="s">
        <v>599</v>
      </c>
      <c r="B13637" s="55" t="n">
        <v>46295</v>
      </c>
      <c r="C13637" s="51" t="s">
        <v>82</v>
      </c>
      <c r="D13637" s="51" t="n">
        <v>0</v>
      </c>
    </row>
    <row r="13638" customFormat="false" ht="15" hidden="true" customHeight="false" outlineLevel="0" collapsed="false">
      <c r="A13638" s="51" t="s">
        <v>604</v>
      </c>
      <c r="B13638" s="55" t="n">
        <v>46295</v>
      </c>
      <c r="C13638" s="51" t="s">
        <v>82</v>
      </c>
      <c r="D13638" s="51" t="n">
        <v>0</v>
      </c>
    </row>
    <row r="13639" customFormat="false" ht="15" hidden="true" customHeight="false" outlineLevel="0" collapsed="false">
      <c r="A13639" s="51" t="s">
        <v>609</v>
      </c>
      <c r="B13639" s="55" t="n">
        <v>46295</v>
      </c>
      <c r="C13639" s="51" t="s">
        <v>82</v>
      </c>
      <c r="D13639" s="51" t="n">
        <v>0</v>
      </c>
    </row>
    <row r="13640" customFormat="false" ht="15" hidden="true" customHeight="false" outlineLevel="0" collapsed="false">
      <c r="A13640" s="51" t="s">
        <v>614</v>
      </c>
      <c r="B13640" s="55" t="n">
        <v>46295</v>
      </c>
      <c r="C13640" s="51" t="s">
        <v>82</v>
      </c>
      <c r="D13640" s="51" t="n">
        <v>0</v>
      </c>
    </row>
    <row r="13641" customFormat="false" ht="15" hidden="true" customHeight="false" outlineLevel="0" collapsed="false">
      <c r="A13641" s="51" t="s">
        <v>619</v>
      </c>
      <c r="B13641" s="55" t="n">
        <v>46295</v>
      </c>
      <c r="C13641" s="51" t="s">
        <v>82</v>
      </c>
      <c r="D13641" s="51" t="n">
        <v>0</v>
      </c>
    </row>
    <row r="13642" customFormat="false" ht="15" hidden="true" customHeight="false" outlineLevel="0" collapsed="false">
      <c r="A13642" s="51" t="s">
        <v>624</v>
      </c>
      <c r="B13642" s="55" t="n">
        <v>46295</v>
      </c>
      <c r="C13642" s="51" t="s">
        <v>82</v>
      </c>
      <c r="D13642" s="51" t="n">
        <v>0</v>
      </c>
    </row>
    <row r="13643" customFormat="false" ht="15" hidden="true" customHeight="false" outlineLevel="0" collapsed="false">
      <c r="A13643" s="51" t="s">
        <v>629</v>
      </c>
      <c r="B13643" s="55" t="n">
        <v>46295</v>
      </c>
      <c r="C13643" s="51" t="s">
        <v>82</v>
      </c>
      <c r="D13643" s="51" t="n">
        <v>0</v>
      </c>
    </row>
    <row r="13644" customFormat="false" ht="15" hidden="true" customHeight="false" outlineLevel="0" collapsed="false">
      <c r="A13644" s="51" t="s">
        <v>633</v>
      </c>
      <c r="B13644" s="55" t="n">
        <v>46295</v>
      </c>
      <c r="C13644" s="51" t="s">
        <v>82</v>
      </c>
      <c r="D13644" s="51" t="n">
        <v>0</v>
      </c>
    </row>
    <row r="13645" customFormat="false" ht="15" hidden="true" customHeight="false" outlineLevel="0" collapsed="false">
      <c r="A13645" s="51" t="s">
        <v>638</v>
      </c>
      <c r="B13645" s="55" t="n">
        <v>46295</v>
      </c>
      <c r="C13645" s="51" t="s">
        <v>82</v>
      </c>
      <c r="D13645" s="51" t="n">
        <v>0</v>
      </c>
    </row>
    <row r="13646" customFormat="false" ht="15" hidden="true" customHeight="false" outlineLevel="0" collapsed="false">
      <c r="A13646" s="51" t="s">
        <v>642</v>
      </c>
      <c r="B13646" s="55" t="n">
        <v>46295</v>
      </c>
      <c r="C13646" s="51" t="s">
        <v>82</v>
      </c>
      <c r="D13646" s="51" t="n">
        <v>0</v>
      </c>
    </row>
    <row r="13647" customFormat="false" ht="15" hidden="true" customHeight="false" outlineLevel="0" collapsed="false">
      <c r="A13647" s="51" t="s">
        <v>646</v>
      </c>
      <c r="B13647" s="55" t="n">
        <v>46295</v>
      </c>
      <c r="C13647" s="51" t="s">
        <v>82</v>
      </c>
      <c r="D13647" s="51" t="n">
        <v>0</v>
      </c>
    </row>
    <row r="13648" customFormat="false" ht="15" hidden="true" customHeight="false" outlineLevel="0" collapsed="false">
      <c r="A13648" s="51" t="s">
        <v>651</v>
      </c>
      <c r="B13648" s="55" t="n">
        <v>46295</v>
      </c>
      <c r="C13648" s="51" t="s">
        <v>82</v>
      </c>
      <c r="D13648" s="51" t="n">
        <v>0</v>
      </c>
    </row>
    <row r="13649" customFormat="false" ht="15" hidden="true" customHeight="false" outlineLevel="0" collapsed="false">
      <c r="A13649" s="51" t="s">
        <v>656</v>
      </c>
      <c r="B13649" s="55" t="n">
        <v>46295</v>
      </c>
      <c r="C13649" s="51" t="s">
        <v>82</v>
      </c>
      <c r="D13649" s="51" t="n">
        <v>0</v>
      </c>
    </row>
    <row r="13650" customFormat="false" ht="15" hidden="true" customHeight="false" outlineLevel="0" collapsed="false">
      <c r="A13650" s="51" t="s">
        <v>661</v>
      </c>
      <c r="B13650" s="55" t="n">
        <v>46295</v>
      </c>
      <c r="C13650" s="51" t="s">
        <v>82</v>
      </c>
      <c r="D13650" s="51" t="n">
        <v>0</v>
      </c>
    </row>
    <row r="13651" customFormat="false" ht="15" hidden="true" customHeight="false" outlineLevel="0" collapsed="false">
      <c r="A13651" s="51" t="s">
        <v>666</v>
      </c>
      <c r="B13651" s="55" t="n">
        <v>46295</v>
      </c>
      <c r="C13651" s="51" t="s">
        <v>82</v>
      </c>
      <c r="D13651" s="51" t="n">
        <v>0</v>
      </c>
    </row>
    <row r="13652" customFormat="false" ht="15" hidden="true" customHeight="false" outlineLevel="0" collapsed="false">
      <c r="A13652" s="51" t="s">
        <v>671</v>
      </c>
      <c r="B13652" s="55" t="n">
        <v>46295</v>
      </c>
      <c r="C13652" s="51" t="s">
        <v>82</v>
      </c>
      <c r="D13652" s="51" t="n">
        <v>0</v>
      </c>
    </row>
    <row r="13653" customFormat="false" ht="15" hidden="true" customHeight="false" outlineLevel="0" collapsed="false">
      <c r="A13653" s="51" t="s">
        <v>676</v>
      </c>
      <c r="B13653" s="55" t="n">
        <v>46295</v>
      </c>
      <c r="C13653" s="51" t="s">
        <v>82</v>
      </c>
      <c r="D13653" s="51" t="n">
        <v>0</v>
      </c>
    </row>
    <row r="13654" customFormat="false" ht="15" hidden="true" customHeight="false" outlineLevel="0" collapsed="false">
      <c r="A13654" s="51" t="s">
        <v>681</v>
      </c>
      <c r="B13654" s="55" t="n">
        <v>46295</v>
      </c>
      <c r="C13654" s="51" t="s">
        <v>82</v>
      </c>
      <c r="D13654" s="51" t="n">
        <v>0</v>
      </c>
    </row>
    <row r="13655" customFormat="false" ht="15" hidden="true" customHeight="false" outlineLevel="0" collapsed="false">
      <c r="A13655" s="51" t="s">
        <v>686</v>
      </c>
      <c r="B13655" s="55" t="n">
        <v>46295</v>
      </c>
      <c r="C13655" s="51" t="s">
        <v>82</v>
      </c>
      <c r="D13655" s="51" t="n">
        <v>0</v>
      </c>
    </row>
    <row r="13656" customFormat="false" ht="15" hidden="true" customHeight="false" outlineLevel="0" collapsed="false">
      <c r="A13656" s="51" t="s">
        <v>691</v>
      </c>
      <c r="B13656" s="55" t="n">
        <v>46295</v>
      </c>
      <c r="C13656" s="51" t="s">
        <v>82</v>
      </c>
      <c r="D13656" s="51" t="n">
        <v>0</v>
      </c>
    </row>
    <row r="13657" customFormat="false" ht="15" hidden="true" customHeight="false" outlineLevel="0" collapsed="false">
      <c r="A13657" s="51" t="s">
        <v>696</v>
      </c>
      <c r="B13657" s="55" t="n">
        <v>46295</v>
      </c>
      <c r="C13657" s="51" t="s">
        <v>82</v>
      </c>
      <c r="D13657" s="51" t="n">
        <v>0</v>
      </c>
    </row>
    <row r="13658" customFormat="false" ht="15" hidden="true" customHeight="false" outlineLevel="0" collapsed="false">
      <c r="A13658" s="51" t="s">
        <v>701</v>
      </c>
      <c r="B13658" s="55" t="n">
        <v>46295</v>
      </c>
      <c r="C13658" s="51" t="s">
        <v>82</v>
      </c>
      <c r="D13658" s="51" t="n">
        <v>0</v>
      </c>
    </row>
    <row r="13659" customFormat="false" ht="15" hidden="true" customHeight="false" outlineLevel="0" collapsed="false">
      <c r="A13659" s="51" t="s">
        <v>707</v>
      </c>
      <c r="B13659" s="55" t="n">
        <v>46295</v>
      </c>
      <c r="C13659" s="51" t="s">
        <v>82</v>
      </c>
      <c r="D13659" s="51" t="n">
        <v>0</v>
      </c>
    </row>
    <row r="13660" customFormat="false" ht="15" hidden="true" customHeight="false" outlineLevel="0" collapsed="false">
      <c r="A13660" s="51" t="s">
        <v>712</v>
      </c>
      <c r="B13660" s="55" t="n">
        <v>46295</v>
      </c>
      <c r="C13660" s="51" t="s">
        <v>82</v>
      </c>
      <c r="D13660" s="51" t="n">
        <v>0</v>
      </c>
    </row>
    <row r="13661" customFormat="false" ht="15" hidden="true" customHeight="false" outlineLevel="0" collapsed="false">
      <c r="A13661" s="51" t="s">
        <v>717</v>
      </c>
      <c r="B13661" s="55" t="n">
        <v>46295</v>
      </c>
      <c r="C13661" s="51" t="s">
        <v>82</v>
      </c>
      <c r="D13661" s="51" t="n">
        <v>0</v>
      </c>
    </row>
    <row r="13662" customFormat="false" ht="15" hidden="true" customHeight="false" outlineLevel="0" collapsed="false">
      <c r="A13662" s="51" t="s">
        <v>767</v>
      </c>
      <c r="B13662" s="55" t="n">
        <v>46295</v>
      </c>
      <c r="C13662" s="51" t="s">
        <v>82</v>
      </c>
      <c r="D13662" s="51" t="n">
        <v>0</v>
      </c>
    </row>
    <row r="13663" customFormat="false" ht="15" hidden="true" customHeight="false" outlineLevel="0" collapsed="false">
      <c r="A13663" s="51" t="s">
        <v>722</v>
      </c>
      <c r="B13663" s="55" t="n">
        <v>46295</v>
      </c>
      <c r="C13663" s="51" t="s">
        <v>82</v>
      </c>
      <c r="D13663" s="51" t="n">
        <v>0</v>
      </c>
    </row>
    <row r="13664" customFormat="false" ht="15" hidden="true" customHeight="false" outlineLevel="0" collapsed="false">
      <c r="A13664" s="51" t="s">
        <v>727</v>
      </c>
      <c r="B13664" s="55" t="n">
        <v>46295</v>
      </c>
      <c r="C13664" s="51" t="s">
        <v>82</v>
      </c>
      <c r="D13664" s="51" t="n">
        <v>0</v>
      </c>
    </row>
    <row r="13665" customFormat="false" ht="15" hidden="true" customHeight="false" outlineLevel="0" collapsed="false">
      <c r="A13665" s="51" t="s">
        <v>732</v>
      </c>
      <c r="B13665" s="55" t="n">
        <v>46295</v>
      </c>
      <c r="C13665" s="51" t="s">
        <v>82</v>
      </c>
      <c r="D13665" s="51" t="n">
        <v>0</v>
      </c>
    </row>
    <row r="13666" customFormat="false" ht="15" hidden="true" customHeight="false" outlineLevel="0" collapsed="false">
      <c r="A13666" s="51" t="s">
        <v>736</v>
      </c>
      <c r="B13666" s="55" t="n">
        <v>46295</v>
      </c>
      <c r="C13666" s="51" t="s">
        <v>82</v>
      </c>
      <c r="D13666" s="51" t="n">
        <v>0</v>
      </c>
    </row>
    <row r="13667" customFormat="false" ht="15" hidden="true" customHeight="false" outlineLevel="0" collapsed="false">
      <c r="A13667" s="51" t="s">
        <v>741</v>
      </c>
      <c r="B13667" s="55" t="n">
        <v>46295</v>
      </c>
      <c r="C13667" s="51" t="s">
        <v>82</v>
      </c>
      <c r="D13667" s="51" t="n">
        <v>0</v>
      </c>
    </row>
    <row r="13668" customFormat="false" ht="15" hidden="true" customHeight="false" outlineLevel="0" collapsed="false">
      <c r="A13668" s="51" t="s">
        <v>746</v>
      </c>
      <c r="B13668" s="55" t="n">
        <v>46295</v>
      </c>
      <c r="C13668" s="51" t="s">
        <v>82</v>
      </c>
      <c r="D13668" s="51" t="n">
        <v>0</v>
      </c>
    </row>
    <row r="13669" customFormat="false" ht="15" hidden="true" customHeight="false" outlineLevel="0" collapsed="false">
      <c r="A13669" s="51" t="s">
        <v>751</v>
      </c>
      <c r="B13669" s="55" t="n">
        <v>46295</v>
      </c>
      <c r="C13669" s="51" t="s">
        <v>82</v>
      </c>
      <c r="D13669" s="51" t="n">
        <v>0</v>
      </c>
    </row>
    <row r="13670" customFormat="false" ht="15" hidden="false" customHeight="false" outlineLevel="0" collapsed="false">
      <c r="A13670" s="51" t="s">
        <v>781</v>
      </c>
      <c r="B13670" s="55" t="n">
        <v>46295</v>
      </c>
      <c r="C13670" s="51" t="s">
        <v>73</v>
      </c>
      <c r="D13670" s="51" t="n">
        <v>0</v>
      </c>
    </row>
    <row r="13671" customFormat="false" ht="15" hidden="true" customHeight="false" outlineLevel="0" collapsed="false">
      <c r="A13671" s="51" t="s">
        <v>783</v>
      </c>
      <c r="B13671" s="55" t="n">
        <v>46295</v>
      </c>
      <c r="C13671" s="51" t="s">
        <v>73</v>
      </c>
      <c r="D13671" s="51" t="n">
        <v>0</v>
      </c>
    </row>
    <row r="13672" customFormat="false" ht="15" hidden="true" customHeight="false" outlineLevel="0" collapsed="false">
      <c r="A13672" s="51" t="s">
        <v>96</v>
      </c>
      <c r="B13672" s="55" t="n">
        <v>46295</v>
      </c>
      <c r="C13672" s="51" t="s">
        <v>73</v>
      </c>
      <c r="D13672" s="51" t="n">
        <v>0</v>
      </c>
    </row>
    <row r="13673" customFormat="false" ht="15" hidden="true" customHeight="false" outlineLevel="0" collapsed="false">
      <c r="A13673" s="51" t="s">
        <v>101</v>
      </c>
      <c r="B13673" s="55" t="n">
        <v>46295</v>
      </c>
      <c r="C13673" s="51" t="s">
        <v>73</v>
      </c>
      <c r="D13673" s="51" t="n">
        <v>0</v>
      </c>
    </row>
    <row r="13674" customFormat="false" ht="15" hidden="true" customHeight="false" outlineLevel="0" collapsed="false">
      <c r="A13674" s="51" t="s">
        <v>106</v>
      </c>
      <c r="B13674" s="55" t="n">
        <v>46295</v>
      </c>
      <c r="C13674" s="51" t="s">
        <v>73</v>
      </c>
      <c r="D13674" s="51" t="n">
        <v>0</v>
      </c>
    </row>
    <row r="13675" customFormat="false" ht="15" hidden="true" customHeight="false" outlineLevel="0" collapsed="false">
      <c r="A13675" s="51" t="s">
        <v>110</v>
      </c>
      <c r="B13675" s="55" t="n">
        <v>46295</v>
      </c>
      <c r="C13675" s="51" t="s">
        <v>73</v>
      </c>
      <c r="D13675" s="51" t="n">
        <v>0</v>
      </c>
    </row>
    <row r="13676" customFormat="false" ht="15" hidden="true" customHeight="false" outlineLevel="0" collapsed="false">
      <c r="A13676" s="51" t="s">
        <v>115</v>
      </c>
      <c r="B13676" s="55" t="n">
        <v>46295</v>
      </c>
      <c r="C13676" s="51" t="s">
        <v>73</v>
      </c>
      <c r="D13676" s="51" t="n">
        <v>0</v>
      </c>
    </row>
    <row r="13677" customFormat="false" ht="15" hidden="true" customHeight="false" outlineLevel="0" collapsed="false">
      <c r="A13677" s="51" t="s">
        <v>120</v>
      </c>
      <c r="B13677" s="55" t="n">
        <v>46295</v>
      </c>
      <c r="C13677" s="51" t="s">
        <v>73</v>
      </c>
      <c r="D13677" s="51" t="n">
        <v>0</v>
      </c>
    </row>
    <row r="13678" customFormat="false" ht="15" hidden="true" customHeight="false" outlineLevel="0" collapsed="false">
      <c r="A13678" s="51" t="s">
        <v>124</v>
      </c>
      <c r="B13678" s="55" t="n">
        <v>46295</v>
      </c>
      <c r="C13678" s="51" t="s">
        <v>73</v>
      </c>
      <c r="D13678" s="51" t="n">
        <v>0</v>
      </c>
    </row>
    <row r="13679" customFormat="false" ht="15" hidden="true" customHeight="false" outlineLevel="0" collapsed="false">
      <c r="A13679" s="51" t="s">
        <v>129</v>
      </c>
      <c r="B13679" s="55" t="n">
        <v>46295</v>
      </c>
      <c r="C13679" s="51" t="s">
        <v>73</v>
      </c>
      <c r="D13679" s="51" t="n">
        <v>0</v>
      </c>
    </row>
    <row r="13680" customFormat="false" ht="15" hidden="true" customHeight="false" outlineLevel="0" collapsed="false">
      <c r="A13680" s="51" t="s">
        <v>134</v>
      </c>
      <c r="B13680" s="55" t="n">
        <v>46295</v>
      </c>
      <c r="C13680" s="51" t="s">
        <v>73</v>
      </c>
      <c r="D13680" s="51" t="n">
        <v>0</v>
      </c>
    </row>
    <row r="13681" customFormat="false" ht="15" hidden="true" customHeight="false" outlineLevel="0" collapsed="false">
      <c r="A13681" s="51" t="s">
        <v>141</v>
      </c>
      <c r="B13681" s="55" t="n">
        <v>46295</v>
      </c>
      <c r="C13681" s="51" t="s">
        <v>73</v>
      </c>
      <c r="D13681" s="51" t="n">
        <v>0</v>
      </c>
    </row>
    <row r="13682" customFormat="false" ht="15" hidden="true" customHeight="false" outlineLevel="0" collapsed="false">
      <c r="A13682" s="51" t="s">
        <v>146</v>
      </c>
      <c r="B13682" s="55" t="n">
        <v>46295</v>
      </c>
      <c r="C13682" s="51" t="s">
        <v>73</v>
      </c>
      <c r="D13682" s="51" t="n">
        <v>0</v>
      </c>
    </row>
    <row r="13683" customFormat="false" ht="15" hidden="true" customHeight="false" outlineLevel="0" collapsed="false">
      <c r="A13683" s="51" t="s">
        <v>151</v>
      </c>
      <c r="B13683" s="55" t="n">
        <v>46295</v>
      </c>
      <c r="C13683" s="51" t="s">
        <v>73</v>
      </c>
      <c r="D13683" s="51" t="n">
        <v>0</v>
      </c>
    </row>
    <row r="13684" customFormat="false" ht="15" hidden="true" customHeight="false" outlineLevel="0" collapsed="false">
      <c r="A13684" s="51" t="s">
        <v>156</v>
      </c>
      <c r="B13684" s="55" t="n">
        <v>46295</v>
      </c>
      <c r="C13684" s="51" t="s">
        <v>73</v>
      </c>
      <c r="D13684" s="51" t="n">
        <v>0</v>
      </c>
    </row>
    <row r="13685" customFormat="false" ht="15" hidden="true" customHeight="false" outlineLevel="0" collapsed="false">
      <c r="A13685" s="51" t="s">
        <v>161</v>
      </c>
      <c r="B13685" s="55" t="n">
        <v>46295</v>
      </c>
      <c r="C13685" s="51" t="s">
        <v>73</v>
      </c>
      <c r="D13685" s="51" t="n">
        <v>0</v>
      </c>
    </row>
    <row r="13686" customFormat="false" ht="15" hidden="true" customHeight="false" outlineLevel="0" collapsed="false">
      <c r="A13686" s="51" t="s">
        <v>166</v>
      </c>
      <c r="B13686" s="55" t="n">
        <v>46295</v>
      </c>
      <c r="C13686" s="51" t="s">
        <v>73</v>
      </c>
      <c r="D13686" s="51" t="n">
        <v>0</v>
      </c>
    </row>
    <row r="13687" customFormat="false" ht="15" hidden="true" customHeight="false" outlineLevel="0" collapsed="false">
      <c r="A13687" s="51" t="s">
        <v>171</v>
      </c>
      <c r="B13687" s="55" t="n">
        <v>46295</v>
      </c>
      <c r="C13687" s="51" t="s">
        <v>73</v>
      </c>
      <c r="D13687" s="51" t="n">
        <v>0</v>
      </c>
    </row>
    <row r="13688" customFormat="false" ht="15" hidden="true" customHeight="false" outlineLevel="0" collapsed="false">
      <c r="A13688" s="51" t="s">
        <v>176</v>
      </c>
      <c r="B13688" s="55" t="n">
        <v>46295</v>
      </c>
      <c r="C13688" s="51" t="s">
        <v>73</v>
      </c>
      <c r="D13688" s="51" t="n">
        <v>0</v>
      </c>
    </row>
    <row r="13689" customFormat="false" ht="15" hidden="true" customHeight="false" outlineLevel="0" collapsed="false">
      <c r="A13689" s="51" t="s">
        <v>181</v>
      </c>
      <c r="B13689" s="55" t="n">
        <v>46295</v>
      </c>
      <c r="C13689" s="51" t="s">
        <v>73</v>
      </c>
      <c r="D13689" s="51" t="n">
        <v>0</v>
      </c>
    </row>
    <row r="13690" customFormat="false" ht="15" hidden="true" customHeight="false" outlineLevel="0" collapsed="false">
      <c r="A13690" s="51" t="s">
        <v>186</v>
      </c>
      <c r="B13690" s="55" t="n">
        <v>46295</v>
      </c>
      <c r="C13690" s="51" t="s">
        <v>73</v>
      </c>
      <c r="D13690" s="51" t="n">
        <v>0</v>
      </c>
    </row>
    <row r="13691" customFormat="false" ht="15" hidden="true" customHeight="false" outlineLevel="0" collapsed="false">
      <c r="A13691" s="51" t="s">
        <v>191</v>
      </c>
      <c r="B13691" s="55" t="n">
        <v>46295</v>
      </c>
      <c r="C13691" s="51" t="s">
        <v>73</v>
      </c>
      <c r="D13691" s="51" t="n">
        <v>0</v>
      </c>
    </row>
    <row r="13692" customFormat="false" ht="15" hidden="true" customHeight="false" outlineLevel="0" collapsed="false">
      <c r="A13692" s="51" t="s">
        <v>196</v>
      </c>
      <c r="B13692" s="55" t="n">
        <v>46295</v>
      </c>
      <c r="C13692" s="51" t="s">
        <v>73</v>
      </c>
      <c r="D13692" s="51" t="n">
        <v>0</v>
      </c>
    </row>
    <row r="13693" customFormat="false" ht="15" hidden="true" customHeight="false" outlineLevel="0" collapsed="false">
      <c r="A13693" s="51" t="s">
        <v>201</v>
      </c>
      <c r="B13693" s="55" t="n">
        <v>46295</v>
      </c>
      <c r="C13693" s="51" t="s">
        <v>73</v>
      </c>
      <c r="D13693" s="51" t="n">
        <v>0</v>
      </c>
    </row>
    <row r="13694" customFormat="false" ht="15" hidden="true" customHeight="false" outlineLevel="0" collapsed="false">
      <c r="A13694" s="51" t="s">
        <v>206</v>
      </c>
      <c r="B13694" s="55" t="n">
        <v>46295</v>
      </c>
      <c r="C13694" s="51" t="s">
        <v>73</v>
      </c>
      <c r="D13694" s="51" t="n">
        <v>0</v>
      </c>
    </row>
    <row r="13695" customFormat="false" ht="15" hidden="true" customHeight="false" outlineLevel="0" collapsed="false">
      <c r="A13695" s="51" t="s">
        <v>210</v>
      </c>
      <c r="B13695" s="55" t="n">
        <v>46295</v>
      </c>
      <c r="C13695" s="51" t="s">
        <v>73</v>
      </c>
      <c r="D13695" s="51" t="n">
        <v>0</v>
      </c>
    </row>
    <row r="13696" customFormat="false" ht="15" hidden="true" customHeight="false" outlineLevel="0" collapsed="false">
      <c r="A13696" s="51" t="s">
        <v>215</v>
      </c>
      <c r="B13696" s="55" t="n">
        <v>46295</v>
      </c>
      <c r="C13696" s="51" t="s">
        <v>73</v>
      </c>
      <c r="D13696" s="51" t="n">
        <v>0</v>
      </c>
    </row>
    <row r="13697" customFormat="false" ht="15" hidden="true" customHeight="false" outlineLevel="0" collapsed="false">
      <c r="A13697" s="51" t="s">
        <v>790</v>
      </c>
      <c r="B13697" s="55" t="n">
        <v>46295</v>
      </c>
      <c r="C13697" s="51" t="s">
        <v>73</v>
      </c>
      <c r="D13697" s="51" t="n">
        <v>0</v>
      </c>
    </row>
    <row r="13698" customFormat="false" ht="15" hidden="true" customHeight="false" outlineLevel="0" collapsed="false">
      <c r="A13698" s="51" t="s">
        <v>225</v>
      </c>
      <c r="B13698" s="55" t="n">
        <v>46295</v>
      </c>
      <c r="C13698" s="51" t="s">
        <v>73</v>
      </c>
      <c r="D13698" s="51" t="n">
        <v>0</v>
      </c>
    </row>
    <row r="13699" customFormat="false" ht="15" hidden="true" customHeight="false" outlineLevel="0" collapsed="false">
      <c r="A13699" s="51" t="s">
        <v>230</v>
      </c>
      <c r="B13699" s="55" t="n">
        <v>46295</v>
      </c>
      <c r="C13699" s="51" t="s">
        <v>73</v>
      </c>
      <c r="D13699" s="51" t="n">
        <v>0</v>
      </c>
    </row>
    <row r="13700" customFormat="false" ht="15" hidden="true" customHeight="false" outlineLevel="0" collapsed="false">
      <c r="A13700" s="51" t="s">
        <v>235</v>
      </c>
      <c r="B13700" s="55" t="n">
        <v>46295</v>
      </c>
      <c r="C13700" s="51" t="s">
        <v>73</v>
      </c>
      <c r="D13700" s="51" t="n">
        <v>0</v>
      </c>
    </row>
    <row r="13701" customFormat="false" ht="15" hidden="true" customHeight="false" outlineLevel="0" collapsed="false">
      <c r="A13701" s="51" t="s">
        <v>240</v>
      </c>
      <c r="B13701" s="55" t="n">
        <v>46295</v>
      </c>
      <c r="C13701" s="51" t="s">
        <v>73</v>
      </c>
      <c r="D13701" s="51" t="n">
        <v>0</v>
      </c>
    </row>
    <row r="13702" customFormat="false" ht="15" hidden="true" customHeight="false" outlineLevel="0" collapsed="false">
      <c r="A13702" s="51" t="s">
        <v>246</v>
      </c>
      <c r="B13702" s="55" t="n">
        <v>46295</v>
      </c>
      <c r="C13702" s="51" t="s">
        <v>73</v>
      </c>
      <c r="D13702" s="51" t="n">
        <v>0</v>
      </c>
    </row>
    <row r="13703" customFormat="false" ht="15" hidden="true" customHeight="false" outlineLevel="0" collapsed="false">
      <c r="A13703" s="51" t="s">
        <v>252</v>
      </c>
      <c r="B13703" s="55" t="n">
        <v>46295</v>
      </c>
      <c r="C13703" s="51" t="s">
        <v>73</v>
      </c>
      <c r="D13703" s="51" t="n">
        <v>0</v>
      </c>
    </row>
    <row r="13704" customFormat="false" ht="15" hidden="true" customHeight="false" outlineLevel="0" collapsed="false">
      <c r="A13704" s="51" t="s">
        <v>257</v>
      </c>
      <c r="B13704" s="55" t="n">
        <v>46295</v>
      </c>
      <c r="C13704" s="51" t="s">
        <v>73</v>
      </c>
      <c r="D13704" s="51" t="n">
        <v>0</v>
      </c>
    </row>
    <row r="13705" customFormat="false" ht="15" hidden="true" customHeight="false" outlineLevel="0" collapsed="false">
      <c r="A13705" s="51" t="s">
        <v>262</v>
      </c>
      <c r="B13705" s="55" t="n">
        <v>46295</v>
      </c>
      <c r="C13705" s="51" t="s">
        <v>73</v>
      </c>
      <c r="D13705" s="51" t="n">
        <v>0</v>
      </c>
    </row>
    <row r="13706" customFormat="false" ht="15" hidden="true" customHeight="false" outlineLevel="0" collapsed="false">
      <c r="A13706" s="51" t="s">
        <v>267</v>
      </c>
      <c r="B13706" s="55" t="n">
        <v>46295</v>
      </c>
      <c r="C13706" s="51" t="s">
        <v>73</v>
      </c>
      <c r="D13706" s="51" t="n">
        <v>0</v>
      </c>
    </row>
    <row r="13707" customFormat="false" ht="15" hidden="true" customHeight="false" outlineLevel="0" collapsed="false">
      <c r="A13707" s="51" t="s">
        <v>272</v>
      </c>
      <c r="B13707" s="55" t="n">
        <v>46295</v>
      </c>
      <c r="C13707" s="51" t="s">
        <v>73</v>
      </c>
      <c r="D13707" s="51" t="n">
        <v>0</v>
      </c>
    </row>
    <row r="13708" customFormat="false" ht="15" hidden="true" customHeight="false" outlineLevel="0" collapsed="false">
      <c r="A13708" s="51" t="s">
        <v>277</v>
      </c>
      <c r="B13708" s="55" t="n">
        <v>46295</v>
      </c>
      <c r="C13708" s="51" t="s">
        <v>73</v>
      </c>
      <c r="D13708" s="51" t="n">
        <v>0</v>
      </c>
    </row>
    <row r="13709" customFormat="false" ht="15" hidden="true" customHeight="false" outlineLevel="0" collapsed="false">
      <c r="A13709" s="51" t="s">
        <v>282</v>
      </c>
      <c r="B13709" s="55" t="n">
        <v>46295</v>
      </c>
      <c r="C13709" s="51" t="s">
        <v>73</v>
      </c>
      <c r="D13709" s="51" t="n">
        <v>0</v>
      </c>
    </row>
    <row r="13710" customFormat="false" ht="15" hidden="true" customHeight="false" outlineLevel="0" collapsed="false">
      <c r="A13710" s="51" t="s">
        <v>287</v>
      </c>
      <c r="B13710" s="55" t="n">
        <v>46295</v>
      </c>
      <c r="C13710" s="51" t="s">
        <v>73</v>
      </c>
      <c r="D13710" s="51" t="n">
        <v>0</v>
      </c>
    </row>
    <row r="13711" customFormat="false" ht="15" hidden="true" customHeight="false" outlineLevel="0" collapsed="false">
      <c r="A13711" s="51" t="s">
        <v>292</v>
      </c>
      <c r="B13711" s="55" t="n">
        <v>46295</v>
      </c>
      <c r="C13711" s="51" t="s">
        <v>73</v>
      </c>
      <c r="D13711" s="51" t="n">
        <v>0</v>
      </c>
    </row>
    <row r="13712" customFormat="false" ht="15" hidden="true" customHeight="false" outlineLevel="0" collapsed="false">
      <c r="A13712" s="51" t="s">
        <v>297</v>
      </c>
      <c r="B13712" s="55" t="n">
        <v>46295</v>
      </c>
      <c r="C13712" s="51" t="s">
        <v>73</v>
      </c>
      <c r="D13712" s="51" t="n">
        <v>0</v>
      </c>
    </row>
    <row r="13713" customFormat="false" ht="15" hidden="true" customHeight="false" outlineLevel="0" collapsed="false">
      <c r="A13713" s="51" t="s">
        <v>302</v>
      </c>
      <c r="B13713" s="55" t="n">
        <v>46295</v>
      </c>
      <c r="C13713" s="51" t="s">
        <v>73</v>
      </c>
      <c r="D13713" s="51" t="n">
        <v>0</v>
      </c>
    </row>
    <row r="13714" customFormat="false" ht="15" hidden="true" customHeight="false" outlineLevel="0" collapsed="false">
      <c r="A13714" s="51" t="s">
        <v>307</v>
      </c>
      <c r="B13714" s="55" t="n">
        <v>46295</v>
      </c>
      <c r="C13714" s="51" t="s">
        <v>73</v>
      </c>
      <c r="D13714" s="51" t="n">
        <v>0</v>
      </c>
    </row>
    <row r="13715" customFormat="false" ht="15" hidden="true" customHeight="false" outlineLevel="0" collapsed="false">
      <c r="A13715" s="51" t="s">
        <v>311</v>
      </c>
      <c r="B13715" s="55" t="n">
        <v>46295</v>
      </c>
      <c r="C13715" s="51" t="s">
        <v>73</v>
      </c>
      <c r="D13715" s="51" t="n">
        <v>0</v>
      </c>
    </row>
    <row r="13716" customFormat="false" ht="15" hidden="true" customHeight="false" outlineLevel="0" collapsed="false">
      <c r="A13716" s="51" t="s">
        <v>317</v>
      </c>
      <c r="B13716" s="55" t="n">
        <v>46295</v>
      </c>
      <c r="C13716" s="51" t="s">
        <v>73</v>
      </c>
      <c r="D13716" s="51" t="n">
        <v>0</v>
      </c>
    </row>
    <row r="13717" customFormat="false" ht="15" hidden="true" customHeight="false" outlineLevel="0" collapsed="false">
      <c r="A13717" s="51" t="s">
        <v>322</v>
      </c>
      <c r="B13717" s="55" t="n">
        <v>46295</v>
      </c>
      <c r="C13717" s="51" t="s">
        <v>73</v>
      </c>
      <c r="D13717" s="51" t="n">
        <v>0</v>
      </c>
    </row>
    <row r="13718" customFormat="false" ht="15" hidden="true" customHeight="false" outlineLevel="0" collapsed="false">
      <c r="A13718" s="51" t="s">
        <v>327</v>
      </c>
      <c r="B13718" s="55" t="n">
        <v>46295</v>
      </c>
      <c r="C13718" s="51" t="s">
        <v>73</v>
      </c>
      <c r="D13718" s="51" t="n">
        <v>0</v>
      </c>
    </row>
    <row r="13719" customFormat="false" ht="15" hidden="true" customHeight="false" outlineLevel="0" collapsed="false">
      <c r="A13719" s="51" t="s">
        <v>332</v>
      </c>
      <c r="B13719" s="55" t="n">
        <v>46295</v>
      </c>
      <c r="C13719" s="51" t="s">
        <v>73</v>
      </c>
      <c r="D13719" s="51" t="n">
        <v>0</v>
      </c>
    </row>
    <row r="13720" customFormat="false" ht="15" hidden="true" customHeight="false" outlineLevel="0" collapsed="false">
      <c r="A13720" s="51" t="s">
        <v>339</v>
      </c>
      <c r="B13720" s="55" t="n">
        <v>46295</v>
      </c>
      <c r="C13720" s="51" t="s">
        <v>73</v>
      </c>
      <c r="D13720" s="51" t="n">
        <v>0</v>
      </c>
    </row>
    <row r="13721" customFormat="false" ht="15" hidden="true" customHeight="false" outlineLevel="0" collapsed="false">
      <c r="A13721" s="51" t="s">
        <v>344</v>
      </c>
      <c r="B13721" s="55" t="n">
        <v>46295</v>
      </c>
      <c r="C13721" s="51" t="s">
        <v>73</v>
      </c>
      <c r="D13721" s="51" t="n">
        <v>0</v>
      </c>
    </row>
    <row r="13722" customFormat="false" ht="15" hidden="true" customHeight="false" outlineLevel="0" collapsed="false">
      <c r="A13722" s="51" t="s">
        <v>349</v>
      </c>
      <c r="B13722" s="55" t="n">
        <v>46295</v>
      </c>
      <c r="C13722" s="51" t="s">
        <v>73</v>
      </c>
      <c r="D13722" s="51" t="n">
        <v>0</v>
      </c>
    </row>
    <row r="13723" customFormat="false" ht="15" hidden="true" customHeight="false" outlineLevel="0" collapsed="false">
      <c r="A13723" s="51" t="s">
        <v>354</v>
      </c>
      <c r="B13723" s="55" t="n">
        <v>46295</v>
      </c>
      <c r="C13723" s="51" t="s">
        <v>73</v>
      </c>
      <c r="D13723" s="51" t="n">
        <v>0</v>
      </c>
    </row>
    <row r="13724" customFormat="false" ht="15" hidden="true" customHeight="false" outlineLevel="0" collapsed="false">
      <c r="A13724" s="51" t="s">
        <v>359</v>
      </c>
      <c r="B13724" s="55" t="n">
        <v>46295</v>
      </c>
      <c r="C13724" s="51" t="s">
        <v>73</v>
      </c>
      <c r="D13724" s="51" t="n">
        <v>0</v>
      </c>
    </row>
    <row r="13725" customFormat="false" ht="15" hidden="true" customHeight="false" outlineLevel="0" collapsed="false">
      <c r="A13725" s="51" t="s">
        <v>364</v>
      </c>
      <c r="B13725" s="55" t="n">
        <v>46295</v>
      </c>
      <c r="C13725" s="51" t="s">
        <v>73</v>
      </c>
      <c r="D13725" s="51" t="n">
        <v>0</v>
      </c>
    </row>
    <row r="13726" customFormat="false" ht="15" hidden="true" customHeight="false" outlineLevel="0" collapsed="false">
      <c r="A13726" s="51" t="s">
        <v>369</v>
      </c>
      <c r="B13726" s="55" t="n">
        <v>46295</v>
      </c>
      <c r="C13726" s="51" t="s">
        <v>73</v>
      </c>
      <c r="D13726" s="51" t="n">
        <v>0</v>
      </c>
    </row>
    <row r="13727" customFormat="false" ht="15" hidden="true" customHeight="false" outlineLevel="0" collapsed="false">
      <c r="A13727" s="51" t="s">
        <v>374</v>
      </c>
      <c r="B13727" s="55" t="n">
        <v>46295</v>
      </c>
      <c r="C13727" s="51" t="s">
        <v>73</v>
      </c>
      <c r="D13727" s="51" t="n">
        <v>0</v>
      </c>
    </row>
    <row r="13728" customFormat="false" ht="15" hidden="true" customHeight="false" outlineLevel="0" collapsed="false">
      <c r="A13728" s="51" t="s">
        <v>379</v>
      </c>
      <c r="B13728" s="55" t="n">
        <v>46295</v>
      </c>
      <c r="C13728" s="51" t="s">
        <v>73</v>
      </c>
      <c r="D13728" s="51" t="n">
        <v>0</v>
      </c>
    </row>
    <row r="13729" customFormat="false" ht="15" hidden="true" customHeight="false" outlineLevel="0" collapsed="false">
      <c r="A13729" s="51" t="s">
        <v>384</v>
      </c>
      <c r="B13729" s="55" t="n">
        <v>46295</v>
      </c>
      <c r="C13729" s="51" t="s">
        <v>73</v>
      </c>
      <c r="D13729" s="51" t="n">
        <v>0</v>
      </c>
    </row>
    <row r="13730" customFormat="false" ht="15" hidden="true" customHeight="false" outlineLevel="0" collapsed="false">
      <c r="A13730" s="51" t="s">
        <v>389</v>
      </c>
      <c r="B13730" s="55" t="n">
        <v>46295</v>
      </c>
      <c r="C13730" s="51" t="s">
        <v>73</v>
      </c>
      <c r="D13730" s="51" t="n">
        <v>0</v>
      </c>
    </row>
    <row r="13731" customFormat="false" ht="15" hidden="true" customHeight="false" outlineLevel="0" collapsed="false">
      <c r="A13731" s="51" t="s">
        <v>394</v>
      </c>
      <c r="B13731" s="55" t="n">
        <v>46295</v>
      </c>
      <c r="C13731" s="51" t="s">
        <v>73</v>
      </c>
      <c r="D13731" s="51" t="n">
        <v>0</v>
      </c>
    </row>
    <row r="13732" customFormat="false" ht="15" hidden="true" customHeight="false" outlineLevel="0" collapsed="false">
      <c r="A13732" s="51" t="s">
        <v>399</v>
      </c>
      <c r="B13732" s="55" t="n">
        <v>46295</v>
      </c>
      <c r="C13732" s="51" t="s">
        <v>73</v>
      </c>
      <c r="D13732" s="51" t="n">
        <v>0</v>
      </c>
    </row>
    <row r="13733" customFormat="false" ht="15" hidden="true" customHeight="false" outlineLevel="0" collapsed="false">
      <c r="A13733" s="51" t="s">
        <v>404</v>
      </c>
      <c r="B13733" s="55" t="n">
        <v>46295</v>
      </c>
      <c r="C13733" s="51" t="s">
        <v>73</v>
      </c>
      <c r="D13733" s="51" t="n">
        <v>0</v>
      </c>
    </row>
    <row r="13734" customFormat="false" ht="15" hidden="true" customHeight="false" outlineLevel="0" collapsed="false">
      <c r="A13734" s="51" t="s">
        <v>409</v>
      </c>
      <c r="B13734" s="55" t="n">
        <v>46295</v>
      </c>
      <c r="C13734" s="51" t="s">
        <v>73</v>
      </c>
      <c r="D13734" s="51" t="n">
        <v>0</v>
      </c>
    </row>
    <row r="13735" customFormat="false" ht="15" hidden="true" customHeight="false" outlineLevel="0" collapsed="false">
      <c r="A13735" s="51" t="s">
        <v>414</v>
      </c>
      <c r="B13735" s="55" t="n">
        <v>46295</v>
      </c>
      <c r="C13735" s="51" t="s">
        <v>73</v>
      </c>
      <c r="D13735" s="51" t="n">
        <v>0</v>
      </c>
    </row>
    <row r="13736" customFormat="false" ht="15" hidden="true" customHeight="false" outlineLevel="0" collapsed="false">
      <c r="A13736" s="51" t="s">
        <v>419</v>
      </c>
      <c r="B13736" s="55" t="n">
        <v>46295</v>
      </c>
      <c r="C13736" s="51" t="s">
        <v>73</v>
      </c>
      <c r="D13736" s="51" t="n">
        <v>0</v>
      </c>
    </row>
    <row r="13737" customFormat="false" ht="15" hidden="true" customHeight="false" outlineLevel="0" collapsed="false">
      <c r="A13737" s="51" t="s">
        <v>424</v>
      </c>
      <c r="B13737" s="55" t="n">
        <v>46295</v>
      </c>
      <c r="C13737" s="51" t="s">
        <v>73</v>
      </c>
      <c r="D13737" s="51" t="n">
        <v>0</v>
      </c>
    </row>
    <row r="13738" customFormat="false" ht="15" hidden="true" customHeight="false" outlineLevel="0" collapsed="false">
      <c r="A13738" s="51" t="s">
        <v>429</v>
      </c>
      <c r="B13738" s="55" t="n">
        <v>46295</v>
      </c>
      <c r="C13738" s="51" t="s">
        <v>73</v>
      </c>
      <c r="D13738" s="51" t="n">
        <v>0</v>
      </c>
    </row>
    <row r="13739" customFormat="false" ht="15" hidden="true" customHeight="false" outlineLevel="0" collapsed="false">
      <c r="A13739" s="51" t="s">
        <v>434</v>
      </c>
      <c r="B13739" s="55" t="n">
        <v>46295</v>
      </c>
      <c r="C13739" s="51" t="s">
        <v>73</v>
      </c>
      <c r="D13739" s="51" t="n">
        <v>0</v>
      </c>
    </row>
    <row r="13740" customFormat="false" ht="15" hidden="true" customHeight="false" outlineLevel="0" collapsed="false">
      <c r="A13740" s="51" t="s">
        <v>438</v>
      </c>
      <c r="B13740" s="55" t="n">
        <v>46295</v>
      </c>
      <c r="C13740" s="51" t="s">
        <v>73</v>
      </c>
      <c r="D13740" s="51" t="n">
        <v>0</v>
      </c>
    </row>
    <row r="13741" customFormat="false" ht="15" hidden="true" customHeight="false" outlineLevel="0" collapsed="false">
      <c r="A13741" s="51" t="s">
        <v>443</v>
      </c>
      <c r="B13741" s="55" t="n">
        <v>46295</v>
      </c>
      <c r="C13741" s="51" t="s">
        <v>73</v>
      </c>
      <c r="D13741" s="51" t="n">
        <v>0</v>
      </c>
    </row>
    <row r="13742" customFormat="false" ht="15" hidden="true" customHeight="false" outlineLevel="0" collapsed="false">
      <c r="A13742" s="51" t="s">
        <v>448</v>
      </c>
      <c r="B13742" s="55" t="n">
        <v>46295</v>
      </c>
      <c r="C13742" s="51" t="s">
        <v>73</v>
      </c>
      <c r="D13742" s="51" t="n">
        <v>0</v>
      </c>
    </row>
    <row r="13743" customFormat="false" ht="15" hidden="true" customHeight="false" outlineLevel="0" collapsed="false">
      <c r="A13743" s="51" t="s">
        <v>453</v>
      </c>
      <c r="B13743" s="55" t="n">
        <v>46295</v>
      </c>
      <c r="C13743" s="51" t="s">
        <v>73</v>
      </c>
      <c r="D13743" s="51" t="n">
        <v>0</v>
      </c>
    </row>
    <row r="13744" customFormat="false" ht="15" hidden="true" customHeight="false" outlineLevel="0" collapsed="false">
      <c r="A13744" s="51" t="s">
        <v>458</v>
      </c>
      <c r="B13744" s="55" t="n">
        <v>46295</v>
      </c>
      <c r="C13744" s="51" t="s">
        <v>73</v>
      </c>
      <c r="D13744" s="51" t="n">
        <v>0</v>
      </c>
    </row>
    <row r="13745" customFormat="false" ht="15" hidden="true" customHeight="false" outlineLevel="0" collapsed="false">
      <c r="A13745" s="51" t="s">
        <v>473</v>
      </c>
      <c r="B13745" s="55" t="n">
        <v>46295</v>
      </c>
      <c r="C13745" s="51" t="s">
        <v>73</v>
      </c>
      <c r="D13745" s="51" t="n">
        <v>0</v>
      </c>
    </row>
    <row r="13746" customFormat="false" ht="15" hidden="true" customHeight="false" outlineLevel="0" collapsed="false">
      <c r="A13746" s="51" t="s">
        <v>479</v>
      </c>
      <c r="B13746" s="55" t="n">
        <v>46295</v>
      </c>
      <c r="C13746" s="51" t="s">
        <v>73</v>
      </c>
      <c r="D13746" s="51" t="n">
        <v>0</v>
      </c>
    </row>
    <row r="13747" customFormat="false" ht="15" hidden="true" customHeight="false" outlineLevel="0" collapsed="false">
      <c r="A13747" s="51" t="s">
        <v>484</v>
      </c>
      <c r="B13747" s="55" t="n">
        <v>46295</v>
      </c>
      <c r="C13747" s="51" t="s">
        <v>73</v>
      </c>
      <c r="D13747" s="51" t="n">
        <v>0</v>
      </c>
    </row>
    <row r="13748" customFormat="false" ht="15" hidden="true" customHeight="false" outlineLevel="0" collapsed="false">
      <c r="A13748" s="51" t="s">
        <v>489</v>
      </c>
      <c r="B13748" s="55" t="n">
        <v>46295</v>
      </c>
      <c r="C13748" s="51" t="s">
        <v>73</v>
      </c>
      <c r="D13748" s="51" t="n">
        <v>0</v>
      </c>
    </row>
    <row r="13749" customFormat="false" ht="15" hidden="true" customHeight="false" outlineLevel="0" collapsed="false">
      <c r="A13749" s="51" t="s">
        <v>494</v>
      </c>
      <c r="B13749" s="55" t="n">
        <v>46295</v>
      </c>
      <c r="C13749" s="51" t="s">
        <v>73</v>
      </c>
      <c r="D13749" s="51" t="n">
        <v>0</v>
      </c>
    </row>
    <row r="13750" customFormat="false" ht="15" hidden="true" customHeight="false" outlineLevel="0" collapsed="false">
      <c r="A13750" s="51" t="s">
        <v>499</v>
      </c>
      <c r="B13750" s="55" t="n">
        <v>46295</v>
      </c>
      <c r="C13750" s="51" t="s">
        <v>73</v>
      </c>
      <c r="D13750" s="51" t="n">
        <v>0</v>
      </c>
    </row>
    <row r="13751" customFormat="false" ht="15" hidden="true" customHeight="false" outlineLevel="0" collapsed="false">
      <c r="A13751" s="51" t="s">
        <v>504</v>
      </c>
      <c r="B13751" s="55" t="n">
        <v>46295</v>
      </c>
      <c r="C13751" s="51" t="s">
        <v>73</v>
      </c>
      <c r="D13751" s="51" t="n">
        <v>0</v>
      </c>
    </row>
    <row r="13752" customFormat="false" ht="15" hidden="true" customHeight="false" outlineLevel="0" collapsed="false">
      <c r="A13752" s="51" t="s">
        <v>509</v>
      </c>
      <c r="B13752" s="55" t="n">
        <v>46295</v>
      </c>
      <c r="C13752" s="51" t="s">
        <v>73</v>
      </c>
      <c r="D13752" s="51" t="n">
        <v>0</v>
      </c>
    </row>
    <row r="13753" customFormat="false" ht="15" hidden="true" customHeight="false" outlineLevel="0" collapsed="false">
      <c r="A13753" s="51" t="s">
        <v>515</v>
      </c>
      <c r="B13753" s="55" t="n">
        <v>46295</v>
      </c>
      <c r="C13753" s="51" t="s">
        <v>73</v>
      </c>
      <c r="D13753" s="51" t="n">
        <v>0</v>
      </c>
    </row>
    <row r="13754" customFormat="false" ht="15" hidden="true" customHeight="false" outlineLevel="0" collapsed="false">
      <c r="A13754" s="51" t="s">
        <v>520</v>
      </c>
      <c r="B13754" s="55" t="n">
        <v>46295</v>
      </c>
      <c r="C13754" s="51" t="s">
        <v>73</v>
      </c>
      <c r="D13754" s="51" t="n">
        <v>0</v>
      </c>
    </row>
    <row r="13755" customFormat="false" ht="15" hidden="true" customHeight="false" outlineLevel="0" collapsed="false">
      <c r="A13755" s="51" t="s">
        <v>525</v>
      </c>
      <c r="B13755" s="55" t="n">
        <v>46295</v>
      </c>
      <c r="C13755" s="51" t="s">
        <v>73</v>
      </c>
      <c r="D13755" s="51" t="n">
        <v>0</v>
      </c>
    </row>
    <row r="13756" customFormat="false" ht="15" hidden="true" customHeight="false" outlineLevel="0" collapsed="false">
      <c r="A13756" s="51" t="s">
        <v>531</v>
      </c>
      <c r="B13756" s="55" t="n">
        <v>46295</v>
      </c>
      <c r="C13756" s="51" t="s">
        <v>73</v>
      </c>
      <c r="D13756" s="51" t="n">
        <v>0</v>
      </c>
    </row>
    <row r="13757" customFormat="false" ht="15" hidden="true" customHeight="false" outlineLevel="0" collapsed="false">
      <c r="A13757" s="51" t="s">
        <v>536</v>
      </c>
      <c r="B13757" s="55" t="n">
        <v>46295</v>
      </c>
      <c r="C13757" s="51" t="s">
        <v>73</v>
      </c>
      <c r="D13757" s="51" t="n">
        <v>0</v>
      </c>
    </row>
    <row r="13758" customFormat="false" ht="15" hidden="true" customHeight="false" outlineLevel="0" collapsed="false">
      <c r="A13758" s="51" t="s">
        <v>541</v>
      </c>
      <c r="B13758" s="55" t="n">
        <v>46295</v>
      </c>
      <c r="C13758" s="51" t="s">
        <v>73</v>
      </c>
      <c r="D13758" s="51" t="n">
        <v>0</v>
      </c>
    </row>
    <row r="13759" customFormat="false" ht="15" hidden="true" customHeight="false" outlineLevel="0" collapsed="false">
      <c r="A13759" s="51" t="s">
        <v>549</v>
      </c>
      <c r="B13759" s="55" t="n">
        <v>46295</v>
      </c>
      <c r="C13759" s="51" t="s">
        <v>73</v>
      </c>
      <c r="D13759" s="51" t="n">
        <v>0</v>
      </c>
    </row>
    <row r="13760" customFormat="false" ht="15" hidden="true" customHeight="false" outlineLevel="0" collapsed="false">
      <c r="A13760" s="51" t="s">
        <v>554</v>
      </c>
      <c r="B13760" s="55" t="n">
        <v>46295</v>
      </c>
      <c r="C13760" s="51" t="s">
        <v>73</v>
      </c>
      <c r="D13760" s="51" t="n">
        <v>0</v>
      </c>
    </row>
    <row r="13761" customFormat="false" ht="15" hidden="true" customHeight="false" outlineLevel="0" collapsed="false">
      <c r="A13761" s="51" t="s">
        <v>559</v>
      </c>
      <c r="B13761" s="55" t="n">
        <v>46295</v>
      </c>
      <c r="C13761" s="51" t="s">
        <v>73</v>
      </c>
      <c r="D13761" s="51" t="n">
        <v>0</v>
      </c>
    </row>
    <row r="13762" customFormat="false" ht="15" hidden="true" customHeight="false" outlineLevel="0" collapsed="false">
      <c r="A13762" s="51" t="s">
        <v>564</v>
      </c>
      <c r="B13762" s="55" t="n">
        <v>46295</v>
      </c>
      <c r="C13762" s="51" t="s">
        <v>73</v>
      </c>
      <c r="D13762" s="51" t="n">
        <v>0</v>
      </c>
    </row>
    <row r="13763" customFormat="false" ht="15" hidden="true" customHeight="false" outlineLevel="0" collapsed="false">
      <c r="A13763" s="51" t="s">
        <v>569</v>
      </c>
      <c r="B13763" s="55" t="n">
        <v>46295</v>
      </c>
      <c r="C13763" s="51" t="s">
        <v>73</v>
      </c>
      <c r="D13763" s="51" t="n">
        <v>0</v>
      </c>
    </row>
    <row r="13764" customFormat="false" ht="15" hidden="true" customHeight="false" outlineLevel="0" collapsed="false">
      <c r="A13764" s="51" t="s">
        <v>574</v>
      </c>
      <c r="B13764" s="55" t="n">
        <v>46295</v>
      </c>
      <c r="C13764" s="51" t="s">
        <v>73</v>
      </c>
      <c r="D13764" s="51" t="n">
        <v>0</v>
      </c>
    </row>
    <row r="13765" customFormat="false" ht="15" hidden="true" customHeight="false" outlineLevel="0" collapsed="false">
      <c r="A13765" s="51" t="s">
        <v>579</v>
      </c>
      <c r="B13765" s="55" t="n">
        <v>46295</v>
      </c>
      <c r="C13765" s="51" t="s">
        <v>73</v>
      </c>
      <c r="D13765" s="51" t="n">
        <v>0</v>
      </c>
    </row>
    <row r="13766" customFormat="false" ht="15" hidden="true" customHeight="false" outlineLevel="0" collapsed="false">
      <c r="A13766" s="51" t="s">
        <v>584</v>
      </c>
      <c r="B13766" s="55" t="n">
        <v>46295</v>
      </c>
      <c r="C13766" s="51" t="s">
        <v>73</v>
      </c>
      <c r="D13766" s="51" t="n">
        <v>0</v>
      </c>
    </row>
    <row r="13767" customFormat="false" ht="15" hidden="true" customHeight="false" outlineLevel="0" collapsed="false">
      <c r="A13767" s="51" t="s">
        <v>589</v>
      </c>
      <c r="B13767" s="55" t="n">
        <v>46295</v>
      </c>
      <c r="C13767" s="51" t="s">
        <v>73</v>
      </c>
      <c r="D13767" s="51" t="n">
        <v>0</v>
      </c>
    </row>
    <row r="13768" customFormat="false" ht="15" hidden="true" customHeight="false" outlineLevel="0" collapsed="false">
      <c r="A13768" s="51" t="s">
        <v>756</v>
      </c>
      <c r="B13768" s="55" t="n">
        <v>46295</v>
      </c>
      <c r="C13768" s="51" t="s">
        <v>73</v>
      </c>
      <c r="D13768" s="51" t="n">
        <v>0</v>
      </c>
    </row>
    <row r="13769" customFormat="false" ht="15" hidden="true" customHeight="false" outlineLevel="0" collapsed="false">
      <c r="A13769" s="51" t="s">
        <v>594</v>
      </c>
      <c r="B13769" s="55" t="n">
        <v>46295</v>
      </c>
      <c r="C13769" s="51" t="s">
        <v>73</v>
      </c>
      <c r="D13769" s="51" t="n">
        <v>0</v>
      </c>
    </row>
    <row r="13770" customFormat="false" ht="15" hidden="true" customHeight="false" outlineLevel="0" collapsed="false">
      <c r="A13770" s="51" t="s">
        <v>761</v>
      </c>
      <c r="B13770" s="55" t="n">
        <v>46295</v>
      </c>
      <c r="C13770" s="51" t="s">
        <v>73</v>
      </c>
      <c r="D13770" s="51" t="n">
        <v>0</v>
      </c>
    </row>
    <row r="13771" customFormat="false" ht="15" hidden="true" customHeight="false" outlineLevel="0" collapsed="false">
      <c r="A13771" s="51" t="s">
        <v>599</v>
      </c>
      <c r="B13771" s="55" t="n">
        <v>46295</v>
      </c>
      <c r="C13771" s="51" t="s">
        <v>73</v>
      </c>
      <c r="D13771" s="51" t="n">
        <v>0</v>
      </c>
    </row>
    <row r="13772" customFormat="false" ht="15" hidden="true" customHeight="false" outlineLevel="0" collapsed="false">
      <c r="A13772" s="51" t="s">
        <v>604</v>
      </c>
      <c r="B13772" s="55" t="n">
        <v>46295</v>
      </c>
      <c r="C13772" s="51" t="s">
        <v>73</v>
      </c>
      <c r="D13772" s="51" t="n">
        <v>0</v>
      </c>
    </row>
    <row r="13773" customFormat="false" ht="15" hidden="true" customHeight="false" outlineLevel="0" collapsed="false">
      <c r="A13773" s="51" t="s">
        <v>609</v>
      </c>
      <c r="B13773" s="55" t="n">
        <v>46295</v>
      </c>
      <c r="C13773" s="51" t="s">
        <v>73</v>
      </c>
      <c r="D13773" s="51" t="n">
        <v>0</v>
      </c>
    </row>
    <row r="13774" customFormat="false" ht="15" hidden="true" customHeight="false" outlineLevel="0" collapsed="false">
      <c r="A13774" s="51" t="s">
        <v>614</v>
      </c>
      <c r="B13774" s="55" t="n">
        <v>46295</v>
      </c>
      <c r="C13774" s="51" t="s">
        <v>73</v>
      </c>
      <c r="D13774" s="51" t="n">
        <v>0</v>
      </c>
    </row>
    <row r="13775" customFormat="false" ht="15" hidden="true" customHeight="false" outlineLevel="0" collapsed="false">
      <c r="A13775" s="51" t="s">
        <v>619</v>
      </c>
      <c r="B13775" s="55" t="n">
        <v>46295</v>
      </c>
      <c r="C13775" s="51" t="s">
        <v>73</v>
      </c>
      <c r="D13775" s="51" t="n">
        <v>0</v>
      </c>
    </row>
    <row r="13776" customFormat="false" ht="15" hidden="true" customHeight="false" outlineLevel="0" collapsed="false">
      <c r="A13776" s="51" t="s">
        <v>624</v>
      </c>
      <c r="B13776" s="55" t="n">
        <v>46295</v>
      </c>
      <c r="C13776" s="51" t="s">
        <v>73</v>
      </c>
      <c r="D13776" s="51" t="n">
        <v>0</v>
      </c>
    </row>
    <row r="13777" customFormat="false" ht="15" hidden="true" customHeight="false" outlineLevel="0" collapsed="false">
      <c r="A13777" s="51" t="s">
        <v>629</v>
      </c>
      <c r="B13777" s="55" t="n">
        <v>46295</v>
      </c>
      <c r="C13777" s="51" t="s">
        <v>73</v>
      </c>
      <c r="D13777" s="51" t="n">
        <v>0</v>
      </c>
    </row>
    <row r="13778" customFormat="false" ht="15" hidden="true" customHeight="false" outlineLevel="0" collapsed="false">
      <c r="A13778" s="51" t="s">
        <v>633</v>
      </c>
      <c r="B13778" s="55" t="n">
        <v>46295</v>
      </c>
      <c r="C13778" s="51" t="s">
        <v>73</v>
      </c>
      <c r="D13778" s="51" t="n">
        <v>0</v>
      </c>
    </row>
    <row r="13779" customFormat="false" ht="15" hidden="true" customHeight="false" outlineLevel="0" collapsed="false">
      <c r="A13779" s="51" t="s">
        <v>638</v>
      </c>
      <c r="B13779" s="55" t="n">
        <v>46295</v>
      </c>
      <c r="C13779" s="51" t="s">
        <v>73</v>
      </c>
      <c r="D13779" s="51" t="n">
        <v>0</v>
      </c>
    </row>
    <row r="13780" customFormat="false" ht="15" hidden="true" customHeight="false" outlineLevel="0" collapsed="false">
      <c r="A13780" s="51" t="s">
        <v>642</v>
      </c>
      <c r="B13780" s="55" t="n">
        <v>46295</v>
      </c>
      <c r="C13780" s="51" t="s">
        <v>73</v>
      </c>
      <c r="D13780" s="51" t="n">
        <v>0</v>
      </c>
    </row>
    <row r="13781" customFormat="false" ht="15" hidden="true" customHeight="false" outlineLevel="0" collapsed="false">
      <c r="A13781" s="51" t="s">
        <v>646</v>
      </c>
      <c r="B13781" s="55" t="n">
        <v>46295</v>
      </c>
      <c r="C13781" s="51" t="s">
        <v>73</v>
      </c>
      <c r="D13781" s="51" t="n">
        <v>0</v>
      </c>
    </row>
    <row r="13782" customFormat="false" ht="15" hidden="true" customHeight="false" outlineLevel="0" collapsed="false">
      <c r="A13782" s="51" t="s">
        <v>651</v>
      </c>
      <c r="B13782" s="55" t="n">
        <v>46295</v>
      </c>
      <c r="C13782" s="51" t="s">
        <v>73</v>
      </c>
      <c r="D13782" s="51" t="n">
        <v>0</v>
      </c>
    </row>
    <row r="13783" customFormat="false" ht="15" hidden="true" customHeight="false" outlineLevel="0" collapsed="false">
      <c r="A13783" s="51" t="s">
        <v>656</v>
      </c>
      <c r="B13783" s="55" t="n">
        <v>46295</v>
      </c>
      <c r="C13783" s="51" t="s">
        <v>73</v>
      </c>
      <c r="D13783" s="51" t="n">
        <v>0</v>
      </c>
    </row>
    <row r="13784" customFormat="false" ht="15" hidden="true" customHeight="false" outlineLevel="0" collapsed="false">
      <c r="A13784" s="51" t="s">
        <v>661</v>
      </c>
      <c r="B13784" s="55" t="n">
        <v>46295</v>
      </c>
      <c r="C13784" s="51" t="s">
        <v>73</v>
      </c>
      <c r="D13784" s="51" t="n">
        <v>0</v>
      </c>
    </row>
    <row r="13785" customFormat="false" ht="15" hidden="true" customHeight="false" outlineLevel="0" collapsed="false">
      <c r="A13785" s="51" t="s">
        <v>666</v>
      </c>
      <c r="B13785" s="55" t="n">
        <v>46295</v>
      </c>
      <c r="C13785" s="51" t="s">
        <v>73</v>
      </c>
      <c r="D13785" s="51" t="n">
        <v>0</v>
      </c>
    </row>
    <row r="13786" customFormat="false" ht="15" hidden="true" customHeight="false" outlineLevel="0" collapsed="false">
      <c r="A13786" s="51" t="s">
        <v>671</v>
      </c>
      <c r="B13786" s="55" t="n">
        <v>46295</v>
      </c>
      <c r="C13786" s="51" t="s">
        <v>73</v>
      </c>
      <c r="D13786" s="51" t="n">
        <v>0</v>
      </c>
    </row>
    <row r="13787" customFormat="false" ht="15" hidden="true" customHeight="false" outlineLevel="0" collapsed="false">
      <c r="A13787" s="51" t="s">
        <v>676</v>
      </c>
      <c r="B13787" s="55" t="n">
        <v>46295</v>
      </c>
      <c r="C13787" s="51" t="s">
        <v>73</v>
      </c>
      <c r="D13787" s="51" t="n">
        <v>0</v>
      </c>
    </row>
    <row r="13788" customFormat="false" ht="15" hidden="true" customHeight="false" outlineLevel="0" collapsed="false">
      <c r="A13788" s="51" t="s">
        <v>681</v>
      </c>
      <c r="B13788" s="55" t="n">
        <v>46295</v>
      </c>
      <c r="C13788" s="51" t="s">
        <v>73</v>
      </c>
      <c r="D13788" s="51" t="n">
        <v>0</v>
      </c>
    </row>
    <row r="13789" customFormat="false" ht="15" hidden="true" customHeight="false" outlineLevel="0" collapsed="false">
      <c r="A13789" s="51" t="s">
        <v>686</v>
      </c>
      <c r="B13789" s="55" t="n">
        <v>46295</v>
      </c>
      <c r="C13789" s="51" t="s">
        <v>73</v>
      </c>
      <c r="D13789" s="51" t="n">
        <v>0</v>
      </c>
    </row>
    <row r="13790" customFormat="false" ht="15" hidden="true" customHeight="false" outlineLevel="0" collapsed="false">
      <c r="A13790" s="51" t="s">
        <v>691</v>
      </c>
      <c r="B13790" s="55" t="n">
        <v>46295</v>
      </c>
      <c r="C13790" s="51" t="s">
        <v>73</v>
      </c>
      <c r="D13790" s="51" t="n">
        <v>0</v>
      </c>
    </row>
    <row r="13791" customFormat="false" ht="15" hidden="true" customHeight="false" outlineLevel="0" collapsed="false">
      <c r="A13791" s="51" t="s">
        <v>696</v>
      </c>
      <c r="B13791" s="55" t="n">
        <v>46295</v>
      </c>
      <c r="C13791" s="51" t="s">
        <v>73</v>
      </c>
      <c r="D13791" s="51" t="n">
        <v>0</v>
      </c>
    </row>
    <row r="13792" customFormat="false" ht="15" hidden="true" customHeight="false" outlineLevel="0" collapsed="false">
      <c r="A13792" s="51" t="s">
        <v>701</v>
      </c>
      <c r="B13792" s="55" t="n">
        <v>46295</v>
      </c>
      <c r="C13792" s="51" t="s">
        <v>73</v>
      </c>
      <c r="D13792" s="51" t="n">
        <v>0</v>
      </c>
    </row>
    <row r="13793" customFormat="false" ht="15" hidden="true" customHeight="false" outlineLevel="0" collapsed="false">
      <c r="A13793" s="51" t="s">
        <v>707</v>
      </c>
      <c r="B13793" s="55" t="n">
        <v>46295</v>
      </c>
      <c r="C13793" s="51" t="s">
        <v>73</v>
      </c>
      <c r="D13793" s="51" t="n">
        <v>0</v>
      </c>
    </row>
    <row r="13794" customFormat="false" ht="15" hidden="true" customHeight="false" outlineLevel="0" collapsed="false">
      <c r="A13794" s="51" t="s">
        <v>712</v>
      </c>
      <c r="B13794" s="55" t="n">
        <v>46295</v>
      </c>
      <c r="C13794" s="51" t="s">
        <v>73</v>
      </c>
      <c r="D13794" s="51" t="n">
        <v>0</v>
      </c>
    </row>
    <row r="13795" customFormat="false" ht="15" hidden="true" customHeight="false" outlineLevel="0" collapsed="false">
      <c r="A13795" s="51" t="s">
        <v>717</v>
      </c>
      <c r="B13795" s="55" t="n">
        <v>46295</v>
      </c>
      <c r="C13795" s="51" t="s">
        <v>73</v>
      </c>
      <c r="D13795" s="51" t="n">
        <v>0</v>
      </c>
    </row>
    <row r="13796" customFormat="false" ht="15" hidden="true" customHeight="false" outlineLevel="0" collapsed="false">
      <c r="A13796" s="51" t="s">
        <v>767</v>
      </c>
      <c r="B13796" s="55" t="n">
        <v>46295</v>
      </c>
      <c r="C13796" s="51" t="s">
        <v>73</v>
      </c>
      <c r="D13796" s="51" t="n">
        <v>0</v>
      </c>
    </row>
    <row r="13797" customFormat="false" ht="15" hidden="true" customHeight="false" outlineLevel="0" collapsed="false">
      <c r="A13797" s="51" t="s">
        <v>722</v>
      </c>
      <c r="B13797" s="55" t="n">
        <v>46295</v>
      </c>
      <c r="C13797" s="51" t="s">
        <v>73</v>
      </c>
      <c r="D13797" s="51" t="n">
        <v>0</v>
      </c>
    </row>
    <row r="13798" customFormat="false" ht="15" hidden="true" customHeight="false" outlineLevel="0" collapsed="false">
      <c r="A13798" s="51" t="s">
        <v>727</v>
      </c>
      <c r="B13798" s="55" t="n">
        <v>46295</v>
      </c>
      <c r="C13798" s="51" t="s">
        <v>73</v>
      </c>
      <c r="D13798" s="51" t="n">
        <v>0</v>
      </c>
    </row>
    <row r="13799" customFormat="false" ht="15" hidden="true" customHeight="false" outlineLevel="0" collapsed="false">
      <c r="A13799" s="51" t="s">
        <v>732</v>
      </c>
      <c r="B13799" s="55" t="n">
        <v>46295</v>
      </c>
      <c r="C13799" s="51" t="s">
        <v>73</v>
      </c>
      <c r="D13799" s="51" t="n">
        <v>0</v>
      </c>
    </row>
    <row r="13800" customFormat="false" ht="15" hidden="true" customHeight="false" outlineLevel="0" collapsed="false">
      <c r="A13800" s="51" t="s">
        <v>736</v>
      </c>
      <c r="B13800" s="55" t="n">
        <v>46295</v>
      </c>
      <c r="C13800" s="51" t="s">
        <v>73</v>
      </c>
      <c r="D13800" s="51" t="n">
        <v>0</v>
      </c>
    </row>
    <row r="13801" customFormat="false" ht="15" hidden="true" customHeight="false" outlineLevel="0" collapsed="false">
      <c r="A13801" s="51" t="s">
        <v>741</v>
      </c>
      <c r="B13801" s="55" t="n">
        <v>46295</v>
      </c>
      <c r="C13801" s="51" t="s">
        <v>73</v>
      </c>
      <c r="D13801" s="51" t="n">
        <v>0</v>
      </c>
    </row>
    <row r="13802" customFormat="false" ht="15" hidden="true" customHeight="false" outlineLevel="0" collapsed="false">
      <c r="A13802" s="51" t="s">
        <v>746</v>
      </c>
      <c r="B13802" s="55" t="n">
        <v>46295</v>
      </c>
      <c r="C13802" s="51" t="s">
        <v>73</v>
      </c>
      <c r="D13802" s="51" t="n">
        <v>0</v>
      </c>
    </row>
    <row r="13803" customFormat="false" ht="15" hidden="true" customHeight="false" outlineLevel="0" collapsed="false">
      <c r="A13803" s="51" t="s">
        <v>751</v>
      </c>
      <c r="B13803" s="55" t="n">
        <v>46295</v>
      </c>
      <c r="C13803" s="51" t="s">
        <v>73</v>
      </c>
      <c r="D13803" s="51" t="n">
        <v>0</v>
      </c>
    </row>
    <row r="13804" customFormat="false" ht="15" hidden="false" customHeight="false" outlineLevel="0" collapsed="false">
      <c r="A13804" s="51" t="s">
        <v>781</v>
      </c>
      <c r="B13804" s="55" t="n">
        <v>46295</v>
      </c>
      <c r="C13804" s="51" t="s">
        <v>791</v>
      </c>
      <c r="D13804" s="51" t="n">
        <v>0</v>
      </c>
    </row>
    <row r="13805" customFormat="false" ht="15" hidden="true" customHeight="false" outlineLevel="0" collapsed="false">
      <c r="A13805" s="51" t="s">
        <v>783</v>
      </c>
      <c r="B13805" s="55" t="n">
        <v>46295</v>
      </c>
      <c r="C13805" s="51" t="s">
        <v>791</v>
      </c>
      <c r="D13805" s="51" t="n">
        <v>0</v>
      </c>
    </row>
    <row r="13806" customFormat="false" ht="15" hidden="true" customHeight="false" outlineLevel="0" collapsed="false">
      <c r="A13806" s="51" t="s">
        <v>96</v>
      </c>
      <c r="B13806" s="55" t="n">
        <v>46295</v>
      </c>
      <c r="C13806" s="51" t="s">
        <v>791</v>
      </c>
      <c r="D13806" s="51" t="n">
        <v>0</v>
      </c>
    </row>
    <row r="13807" customFormat="false" ht="15" hidden="true" customHeight="false" outlineLevel="0" collapsed="false">
      <c r="A13807" s="51" t="s">
        <v>101</v>
      </c>
      <c r="B13807" s="55" t="n">
        <v>46295</v>
      </c>
      <c r="C13807" s="51" t="s">
        <v>791</v>
      </c>
      <c r="D13807" s="51" t="n">
        <v>0</v>
      </c>
    </row>
    <row r="13808" customFormat="false" ht="15" hidden="true" customHeight="false" outlineLevel="0" collapsed="false">
      <c r="A13808" s="51" t="s">
        <v>106</v>
      </c>
      <c r="B13808" s="55" t="n">
        <v>46295</v>
      </c>
      <c r="C13808" s="51" t="s">
        <v>791</v>
      </c>
      <c r="D13808" s="51" t="n">
        <v>0</v>
      </c>
    </row>
    <row r="13809" customFormat="false" ht="15" hidden="true" customHeight="false" outlineLevel="0" collapsed="false">
      <c r="A13809" s="51" t="s">
        <v>110</v>
      </c>
      <c r="B13809" s="55" t="n">
        <v>46295</v>
      </c>
      <c r="C13809" s="51" t="s">
        <v>791</v>
      </c>
      <c r="D13809" s="51" t="n">
        <v>0</v>
      </c>
    </row>
    <row r="13810" customFormat="false" ht="15" hidden="true" customHeight="false" outlineLevel="0" collapsed="false">
      <c r="A13810" s="51" t="s">
        <v>115</v>
      </c>
      <c r="B13810" s="55" t="n">
        <v>46295</v>
      </c>
      <c r="C13810" s="51" t="s">
        <v>791</v>
      </c>
      <c r="D13810" s="51" t="n">
        <v>0</v>
      </c>
    </row>
    <row r="13811" customFormat="false" ht="15" hidden="true" customHeight="false" outlineLevel="0" collapsed="false">
      <c r="A13811" s="51" t="s">
        <v>120</v>
      </c>
      <c r="B13811" s="55" t="n">
        <v>46295</v>
      </c>
      <c r="C13811" s="51" t="s">
        <v>791</v>
      </c>
      <c r="D13811" s="51" t="n">
        <v>0</v>
      </c>
    </row>
    <row r="13812" customFormat="false" ht="15" hidden="true" customHeight="false" outlineLevel="0" collapsed="false">
      <c r="A13812" s="51" t="s">
        <v>124</v>
      </c>
      <c r="B13812" s="55" t="n">
        <v>46295</v>
      </c>
      <c r="C13812" s="51" t="s">
        <v>791</v>
      </c>
      <c r="D13812" s="51" t="n">
        <v>0</v>
      </c>
    </row>
    <row r="13813" customFormat="false" ht="15" hidden="true" customHeight="false" outlineLevel="0" collapsed="false">
      <c r="A13813" s="51" t="s">
        <v>129</v>
      </c>
      <c r="B13813" s="55" t="n">
        <v>46295</v>
      </c>
      <c r="C13813" s="51" t="s">
        <v>791</v>
      </c>
      <c r="D13813" s="51" t="n">
        <v>0</v>
      </c>
    </row>
    <row r="13814" customFormat="false" ht="15" hidden="true" customHeight="false" outlineLevel="0" collapsed="false">
      <c r="A13814" s="51" t="s">
        <v>134</v>
      </c>
      <c r="B13814" s="55" t="n">
        <v>46295</v>
      </c>
      <c r="C13814" s="51" t="s">
        <v>791</v>
      </c>
      <c r="D13814" s="51" t="n">
        <v>0</v>
      </c>
    </row>
    <row r="13815" customFormat="false" ht="15" hidden="true" customHeight="false" outlineLevel="0" collapsed="false">
      <c r="A13815" s="51" t="s">
        <v>141</v>
      </c>
      <c r="B13815" s="55" t="n">
        <v>46295</v>
      </c>
      <c r="C13815" s="51" t="s">
        <v>791</v>
      </c>
      <c r="D13815" s="51" t="n">
        <v>0</v>
      </c>
    </row>
    <row r="13816" customFormat="false" ht="15" hidden="true" customHeight="false" outlineLevel="0" collapsed="false">
      <c r="A13816" s="51" t="s">
        <v>146</v>
      </c>
      <c r="B13816" s="55" t="n">
        <v>46295</v>
      </c>
      <c r="C13816" s="51" t="s">
        <v>791</v>
      </c>
      <c r="D13816" s="51" t="n">
        <v>0</v>
      </c>
    </row>
    <row r="13817" customFormat="false" ht="15" hidden="true" customHeight="false" outlineLevel="0" collapsed="false">
      <c r="A13817" s="51" t="s">
        <v>151</v>
      </c>
      <c r="B13817" s="55" t="n">
        <v>46295</v>
      </c>
      <c r="C13817" s="51" t="s">
        <v>791</v>
      </c>
      <c r="D13817" s="51" t="n">
        <v>0</v>
      </c>
    </row>
    <row r="13818" customFormat="false" ht="15" hidden="true" customHeight="false" outlineLevel="0" collapsed="false">
      <c r="A13818" s="51" t="s">
        <v>156</v>
      </c>
      <c r="B13818" s="55" t="n">
        <v>46295</v>
      </c>
      <c r="C13818" s="51" t="s">
        <v>791</v>
      </c>
      <c r="D13818" s="51" t="n">
        <v>0</v>
      </c>
    </row>
    <row r="13819" customFormat="false" ht="15" hidden="true" customHeight="false" outlineLevel="0" collapsed="false">
      <c r="A13819" s="51" t="s">
        <v>161</v>
      </c>
      <c r="B13819" s="55" t="n">
        <v>46295</v>
      </c>
      <c r="C13819" s="51" t="s">
        <v>791</v>
      </c>
      <c r="D13819" s="51" t="n">
        <v>0</v>
      </c>
    </row>
    <row r="13820" customFormat="false" ht="15" hidden="true" customHeight="false" outlineLevel="0" collapsed="false">
      <c r="A13820" s="51" t="s">
        <v>166</v>
      </c>
      <c r="B13820" s="55" t="n">
        <v>46295</v>
      </c>
      <c r="C13820" s="51" t="s">
        <v>791</v>
      </c>
      <c r="D13820" s="51" t="n">
        <v>0</v>
      </c>
    </row>
    <row r="13821" customFormat="false" ht="15" hidden="true" customHeight="false" outlineLevel="0" collapsed="false">
      <c r="A13821" s="51" t="s">
        <v>171</v>
      </c>
      <c r="B13821" s="55" t="n">
        <v>46295</v>
      </c>
      <c r="C13821" s="51" t="s">
        <v>791</v>
      </c>
      <c r="D13821" s="51" t="n">
        <v>0</v>
      </c>
    </row>
    <row r="13822" customFormat="false" ht="15" hidden="true" customHeight="false" outlineLevel="0" collapsed="false">
      <c r="A13822" s="51" t="s">
        <v>176</v>
      </c>
      <c r="B13822" s="55" t="n">
        <v>46295</v>
      </c>
      <c r="C13822" s="51" t="s">
        <v>791</v>
      </c>
      <c r="D13822" s="51" t="n">
        <v>0</v>
      </c>
    </row>
    <row r="13823" customFormat="false" ht="15" hidden="true" customHeight="false" outlineLevel="0" collapsed="false">
      <c r="A13823" s="51" t="s">
        <v>181</v>
      </c>
      <c r="B13823" s="55" t="n">
        <v>46295</v>
      </c>
      <c r="C13823" s="51" t="s">
        <v>791</v>
      </c>
      <c r="D13823" s="51" t="n">
        <v>0</v>
      </c>
    </row>
    <row r="13824" customFormat="false" ht="15" hidden="true" customHeight="false" outlineLevel="0" collapsed="false">
      <c r="A13824" s="51" t="s">
        <v>186</v>
      </c>
      <c r="B13824" s="55" t="n">
        <v>46295</v>
      </c>
      <c r="C13824" s="51" t="s">
        <v>791</v>
      </c>
      <c r="D13824" s="51" t="n">
        <v>0</v>
      </c>
    </row>
    <row r="13825" customFormat="false" ht="15" hidden="true" customHeight="false" outlineLevel="0" collapsed="false">
      <c r="A13825" s="51" t="s">
        <v>191</v>
      </c>
      <c r="B13825" s="55" t="n">
        <v>46295</v>
      </c>
      <c r="C13825" s="51" t="s">
        <v>791</v>
      </c>
      <c r="D13825" s="51" t="n">
        <v>0</v>
      </c>
    </row>
    <row r="13826" customFormat="false" ht="15" hidden="true" customHeight="false" outlineLevel="0" collapsed="false">
      <c r="A13826" s="51" t="s">
        <v>196</v>
      </c>
      <c r="B13826" s="55" t="n">
        <v>46295</v>
      </c>
      <c r="C13826" s="51" t="s">
        <v>791</v>
      </c>
      <c r="D13826" s="51" t="n">
        <v>0</v>
      </c>
    </row>
    <row r="13827" customFormat="false" ht="15" hidden="true" customHeight="false" outlineLevel="0" collapsed="false">
      <c r="A13827" s="51" t="s">
        <v>201</v>
      </c>
      <c r="B13827" s="55" t="n">
        <v>46295</v>
      </c>
      <c r="C13827" s="51" t="s">
        <v>791</v>
      </c>
      <c r="D13827" s="51" t="n">
        <v>0</v>
      </c>
    </row>
    <row r="13828" customFormat="false" ht="15" hidden="true" customHeight="false" outlineLevel="0" collapsed="false">
      <c r="A13828" s="51" t="s">
        <v>206</v>
      </c>
      <c r="B13828" s="55" t="n">
        <v>46295</v>
      </c>
      <c r="C13828" s="51" t="s">
        <v>791</v>
      </c>
      <c r="D13828" s="51" t="n">
        <v>0</v>
      </c>
    </row>
    <row r="13829" customFormat="false" ht="15" hidden="true" customHeight="false" outlineLevel="0" collapsed="false">
      <c r="A13829" s="51" t="s">
        <v>210</v>
      </c>
      <c r="B13829" s="55" t="n">
        <v>46295</v>
      </c>
      <c r="C13829" s="51" t="s">
        <v>791</v>
      </c>
      <c r="D13829" s="51" t="n">
        <v>0</v>
      </c>
    </row>
    <row r="13830" customFormat="false" ht="15" hidden="true" customHeight="false" outlineLevel="0" collapsed="false">
      <c r="A13830" s="51" t="s">
        <v>215</v>
      </c>
      <c r="B13830" s="55" t="n">
        <v>46295</v>
      </c>
      <c r="C13830" s="51" t="s">
        <v>791</v>
      </c>
      <c r="D13830" s="51" t="n">
        <v>0</v>
      </c>
    </row>
    <row r="13831" customFormat="false" ht="15" hidden="true" customHeight="false" outlineLevel="0" collapsed="false">
      <c r="A13831" s="51" t="s">
        <v>790</v>
      </c>
      <c r="B13831" s="55" t="n">
        <v>46295</v>
      </c>
      <c r="C13831" s="51" t="s">
        <v>791</v>
      </c>
      <c r="D13831" s="51" t="n">
        <v>0</v>
      </c>
    </row>
    <row r="13832" customFormat="false" ht="15" hidden="true" customHeight="false" outlineLevel="0" collapsed="false">
      <c r="A13832" s="51" t="s">
        <v>225</v>
      </c>
      <c r="B13832" s="55" t="n">
        <v>46295</v>
      </c>
      <c r="C13832" s="51" t="s">
        <v>791</v>
      </c>
      <c r="D13832" s="51" t="n">
        <v>0</v>
      </c>
    </row>
    <row r="13833" customFormat="false" ht="15" hidden="true" customHeight="false" outlineLevel="0" collapsed="false">
      <c r="A13833" s="51" t="s">
        <v>230</v>
      </c>
      <c r="B13833" s="55" t="n">
        <v>46295</v>
      </c>
      <c r="C13833" s="51" t="s">
        <v>791</v>
      </c>
      <c r="D13833" s="51" t="n">
        <v>0</v>
      </c>
    </row>
    <row r="13834" customFormat="false" ht="15" hidden="true" customHeight="false" outlineLevel="0" collapsed="false">
      <c r="A13834" s="51" t="s">
        <v>235</v>
      </c>
      <c r="B13834" s="55" t="n">
        <v>46295</v>
      </c>
      <c r="C13834" s="51" t="s">
        <v>791</v>
      </c>
      <c r="D13834" s="51" t="n">
        <v>0</v>
      </c>
    </row>
    <row r="13835" customFormat="false" ht="15" hidden="true" customHeight="false" outlineLevel="0" collapsed="false">
      <c r="A13835" s="51" t="s">
        <v>240</v>
      </c>
      <c r="B13835" s="55" t="n">
        <v>46295</v>
      </c>
      <c r="C13835" s="51" t="s">
        <v>791</v>
      </c>
      <c r="D13835" s="51" t="n">
        <v>0</v>
      </c>
    </row>
    <row r="13836" customFormat="false" ht="15" hidden="true" customHeight="false" outlineLevel="0" collapsed="false">
      <c r="A13836" s="51" t="s">
        <v>246</v>
      </c>
      <c r="B13836" s="55" t="n">
        <v>46295</v>
      </c>
      <c r="C13836" s="51" t="s">
        <v>791</v>
      </c>
      <c r="D13836" s="51" t="n">
        <v>0</v>
      </c>
    </row>
    <row r="13837" customFormat="false" ht="15" hidden="true" customHeight="false" outlineLevel="0" collapsed="false">
      <c r="A13837" s="51" t="s">
        <v>252</v>
      </c>
      <c r="B13837" s="55" t="n">
        <v>46295</v>
      </c>
      <c r="C13837" s="51" t="s">
        <v>791</v>
      </c>
      <c r="D13837" s="51" t="n">
        <v>0</v>
      </c>
    </row>
    <row r="13838" customFormat="false" ht="15" hidden="true" customHeight="false" outlineLevel="0" collapsed="false">
      <c r="A13838" s="51" t="s">
        <v>257</v>
      </c>
      <c r="B13838" s="55" t="n">
        <v>46295</v>
      </c>
      <c r="C13838" s="51" t="s">
        <v>791</v>
      </c>
      <c r="D13838" s="51" t="n">
        <v>0</v>
      </c>
    </row>
    <row r="13839" customFormat="false" ht="15" hidden="true" customHeight="false" outlineLevel="0" collapsed="false">
      <c r="A13839" s="51" t="s">
        <v>262</v>
      </c>
      <c r="B13839" s="55" t="n">
        <v>46295</v>
      </c>
      <c r="C13839" s="51" t="s">
        <v>791</v>
      </c>
      <c r="D13839" s="51" t="n">
        <v>0</v>
      </c>
    </row>
    <row r="13840" customFormat="false" ht="15" hidden="true" customHeight="false" outlineLevel="0" collapsed="false">
      <c r="A13840" s="51" t="s">
        <v>267</v>
      </c>
      <c r="B13840" s="55" t="n">
        <v>46295</v>
      </c>
      <c r="C13840" s="51" t="s">
        <v>791</v>
      </c>
      <c r="D13840" s="51" t="n">
        <v>0</v>
      </c>
    </row>
    <row r="13841" customFormat="false" ht="15" hidden="true" customHeight="false" outlineLevel="0" collapsed="false">
      <c r="A13841" s="51" t="s">
        <v>272</v>
      </c>
      <c r="B13841" s="55" t="n">
        <v>46295</v>
      </c>
      <c r="C13841" s="51" t="s">
        <v>791</v>
      </c>
      <c r="D13841" s="51" t="n">
        <v>0</v>
      </c>
    </row>
    <row r="13842" customFormat="false" ht="15" hidden="true" customHeight="false" outlineLevel="0" collapsed="false">
      <c r="A13842" s="51" t="s">
        <v>277</v>
      </c>
      <c r="B13842" s="55" t="n">
        <v>46295</v>
      </c>
      <c r="C13842" s="51" t="s">
        <v>791</v>
      </c>
      <c r="D13842" s="51" t="n">
        <v>0</v>
      </c>
    </row>
    <row r="13843" customFormat="false" ht="15" hidden="true" customHeight="false" outlineLevel="0" collapsed="false">
      <c r="A13843" s="51" t="s">
        <v>282</v>
      </c>
      <c r="B13843" s="55" t="n">
        <v>46295</v>
      </c>
      <c r="C13843" s="51" t="s">
        <v>791</v>
      </c>
      <c r="D13843" s="51" t="n">
        <v>0</v>
      </c>
    </row>
    <row r="13844" customFormat="false" ht="15" hidden="true" customHeight="false" outlineLevel="0" collapsed="false">
      <c r="A13844" s="51" t="s">
        <v>287</v>
      </c>
      <c r="B13844" s="55" t="n">
        <v>46295</v>
      </c>
      <c r="C13844" s="51" t="s">
        <v>791</v>
      </c>
      <c r="D13844" s="51" t="n">
        <v>0</v>
      </c>
    </row>
    <row r="13845" customFormat="false" ht="15" hidden="true" customHeight="false" outlineLevel="0" collapsed="false">
      <c r="A13845" s="51" t="s">
        <v>292</v>
      </c>
      <c r="B13845" s="55" t="n">
        <v>46295</v>
      </c>
      <c r="C13845" s="51" t="s">
        <v>791</v>
      </c>
      <c r="D13845" s="51" t="n">
        <v>0</v>
      </c>
    </row>
    <row r="13846" customFormat="false" ht="15" hidden="true" customHeight="false" outlineLevel="0" collapsed="false">
      <c r="A13846" s="51" t="s">
        <v>297</v>
      </c>
      <c r="B13846" s="55" t="n">
        <v>46295</v>
      </c>
      <c r="C13846" s="51" t="s">
        <v>791</v>
      </c>
      <c r="D13846" s="51" t="n">
        <v>0</v>
      </c>
    </row>
    <row r="13847" customFormat="false" ht="15" hidden="true" customHeight="false" outlineLevel="0" collapsed="false">
      <c r="A13847" s="51" t="s">
        <v>302</v>
      </c>
      <c r="B13847" s="55" t="n">
        <v>46295</v>
      </c>
      <c r="C13847" s="51" t="s">
        <v>791</v>
      </c>
      <c r="D13847" s="51" t="n">
        <v>0</v>
      </c>
    </row>
    <row r="13848" customFormat="false" ht="15" hidden="true" customHeight="false" outlineLevel="0" collapsed="false">
      <c r="A13848" s="51" t="s">
        <v>307</v>
      </c>
      <c r="B13848" s="55" t="n">
        <v>46295</v>
      </c>
      <c r="C13848" s="51" t="s">
        <v>791</v>
      </c>
      <c r="D13848" s="51" t="n">
        <v>0</v>
      </c>
    </row>
    <row r="13849" customFormat="false" ht="15" hidden="true" customHeight="false" outlineLevel="0" collapsed="false">
      <c r="A13849" s="51" t="s">
        <v>311</v>
      </c>
      <c r="B13849" s="55" t="n">
        <v>46295</v>
      </c>
      <c r="C13849" s="51" t="s">
        <v>791</v>
      </c>
      <c r="D13849" s="51" t="n">
        <v>0</v>
      </c>
    </row>
    <row r="13850" customFormat="false" ht="15" hidden="true" customHeight="false" outlineLevel="0" collapsed="false">
      <c r="A13850" s="51" t="s">
        <v>317</v>
      </c>
      <c r="B13850" s="55" t="n">
        <v>46295</v>
      </c>
      <c r="C13850" s="51" t="s">
        <v>791</v>
      </c>
      <c r="D13850" s="51" t="n">
        <v>0</v>
      </c>
    </row>
    <row r="13851" customFormat="false" ht="15" hidden="true" customHeight="false" outlineLevel="0" collapsed="false">
      <c r="A13851" s="51" t="s">
        <v>322</v>
      </c>
      <c r="B13851" s="55" t="n">
        <v>46295</v>
      </c>
      <c r="C13851" s="51" t="s">
        <v>791</v>
      </c>
      <c r="D13851" s="51" t="n">
        <v>0</v>
      </c>
    </row>
    <row r="13852" customFormat="false" ht="15" hidden="true" customHeight="false" outlineLevel="0" collapsed="false">
      <c r="A13852" s="51" t="s">
        <v>327</v>
      </c>
      <c r="B13852" s="55" t="n">
        <v>46295</v>
      </c>
      <c r="C13852" s="51" t="s">
        <v>791</v>
      </c>
      <c r="D13852" s="51" t="n">
        <v>0</v>
      </c>
    </row>
    <row r="13853" customFormat="false" ht="15" hidden="true" customHeight="false" outlineLevel="0" collapsed="false">
      <c r="A13853" s="51" t="s">
        <v>332</v>
      </c>
      <c r="B13853" s="55" t="n">
        <v>46295</v>
      </c>
      <c r="C13853" s="51" t="s">
        <v>791</v>
      </c>
      <c r="D13853" s="51" t="n">
        <v>0</v>
      </c>
    </row>
    <row r="13854" customFormat="false" ht="15" hidden="true" customHeight="false" outlineLevel="0" collapsed="false">
      <c r="A13854" s="51" t="s">
        <v>339</v>
      </c>
      <c r="B13854" s="55" t="n">
        <v>46295</v>
      </c>
      <c r="C13854" s="51" t="s">
        <v>791</v>
      </c>
      <c r="D13854" s="51" t="n">
        <v>0</v>
      </c>
    </row>
    <row r="13855" customFormat="false" ht="15" hidden="true" customHeight="false" outlineLevel="0" collapsed="false">
      <c r="A13855" s="51" t="s">
        <v>344</v>
      </c>
      <c r="B13855" s="55" t="n">
        <v>46295</v>
      </c>
      <c r="C13855" s="51" t="s">
        <v>791</v>
      </c>
      <c r="D13855" s="51" t="n">
        <v>0</v>
      </c>
    </row>
    <row r="13856" customFormat="false" ht="15" hidden="true" customHeight="false" outlineLevel="0" collapsed="false">
      <c r="A13856" s="51" t="s">
        <v>349</v>
      </c>
      <c r="B13856" s="55" t="n">
        <v>46295</v>
      </c>
      <c r="C13856" s="51" t="s">
        <v>791</v>
      </c>
      <c r="D13856" s="51" t="n">
        <v>0</v>
      </c>
    </row>
    <row r="13857" customFormat="false" ht="15" hidden="true" customHeight="false" outlineLevel="0" collapsed="false">
      <c r="A13857" s="51" t="s">
        <v>354</v>
      </c>
      <c r="B13857" s="55" t="n">
        <v>46295</v>
      </c>
      <c r="C13857" s="51" t="s">
        <v>791</v>
      </c>
      <c r="D13857" s="51" t="n">
        <v>0</v>
      </c>
    </row>
    <row r="13858" customFormat="false" ht="15" hidden="true" customHeight="false" outlineLevel="0" collapsed="false">
      <c r="A13858" s="51" t="s">
        <v>359</v>
      </c>
      <c r="B13858" s="55" t="n">
        <v>46295</v>
      </c>
      <c r="C13858" s="51" t="s">
        <v>791</v>
      </c>
      <c r="D13858" s="51" t="n">
        <v>0</v>
      </c>
    </row>
    <row r="13859" customFormat="false" ht="15" hidden="true" customHeight="false" outlineLevel="0" collapsed="false">
      <c r="A13859" s="51" t="s">
        <v>364</v>
      </c>
      <c r="B13859" s="55" t="n">
        <v>46295</v>
      </c>
      <c r="C13859" s="51" t="s">
        <v>791</v>
      </c>
      <c r="D13859" s="51" t="n">
        <v>0</v>
      </c>
    </row>
    <row r="13860" customFormat="false" ht="15" hidden="true" customHeight="false" outlineLevel="0" collapsed="false">
      <c r="A13860" s="51" t="s">
        <v>369</v>
      </c>
      <c r="B13860" s="55" t="n">
        <v>46295</v>
      </c>
      <c r="C13860" s="51" t="s">
        <v>791</v>
      </c>
      <c r="D13860" s="51" t="n">
        <v>0</v>
      </c>
    </row>
    <row r="13861" customFormat="false" ht="15" hidden="true" customHeight="false" outlineLevel="0" collapsed="false">
      <c r="A13861" s="51" t="s">
        <v>374</v>
      </c>
      <c r="B13861" s="55" t="n">
        <v>46295</v>
      </c>
      <c r="C13861" s="51" t="s">
        <v>791</v>
      </c>
      <c r="D13861" s="51" t="n">
        <v>0</v>
      </c>
    </row>
    <row r="13862" customFormat="false" ht="15" hidden="true" customHeight="false" outlineLevel="0" collapsed="false">
      <c r="A13862" s="51" t="s">
        <v>379</v>
      </c>
      <c r="B13862" s="55" t="n">
        <v>46295</v>
      </c>
      <c r="C13862" s="51" t="s">
        <v>791</v>
      </c>
      <c r="D13862" s="51" t="n">
        <v>0</v>
      </c>
    </row>
    <row r="13863" customFormat="false" ht="15" hidden="true" customHeight="false" outlineLevel="0" collapsed="false">
      <c r="A13863" s="51" t="s">
        <v>384</v>
      </c>
      <c r="B13863" s="55" t="n">
        <v>46295</v>
      </c>
      <c r="C13863" s="51" t="s">
        <v>791</v>
      </c>
      <c r="D13863" s="51" t="n">
        <v>0</v>
      </c>
    </row>
    <row r="13864" customFormat="false" ht="15" hidden="true" customHeight="false" outlineLevel="0" collapsed="false">
      <c r="A13864" s="51" t="s">
        <v>389</v>
      </c>
      <c r="B13864" s="55" t="n">
        <v>46295</v>
      </c>
      <c r="C13864" s="51" t="s">
        <v>791</v>
      </c>
      <c r="D13864" s="51" t="n">
        <v>0</v>
      </c>
    </row>
    <row r="13865" customFormat="false" ht="15" hidden="true" customHeight="false" outlineLevel="0" collapsed="false">
      <c r="A13865" s="51" t="s">
        <v>394</v>
      </c>
      <c r="B13865" s="55" t="n">
        <v>46295</v>
      </c>
      <c r="C13865" s="51" t="s">
        <v>791</v>
      </c>
      <c r="D13865" s="51" t="n">
        <v>0</v>
      </c>
    </row>
    <row r="13866" customFormat="false" ht="15" hidden="true" customHeight="false" outlineLevel="0" collapsed="false">
      <c r="A13866" s="51" t="s">
        <v>399</v>
      </c>
      <c r="B13866" s="55" t="n">
        <v>46295</v>
      </c>
      <c r="C13866" s="51" t="s">
        <v>791</v>
      </c>
      <c r="D13866" s="51" t="n">
        <v>0</v>
      </c>
    </row>
    <row r="13867" customFormat="false" ht="15" hidden="true" customHeight="false" outlineLevel="0" collapsed="false">
      <c r="A13867" s="51" t="s">
        <v>404</v>
      </c>
      <c r="B13867" s="55" t="n">
        <v>46295</v>
      </c>
      <c r="C13867" s="51" t="s">
        <v>791</v>
      </c>
      <c r="D13867" s="51" t="n">
        <v>0</v>
      </c>
    </row>
    <row r="13868" customFormat="false" ht="15" hidden="true" customHeight="false" outlineLevel="0" collapsed="false">
      <c r="A13868" s="51" t="s">
        <v>409</v>
      </c>
      <c r="B13868" s="55" t="n">
        <v>46295</v>
      </c>
      <c r="C13868" s="51" t="s">
        <v>791</v>
      </c>
      <c r="D13868" s="51" t="n">
        <v>0</v>
      </c>
    </row>
    <row r="13869" customFormat="false" ht="15" hidden="true" customHeight="false" outlineLevel="0" collapsed="false">
      <c r="A13869" s="51" t="s">
        <v>414</v>
      </c>
      <c r="B13869" s="55" t="n">
        <v>46295</v>
      </c>
      <c r="C13869" s="51" t="s">
        <v>791</v>
      </c>
      <c r="D13869" s="51" t="n">
        <v>0</v>
      </c>
    </row>
    <row r="13870" customFormat="false" ht="15" hidden="true" customHeight="false" outlineLevel="0" collapsed="false">
      <c r="A13870" s="51" t="s">
        <v>419</v>
      </c>
      <c r="B13870" s="55" t="n">
        <v>46295</v>
      </c>
      <c r="C13870" s="51" t="s">
        <v>791</v>
      </c>
      <c r="D13870" s="51" t="n">
        <v>0</v>
      </c>
    </row>
    <row r="13871" customFormat="false" ht="15" hidden="true" customHeight="false" outlineLevel="0" collapsed="false">
      <c r="A13871" s="51" t="s">
        <v>424</v>
      </c>
      <c r="B13871" s="55" t="n">
        <v>46295</v>
      </c>
      <c r="C13871" s="51" t="s">
        <v>791</v>
      </c>
      <c r="D13871" s="51" t="n">
        <v>0</v>
      </c>
    </row>
    <row r="13872" customFormat="false" ht="15" hidden="true" customHeight="false" outlineLevel="0" collapsed="false">
      <c r="A13872" s="51" t="s">
        <v>429</v>
      </c>
      <c r="B13872" s="55" t="n">
        <v>46295</v>
      </c>
      <c r="C13872" s="51" t="s">
        <v>791</v>
      </c>
      <c r="D13872" s="51" t="n">
        <v>0</v>
      </c>
    </row>
    <row r="13873" customFormat="false" ht="15" hidden="true" customHeight="false" outlineLevel="0" collapsed="false">
      <c r="A13873" s="51" t="s">
        <v>434</v>
      </c>
      <c r="B13873" s="55" t="n">
        <v>46295</v>
      </c>
      <c r="C13873" s="51" t="s">
        <v>791</v>
      </c>
      <c r="D13873" s="51" t="n">
        <v>0</v>
      </c>
    </row>
    <row r="13874" customFormat="false" ht="15" hidden="true" customHeight="false" outlineLevel="0" collapsed="false">
      <c r="A13874" s="51" t="s">
        <v>438</v>
      </c>
      <c r="B13874" s="55" t="n">
        <v>46295</v>
      </c>
      <c r="C13874" s="51" t="s">
        <v>791</v>
      </c>
      <c r="D13874" s="51" t="n">
        <v>0</v>
      </c>
    </row>
    <row r="13875" customFormat="false" ht="15" hidden="true" customHeight="false" outlineLevel="0" collapsed="false">
      <c r="A13875" s="51" t="s">
        <v>443</v>
      </c>
      <c r="B13875" s="55" t="n">
        <v>46295</v>
      </c>
      <c r="C13875" s="51" t="s">
        <v>791</v>
      </c>
      <c r="D13875" s="51" t="n">
        <v>0</v>
      </c>
    </row>
    <row r="13876" customFormat="false" ht="15" hidden="true" customHeight="false" outlineLevel="0" collapsed="false">
      <c r="A13876" s="51" t="s">
        <v>448</v>
      </c>
      <c r="B13876" s="55" t="n">
        <v>46295</v>
      </c>
      <c r="C13876" s="51" t="s">
        <v>791</v>
      </c>
      <c r="D13876" s="51" t="n">
        <v>0</v>
      </c>
    </row>
    <row r="13877" customFormat="false" ht="15" hidden="true" customHeight="false" outlineLevel="0" collapsed="false">
      <c r="A13877" s="51" t="s">
        <v>453</v>
      </c>
      <c r="B13877" s="55" t="n">
        <v>46295</v>
      </c>
      <c r="C13877" s="51" t="s">
        <v>791</v>
      </c>
      <c r="D13877" s="51" t="n">
        <v>0</v>
      </c>
    </row>
    <row r="13878" customFormat="false" ht="15" hidden="true" customHeight="false" outlineLevel="0" collapsed="false">
      <c r="A13878" s="51" t="s">
        <v>458</v>
      </c>
      <c r="B13878" s="55" t="n">
        <v>46295</v>
      </c>
      <c r="C13878" s="51" t="s">
        <v>791</v>
      </c>
      <c r="D13878" s="51" t="n">
        <v>0</v>
      </c>
    </row>
    <row r="13879" customFormat="false" ht="15" hidden="true" customHeight="false" outlineLevel="0" collapsed="false">
      <c r="A13879" s="51" t="s">
        <v>473</v>
      </c>
      <c r="B13879" s="55" t="n">
        <v>46295</v>
      </c>
      <c r="C13879" s="51" t="s">
        <v>791</v>
      </c>
      <c r="D13879" s="51" t="n">
        <v>0</v>
      </c>
    </row>
    <row r="13880" customFormat="false" ht="15" hidden="true" customHeight="false" outlineLevel="0" collapsed="false">
      <c r="A13880" s="51" t="s">
        <v>479</v>
      </c>
      <c r="B13880" s="55" t="n">
        <v>46295</v>
      </c>
      <c r="C13880" s="51" t="s">
        <v>791</v>
      </c>
      <c r="D13880" s="51" t="n">
        <v>0</v>
      </c>
    </row>
    <row r="13881" customFormat="false" ht="15" hidden="true" customHeight="false" outlineLevel="0" collapsed="false">
      <c r="A13881" s="51" t="s">
        <v>484</v>
      </c>
      <c r="B13881" s="55" t="n">
        <v>46295</v>
      </c>
      <c r="C13881" s="51" t="s">
        <v>791</v>
      </c>
      <c r="D13881" s="51" t="n">
        <v>0</v>
      </c>
    </row>
    <row r="13882" customFormat="false" ht="15" hidden="true" customHeight="false" outlineLevel="0" collapsed="false">
      <c r="A13882" s="51" t="s">
        <v>489</v>
      </c>
      <c r="B13882" s="55" t="n">
        <v>46295</v>
      </c>
      <c r="C13882" s="51" t="s">
        <v>791</v>
      </c>
      <c r="D13882" s="51" t="n">
        <v>0</v>
      </c>
    </row>
    <row r="13883" customFormat="false" ht="15" hidden="true" customHeight="false" outlineLevel="0" collapsed="false">
      <c r="A13883" s="51" t="s">
        <v>494</v>
      </c>
      <c r="B13883" s="55" t="n">
        <v>46295</v>
      </c>
      <c r="C13883" s="51" t="s">
        <v>791</v>
      </c>
      <c r="D13883" s="51" t="n">
        <v>0</v>
      </c>
    </row>
    <row r="13884" customFormat="false" ht="15" hidden="true" customHeight="false" outlineLevel="0" collapsed="false">
      <c r="A13884" s="51" t="s">
        <v>499</v>
      </c>
      <c r="B13884" s="55" t="n">
        <v>46295</v>
      </c>
      <c r="C13884" s="51" t="s">
        <v>791</v>
      </c>
      <c r="D13884" s="51" t="n">
        <v>0</v>
      </c>
    </row>
    <row r="13885" customFormat="false" ht="15" hidden="true" customHeight="false" outlineLevel="0" collapsed="false">
      <c r="A13885" s="51" t="s">
        <v>504</v>
      </c>
      <c r="B13885" s="55" t="n">
        <v>46295</v>
      </c>
      <c r="C13885" s="51" t="s">
        <v>791</v>
      </c>
      <c r="D13885" s="51" t="n">
        <v>0</v>
      </c>
    </row>
    <row r="13886" customFormat="false" ht="15" hidden="true" customHeight="false" outlineLevel="0" collapsed="false">
      <c r="A13886" s="51" t="s">
        <v>509</v>
      </c>
      <c r="B13886" s="55" t="n">
        <v>46295</v>
      </c>
      <c r="C13886" s="51" t="s">
        <v>791</v>
      </c>
      <c r="D13886" s="51" t="n">
        <v>0</v>
      </c>
    </row>
    <row r="13887" customFormat="false" ht="15" hidden="true" customHeight="false" outlineLevel="0" collapsed="false">
      <c r="A13887" s="51" t="s">
        <v>515</v>
      </c>
      <c r="B13887" s="55" t="n">
        <v>46295</v>
      </c>
      <c r="C13887" s="51" t="s">
        <v>791</v>
      </c>
      <c r="D13887" s="51" t="n">
        <v>0</v>
      </c>
    </row>
    <row r="13888" customFormat="false" ht="15" hidden="true" customHeight="false" outlineLevel="0" collapsed="false">
      <c r="A13888" s="51" t="s">
        <v>520</v>
      </c>
      <c r="B13888" s="55" t="n">
        <v>46295</v>
      </c>
      <c r="C13888" s="51" t="s">
        <v>791</v>
      </c>
      <c r="D13888" s="51" t="n">
        <v>0</v>
      </c>
    </row>
    <row r="13889" customFormat="false" ht="15" hidden="true" customHeight="false" outlineLevel="0" collapsed="false">
      <c r="A13889" s="51" t="s">
        <v>525</v>
      </c>
      <c r="B13889" s="55" t="n">
        <v>46295</v>
      </c>
      <c r="C13889" s="51" t="s">
        <v>791</v>
      </c>
      <c r="D13889" s="51" t="n">
        <v>0</v>
      </c>
    </row>
    <row r="13890" customFormat="false" ht="15" hidden="true" customHeight="false" outlineLevel="0" collapsed="false">
      <c r="A13890" s="51" t="s">
        <v>531</v>
      </c>
      <c r="B13890" s="55" t="n">
        <v>46295</v>
      </c>
      <c r="C13890" s="51" t="s">
        <v>791</v>
      </c>
      <c r="D13890" s="51" t="n">
        <v>0</v>
      </c>
    </row>
    <row r="13891" customFormat="false" ht="15" hidden="true" customHeight="false" outlineLevel="0" collapsed="false">
      <c r="A13891" s="51" t="s">
        <v>536</v>
      </c>
      <c r="B13891" s="55" t="n">
        <v>46295</v>
      </c>
      <c r="C13891" s="51" t="s">
        <v>791</v>
      </c>
      <c r="D13891" s="51" t="n">
        <v>0</v>
      </c>
    </row>
    <row r="13892" customFormat="false" ht="15" hidden="true" customHeight="false" outlineLevel="0" collapsed="false">
      <c r="A13892" s="51" t="s">
        <v>541</v>
      </c>
      <c r="B13892" s="55" t="n">
        <v>46295</v>
      </c>
      <c r="C13892" s="51" t="s">
        <v>791</v>
      </c>
      <c r="D13892" s="51" t="n">
        <v>0</v>
      </c>
    </row>
    <row r="13893" customFormat="false" ht="15" hidden="true" customHeight="false" outlineLevel="0" collapsed="false">
      <c r="A13893" s="51" t="s">
        <v>549</v>
      </c>
      <c r="B13893" s="55" t="n">
        <v>46295</v>
      </c>
      <c r="C13893" s="51" t="s">
        <v>791</v>
      </c>
      <c r="D13893" s="51" t="n">
        <v>0</v>
      </c>
    </row>
    <row r="13894" customFormat="false" ht="15" hidden="true" customHeight="false" outlineLevel="0" collapsed="false">
      <c r="A13894" s="51" t="s">
        <v>554</v>
      </c>
      <c r="B13894" s="55" t="n">
        <v>46295</v>
      </c>
      <c r="C13894" s="51" t="s">
        <v>791</v>
      </c>
      <c r="D13894" s="51" t="n">
        <v>0</v>
      </c>
    </row>
    <row r="13895" customFormat="false" ht="15" hidden="true" customHeight="false" outlineLevel="0" collapsed="false">
      <c r="A13895" s="51" t="s">
        <v>559</v>
      </c>
      <c r="B13895" s="55" t="n">
        <v>46295</v>
      </c>
      <c r="C13895" s="51" t="s">
        <v>791</v>
      </c>
      <c r="D13895" s="51" t="n">
        <v>0</v>
      </c>
    </row>
    <row r="13896" customFormat="false" ht="15" hidden="true" customHeight="false" outlineLevel="0" collapsed="false">
      <c r="A13896" s="51" t="s">
        <v>564</v>
      </c>
      <c r="B13896" s="55" t="n">
        <v>46295</v>
      </c>
      <c r="C13896" s="51" t="s">
        <v>791</v>
      </c>
      <c r="D13896" s="51" t="n">
        <v>0</v>
      </c>
    </row>
    <row r="13897" customFormat="false" ht="15" hidden="true" customHeight="false" outlineLevel="0" collapsed="false">
      <c r="A13897" s="51" t="s">
        <v>569</v>
      </c>
      <c r="B13897" s="55" t="n">
        <v>46295</v>
      </c>
      <c r="C13897" s="51" t="s">
        <v>791</v>
      </c>
      <c r="D13897" s="51" t="n">
        <v>0</v>
      </c>
    </row>
    <row r="13898" customFormat="false" ht="15" hidden="true" customHeight="false" outlineLevel="0" collapsed="false">
      <c r="A13898" s="51" t="s">
        <v>574</v>
      </c>
      <c r="B13898" s="55" t="n">
        <v>46295</v>
      </c>
      <c r="C13898" s="51" t="s">
        <v>791</v>
      </c>
      <c r="D13898" s="51" t="n">
        <v>0</v>
      </c>
    </row>
    <row r="13899" customFormat="false" ht="15" hidden="true" customHeight="false" outlineLevel="0" collapsed="false">
      <c r="A13899" s="51" t="s">
        <v>579</v>
      </c>
      <c r="B13899" s="55" t="n">
        <v>46295</v>
      </c>
      <c r="C13899" s="51" t="s">
        <v>791</v>
      </c>
      <c r="D13899" s="51" t="n">
        <v>0</v>
      </c>
    </row>
    <row r="13900" customFormat="false" ht="15" hidden="true" customHeight="false" outlineLevel="0" collapsed="false">
      <c r="A13900" s="51" t="s">
        <v>584</v>
      </c>
      <c r="B13900" s="55" t="n">
        <v>46295</v>
      </c>
      <c r="C13900" s="51" t="s">
        <v>791</v>
      </c>
      <c r="D13900" s="51" t="n">
        <v>0</v>
      </c>
    </row>
    <row r="13901" customFormat="false" ht="15" hidden="true" customHeight="false" outlineLevel="0" collapsed="false">
      <c r="A13901" s="51" t="s">
        <v>589</v>
      </c>
      <c r="B13901" s="55" t="n">
        <v>46295</v>
      </c>
      <c r="C13901" s="51" t="s">
        <v>791</v>
      </c>
      <c r="D13901" s="51" t="n">
        <v>0</v>
      </c>
    </row>
    <row r="13902" customFormat="false" ht="15" hidden="true" customHeight="false" outlineLevel="0" collapsed="false">
      <c r="A13902" s="51" t="s">
        <v>756</v>
      </c>
      <c r="B13902" s="55" t="n">
        <v>46295</v>
      </c>
      <c r="C13902" s="51" t="s">
        <v>791</v>
      </c>
      <c r="D13902" s="51" t="n">
        <v>0</v>
      </c>
    </row>
    <row r="13903" customFormat="false" ht="15" hidden="true" customHeight="false" outlineLevel="0" collapsed="false">
      <c r="A13903" s="51" t="s">
        <v>594</v>
      </c>
      <c r="B13903" s="55" t="n">
        <v>46295</v>
      </c>
      <c r="C13903" s="51" t="s">
        <v>791</v>
      </c>
      <c r="D13903" s="51" t="n">
        <v>0</v>
      </c>
    </row>
    <row r="13904" customFormat="false" ht="15" hidden="true" customHeight="false" outlineLevel="0" collapsed="false">
      <c r="A13904" s="51" t="s">
        <v>761</v>
      </c>
      <c r="B13904" s="55" t="n">
        <v>46295</v>
      </c>
      <c r="C13904" s="51" t="s">
        <v>791</v>
      </c>
      <c r="D13904" s="51" t="n">
        <v>0</v>
      </c>
    </row>
    <row r="13905" customFormat="false" ht="15" hidden="true" customHeight="false" outlineLevel="0" collapsed="false">
      <c r="A13905" s="51" t="s">
        <v>599</v>
      </c>
      <c r="B13905" s="55" t="n">
        <v>46295</v>
      </c>
      <c r="C13905" s="51" t="s">
        <v>791</v>
      </c>
      <c r="D13905" s="51" t="n">
        <v>0</v>
      </c>
    </row>
    <row r="13906" customFormat="false" ht="15" hidden="true" customHeight="false" outlineLevel="0" collapsed="false">
      <c r="A13906" s="51" t="s">
        <v>604</v>
      </c>
      <c r="B13906" s="55" t="n">
        <v>46295</v>
      </c>
      <c r="C13906" s="51" t="s">
        <v>791</v>
      </c>
      <c r="D13906" s="51" t="n">
        <v>0</v>
      </c>
    </row>
    <row r="13907" customFormat="false" ht="15" hidden="true" customHeight="false" outlineLevel="0" collapsed="false">
      <c r="A13907" s="51" t="s">
        <v>609</v>
      </c>
      <c r="B13907" s="55" t="n">
        <v>46295</v>
      </c>
      <c r="C13907" s="51" t="s">
        <v>791</v>
      </c>
      <c r="D13907" s="51" t="n">
        <v>0</v>
      </c>
    </row>
    <row r="13908" customFormat="false" ht="15" hidden="true" customHeight="false" outlineLevel="0" collapsed="false">
      <c r="A13908" s="51" t="s">
        <v>614</v>
      </c>
      <c r="B13908" s="55" t="n">
        <v>46295</v>
      </c>
      <c r="C13908" s="51" t="s">
        <v>791</v>
      </c>
      <c r="D13908" s="51" t="n">
        <v>0</v>
      </c>
    </row>
    <row r="13909" customFormat="false" ht="15" hidden="true" customHeight="false" outlineLevel="0" collapsed="false">
      <c r="A13909" s="51" t="s">
        <v>619</v>
      </c>
      <c r="B13909" s="55" t="n">
        <v>46295</v>
      </c>
      <c r="C13909" s="51" t="s">
        <v>791</v>
      </c>
      <c r="D13909" s="51" t="n">
        <v>0</v>
      </c>
    </row>
    <row r="13910" customFormat="false" ht="15" hidden="true" customHeight="false" outlineLevel="0" collapsed="false">
      <c r="A13910" s="51" t="s">
        <v>624</v>
      </c>
      <c r="B13910" s="55" t="n">
        <v>46295</v>
      </c>
      <c r="C13910" s="51" t="s">
        <v>791</v>
      </c>
      <c r="D13910" s="51" t="n">
        <v>0</v>
      </c>
    </row>
    <row r="13911" customFormat="false" ht="15" hidden="true" customHeight="false" outlineLevel="0" collapsed="false">
      <c r="A13911" s="51" t="s">
        <v>629</v>
      </c>
      <c r="B13911" s="55" t="n">
        <v>46295</v>
      </c>
      <c r="C13911" s="51" t="s">
        <v>791</v>
      </c>
      <c r="D13911" s="51" t="n">
        <v>0</v>
      </c>
    </row>
    <row r="13912" customFormat="false" ht="15" hidden="true" customHeight="false" outlineLevel="0" collapsed="false">
      <c r="A13912" s="51" t="s">
        <v>633</v>
      </c>
      <c r="B13912" s="55" t="n">
        <v>46295</v>
      </c>
      <c r="C13912" s="51" t="s">
        <v>791</v>
      </c>
      <c r="D13912" s="51" t="n">
        <v>0</v>
      </c>
    </row>
    <row r="13913" customFormat="false" ht="15" hidden="true" customHeight="false" outlineLevel="0" collapsed="false">
      <c r="A13913" s="51" t="s">
        <v>638</v>
      </c>
      <c r="B13913" s="55" t="n">
        <v>46295</v>
      </c>
      <c r="C13913" s="51" t="s">
        <v>791</v>
      </c>
      <c r="D13913" s="51" t="n">
        <v>0</v>
      </c>
    </row>
    <row r="13914" customFormat="false" ht="15" hidden="true" customHeight="false" outlineLevel="0" collapsed="false">
      <c r="A13914" s="51" t="s">
        <v>642</v>
      </c>
      <c r="B13914" s="55" t="n">
        <v>46295</v>
      </c>
      <c r="C13914" s="51" t="s">
        <v>791</v>
      </c>
      <c r="D13914" s="51" t="n">
        <v>0</v>
      </c>
    </row>
    <row r="13915" customFormat="false" ht="15" hidden="true" customHeight="false" outlineLevel="0" collapsed="false">
      <c r="A13915" s="51" t="s">
        <v>646</v>
      </c>
      <c r="B13915" s="55" t="n">
        <v>46295</v>
      </c>
      <c r="C13915" s="51" t="s">
        <v>791</v>
      </c>
      <c r="D13915" s="51" t="n">
        <v>0</v>
      </c>
    </row>
    <row r="13916" customFormat="false" ht="15" hidden="true" customHeight="false" outlineLevel="0" collapsed="false">
      <c r="A13916" s="51" t="s">
        <v>651</v>
      </c>
      <c r="B13916" s="55" t="n">
        <v>46295</v>
      </c>
      <c r="C13916" s="51" t="s">
        <v>791</v>
      </c>
      <c r="D13916" s="51" t="n">
        <v>0</v>
      </c>
    </row>
    <row r="13917" customFormat="false" ht="15" hidden="true" customHeight="false" outlineLevel="0" collapsed="false">
      <c r="A13917" s="51" t="s">
        <v>656</v>
      </c>
      <c r="B13917" s="55" t="n">
        <v>46295</v>
      </c>
      <c r="C13917" s="51" t="s">
        <v>791</v>
      </c>
      <c r="D13917" s="51" t="n">
        <v>0</v>
      </c>
    </row>
    <row r="13918" customFormat="false" ht="15" hidden="true" customHeight="false" outlineLevel="0" collapsed="false">
      <c r="A13918" s="51" t="s">
        <v>661</v>
      </c>
      <c r="B13918" s="55" t="n">
        <v>46295</v>
      </c>
      <c r="C13918" s="51" t="s">
        <v>791</v>
      </c>
      <c r="D13918" s="51" t="n">
        <v>0</v>
      </c>
    </row>
    <row r="13919" customFormat="false" ht="15" hidden="true" customHeight="false" outlineLevel="0" collapsed="false">
      <c r="A13919" s="51" t="s">
        <v>666</v>
      </c>
      <c r="B13919" s="55" t="n">
        <v>46295</v>
      </c>
      <c r="C13919" s="51" t="s">
        <v>791</v>
      </c>
      <c r="D13919" s="51" t="n">
        <v>0</v>
      </c>
    </row>
    <row r="13920" customFormat="false" ht="15" hidden="true" customHeight="false" outlineLevel="0" collapsed="false">
      <c r="A13920" s="51" t="s">
        <v>671</v>
      </c>
      <c r="B13920" s="55" t="n">
        <v>46295</v>
      </c>
      <c r="C13920" s="51" t="s">
        <v>791</v>
      </c>
      <c r="D13920" s="51" t="n">
        <v>0</v>
      </c>
    </row>
    <row r="13921" customFormat="false" ht="15" hidden="true" customHeight="false" outlineLevel="0" collapsed="false">
      <c r="A13921" s="51" t="s">
        <v>676</v>
      </c>
      <c r="B13921" s="55" t="n">
        <v>46295</v>
      </c>
      <c r="C13921" s="51" t="s">
        <v>791</v>
      </c>
      <c r="D13921" s="51" t="n">
        <v>0</v>
      </c>
    </row>
    <row r="13922" customFormat="false" ht="15" hidden="true" customHeight="false" outlineLevel="0" collapsed="false">
      <c r="A13922" s="51" t="s">
        <v>681</v>
      </c>
      <c r="B13922" s="55" t="n">
        <v>46295</v>
      </c>
      <c r="C13922" s="51" t="s">
        <v>791</v>
      </c>
      <c r="D13922" s="51" t="n">
        <v>0</v>
      </c>
    </row>
    <row r="13923" customFormat="false" ht="15" hidden="true" customHeight="false" outlineLevel="0" collapsed="false">
      <c r="A13923" s="51" t="s">
        <v>686</v>
      </c>
      <c r="B13923" s="55" t="n">
        <v>46295</v>
      </c>
      <c r="C13923" s="51" t="s">
        <v>791</v>
      </c>
      <c r="D13923" s="51" t="n">
        <v>0</v>
      </c>
    </row>
    <row r="13924" customFormat="false" ht="15" hidden="true" customHeight="false" outlineLevel="0" collapsed="false">
      <c r="A13924" s="51" t="s">
        <v>691</v>
      </c>
      <c r="B13924" s="55" t="n">
        <v>46295</v>
      </c>
      <c r="C13924" s="51" t="s">
        <v>791</v>
      </c>
      <c r="D13924" s="51" t="n">
        <v>0</v>
      </c>
    </row>
    <row r="13925" customFormat="false" ht="15" hidden="true" customHeight="false" outlineLevel="0" collapsed="false">
      <c r="A13925" s="51" t="s">
        <v>696</v>
      </c>
      <c r="B13925" s="55" t="n">
        <v>46295</v>
      </c>
      <c r="C13925" s="51" t="s">
        <v>791</v>
      </c>
      <c r="D13925" s="51" t="n">
        <v>0</v>
      </c>
    </row>
    <row r="13926" customFormat="false" ht="15" hidden="true" customHeight="false" outlineLevel="0" collapsed="false">
      <c r="A13926" s="51" t="s">
        <v>701</v>
      </c>
      <c r="B13926" s="55" t="n">
        <v>46295</v>
      </c>
      <c r="C13926" s="51" t="s">
        <v>791</v>
      </c>
      <c r="D13926" s="51" t="n">
        <v>0</v>
      </c>
    </row>
    <row r="13927" customFormat="false" ht="15" hidden="true" customHeight="false" outlineLevel="0" collapsed="false">
      <c r="A13927" s="51" t="s">
        <v>707</v>
      </c>
      <c r="B13927" s="55" t="n">
        <v>46295</v>
      </c>
      <c r="C13927" s="51" t="s">
        <v>791</v>
      </c>
      <c r="D13927" s="51" t="n">
        <v>0</v>
      </c>
    </row>
    <row r="13928" customFormat="false" ht="15" hidden="true" customHeight="false" outlineLevel="0" collapsed="false">
      <c r="A13928" s="51" t="s">
        <v>712</v>
      </c>
      <c r="B13928" s="55" t="n">
        <v>46295</v>
      </c>
      <c r="C13928" s="51" t="s">
        <v>791</v>
      </c>
      <c r="D13928" s="51" t="n">
        <v>0</v>
      </c>
    </row>
    <row r="13929" customFormat="false" ht="15" hidden="true" customHeight="false" outlineLevel="0" collapsed="false">
      <c r="A13929" s="51" t="s">
        <v>717</v>
      </c>
      <c r="B13929" s="55" t="n">
        <v>46295</v>
      </c>
      <c r="C13929" s="51" t="s">
        <v>791</v>
      </c>
      <c r="D13929" s="51" t="n">
        <v>0</v>
      </c>
    </row>
    <row r="13930" customFormat="false" ht="15" hidden="true" customHeight="false" outlineLevel="0" collapsed="false">
      <c r="A13930" s="51" t="s">
        <v>767</v>
      </c>
      <c r="B13930" s="55" t="n">
        <v>46295</v>
      </c>
      <c r="C13930" s="51" t="s">
        <v>791</v>
      </c>
      <c r="D13930" s="51" t="n">
        <v>0</v>
      </c>
    </row>
    <row r="13931" customFormat="false" ht="15" hidden="true" customHeight="false" outlineLevel="0" collapsed="false">
      <c r="A13931" s="51" t="s">
        <v>722</v>
      </c>
      <c r="B13931" s="55" t="n">
        <v>46295</v>
      </c>
      <c r="C13931" s="51" t="s">
        <v>791</v>
      </c>
      <c r="D13931" s="51" t="n">
        <v>0</v>
      </c>
    </row>
    <row r="13932" customFormat="false" ht="15" hidden="true" customHeight="false" outlineLevel="0" collapsed="false">
      <c r="A13932" s="51" t="s">
        <v>727</v>
      </c>
      <c r="B13932" s="55" t="n">
        <v>46295</v>
      </c>
      <c r="C13932" s="51" t="s">
        <v>791</v>
      </c>
      <c r="D13932" s="51" t="n">
        <v>0</v>
      </c>
    </row>
    <row r="13933" customFormat="false" ht="15" hidden="true" customHeight="false" outlineLevel="0" collapsed="false">
      <c r="A13933" s="51" t="s">
        <v>732</v>
      </c>
      <c r="B13933" s="55" t="n">
        <v>46295</v>
      </c>
      <c r="C13933" s="51" t="s">
        <v>791</v>
      </c>
      <c r="D13933" s="51" t="n">
        <v>0</v>
      </c>
    </row>
    <row r="13934" customFormat="false" ht="15" hidden="true" customHeight="false" outlineLevel="0" collapsed="false">
      <c r="A13934" s="51" t="s">
        <v>736</v>
      </c>
      <c r="B13934" s="55" t="n">
        <v>46295</v>
      </c>
      <c r="C13934" s="51" t="s">
        <v>791</v>
      </c>
      <c r="D13934" s="51" t="n">
        <v>0</v>
      </c>
    </row>
    <row r="13935" customFormat="false" ht="15" hidden="true" customHeight="false" outlineLevel="0" collapsed="false">
      <c r="A13935" s="51" t="s">
        <v>741</v>
      </c>
      <c r="B13935" s="55" t="n">
        <v>46295</v>
      </c>
      <c r="C13935" s="51" t="s">
        <v>791</v>
      </c>
      <c r="D13935" s="51" t="n">
        <v>0</v>
      </c>
    </row>
    <row r="13936" customFormat="false" ht="15" hidden="true" customHeight="false" outlineLevel="0" collapsed="false">
      <c r="A13936" s="51" t="s">
        <v>746</v>
      </c>
      <c r="B13936" s="55" t="n">
        <v>46295</v>
      </c>
      <c r="C13936" s="51" t="s">
        <v>791</v>
      </c>
      <c r="D13936" s="51" t="n">
        <v>0</v>
      </c>
    </row>
    <row r="13937" customFormat="false" ht="15" hidden="true" customHeight="false" outlineLevel="0" collapsed="false">
      <c r="A13937" s="51" t="s">
        <v>751</v>
      </c>
      <c r="B13937" s="55" t="n">
        <v>46295</v>
      </c>
      <c r="C13937" s="51" t="s">
        <v>791</v>
      </c>
      <c r="D13937" s="51" t="n">
        <v>0</v>
      </c>
    </row>
  </sheetData>
  <autoFilter ref="A1:D13937">
    <filterColumn colId="0">
      <filters>
        <filter val="2ADP001"/>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F0D9"/>
    <pageSetUpPr fitToPage="false"/>
  </sheetPr>
  <dimension ref="A1:BI3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7" ySplit="14" topLeftCell="BF220" activePane="bottomRight" state="frozen"/>
      <selection pane="topLeft" activeCell="A1" activeCellId="0" sqref="A1"/>
      <selection pane="topRight" activeCell="BF1" activeCellId="0" sqref="BF1"/>
      <selection pane="bottomLeft" activeCell="A220" activeCellId="0" sqref="A220"/>
      <selection pane="bottomRight" activeCell="K215" activeCellId="0" sqref="K215"/>
    </sheetView>
  </sheetViews>
  <sheetFormatPr defaultColWidth="9.42578125" defaultRowHeight="12.75" zeroHeight="false" outlineLevelRow="0" outlineLevelCol="2"/>
  <cols>
    <col collapsed="false" customWidth="true" hidden="false" outlineLevel="0" max="1" min="1" style="58" width="9.57"/>
    <col collapsed="false" customWidth="true" hidden="false" outlineLevel="0" max="2" min="2" style="58" width="9.86"/>
    <col collapsed="false" customWidth="true" hidden="false" outlineLevel="0" max="3" min="3" style="1" width="15.14"/>
    <col collapsed="false" customWidth="true" hidden="false" outlineLevel="1" max="4" min="4" style="1" width="8.42"/>
    <col collapsed="false" customWidth="true" hidden="false" outlineLevel="1" max="5" min="5" style="2" width="21.71"/>
    <col collapsed="false" customWidth="true" hidden="false" outlineLevel="0" max="6" min="6" style="2" width="11.57"/>
    <col collapsed="false" customWidth="true" hidden="true" outlineLevel="1" max="7" min="7" style="2" width="42.42"/>
    <col collapsed="false" customWidth="true" hidden="true" outlineLevel="1" max="8" min="8" style="59" width="9.57"/>
    <col collapsed="false" customWidth="true" hidden="false" outlineLevel="0" max="9" min="9" style="4" width="16"/>
    <col collapsed="false" customWidth="true" hidden="false" outlineLevel="0" max="10" min="10" style="2" width="5.57"/>
    <col collapsed="false" customWidth="true" hidden="false" outlineLevel="1" max="11" min="11" style="2" width="11"/>
    <col collapsed="false" customWidth="true" hidden="false" outlineLevel="0" max="12" min="12" style="5" width="15.57"/>
    <col collapsed="false" customWidth="true" hidden="false" outlineLevel="0" max="13" min="13" style="5" width="13.57"/>
    <col collapsed="false" customWidth="true" hidden="false" outlineLevel="0" max="14" min="14" style="5" width="21.43"/>
    <col collapsed="false" customWidth="true" hidden="false" outlineLevel="0" max="15" min="15" style="5" width="1.57"/>
    <col collapsed="false" customWidth="true" hidden="true" outlineLevel="1" max="16" min="16" style="5" width="14.57"/>
    <col collapsed="false" customWidth="true" hidden="true" outlineLevel="1" max="17" min="17" style="5" width="13.57"/>
    <col collapsed="false" customWidth="true" hidden="false" outlineLevel="0" max="18" min="18" style="2" width="14.71"/>
    <col collapsed="false" customWidth="true" hidden="false" outlineLevel="1" max="19" min="19" style="2" width="12.42"/>
    <col collapsed="false" customWidth="true" hidden="false" outlineLevel="1" max="21" min="20" style="2" width="13.57"/>
    <col collapsed="false" customWidth="true" hidden="false" outlineLevel="1" max="22" min="22" style="2" width="12.42"/>
    <col collapsed="false" customWidth="true" hidden="false" outlineLevel="1" max="23" min="23" style="2" width="13.57"/>
    <col collapsed="false" customWidth="true" hidden="false" outlineLevel="0" max="24" min="24" style="6" width="13.57"/>
    <col collapsed="false" customWidth="true" hidden="false" outlineLevel="1" max="25" min="25" style="2" width="13.57"/>
    <col collapsed="false" customWidth="true" hidden="false" outlineLevel="1" max="26" min="26" style="2" width="12.42"/>
    <col collapsed="false" customWidth="true" hidden="false" outlineLevel="1" max="27" min="27" style="2" width="15.29"/>
    <col collapsed="false" customWidth="true" hidden="false" outlineLevel="1" max="28" min="28" style="2" width="14.14"/>
    <col collapsed="false" customWidth="true" hidden="false" outlineLevel="0" max="29" min="29" style="6" width="13.57"/>
    <col collapsed="false" customWidth="true" hidden="false" outlineLevel="1" max="30" min="30" style="2" width="18"/>
    <col collapsed="false" customWidth="true" hidden="false" outlineLevel="1" max="31" min="31" style="2" width="13.57"/>
    <col collapsed="false" customWidth="true" hidden="false" outlineLevel="1" max="34" min="32" style="2" width="12.42"/>
    <col collapsed="false" customWidth="true" hidden="false" outlineLevel="0" max="35" min="35" style="6" width="13.57"/>
    <col collapsed="false" customWidth="true" hidden="false" outlineLevel="1" max="36" min="36" style="2" width="13.57"/>
    <col collapsed="false" customWidth="true" hidden="false" outlineLevel="1" max="37" min="37" style="60" width="12"/>
    <col collapsed="false" customWidth="true" hidden="false" outlineLevel="1" max="39" min="38" style="2" width="13.57"/>
    <col collapsed="false" customWidth="true" hidden="false" outlineLevel="1" max="41" min="40" style="2" width="12.42"/>
    <col collapsed="false" customWidth="true" hidden="false" outlineLevel="0" max="42" min="42" style="6" width="13.57"/>
    <col collapsed="false" customWidth="true" hidden="true" outlineLevel="1" max="43" min="43" style="2" width="13.57"/>
    <col collapsed="false" customWidth="true" hidden="true" outlineLevel="1" max="45" min="44" style="2" width="12.42"/>
    <col collapsed="false" customWidth="true" hidden="true" outlineLevel="1" max="46" min="46" style="2" width="13.57"/>
    <col collapsed="false" customWidth="true" hidden="true" outlineLevel="1" max="48" min="47" style="2" width="12.42"/>
    <col collapsed="false" customWidth="true" hidden="true" outlineLevel="2" max="49" min="49" style="2" width="12.42"/>
    <col collapsed="true" customWidth="true" hidden="false" outlineLevel="0" max="50" min="50" style="6" width="13.57"/>
    <col collapsed="false" customWidth="true" hidden="false" outlineLevel="0" max="51" min="51" style="2" width="12.42"/>
    <col collapsed="false" customWidth="true" hidden="false" outlineLevel="1" max="54" min="52" style="2" width="4.71"/>
    <col collapsed="false" customWidth="true" hidden="false" outlineLevel="2" max="55" min="55" style="2" width="4.71"/>
    <col collapsed="false" customWidth="true" hidden="false" outlineLevel="0" max="56" min="56" style="6" width="12.42"/>
    <col collapsed="false" customWidth="true" hidden="false" outlineLevel="0" max="57" min="57" style="2" width="2.86"/>
    <col collapsed="false" customWidth="true" hidden="false" outlineLevel="0" max="58" min="58" style="6" width="14.57"/>
    <col collapsed="false" customWidth="true" hidden="false" outlineLevel="0" max="59" min="59" style="61" width="14.57"/>
    <col collapsed="false" customWidth="true" hidden="false" outlineLevel="0" max="60" min="60" style="6" width="12.42"/>
    <col collapsed="false" customWidth="true" hidden="false" outlineLevel="0" max="61" min="61" style="2" width="28.29"/>
    <col collapsed="false" customWidth="false" hidden="false" outlineLevel="0" max="16384" min="62" style="2" width="9.42"/>
  </cols>
  <sheetData>
    <row r="1" customFormat="false" ht="12.75" hidden="false" customHeight="false" outlineLevel="0" collapsed="false">
      <c r="A1" s="7" t="s">
        <v>0</v>
      </c>
      <c r="B1" s="7"/>
      <c r="D1" s="62"/>
      <c r="N1" s="63" t="s">
        <v>792</v>
      </c>
      <c r="BF1" s="64"/>
    </row>
    <row r="2" customFormat="false" ht="12.75" hidden="false" customHeight="false" outlineLevel="0" collapsed="false">
      <c r="A2" s="7" t="s">
        <v>1</v>
      </c>
      <c r="B2" s="7"/>
      <c r="D2" s="62"/>
      <c r="L2" s="65" t="s">
        <v>793</v>
      </c>
      <c r="M2" s="66" t="n">
        <f aca="false">L108-SUM(N108:N119)</f>
        <v>135558</v>
      </c>
      <c r="N2" s="67" t="s">
        <v>794</v>
      </c>
      <c r="O2" s="68"/>
      <c r="R2" s="31"/>
      <c r="AP2" s="48"/>
      <c r="AX2" s="48"/>
      <c r="BD2" s="48"/>
    </row>
    <row r="3" customFormat="false" ht="12.75" hidden="false" customHeight="false" outlineLevel="0" collapsed="false">
      <c r="A3" s="7" t="s">
        <v>2</v>
      </c>
      <c r="B3" s="7"/>
      <c r="D3" s="62"/>
      <c r="K3" s="6"/>
      <c r="L3" s="65" t="s">
        <v>795</v>
      </c>
      <c r="M3" s="66" t="n">
        <f aca="false">L188-SUM(N188:N189)</f>
        <v>864747</v>
      </c>
      <c r="N3" s="67" t="s">
        <v>794</v>
      </c>
      <c r="O3" s="68"/>
      <c r="R3" s="31"/>
      <c r="AP3" s="48"/>
      <c r="AX3" s="48"/>
      <c r="BD3" s="48"/>
      <c r="BF3" s="69" t="s">
        <v>796</v>
      </c>
      <c r="BG3" s="69"/>
    </row>
    <row r="4" customFormat="false" ht="12.75" hidden="false" customHeight="false" outlineLevel="0" collapsed="false">
      <c r="A4" s="7"/>
      <c r="B4" s="7"/>
      <c r="D4" s="62"/>
      <c r="K4" s="6"/>
      <c r="N4" s="70" t="s">
        <v>797</v>
      </c>
      <c r="O4" s="68"/>
      <c r="R4" s="31"/>
      <c r="AP4" s="48"/>
      <c r="AX4" s="48"/>
      <c r="BD4" s="48"/>
      <c r="BF4" s="71" t="n">
        <f aca="false">SUM(Q210:Q219)</f>
        <v>27000000</v>
      </c>
      <c r="BG4" s="72" t="s">
        <v>798</v>
      </c>
    </row>
    <row r="5" customFormat="false" ht="12.75" hidden="false" customHeight="false" outlineLevel="0" collapsed="false">
      <c r="A5" s="7"/>
      <c r="B5" s="7"/>
      <c r="D5" s="62"/>
      <c r="K5" s="6"/>
      <c r="N5" s="73" t="s">
        <v>799</v>
      </c>
      <c r="O5" s="68"/>
      <c r="R5" s="31"/>
      <c r="AP5" s="48"/>
      <c r="AX5" s="48"/>
      <c r="BD5" s="48"/>
      <c r="BF5" s="74" t="n">
        <f aca="false">+BF53+BF133+P203+P205+P206</f>
        <v>8248400.27</v>
      </c>
      <c r="BG5" s="75" t="s">
        <v>800</v>
      </c>
    </row>
    <row r="6" customFormat="false" ht="12.75" hidden="false" customHeight="false" outlineLevel="0" collapsed="false">
      <c r="D6" s="62"/>
      <c r="K6" s="5"/>
      <c r="N6" s="76" t="s">
        <v>801</v>
      </c>
      <c r="Q6" s="77"/>
      <c r="X6" s="78" t="n">
        <f aca="false">SUM(X210:X212)</f>
        <v>8000000</v>
      </c>
      <c r="AC6" s="79" t="n">
        <f aca="false">SUM(AC212:AC214)</f>
        <v>7361412.12</v>
      </c>
      <c r="AI6" s="79" t="n">
        <f aca="false">SUM(AI216:AI218)</f>
        <v>7117587.88</v>
      </c>
      <c r="AN6" s="31" t="n">
        <f aca="false">+AP219</f>
        <v>4521000</v>
      </c>
      <c r="AO6" s="2" t="s">
        <v>798</v>
      </c>
      <c r="AP6" s="80" t="n">
        <f aca="false">+AM219+AM133+AM53+AN53</f>
        <v>5780773.28</v>
      </c>
      <c r="AT6" s="26"/>
      <c r="AU6" s="31"/>
      <c r="AW6" s="26"/>
      <c r="AX6" s="79" t="n">
        <f aca="false">+AX203+AX205</f>
        <v>5288055.78</v>
      </c>
      <c r="AZ6" s="26"/>
      <c r="BA6" s="31"/>
      <c r="BC6" s="26"/>
      <c r="BD6" s="79" t="n">
        <f aca="false">+BD206</f>
        <v>1700571.21</v>
      </c>
      <c r="BE6" s="31"/>
      <c r="BF6" s="61" t="n">
        <f aca="false">SUM(BF4:BF5)</f>
        <v>35248400.27</v>
      </c>
      <c r="BG6" s="61" t="s">
        <v>802</v>
      </c>
    </row>
    <row r="7" customFormat="false" ht="12.75" hidden="false" customHeight="false" outlineLevel="0" collapsed="false">
      <c r="A7" s="7" t="s">
        <v>803</v>
      </c>
      <c r="B7" s="7"/>
      <c r="E7" s="31"/>
      <c r="K7" s="6"/>
      <c r="N7" s="81" t="s">
        <v>804</v>
      </c>
      <c r="R7" s="6"/>
      <c r="AN7" s="31" t="n">
        <f aca="false">+AP133+AP53</f>
        <v>1259773.28</v>
      </c>
      <c r="AO7" s="2" t="s">
        <v>805</v>
      </c>
      <c r="AU7" s="31"/>
      <c r="BA7" s="31"/>
      <c r="BE7" s="31"/>
      <c r="BF7" s="48" t="n">
        <f aca="false">+BD6+AX6+AP6+AI6+AC6+X6-BF6</f>
        <v>0</v>
      </c>
    </row>
    <row r="8" customFormat="false" ht="12.75" hidden="false" customHeight="false" outlineLevel="0" collapsed="false">
      <c r="A8" s="7" t="s">
        <v>806</v>
      </c>
      <c r="B8" s="82"/>
      <c r="K8" s="6"/>
      <c r="N8" s="83" t="s">
        <v>807</v>
      </c>
      <c r="R8" s="6"/>
      <c r="BG8" s="2"/>
    </row>
    <row r="9" customFormat="false" ht="12.75" hidden="false" customHeight="false" outlineLevel="0" collapsed="false">
      <c r="A9" s="82" t="s">
        <v>808</v>
      </c>
      <c r="B9" s="82"/>
      <c r="K9" s="6"/>
      <c r="N9" s="2" t="s">
        <v>809</v>
      </c>
      <c r="R9" s="6"/>
      <c r="BG9" s="2"/>
    </row>
    <row r="10" customFormat="false" ht="12.75" hidden="false" customHeight="false" outlineLevel="0" collapsed="false">
      <c r="A10" s="82" t="s">
        <v>810</v>
      </c>
      <c r="D10" s="84"/>
      <c r="E10" s="85"/>
      <c r="K10" s="6"/>
    </row>
    <row r="11" s="89" customFormat="true" ht="12.75" hidden="false" customHeight="false" outlineLevel="0" collapsed="false">
      <c r="A11" s="86"/>
      <c r="B11" s="86"/>
      <c r="C11" s="87"/>
      <c r="D11" s="87"/>
      <c r="E11" s="88"/>
      <c r="H11" s="90"/>
      <c r="I11" s="87"/>
      <c r="K11" s="88"/>
      <c r="L11" s="91"/>
      <c r="M11" s="91"/>
      <c r="N11" s="91"/>
      <c r="O11" s="91"/>
      <c r="P11" s="91"/>
      <c r="Q11" s="91"/>
      <c r="R11" s="92" t="s">
        <v>811</v>
      </c>
      <c r="S11" s="93" t="n">
        <v>44118</v>
      </c>
      <c r="T11" s="93" t="n">
        <v>44235</v>
      </c>
      <c r="U11" s="93" t="n">
        <v>44270</v>
      </c>
      <c r="V11" s="93" t="n">
        <v>44298</v>
      </c>
      <c r="W11" s="93" t="n">
        <v>44379</v>
      </c>
      <c r="X11" s="94"/>
      <c r="Y11" s="93" t="n">
        <v>44474</v>
      </c>
      <c r="Z11" s="93" t="n">
        <v>44547</v>
      </c>
      <c r="AA11" s="93" t="n">
        <v>44636</v>
      </c>
      <c r="AB11" s="93" t="n">
        <v>44740</v>
      </c>
      <c r="AC11" s="94"/>
      <c r="AD11" s="93" t="n">
        <v>44820</v>
      </c>
      <c r="AE11" s="93" t="n">
        <v>44907</v>
      </c>
      <c r="AF11" s="93" t="n">
        <v>44974</v>
      </c>
      <c r="AG11" s="93" t="n">
        <v>45021</v>
      </c>
      <c r="AH11" s="93" t="n">
        <v>45092</v>
      </c>
      <c r="AI11" s="94"/>
      <c r="AJ11" s="93" t="n">
        <v>45190</v>
      </c>
      <c r="AK11" s="95"/>
      <c r="AL11" s="93" t="n">
        <v>45327</v>
      </c>
      <c r="AM11" s="93" t="n">
        <v>45401</v>
      </c>
      <c r="AN11" s="93" t="n">
        <v>45505</v>
      </c>
      <c r="AO11" s="93" t="n">
        <v>45547</v>
      </c>
      <c r="AP11" s="88"/>
      <c r="AQ11" s="93" t="n">
        <v>45590</v>
      </c>
      <c r="AR11" s="93" t="n">
        <v>45636</v>
      </c>
      <c r="AS11" s="93" t="n">
        <v>45678</v>
      </c>
      <c r="AT11" s="93" t="n">
        <v>45714</v>
      </c>
      <c r="AU11" s="93" t="n">
        <v>45782</v>
      </c>
      <c r="AV11" s="93" t="n">
        <v>45874</v>
      </c>
      <c r="AW11" s="93" t="n">
        <v>45929</v>
      </c>
      <c r="AX11" s="88"/>
      <c r="AY11" s="93" t="n">
        <v>46010</v>
      </c>
      <c r="AZ11" s="93"/>
      <c r="BA11" s="93"/>
      <c r="BB11" s="93"/>
      <c r="BC11" s="93"/>
      <c r="BD11" s="88"/>
      <c r="BE11" s="96"/>
      <c r="BF11" s="88"/>
      <c r="BG11" s="97"/>
      <c r="BH11" s="88"/>
    </row>
    <row r="12" s="102" customFormat="true" ht="12.75" hidden="false" customHeight="false" outlineLevel="0" collapsed="false">
      <c r="A12" s="98"/>
      <c r="B12" s="98"/>
      <c r="C12" s="99"/>
      <c r="D12" s="100"/>
      <c r="E12" s="101"/>
      <c r="H12" s="103"/>
      <c r="I12" s="99"/>
      <c r="J12" s="104"/>
      <c r="K12" s="104"/>
      <c r="L12" s="105" t="s">
        <v>812</v>
      </c>
      <c r="M12" s="105"/>
      <c r="N12" s="105"/>
      <c r="O12" s="106"/>
      <c r="P12" s="106"/>
      <c r="Q12" s="106"/>
      <c r="R12" s="92" t="s">
        <v>813</v>
      </c>
      <c r="S12" s="93" t="n">
        <v>44099</v>
      </c>
      <c r="T12" s="107" t="n">
        <v>44183</v>
      </c>
      <c r="U12" s="107" t="n">
        <v>44264</v>
      </c>
      <c r="V12" s="107" t="n">
        <v>44298</v>
      </c>
      <c r="W12" s="93" t="n">
        <v>44377</v>
      </c>
      <c r="X12" s="94"/>
      <c r="Y12" s="93" t="n">
        <v>44474</v>
      </c>
      <c r="Z12" s="107" t="n">
        <v>44547</v>
      </c>
      <c r="AA12" s="107" t="n">
        <v>44635</v>
      </c>
      <c r="AB12" s="93" t="n">
        <v>44740</v>
      </c>
      <c r="AC12" s="94"/>
      <c r="AD12" s="93" t="n">
        <v>44818</v>
      </c>
      <c r="AE12" s="107" t="n">
        <v>44904</v>
      </c>
      <c r="AF12" s="107" t="n">
        <v>44973</v>
      </c>
      <c r="AG12" s="107" t="n">
        <v>45021</v>
      </c>
      <c r="AH12" s="93" t="n">
        <v>45092</v>
      </c>
      <c r="AI12" s="94"/>
      <c r="AJ12" s="93" t="n">
        <v>45189</v>
      </c>
      <c r="AK12" s="95"/>
      <c r="AL12" s="93" t="n">
        <v>45327</v>
      </c>
      <c r="AM12" s="93" t="n">
        <v>45400</v>
      </c>
      <c r="AN12" s="93" t="n">
        <v>45505</v>
      </c>
      <c r="AO12" s="93" t="n">
        <v>45548</v>
      </c>
      <c r="AP12" s="97"/>
      <c r="AQ12" s="93" t="n">
        <v>45581</v>
      </c>
      <c r="AR12" s="93" t="n">
        <v>46001</v>
      </c>
      <c r="AS12" s="93" t="n">
        <v>45673</v>
      </c>
      <c r="AT12" s="93" t="n">
        <v>46078</v>
      </c>
      <c r="AU12" s="93" t="n">
        <v>45775</v>
      </c>
      <c r="AV12" s="93" t="n">
        <v>45874</v>
      </c>
      <c r="AW12" s="93" t="n">
        <v>45929</v>
      </c>
      <c r="AX12" s="97"/>
      <c r="AY12" s="93" t="n">
        <v>46009</v>
      </c>
      <c r="AZ12" s="93"/>
      <c r="BA12" s="93"/>
      <c r="BB12" s="93"/>
      <c r="BC12" s="93"/>
      <c r="BD12" s="97"/>
      <c r="BE12" s="108"/>
      <c r="BF12" s="97"/>
      <c r="BG12" s="97"/>
      <c r="BH12" s="97"/>
    </row>
    <row r="13" s="94" customFormat="true" ht="14.25" hidden="false" customHeight="true" outlineLevel="0" collapsed="false">
      <c r="A13" s="109"/>
      <c r="B13" s="109" t="s">
        <v>814</v>
      </c>
      <c r="C13" s="110"/>
      <c r="D13" s="110"/>
      <c r="G13" s="102"/>
      <c r="H13" s="103"/>
      <c r="I13" s="110"/>
      <c r="L13" s="111"/>
      <c r="M13" s="111"/>
      <c r="N13" s="111"/>
      <c r="O13" s="111"/>
      <c r="P13" s="111"/>
      <c r="Q13" s="111"/>
      <c r="R13" s="112" t="s">
        <v>815</v>
      </c>
      <c r="S13" s="113" t="n">
        <v>44133</v>
      </c>
      <c r="T13" s="113" t="n">
        <v>44250</v>
      </c>
      <c r="U13" s="107" t="n">
        <v>44281</v>
      </c>
      <c r="V13" s="107" t="n">
        <v>44336</v>
      </c>
      <c r="W13" s="93" t="n">
        <v>44425</v>
      </c>
      <c r="Y13" s="113" t="n">
        <v>44509</v>
      </c>
      <c r="Z13" s="113" t="n">
        <v>44579</v>
      </c>
      <c r="AA13" s="107" t="n">
        <v>44659</v>
      </c>
      <c r="AB13" s="93" t="n">
        <v>44777</v>
      </c>
      <c r="AD13" s="113" t="n">
        <v>44882</v>
      </c>
      <c r="AE13" s="113" t="n">
        <v>44943</v>
      </c>
      <c r="AF13" s="107" t="n">
        <v>45000</v>
      </c>
      <c r="AG13" s="107" t="n">
        <v>45041</v>
      </c>
      <c r="AH13" s="93" t="n">
        <v>45112</v>
      </c>
      <c r="AJ13" s="93" t="n">
        <v>45226</v>
      </c>
      <c r="AK13" s="95"/>
      <c r="AL13" s="93" t="n">
        <v>45335</v>
      </c>
      <c r="AM13" s="93" t="n">
        <v>45421</v>
      </c>
      <c r="AN13" s="93" t="n">
        <v>45532</v>
      </c>
      <c r="AO13" s="93" t="n">
        <v>45576</v>
      </c>
      <c r="AP13" s="111"/>
      <c r="AQ13" s="93" t="n">
        <v>45611</v>
      </c>
      <c r="AR13" s="93" t="n">
        <v>46015</v>
      </c>
      <c r="AS13" s="93" t="n">
        <v>45699</v>
      </c>
      <c r="AT13" s="93" t="n">
        <v>45733</v>
      </c>
      <c r="AU13" s="93" t="n">
        <v>45799</v>
      </c>
      <c r="AV13" s="93" t="n">
        <v>45896</v>
      </c>
      <c r="AW13" s="93" t="n">
        <v>45951</v>
      </c>
      <c r="AX13" s="111"/>
      <c r="AY13" s="93" t="n">
        <v>46045</v>
      </c>
      <c r="AZ13" s="93"/>
      <c r="BA13" s="93"/>
      <c r="BB13" s="93"/>
      <c r="BC13" s="93"/>
      <c r="BD13" s="111"/>
      <c r="BE13" s="114"/>
      <c r="BF13" s="111"/>
      <c r="BG13" s="111"/>
      <c r="BH13" s="111"/>
    </row>
    <row r="14" s="127" customFormat="true" ht="32.25" hidden="false" customHeight="true" outlineLevel="0" collapsed="false">
      <c r="A14" s="115"/>
      <c r="B14" s="116" t="s">
        <v>816</v>
      </c>
      <c r="C14" s="117" t="s">
        <v>74</v>
      </c>
      <c r="D14" s="118" t="s">
        <v>817</v>
      </c>
      <c r="E14" s="119" t="s">
        <v>75</v>
      </c>
      <c r="F14" s="120" t="s">
        <v>76</v>
      </c>
      <c r="G14" s="120" t="s">
        <v>818</v>
      </c>
      <c r="H14" s="119" t="s">
        <v>819</v>
      </c>
      <c r="I14" s="117" t="s">
        <v>79</v>
      </c>
      <c r="J14" s="119" t="s">
        <v>820</v>
      </c>
      <c r="K14" s="119" t="s">
        <v>821</v>
      </c>
      <c r="L14" s="121" t="s">
        <v>81</v>
      </c>
      <c r="M14" s="121" t="s">
        <v>822</v>
      </c>
      <c r="N14" s="121" t="s">
        <v>82</v>
      </c>
      <c r="O14" s="25"/>
      <c r="P14" s="121" t="s">
        <v>823</v>
      </c>
      <c r="Q14" s="121" t="s">
        <v>824</v>
      </c>
      <c r="R14" s="21"/>
      <c r="S14" s="119" t="s">
        <v>825</v>
      </c>
      <c r="T14" s="119" t="s">
        <v>826</v>
      </c>
      <c r="U14" s="119" t="s">
        <v>827</v>
      </c>
      <c r="V14" s="119" t="s">
        <v>828</v>
      </c>
      <c r="W14" s="119" t="s">
        <v>829</v>
      </c>
      <c r="X14" s="122" t="s">
        <v>830</v>
      </c>
      <c r="Y14" s="119" t="s">
        <v>831</v>
      </c>
      <c r="Z14" s="119" t="s">
        <v>832</v>
      </c>
      <c r="AA14" s="119" t="s">
        <v>833</v>
      </c>
      <c r="AB14" s="119" t="s">
        <v>834</v>
      </c>
      <c r="AC14" s="122" t="s">
        <v>835</v>
      </c>
      <c r="AD14" s="119" t="s">
        <v>836</v>
      </c>
      <c r="AE14" s="119" t="s">
        <v>837</v>
      </c>
      <c r="AF14" s="119" t="s">
        <v>838</v>
      </c>
      <c r="AG14" s="119" t="s">
        <v>839</v>
      </c>
      <c r="AH14" s="119" t="s">
        <v>840</v>
      </c>
      <c r="AI14" s="122" t="s">
        <v>841</v>
      </c>
      <c r="AJ14" s="119" t="s">
        <v>842</v>
      </c>
      <c r="AK14" s="123" t="s">
        <v>843</v>
      </c>
      <c r="AL14" s="119" t="s">
        <v>844</v>
      </c>
      <c r="AM14" s="119" t="s">
        <v>845</v>
      </c>
      <c r="AN14" s="119" t="s">
        <v>846</v>
      </c>
      <c r="AO14" s="119" t="s">
        <v>847</v>
      </c>
      <c r="AP14" s="122" t="s">
        <v>848</v>
      </c>
      <c r="AQ14" s="119" t="s">
        <v>849</v>
      </c>
      <c r="AR14" s="119" t="s">
        <v>850</v>
      </c>
      <c r="AS14" s="119" t="s">
        <v>851</v>
      </c>
      <c r="AT14" s="119" t="s">
        <v>852</v>
      </c>
      <c r="AU14" s="119" t="s">
        <v>853</v>
      </c>
      <c r="AV14" s="119" t="s">
        <v>854</v>
      </c>
      <c r="AW14" s="119" t="s">
        <v>855</v>
      </c>
      <c r="AX14" s="122" t="s">
        <v>856</v>
      </c>
      <c r="AY14" s="119" t="s">
        <v>857</v>
      </c>
      <c r="AZ14" s="119"/>
      <c r="BA14" s="119"/>
      <c r="BB14" s="119"/>
      <c r="BC14" s="119"/>
      <c r="BD14" s="122" t="s">
        <v>858</v>
      </c>
      <c r="BE14" s="124"/>
      <c r="BF14" s="121" t="s">
        <v>859</v>
      </c>
      <c r="BG14" s="125" t="s">
        <v>860</v>
      </c>
      <c r="BH14" s="126"/>
    </row>
    <row r="15" customFormat="false" ht="18" hidden="false" customHeight="true" outlineLevel="0" collapsed="false">
      <c r="A15" s="58" t="n">
        <v>1</v>
      </c>
      <c r="B15" s="58" t="s">
        <v>781</v>
      </c>
      <c r="C15" s="1" t="n">
        <v>44022</v>
      </c>
      <c r="E15" s="2" t="s">
        <v>85</v>
      </c>
      <c r="F15" s="2" t="s">
        <v>86</v>
      </c>
      <c r="G15" s="2" t="s">
        <v>88</v>
      </c>
      <c r="I15" s="1" t="s">
        <v>89</v>
      </c>
      <c r="J15" s="59" t="s">
        <v>861</v>
      </c>
      <c r="K15" s="59" t="s">
        <v>862</v>
      </c>
      <c r="L15" s="42" t="n">
        <v>27100000</v>
      </c>
      <c r="M15" s="5" t="n">
        <v>0</v>
      </c>
      <c r="N15" s="5" t="n">
        <v>27100000</v>
      </c>
      <c r="P15" s="5" t="n">
        <v>27100000</v>
      </c>
      <c r="R15" s="6"/>
      <c r="S15" s="6" t="n">
        <v>5500000</v>
      </c>
      <c r="T15" s="6" t="n">
        <v>5500000</v>
      </c>
      <c r="U15" s="6" t="n">
        <v>16100000</v>
      </c>
      <c r="V15" s="6"/>
      <c r="W15" s="6"/>
      <c r="X15" s="128" t="n">
        <f aca="false">SUM(S15:W15)</f>
        <v>27100000</v>
      </c>
      <c r="Y15" s="6"/>
      <c r="Z15" s="6"/>
      <c r="AA15" s="6"/>
      <c r="AB15" s="6"/>
      <c r="AC15" s="128" t="n">
        <f aca="false">SUM(Y15:AB15)</f>
        <v>0</v>
      </c>
      <c r="AD15" s="6"/>
      <c r="AE15" s="6"/>
      <c r="AF15" s="6"/>
      <c r="AG15" s="6"/>
      <c r="AH15" s="6"/>
      <c r="AI15" s="128" t="n">
        <f aca="false">SUM(AD15:AH15)</f>
        <v>0</v>
      </c>
      <c r="AJ15" s="6"/>
      <c r="AK15" s="129"/>
      <c r="AL15" s="6"/>
      <c r="AM15" s="6"/>
      <c r="AN15" s="6"/>
      <c r="AO15" s="6"/>
      <c r="AP15" s="128" t="n">
        <f aca="false">SUM(AJ15:AO15)</f>
        <v>0</v>
      </c>
      <c r="AQ15" s="6"/>
      <c r="AR15" s="6"/>
      <c r="AS15" s="6"/>
      <c r="AT15" s="6"/>
      <c r="AU15" s="6"/>
      <c r="AV15" s="6"/>
      <c r="AW15" s="6"/>
      <c r="AX15" s="128" t="n">
        <f aca="false">SUM(AQ15:AW15)</f>
        <v>0</v>
      </c>
      <c r="AY15" s="6"/>
      <c r="AZ15" s="6"/>
      <c r="BA15" s="6"/>
      <c r="BB15" s="6"/>
      <c r="BC15" s="6"/>
      <c r="BD15" s="128" t="n">
        <f aca="false">SUM(AY15:BC15)</f>
        <v>0</v>
      </c>
      <c r="BE15" s="130"/>
      <c r="BF15" s="6" t="n">
        <f aca="false">AC15+X15+AI15+AP15+AX15+BD15</f>
        <v>27100000</v>
      </c>
      <c r="BG15" s="131" t="n">
        <f aca="false">+N15-BF15</f>
        <v>0</v>
      </c>
    </row>
    <row r="16" customFormat="false" ht="12.75" hidden="false" customHeight="false" outlineLevel="0" collapsed="false">
      <c r="A16" s="58" t="n">
        <v>2</v>
      </c>
      <c r="B16" s="58" t="s">
        <v>783</v>
      </c>
      <c r="C16" s="1" t="n">
        <v>44028</v>
      </c>
      <c r="E16" s="2" t="s">
        <v>90</v>
      </c>
      <c r="F16" s="2" t="s">
        <v>91</v>
      </c>
      <c r="G16" s="2" t="s">
        <v>93</v>
      </c>
      <c r="I16" s="1" t="s">
        <v>89</v>
      </c>
      <c r="J16" s="59" t="s">
        <v>863</v>
      </c>
      <c r="K16" s="59" t="s">
        <v>862</v>
      </c>
      <c r="L16" s="42" t="n">
        <v>900000</v>
      </c>
      <c r="M16" s="5" t="n">
        <v>0</v>
      </c>
      <c r="N16" s="5" t="n">
        <v>900000</v>
      </c>
      <c r="P16" s="5" t="n">
        <v>900000</v>
      </c>
      <c r="R16" s="6"/>
      <c r="S16" s="6" t="n">
        <v>200000</v>
      </c>
      <c r="T16" s="6" t="n">
        <v>350000</v>
      </c>
      <c r="U16" s="6" t="n">
        <v>350000</v>
      </c>
      <c r="V16" s="6"/>
      <c r="W16" s="6"/>
      <c r="X16" s="128" t="n">
        <f aca="false">SUM(S16:W16)</f>
        <v>900000</v>
      </c>
      <c r="Y16" s="6"/>
      <c r="Z16" s="6"/>
      <c r="AA16" s="6"/>
      <c r="AB16" s="6"/>
      <c r="AC16" s="128" t="n">
        <f aca="false">SUM(Y16:AB16)</f>
        <v>0</v>
      </c>
      <c r="AD16" s="6"/>
      <c r="AE16" s="6"/>
      <c r="AF16" s="6"/>
      <c r="AG16" s="6"/>
      <c r="AH16" s="6"/>
      <c r="AI16" s="128" t="n">
        <f aca="false">SUM(AD16:AH16)</f>
        <v>0</v>
      </c>
      <c r="AJ16" s="6"/>
      <c r="AK16" s="129"/>
      <c r="AL16" s="6"/>
      <c r="AM16" s="6"/>
      <c r="AN16" s="6"/>
      <c r="AO16" s="6"/>
      <c r="AP16" s="128" t="n">
        <f aca="false">SUM(AJ16:AO16)</f>
        <v>0</v>
      </c>
      <c r="AQ16" s="6"/>
      <c r="AR16" s="6"/>
      <c r="AS16" s="6"/>
      <c r="AT16" s="6"/>
      <c r="AU16" s="6"/>
      <c r="AV16" s="6"/>
      <c r="AW16" s="6"/>
      <c r="AX16" s="128" t="n">
        <f aca="false">SUM(AQ16:AW16)</f>
        <v>0</v>
      </c>
      <c r="AY16" s="6"/>
      <c r="AZ16" s="6"/>
      <c r="BA16" s="6"/>
      <c r="BB16" s="6"/>
      <c r="BC16" s="6"/>
      <c r="BD16" s="128" t="n">
        <f aca="false">SUM(AY16:BC16)</f>
        <v>0</v>
      </c>
      <c r="BE16" s="130"/>
      <c r="BF16" s="6" t="n">
        <f aca="false">AC16+X16+AI16+AP16+AX16+BD16</f>
        <v>900000</v>
      </c>
      <c r="BG16" s="131" t="n">
        <f aca="false">+N16-BF16</f>
        <v>0</v>
      </c>
    </row>
    <row r="17" customFormat="false" ht="12.75" hidden="false" customHeight="false" outlineLevel="0" collapsed="false">
      <c r="A17" s="58" t="n">
        <v>3</v>
      </c>
      <c r="B17" s="58" t="s">
        <v>96</v>
      </c>
      <c r="C17" s="1" t="n">
        <v>44068</v>
      </c>
      <c r="E17" s="2" t="s">
        <v>94</v>
      </c>
      <c r="F17" s="2" t="s">
        <v>95</v>
      </c>
      <c r="G17" s="2" t="s">
        <v>97</v>
      </c>
      <c r="I17" s="1" t="s">
        <v>98</v>
      </c>
      <c r="J17" s="59" t="s">
        <v>864</v>
      </c>
      <c r="K17" s="59" t="s">
        <v>865</v>
      </c>
      <c r="L17" s="42" t="n">
        <v>5651000</v>
      </c>
      <c r="M17" s="5" t="n">
        <v>0</v>
      </c>
      <c r="N17" s="5" t="n">
        <f aca="false">L17</f>
        <v>5651000</v>
      </c>
      <c r="P17" s="5" t="n">
        <v>5651000</v>
      </c>
      <c r="R17" s="6"/>
      <c r="S17" s="6" t="n">
        <v>900000</v>
      </c>
      <c r="T17" s="6" t="n">
        <v>900000</v>
      </c>
      <c r="U17" s="6" t="n">
        <v>1000000</v>
      </c>
      <c r="V17" s="6"/>
      <c r="W17" s="6" t="n">
        <v>1500000</v>
      </c>
      <c r="X17" s="128" t="n">
        <f aca="false">SUM(S17:W17)</f>
        <v>4300000</v>
      </c>
      <c r="Y17" s="6" t="n">
        <v>1351000</v>
      </c>
      <c r="Z17" s="6"/>
      <c r="AA17" s="6"/>
      <c r="AB17" s="6"/>
      <c r="AC17" s="128" t="n">
        <f aca="false">SUM(Y17:AB17)</f>
        <v>1351000</v>
      </c>
      <c r="AD17" s="6"/>
      <c r="AE17" s="6"/>
      <c r="AF17" s="6"/>
      <c r="AG17" s="6"/>
      <c r="AH17" s="6"/>
      <c r="AI17" s="128" t="n">
        <f aca="false">SUM(AD17:AH17)</f>
        <v>0</v>
      </c>
      <c r="AJ17" s="6"/>
      <c r="AK17" s="129"/>
      <c r="AL17" s="6"/>
      <c r="AM17" s="6"/>
      <c r="AN17" s="6"/>
      <c r="AO17" s="6"/>
      <c r="AP17" s="128" t="n">
        <f aca="false">SUM(AJ17:AO17)</f>
        <v>0</v>
      </c>
      <c r="AQ17" s="6"/>
      <c r="AR17" s="6"/>
      <c r="AS17" s="6"/>
      <c r="AT17" s="6"/>
      <c r="AU17" s="6"/>
      <c r="AV17" s="6"/>
      <c r="AW17" s="6"/>
      <c r="AX17" s="128" t="n">
        <f aca="false">SUM(AQ17:AW17)</f>
        <v>0</v>
      </c>
      <c r="AY17" s="6"/>
      <c r="AZ17" s="6"/>
      <c r="BA17" s="6"/>
      <c r="BB17" s="6"/>
      <c r="BC17" s="6"/>
      <c r="BD17" s="128" t="n">
        <f aca="false">SUM(AY17:BC17)</f>
        <v>0</v>
      </c>
      <c r="BE17" s="130"/>
      <c r="BF17" s="6" t="n">
        <f aca="false">AC17+X17+AI17+AP17+AX17+BD17</f>
        <v>5651000</v>
      </c>
      <c r="BG17" s="131" t="n">
        <f aca="false">+N17-BF17</f>
        <v>0</v>
      </c>
    </row>
    <row r="18" customFormat="false" ht="12.75" hidden="false" customHeight="false" outlineLevel="0" collapsed="false">
      <c r="A18" s="58" t="n">
        <v>4</v>
      </c>
      <c r="B18" s="58" t="s">
        <v>101</v>
      </c>
      <c r="C18" s="1" t="n">
        <v>44186</v>
      </c>
      <c r="E18" s="2" t="s">
        <v>99</v>
      </c>
      <c r="F18" s="2" t="s">
        <v>100</v>
      </c>
      <c r="G18" s="2" t="s">
        <v>102</v>
      </c>
      <c r="I18" s="132" t="s">
        <v>103</v>
      </c>
      <c r="J18" s="59" t="s">
        <v>866</v>
      </c>
      <c r="K18" s="59" t="s">
        <v>865</v>
      </c>
      <c r="L18" s="42" t="n">
        <v>1100000</v>
      </c>
      <c r="M18" s="5" t="n">
        <v>0</v>
      </c>
      <c r="N18" s="5" t="n">
        <v>1100000</v>
      </c>
      <c r="P18" s="5" t="n">
        <v>1100000</v>
      </c>
      <c r="R18" s="6"/>
      <c r="S18" s="6" t="n">
        <v>0</v>
      </c>
      <c r="T18" s="6"/>
      <c r="U18" s="6" t="n">
        <v>500000</v>
      </c>
      <c r="V18" s="6"/>
      <c r="W18" s="6" t="n">
        <v>600000</v>
      </c>
      <c r="X18" s="128" t="n">
        <f aca="false">SUM(S18:W18)</f>
        <v>1100000</v>
      </c>
      <c r="Y18" s="6"/>
      <c r="Z18" s="6"/>
      <c r="AA18" s="6"/>
      <c r="AB18" s="6"/>
      <c r="AC18" s="128" t="n">
        <f aca="false">SUM(Y18:AB18)</f>
        <v>0</v>
      </c>
      <c r="AD18" s="6"/>
      <c r="AE18" s="6"/>
      <c r="AF18" s="6"/>
      <c r="AG18" s="6"/>
      <c r="AH18" s="6"/>
      <c r="AI18" s="128" t="n">
        <f aca="false">SUM(AD18:AH18)</f>
        <v>0</v>
      </c>
      <c r="AJ18" s="6"/>
      <c r="AK18" s="129"/>
      <c r="AL18" s="6"/>
      <c r="AM18" s="6"/>
      <c r="AN18" s="6"/>
      <c r="AO18" s="6"/>
      <c r="AP18" s="128" t="n">
        <f aca="false">SUM(AJ18:AO18)</f>
        <v>0</v>
      </c>
      <c r="AQ18" s="6"/>
      <c r="AR18" s="6"/>
      <c r="AS18" s="6"/>
      <c r="AT18" s="6"/>
      <c r="AU18" s="6"/>
      <c r="AV18" s="6"/>
      <c r="AW18" s="6"/>
      <c r="AX18" s="128" t="n">
        <f aca="false">SUM(AQ18:AW18)</f>
        <v>0</v>
      </c>
      <c r="AY18" s="6"/>
      <c r="AZ18" s="6"/>
      <c r="BA18" s="6"/>
      <c r="BB18" s="6"/>
      <c r="BC18" s="6"/>
      <c r="BD18" s="128" t="n">
        <f aca="false">SUM(AY18:BC18)</f>
        <v>0</v>
      </c>
      <c r="BE18" s="130"/>
      <c r="BF18" s="6" t="n">
        <f aca="false">AC18+X18+AI18+AP18+AX18+BD18</f>
        <v>1100000</v>
      </c>
      <c r="BG18" s="131" t="n">
        <f aca="false">+N18-BF18</f>
        <v>0</v>
      </c>
    </row>
    <row r="19" customFormat="false" ht="12.75" hidden="false" customHeight="false" outlineLevel="0" collapsed="false">
      <c r="A19" s="58" t="n">
        <v>5</v>
      </c>
      <c r="B19" s="58" t="s">
        <v>106</v>
      </c>
      <c r="C19" s="1" t="n">
        <v>44022</v>
      </c>
      <c r="E19" s="2" t="s">
        <v>104</v>
      </c>
      <c r="F19" s="2" t="s">
        <v>105</v>
      </c>
      <c r="G19" s="2" t="s">
        <v>107</v>
      </c>
      <c r="I19" s="1" t="s">
        <v>89</v>
      </c>
      <c r="J19" s="59" t="s">
        <v>867</v>
      </c>
      <c r="K19" s="59" t="s">
        <v>862</v>
      </c>
      <c r="L19" s="42" t="n">
        <v>1000000</v>
      </c>
      <c r="M19" s="5" t="n">
        <v>0</v>
      </c>
      <c r="N19" s="5" t="n">
        <v>1000000</v>
      </c>
      <c r="P19" s="5" t="n">
        <v>1000000</v>
      </c>
      <c r="R19" s="6"/>
      <c r="S19" s="6" t="n">
        <v>750000</v>
      </c>
      <c r="T19" s="6" t="n">
        <v>250000</v>
      </c>
      <c r="U19" s="6"/>
      <c r="V19" s="6"/>
      <c r="W19" s="6"/>
      <c r="X19" s="128" t="n">
        <f aca="false">SUM(S19:W19)</f>
        <v>1000000</v>
      </c>
      <c r="Y19" s="6"/>
      <c r="Z19" s="6"/>
      <c r="AA19" s="6"/>
      <c r="AB19" s="6"/>
      <c r="AC19" s="128" t="n">
        <f aca="false">SUM(Y19:AB19)</f>
        <v>0</v>
      </c>
      <c r="AD19" s="6"/>
      <c r="AE19" s="6"/>
      <c r="AF19" s="6"/>
      <c r="AG19" s="6"/>
      <c r="AH19" s="6"/>
      <c r="AI19" s="128" t="n">
        <f aca="false">SUM(AD19:AH19)</f>
        <v>0</v>
      </c>
      <c r="AJ19" s="6"/>
      <c r="AK19" s="129"/>
      <c r="AL19" s="6"/>
      <c r="AM19" s="6"/>
      <c r="AN19" s="6"/>
      <c r="AO19" s="6"/>
      <c r="AP19" s="128" t="n">
        <f aca="false">SUM(AJ19:AO19)</f>
        <v>0</v>
      </c>
      <c r="AQ19" s="6"/>
      <c r="AR19" s="6"/>
      <c r="AS19" s="6"/>
      <c r="AT19" s="6"/>
      <c r="AU19" s="6"/>
      <c r="AV19" s="6"/>
      <c r="AW19" s="6"/>
      <c r="AX19" s="128" t="n">
        <f aca="false">SUM(AQ19:AW19)</f>
        <v>0</v>
      </c>
      <c r="AY19" s="6"/>
      <c r="AZ19" s="6"/>
      <c r="BA19" s="6"/>
      <c r="BB19" s="6"/>
      <c r="BC19" s="6"/>
      <c r="BD19" s="128" t="n">
        <f aca="false">SUM(AY19:BC19)</f>
        <v>0</v>
      </c>
      <c r="BE19" s="130"/>
      <c r="BF19" s="6" t="n">
        <f aca="false">AC19+X19+AI19+AP19+AX19+BD19</f>
        <v>1000000</v>
      </c>
      <c r="BG19" s="131" t="n">
        <f aca="false">+N19-BF19</f>
        <v>0</v>
      </c>
    </row>
    <row r="20" customFormat="false" ht="12.75" hidden="false" customHeight="false" outlineLevel="0" collapsed="false">
      <c r="A20" s="58" t="n">
        <v>6</v>
      </c>
      <c r="B20" s="58" t="s">
        <v>110</v>
      </c>
      <c r="C20" s="1" t="n">
        <v>44091</v>
      </c>
      <c r="E20" s="2" t="s">
        <v>108</v>
      </c>
      <c r="F20" s="2" t="s">
        <v>109</v>
      </c>
      <c r="G20" s="2" t="s">
        <v>111</v>
      </c>
      <c r="I20" s="132" t="s">
        <v>112</v>
      </c>
      <c r="J20" s="59" t="s">
        <v>868</v>
      </c>
      <c r="K20" s="59" t="s">
        <v>865</v>
      </c>
      <c r="L20" s="42" t="n">
        <v>1849000</v>
      </c>
      <c r="M20" s="5" t="n">
        <v>0</v>
      </c>
      <c r="N20" s="5" t="n">
        <f aca="false">L20</f>
        <v>1849000</v>
      </c>
      <c r="P20" s="5" t="n">
        <v>1849000</v>
      </c>
      <c r="R20" s="6"/>
      <c r="S20" s="6" t="n">
        <v>0</v>
      </c>
      <c r="T20" s="6" t="n">
        <v>25000</v>
      </c>
      <c r="U20" s="6" t="n">
        <v>456000</v>
      </c>
      <c r="V20" s="6"/>
      <c r="W20" s="6"/>
      <c r="X20" s="128" t="n">
        <f aca="false">SUM(S20:W20)</f>
        <v>481000</v>
      </c>
      <c r="Y20" s="6"/>
      <c r="Z20" s="6" t="n">
        <v>200000</v>
      </c>
      <c r="AA20" s="6" t="n">
        <v>250000</v>
      </c>
      <c r="AB20" s="6" t="n">
        <v>918000</v>
      </c>
      <c r="AC20" s="128" t="n">
        <f aca="false">SUM(Y20:AB20)</f>
        <v>1368000</v>
      </c>
      <c r="AD20" s="6"/>
      <c r="AE20" s="6"/>
      <c r="AF20" s="6"/>
      <c r="AG20" s="6"/>
      <c r="AH20" s="6"/>
      <c r="AI20" s="128" t="n">
        <f aca="false">SUM(AD20:AH20)</f>
        <v>0</v>
      </c>
      <c r="AJ20" s="6"/>
      <c r="AK20" s="129"/>
      <c r="AL20" s="6"/>
      <c r="AM20" s="6"/>
      <c r="AN20" s="6"/>
      <c r="AO20" s="6"/>
      <c r="AP20" s="128" t="n">
        <f aca="false">SUM(AJ20:AO20)</f>
        <v>0</v>
      </c>
      <c r="AQ20" s="6"/>
      <c r="AR20" s="6"/>
      <c r="AS20" s="6"/>
      <c r="AT20" s="6"/>
      <c r="AU20" s="6"/>
      <c r="AV20" s="6"/>
      <c r="AW20" s="6"/>
      <c r="AX20" s="128" t="n">
        <f aca="false">SUM(AQ20:AW20)</f>
        <v>0</v>
      </c>
      <c r="AY20" s="6"/>
      <c r="AZ20" s="6"/>
      <c r="BA20" s="6"/>
      <c r="BB20" s="6"/>
      <c r="BC20" s="6"/>
      <c r="BD20" s="128" t="n">
        <f aca="false">SUM(AY20:BC20)</f>
        <v>0</v>
      </c>
      <c r="BE20" s="130"/>
      <c r="BF20" s="6" t="n">
        <f aca="false">AC20+X20+AI20+AP20+AX20+BD20</f>
        <v>1849000</v>
      </c>
      <c r="BG20" s="131" t="n">
        <f aca="false">+N20-BF20</f>
        <v>0</v>
      </c>
    </row>
    <row r="21" customFormat="false" ht="12.75" hidden="false" customHeight="false" outlineLevel="0" collapsed="false">
      <c r="A21" s="58" t="n">
        <v>7</v>
      </c>
      <c r="B21" s="58" t="s">
        <v>115</v>
      </c>
      <c r="C21" s="1" t="n">
        <v>44111</v>
      </c>
      <c r="E21" s="2" t="s">
        <v>113</v>
      </c>
      <c r="F21" s="2" t="s">
        <v>114</v>
      </c>
      <c r="G21" s="2" t="s">
        <v>116</v>
      </c>
      <c r="I21" s="132" t="s">
        <v>869</v>
      </c>
      <c r="J21" s="59" t="s">
        <v>870</v>
      </c>
      <c r="K21" s="59" t="s">
        <v>871</v>
      </c>
      <c r="L21" s="42" t="n">
        <v>180000</v>
      </c>
      <c r="M21" s="5" t="n">
        <v>0</v>
      </c>
      <c r="N21" s="5" t="n">
        <f aca="false">L21</f>
        <v>180000</v>
      </c>
      <c r="P21" s="5" t="n">
        <v>180000</v>
      </c>
      <c r="R21" s="6"/>
      <c r="S21" s="6" t="n">
        <v>0</v>
      </c>
      <c r="T21" s="6" t="n">
        <v>180000</v>
      </c>
      <c r="U21" s="6"/>
      <c r="V21" s="6"/>
      <c r="W21" s="6"/>
      <c r="X21" s="128" t="n">
        <f aca="false">SUM(S21:W21)</f>
        <v>180000</v>
      </c>
      <c r="Y21" s="6"/>
      <c r="Z21" s="6"/>
      <c r="AA21" s="6"/>
      <c r="AB21" s="6"/>
      <c r="AC21" s="128" t="n">
        <f aca="false">SUM(Y21:AB21)</f>
        <v>0</v>
      </c>
      <c r="AD21" s="6"/>
      <c r="AE21" s="6"/>
      <c r="AF21" s="6"/>
      <c r="AG21" s="6"/>
      <c r="AH21" s="6"/>
      <c r="AI21" s="128" t="n">
        <f aca="false">SUM(AD21:AH21)</f>
        <v>0</v>
      </c>
      <c r="AJ21" s="6"/>
      <c r="AK21" s="129"/>
      <c r="AL21" s="6"/>
      <c r="AM21" s="6"/>
      <c r="AN21" s="6"/>
      <c r="AO21" s="6"/>
      <c r="AP21" s="128" t="n">
        <f aca="false">SUM(AJ21:AO21)</f>
        <v>0</v>
      </c>
      <c r="AQ21" s="6"/>
      <c r="AR21" s="6"/>
      <c r="AS21" s="6"/>
      <c r="AT21" s="6"/>
      <c r="AU21" s="6"/>
      <c r="AV21" s="6"/>
      <c r="AW21" s="6"/>
      <c r="AX21" s="128" t="n">
        <f aca="false">SUM(AQ21:AW21)</f>
        <v>0</v>
      </c>
      <c r="AY21" s="6"/>
      <c r="AZ21" s="6"/>
      <c r="BA21" s="6"/>
      <c r="BB21" s="6"/>
      <c r="BC21" s="6"/>
      <c r="BD21" s="128" t="n">
        <f aca="false">SUM(AY21:BC21)</f>
        <v>0</v>
      </c>
      <c r="BE21" s="130"/>
      <c r="BF21" s="6" t="n">
        <f aca="false">AC21+X21+AI21+AP21+AX21+BD21</f>
        <v>180000</v>
      </c>
      <c r="BG21" s="131" t="n">
        <f aca="false">+N21-BF21</f>
        <v>0</v>
      </c>
    </row>
    <row r="22" customFormat="false" ht="12.75" hidden="false" customHeight="false" outlineLevel="0" collapsed="false">
      <c r="A22" s="58" t="n">
        <v>8</v>
      </c>
      <c r="B22" s="58" t="s">
        <v>120</v>
      </c>
      <c r="C22" s="1" t="n">
        <v>44048</v>
      </c>
      <c r="E22" s="2" t="s">
        <v>118</v>
      </c>
      <c r="F22" s="2" t="s">
        <v>119</v>
      </c>
      <c r="G22" s="2" t="s">
        <v>121</v>
      </c>
      <c r="I22" s="1" t="s">
        <v>89</v>
      </c>
      <c r="J22" s="59" t="s">
        <v>863</v>
      </c>
      <c r="K22" s="59" t="s">
        <v>862</v>
      </c>
      <c r="L22" s="42" t="n">
        <v>800000</v>
      </c>
      <c r="M22" s="5" t="n">
        <v>0</v>
      </c>
      <c r="N22" s="5" t="n">
        <v>800000</v>
      </c>
      <c r="P22" s="5" t="n">
        <v>800000</v>
      </c>
      <c r="R22" s="6"/>
      <c r="S22" s="6"/>
      <c r="T22" s="6" t="n">
        <v>800000</v>
      </c>
      <c r="U22" s="6"/>
      <c r="V22" s="6"/>
      <c r="W22" s="6"/>
      <c r="X22" s="128" t="n">
        <f aca="false">SUM(S22:W22)</f>
        <v>800000</v>
      </c>
      <c r="Y22" s="6"/>
      <c r="Z22" s="6"/>
      <c r="AA22" s="6"/>
      <c r="AB22" s="6"/>
      <c r="AC22" s="128" t="n">
        <f aca="false">SUM(Y22:AB22)</f>
        <v>0</v>
      </c>
      <c r="AD22" s="6"/>
      <c r="AE22" s="6"/>
      <c r="AF22" s="6"/>
      <c r="AG22" s="6"/>
      <c r="AH22" s="6"/>
      <c r="AI22" s="128" t="n">
        <f aca="false">SUM(AD22:AH22)</f>
        <v>0</v>
      </c>
      <c r="AJ22" s="6"/>
      <c r="AK22" s="129"/>
      <c r="AL22" s="6"/>
      <c r="AM22" s="6"/>
      <c r="AN22" s="6"/>
      <c r="AO22" s="6"/>
      <c r="AP22" s="128" t="n">
        <f aca="false">SUM(AJ22:AO22)</f>
        <v>0</v>
      </c>
      <c r="AQ22" s="6"/>
      <c r="AR22" s="6"/>
      <c r="AS22" s="6"/>
      <c r="AT22" s="6"/>
      <c r="AU22" s="6"/>
      <c r="AV22" s="6"/>
      <c r="AW22" s="6"/>
      <c r="AX22" s="128" t="n">
        <f aca="false">SUM(AQ22:AW22)</f>
        <v>0</v>
      </c>
      <c r="AY22" s="6"/>
      <c r="AZ22" s="6"/>
      <c r="BA22" s="6"/>
      <c r="BB22" s="6"/>
      <c r="BC22" s="6"/>
      <c r="BD22" s="128" t="n">
        <f aca="false">SUM(AY22:BC22)</f>
        <v>0</v>
      </c>
      <c r="BE22" s="130"/>
      <c r="BF22" s="6" t="n">
        <f aca="false">AC22+X22+AI22+AP22+AX22+BD22</f>
        <v>800000</v>
      </c>
      <c r="BG22" s="131" t="n">
        <f aca="false">+N22-BF22</f>
        <v>0</v>
      </c>
    </row>
    <row r="23" customFormat="false" ht="12.75" hidden="false" customHeight="false" outlineLevel="0" collapsed="false">
      <c r="A23" s="58" t="n">
        <v>9</v>
      </c>
      <c r="B23" s="58" t="s">
        <v>124</v>
      </c>
      <c r="C23" s="1" t="n">
        <v>44039</v>
      </c>
      <c r="E23" s="2" t="s">
        <v>122</v>
      </c>
      <c r="F23" s="2" t="s">
        <v>123</v>
      </c>
      <c r="G23" s="2" t="s">
        <v>125</v>
      </c>
      <c r="I23" s="1" t="s">
        <v>126</v>
      </c>
      <c r="J23" s="59" t="s">
        <v>872</v>
      </c>
      <c r="K23" s="59" t="s">
        <v>862</v>
      </c>
      <c r="L23" s="42" t="n">
        <v>9391000</v>
      </c>
      <c r="M23" s="5" t="n">
        <v>0</v>
      </c>
      <c r="N23" s="5" t="n">
        <v>9391000</v>
      </c>
      <c r="P23" s="5" t="n">
        <v>9391000</v>
      </c>
      <c r="R23" s="6"/>
      <c r="S23" s="6" t="n">
        <v>350000</v>
      </c>
      <c r="T23" s="6"/>
      <c r="U23" s="6" t="n">
        <v>250000</v>
      </c>
      <c r="V23" s="6"/>
      <c r="W23" s="6" t="n">
        <v>1200000</v>
      </c>
      <c r="X23" s="128" t="n">
        <f aca="false">SUM(S23:W23)</f>
        <v>1800000</v>
      </c>
      <c r="Y23" s="6" t="n">
        <v>1200000</v>
      </c>
      <c r="Z23" s="6" t="n">
        <v>1065166.67</v>
      </c>
      <c r="AA23" s="6" t="n">
        <v>3000000</v>
      </c>
      <c r="AB23" s="6" t="n">
        <v>590000</v>
      </c>
      <c r="AC23" s="128" t="n">
        <f aca="false">SUM(Y23:AB23)</f>
        <v>5855166.67</v>
      </c>
      <c r="AD23" s="6" t="n">
        <v>578611.11</v>
      </c>
      <c r="AE23" s="6" t="n">
        <v>1157222.22</v>
      </c>
      <c r="AF23" s="6"/>
      <c r="AG23" s="6"/>
      <c r="AH23" s="6"/>
      <c r="AI23" s="128" t="n">
        <f aca="false">SUM(AD23:AH23)</f>
        <v>1735833.33</v>
      </c>
      <c r="AJ23" s="6"/>
      <c r="AK23" s="129"/>
      <c r="AL23" s="6"/>
      <c r="AM23" s="6"/>
      <c r="AN23" s="6"/>
      <c r="AO23" s="6"/>
      <c r="AP23" s="128" t="n">
        <f aca="false">SUM(AJ23:AO23)</f>
        <v>0</v>
      </c>
      <c r="AQ23" s="6"/>
      <c r="AR23" s="6"/>
      <c r="AS23" s="6"/>
      <c r="AT23" s="6"/>
      <c r="AU23" s="6"/>
      <c r="AV23" s="6"/>
      <c r="AW23" s="6"/>
      <c r="AX23" s="128" t="n">
        <f aca="false">SUM(AQ23:AW23)</f>
        <v>0</v>
      </c>
      <c r="AY23" s="6"/>
      <c r="AZ23" s="6"/>
      <c r="BA23" s="6"/>
      <c r="BB23" s="6"/>
      <c r="BC23" s="6"/>
      <c r="BD23" s="128" t="n">
        <f aca="false">SUM(AY23:BC23)</f>
        <v>0</v>
      </c>
      <c r="BE23" s="130"/>
      <c r="BF23" s="6" t="n">
        <f aca="false">AC23+X23+AI23+AP23+AX23+BD23</f>
        <v>9391000</v>
      </c>
      <c r="BG23" s="131" t="n">
        <f aca="false">+N23-BF23</f>
        <v>0</v>
      </c>
    </row>
    <row r="24" s="134" customFormat="true" ht="15" hidden="false" customHeight="true" outlineLevel="0" collapsed="false">
      <c r="A24" s="58" t="n">
        <v>10</v>
      </c>
      <c r="B24" s="58" t="s">
        <v>129</v>
      </c>
      <c r="C24" s="1" t="n">
        <v>44075</v>
      </c>
      <c r="D24" s="1"/>
      <c r="E24" s="2" t="s">
        <v>127</v>
      </c>
      <c r="F24" s="2" t="s">
        <v>128</v>
      </c>
      <c r="G24" s="2" t="s">
        <v>130</v>
      </c>
      <c r="H24" s="59"/>
      <c r="I24" s="1" t="s">
        <v>131</v>
      </c>
      <c r="J24" s="59" t="s">
        <v>873</v>
      </c>
      <c r="K24" s="59" t="s">
        <v>862</v>
      </c>
      <c r="L24" s="42" t="n">
        <v>695780</v>
      </c>
      <c r="M24" s="5" t="n">
        <v>0</v>
      </c>
      <c r="N24" s="5" t="n">
        <f aca="false">L24</f>
        <v>695780</v>
      </c>
      <c r="O24" s="5"/>
      <c r="P24" s="5" t="n">
        <v>695780</v>
      </c>
      <c r="Q24" s="5"/>
      <c r="R24" s="6"/>
      <c r="S24" s="6" t="n">
        <v>120000</v>
      </c>
      <c r="T24" s="6" t="n">
        <v>100000</v>
      </c>
      <c r="U24" s="6" t="n">
        <v>100000</v>
      </c>
      <c r="V24" s="6"/>
      <c r="W24" s="6"/>
      <c r="X24" s="128" t="n">
        <f aca="false">SUM(S24:W24)</f>
        <v>320000</v>
      </c>
      <c r="Y24" s="6" t="n">
        <v>200000</v>
      </c>
      <c r="Z24" s="6" t="n">
        <v>175780</v>
      </c>
      <c r="AA24" s="6"/>
      <c r="AB24" s="6"/>
      <c r="AC24" s="128" t="n">
        <f aca="false">SUM(Y24:AB24)</f>
        <v>375780</v>
      </c>
      <c r="AD24" s="6"/>
      <c r="AE24" s="6"/>
      <c r="AF24" s="6"/>
      <c r="AG24" s="6"/>
      <c r="AH24" s="6"/>
      <c r="AI24" s="128" t="n">
        <f aca="false">SUM(AD24:AH24)</f>
        <v>0</v>
      </c>
      <c r="AJ24" s="6"/>
      <c r="AK24" s="129"/>
      <c r="AL24" s="6"/>
      <c r="AM24" s="6"/>
      <c r="AN24" s="6"/>
      <c r="AO24" s="6"/>
      <c r="AP24" s="128" t="n">
        <f aca="false">SUM(AJ24:AO24)</f>
        <v>0</v>
      </c>
      <c r="AQ24" s="6"/>
      <c r="AR24" s="6"/>
      <c r="AS24" s="6"/>
      <c r="AT24" s="6"/>
      <c r="AU24" s="6"/>
      <c r="AV24" s="6"/>
      <c r="AW24" s="6"/>
      <c r="AX24" s="128" t="n">
        <f aca="false">SUM(AQ24:AW24)</f>
        <v>0</v>
      </c>
      <c r="AY24" s="6"/>
      <c r="AZ24" s="6"/>
      <c r="BA24" s="6"/>
      <c r="BB24" s="6"/>
      <c r="BC24" s="6"/>
      <c r="BD24" s="128" t="n">
        <f aca="false">SUM(AY24:BC24)</f>
        <v>0</v>
      </c>
      <c r="BE24" s="130"/>
      <c r="BF24" s="6" t="n">
        <f aca="false">AC24+X24+AI24+AP24+AX24+BD24</f>
        <v>695780</v>
      </c>
      <c r="BG24" s="131" t="n">
        <f aca="false">+N24-BF24</f>
        <v>0</v>
      </c>
      <c r="BH24" s="133"/>
    </row>
    <row r="25" s="134" customFormat="true" ht="12.75" hidden="false" customHeight="false" outlineLevel="0" collapsed="false">
      <c r="A25" s="135" t="s">
        <v>874</v>
      </c>
      <c r="B25" s="58" t="s">
        <v>134</v>
      </c>
      <c r="C25" s="132" t="n">
        <v>44076</v>
      </c>
      <c r="D25" s="132"/>
      <c r="E25" s="134" t="s">
        <v>136</v>
      </c>
      <c r="F25" s="134" t="s">
        <v>133</v>
      </c>
      <c r="G25" s="2" t="s">
        <v>137</v>
      </c>
      <c r="H25" s="59"/>
      <c r="I25" s="132" t="s">
        <v>138</v>
      </c>
      <c r="J25" s="136" t="s">
        <v>872</v>
      </c>
      <c r="K25" s="136" t="s">
        <v>862</v>
      </c>
      <c r="L25" s="137" t="n">
        <v>3175900</v>
      </c>
      <c r="M25" s="138" t="n">
        <v>0</v>
      </c>
      <c r="N25" s="138" t="n">
        <f aca="false">L25</f>
        <v>3175900</v>
      </c>
      <c r="O25" s="138"/>
      <c r="P25" s="138" t="n">
        <v>3175900</v>
      </c>
      <c r="Q25" s="138"/>
      <c r="R25" s="133"/>
      <c r="S25" s="6" t="n">
        <v>0</v>
      </c>
      <c r="T25" s="133" t="n">
        <v>714249</v>
      </c>
      <c r="U25" s="133"/>
      <c r="V25" s="133"/>
      <c r="W25" s="133" t="n">
        <v>200000</v>
      </c>
      <c r="X25" s="128" t="n">
        <f aca="false">SUM(S25:W25)</f>
        <v>914249</v>
      </c>
      <c r="Y25" s="6" t="n">
        <v>700000</v>
      </c>
      <c r="Z25" s="133" t="n">
        <v>180919.25</v>
      </c>
      <c r="AA25" s="133"/>
      <c r="AB25" s="133" t="n">
        <v>542757.75</v>
      </c>
      <c r="AC25" s="128" t="n">
        <f aca="false">SUM(Y25:AB25)</f>
        <v>1423677</v>
      </c>
      <c r="AD25" s="6"/>
      <c r="AE25" s="133"/>
      <c r="AF25" s="133"/>
      <c r="AG25" s="133"/>
      <c r="AH25" s="133"/>
      <c r="AI25" s="128" t="n">
        <f aca="false">SUM(AD25:AH25)</f>
        <v>0</v>
      </c>
      <c r="AJ25" s="133"/>
      <c r="AK25" s="139"/>
      <c r="AL25" s="133"/>
      <c r="AM25" s="133"/>
      <c r="AN25" s="133"/>
      <c r="AO25" s="133"/>
      <c r="AP25" s="128" t="n">
        <f aca="false">SUM(AJ25:AO25)</f>
        <v>0</v>
      </c>
      <c r="AQ25" s="133"/>
      <c r="AR25" s="133"/>
      <c r="AS25" s="133"/>
      <c r="AT25" s="133"/>
      <c r="AU25" s="133"/>
      <c r="AV25" s="133"/>
      <c r="AW25" s="133"/>
      <c r="AX25" s="128" t="n">
        <f aca="false">SUM(AQ25:AW25)</f>
        <v>0</v>
      </c>
      <c r="AY25" s="133"/>
      <c r="AZ25" s="133"/>
      <c r="BA25" s="133"/>
      <c r="BB25" s="133"/>
      <c r="BC25" s="133"/>
      <c r="BD25" s="128" t="n">
        <f aca="false">SUM(AY25:BC25)</f>
        <v>0</v>
      </c>
      <c r="BE25" s="140"/>
      <c r="BF25" s="6" t="n">
        <f aca="false">AC25+X25+AI25+AP25+AX25+BD25</f>
        <v>2337926</v>
      </c>
      <c r="BG25" s="131" t="n">
        <f aca="false">+N25-BF25</f>
        <v>837974</v>
      </c>
      <c r="BH25" s="133"/>
    </row>
    <row r="26" s="144" customFormat="true" ht="12.75" hidden="false" customHeight="false" outlineLevel="0" collapsed="false">
      <c r="A26" s="141" t="s">
        <v>875</v>
      </c>
      <c r="B26" s="58" t="s">
        <v>134</v>
      </c>
      <c r="C26" s="142" t="n">
        <v>44376</v>
      </c>
      <c r="D26" s="142"/>
      <c r="E26" s="143" t="s">
        <v>132</v>
      </c>
      <c r="F26" s="143" t="s">
        <v>133</v>
      </c>
      <c r="G26" s="144" t="s">
        <v>135</v>
      </c>
      <c r="H26" s="145"/>
      <c r="I26" s="142" t="s">
        <v>98</v>
      </c>
      <c r="J26" s="146" t="s">
        <v>872</v>
      </c>
      <c r="K26" s="146" t="s">
        <v>862</v>
      </c>
      <c r="L26" s="147" t="n">
        <v>-837974</v>
      </c>
      <c r="M26" s="148"/>
      <c r="N26" s="148" t="n">
        <v>-837974</v>
      </c>
      <c r="O26" s="148"/>
      <c r="P26" s="148" t="n">
        <v>-837974</v>
      </c>
      <c r="Q26" s="148"/>
      <c r="R26" s="149"/>
      <c r="S26" s="150"/>
      <c r="T26" s="149"/>
      <c r="U26" s="149"/>
      <c r="V26" s="149"/>
      <c r="W26" s="149"/>
      <c r="X26" s="151" t="n">
        <f aca="false">SUM(S26:W26)</f>
        <v>0</v>
      </c>
      <c r="Y26" s="150"/>
      <c r="Z26" s="149"/>
      <c r="AA26" s="149"/>
      <c r="AB26" s="149"/>
      <c r="AC26" s="151" t="n">
        <f aca="false">SUM(Y26:AB26)</f>
        <v>0</v>
      </c>
      <c r="AD26" s="150"/>
      <c r="AE26" s="149"/>
      <c r="AF26" s="149"/>
      <c r="AG26" s="149"/>
      <c r="AH26" s="149"/>
      <c r="AI26" s="151" t="n">
        <f aca="false">SUM(AD26:AH26)</f>
        <v>0</v>
      </c>
      <c r="AJ26" s="149"/>
      <c r="AK26" s="149"/>
      <c r="AL26" s="149"/>
      <c r="AM26" s="149"/>
      <c r="AN26" s="149"/>
      <c r="AO26" s="149"/>
      <c r="AP26" s="151" t="n">
        <f aca="false">SUM(AJ26:AO26)</f>
        <v>0</v>
      </c>
      <c r="AQ26" s="149"/>
      <c r="AR26" s="149"/>
      <c r="AS26" s="149"/>
      <c r="AT26" s="149"/>
      <c r="AU26" s="149"/>
      <c r="AV26" s="149"/>
      <c r="AW26" s="149"/>
      <c r="AX26" s="151" t="n">
        <f aca="false">SUM(AQ26:AW26)</f>
        <v>0</v>
      </c>
      <c r="AY26" s="149"/>
      <c r="AZ26" s="149"/>
      <c r="BA26" s="149"/>
      <c r="BB26" s="149"/>
      <c r="BC26" s="149"/>
      <c r="BD26" s="128" t="n">
        <f aca="false">SUM(AY26:BC26)</f>
        <v>0</v>
      </c>
      <c r="BE26" s="152"/>
      <c r="BF26" s="6" t="n">
        <f aca="false">AC26+X26+AI26+AP26+AX26+BD26</f>
        <v>0</v>
      </c>
      <c r="BG26" s="131" t="n">
        <f aca="false">+N26-BF26</f>
        <v>-837974</v>
      </c>
      <c r="BH26" s="150"/>
    </row>
    <row r="27" customFormat="false" ht="12.75" hidden="false" customHeight="false" outlineLevel="0" collapsed="false">
      <c r="A27" s="58" t="n">
        <v>12</v>
      </c>
      <c r="B27" s="58" t="s">
        <v>141</v>
      </c>
      <c r="C27" s="1" t="n">
        <v>44172</v>
      </c>
      <c r="E27" s="2" t="s">
        <v>139</v>
      </c>
      <c r="F27" s="2" t="s">
        <v>140</v>
      </c>
      <c r="G27" s="2" t="s">
        <v>142</v>
      </c>
      <c r="I27" s="132" t="s">
        <v>143</v>
      </c>
      <c r="J27" s="59" t="s">
        <v>876</v>
      </c>
      <c r="K27" s="59" t="s">
        <v>865</v>
      </c>
      <c r="L27" s="42" t="n">
        <v>368522</v>
      </c>
      <c r="M27" s="5" t="n">
        <v>0</v>
      </c>
      <c r="N27" s="5" t="n">
        <v>368522</v>
      </c>
      <c r="P27" s="5" t="n">
        <v>368522</v>
      </c>
      <c r="R27" s="6"/>
      <c r="S27" s="6" t="n">
        <v>0</v>
      </c>
      <c r="T27" s="6" t="n">
        <v>227000</v>
      </c>
      <c r="U27" s="6" t="n">
        <v>130000</v>
      </c>
      <c r="V27" s="6"/>
      <c r="W27" s="6" t="n">
        <v>11522</v>
      </c>
      <c r="X27" s="128" t="n">
        <f aca="false">SUM(S27:W27)</f>
        <v>368522</v>
      </c>
      <c r="Y27" s="6"/>
      <c r="Z27" s="6"/>
      <c r="AA27" s="6"/>
      <c r="AB27" s="6"/>
      <c r="AC27" s="128" t="n">
        <f aca="false">SUM(Y27:AB27)</f>
        <v>0</v>
      </c>
      <c r="AD27" s="6"/>
      <c r="AE27" s="6"/>
      <c r="AF27" s="6"/>
      <c r="AG27" s="6"/>
      <c r="AH27" s="6"/>
      <c r="AI27" s="128" t="n">
        <f aca="false">SUM(AD27:AH27)</f>
        <v>0</v>
      </c>
      <c r="AJ27" s="6"/>
      <c r="AK27" s="129"/>
      <c r="AL27" s="6"/>
      <c r="AM27" s="6"/>
      <c r="AN27" s="6"/>
      <c r="AO27" s="6"/>
      <c r="AP27" s="128" t="n">
        <f aca="false">SUM(AJ27:AO27)</f>
        <v>0</v>
      </c>
      <c r="AQ27" s="6"/>
      <c r="AR27" s="6"/>
      <c r="AS27" s="6"/>
      <c r="AT27" s="6"/>
      <c r="AU27" s="6"/>
      <c r="AV27" s="6"/>
      <c r="AW27" s="6"/>
      <c r="AX27" s="128" t="n">
        <f aca="false">SUM(AQ27:AW27)</f>
        <v>0</v>
      </c>
      <c r="AY27" s="6"/>
      <c r="AZ27" s="6"/>
      <c r="BA27" s="6"/>
      <c r="BB27" s="6"/>
      <c r="BC27" s="6"/>
      <c r="BD27" s="128" t="n">
        <f aca="false">SUM(AY27:BC27)</f>
        <v>0</v>
      </c>
      <c r="BE27" s="130"/>
      <c r="BF27" s="6" t="n">
        <f aca="false">AC27+X27+AI27+AP27+AX27+BD27</f>
        <v>368522</v>
      </c>
      <c r="BG27" s="131" t="n">
        <f aca="false">+N27-BF27</f>
        <v>0</v>
      </c>
    </row>
    <row r="28" customFormat="false" ht="12.75" hidden="false" customHeight="false" outlineLevel="0" collapsed="false">
      <c r="A28" s="58" t="n">
        <v>13</v>
      </c>
      <c r="B28" s="58" t="s">
        <v>146</v>
      </c>
      <c r="C28" s="1" t="n">
        <v>44084</v>
      </c>
      <c r="E28" s="2" t="s">
        <v>144</v>
      </c>
      <c r="F28" s="2" t="s">
        <v>145</v>
      </c>
      <c r="G28" s="2" t="s">
        <v>147</v>
      </c>
      <c r="I28" s="132" t="s">
        <v>148</v>
      </c>
      <c r="J28" s="59" t="s">
        <v>877</v>
      </c>
      <c r="K28" s="59" t="s">
        <v>865</v>
      </c>
      <c r="L28" s="42" t="n">
        <v>500000</v>
      </c>
      <c r="M28" s="5" t="n">
        <v>0</v>
      </c>
      <c r="N28" s="5" t="n">
        <v>500000</v>
      </c>
      <c r="P28" s="5" t="n">
        <v>500000</v>
      </c>
      <c r="R28" s="6"/>
      <c r="S28" s="6" t="n">
        <v>0</v>
      </c>
      <c r="T28" s="6" t="n">
        <v>425000</v>
      </c>
      <c r="U28" s="6" t="n">
        <v>75000</v>
      </c>
      <c r="V28" s="6"/>
      <c r="W28" s="6"/>
      <c r="X28" s="128" t="n">
        <f aca="false">SUM(S28:W28)</f>
        <v>500000</v>
      </c>
      <c r="Y28" s="6"/>
      <c r="Z28" s="6"/>
      <c r="AA28" s="6"/>
      <c r="AB28" s="6"/>
      <c r="AC28" s="128" t="n">
        <f aca="false">SUM(Y28:AB28)</f>
        <v>0</v>
      </c>
      <c r="AD28" s="6"/>
      <c r="AE28" s="6"/>
      <c r="AF28" s="6"/>
      <c r="AG28" s="6"/>
      <c r="AH28" s="6"/>
      <c r="AI28" s="128" t="n">
        <f aca="false">SUM(AD28:AH28)</f>
        <v>0</v>
      </c>
      <c r="AJ28" s="6"/>
      <c r="AK28" s="129"/>
      <c r="AL28" s="6"/>
      <c r="AM28" s="6"/>
      <c r="AN28" s="6"/>
      <c r="AO28" s="6"/>
      <c r="AP28" s="128" t="n">
        <f aca="false">SUM(AJ28:AO28)</f>
        <v>0</v>
      </c>
      <c r="AQ28" s="6"/>
      <c r="AR28" s="6"/>
      <c r="AS28" s="6"/>
      <c r="AT28" s="6"/>
      <c r="AU28" s="6"/>
      <c r="AV28" s="6"/>
      <c r="AW28" s="6"/>
      <c r="AX28" s="128" t="n">
        <f aca="false">SUM(AQ28:AW28)</f>
        <v>0</v>
      </c>
      <c r="AY28" s="6"/>
      <c r="AZ28" s="6"/>
      <c r="BA28" s="6"/>
      <c r="BB28" s="6"/>
      <c r="BC28" s="6"/>
      <c r="BD28" s="128" t="n">
        <f aca="false">SUM(AY28:BC28)</f>
        <v>0</v>
      </c>
      <c r="BE28" s="130"/>
      <c r="BF28" s="6" t="n">
        <f aca="false">AC28+X28+AI28+AP28+AX28+BD28</f>
        <v>500000</v>
      </c>
      <c r="BG28" s="131" t="n">
        <f aca="false">+N28-BF28</f>
        <v>0</v>
      </c>
    </row>
    <row r="29" customFormat="false" ht="12.75" hidden="false" customHeight="false" outlineLevel="0" collapsed="false">
      <c r="A29" s="58" t="n">
        <v>14</v>
      </c>
      <c r="B29" s="58" t="s">
        <v>151</v>
      </c>
      <c r="C29" s="1" t="n">
        <v>44130</v>
      </c>
      <c r="E29" s="2" t="s">
        <v>149</v>
      </c>
      <c r="F29" s="2" t="s">
        <v>150</v>
      </c>
      <c r="G29" s="2" t="s">
        <v>152</v>
      </c>
      <c r="I29" s="132" t="s">
        <v>153</v>
      </c>
      <c r="J29" s="59" t="s">
        <v>878</v>
      </c>
      <c r="K29" s="59" t="s">
        <v>871</v>
      </c>
      <c r="L29" s="42" t="n">
        <v>506000</v>
      </c>
      <c r="M29" s="5" t="n">
        <v>0</v>
      </c>
      <c r="N29" s="5" t="n">
        <f aca="false">L29</f>
        <v>506000</v>
      </c>
      <c r="P29" s="5" t="n">
        <v>506000</v>
      </c>
      <c r="R29" s="6"/>
      <c r="S29" s="6" t="n">
        <v>0</v>
      </c>
      <c r="T29" s="6"/>
      <c r="U29" s="6" t="n">
        <v>50000</v>
      </c>
      <c r="V29" s="6"/>
      <c r="W29" s="6" t="n">
        <v>200000</v>
      </c>
      <c r="X29" s="128" t="n">
        <f aca="false">SUM(S29:W29)</f>
        <v>250000</v>
      </c>
      <c r="Y29" s="6"/>
      <c r="Z29" s="6" t="n">
        <v>128000</v>
      </c>
      <c r="AA29" s="6" t="n">
        <v>128000</v>
      </c>
      <c r="AB29" s="6"/>
      <c r="AC29" s="128" t="n">
        <f aca="false">SUM(Y29:AB29)</f>
        <v>256000</v>
      </c>
      <c r="AD29" s="6"/>
      <c r="AE29" s="6"/>
      <c r="AF29" s="6"/>
      <c r="AG29" s="6"/>
      <c r="AH29" s="6"/>
      <c r="AI29" s="128" t="n">
        <f aca="false">SUM(AD29:AH29)</f>
        <v>0</v>
      </c>
      <c r="AJ29" s="6"/>
      <c r="AK29" s="129"/>
      <c r="AL29" s="6"/>
      <c r="AM29" s="6"/>
      <c r="AN29" s="6"/>
      <c r="AO29" s="6"/>
      <c r="AP29" s="128" t="n">
        <f aca="false">SUM(AJ29:AO29)</f>
        <v>0</v>
      </c>
      <c r="AQ29" s="6"/>
      <c r="AR29" s="6"/>
      <c r="AS29" s="6"/>
      <c r="AT29" s="6"/>
      <c r="AU29" s="6"/>
      <c r="AV29" s="6"/>
      <c r="AW29" s="6"/>
      <c r="AX29" s="128" t="n">
        <f aca="false">SUM(AQ29:AW29)</f>
        <v>0</v>
      </c>
      <c r="AY29" s="6"/>
      <c r="AZ29" s="6"/>
      <c r="BA29" s="6"/>
      <c r="BB29" s="6"/>
      <c r="BC29" s="6"/>
      <c r="BD29" s="128" t="n">
        <f aca="false">SUM(AY29:BC29)</f>
        <v>0</v>
      </c>
      <c r="BE29" s="130"/>
      <c r="BF29" s="6" t="n">
        <f aca="false">AC29+X29+AI29+AP29+AX29+BD29</f>
        <v>506000</v>
      </c>
      <c r="BG29" s="131" t="n">
        <f aca="false">+N29-BF29</f>
        <v>0</v>
      </c>
    </row>
    <row r="30" customFormat="false" ht="12.75" hidden="false" customHeight="false" outlineLevel="0" collapsed="false">
      <c r="A30" s="58" t="n">
        <v>15</v>
      </c>
      <c r="B30" s="58" t="s">
        <v>156</v>
      </c>
      <c r="C30" s="1" t="n">
        <v>44134</v>
      </c>
      <c r="E30" s="2" t="s">
        <v>154</v>
      </c>
      <c r="F30" s="2" t="s">
        <v>155</v>
      </c>
      <c r="G30" s="2" t="s">
        <v>157</v>
      </c>
      <c r="I30" s="132" t="s">
        <v>158</v>
      </c>
      <c r="J30" s="59" t="s">
        <v>870</v>
      </c>
      <c r="K30" s="59" t="s">
        <v>871</v>
      </c>
      <c r="L30" s="42" t="n">
        <v>217425</v>
      </c>
      <c r="M30" s="5" t="n">
        <v>0</v>
      </c>
      <c r="N30" s="5" t="n">
        <v>11425</v>
      </c>
      <c r="P30" s="5" t="n">
        <v>11425</v>
      </c>
      <c r="R30" s="6"/>
      <c r="S30" s="6" t="n">
        <v>0</v>
      </c>
      <c r="T30" s="6" t="n">
        <v>11425</v>
      </c>
      <c r="U30" s="6"/>
      <c r="V30" s="6"/>
      <c r="W30" s="6"/>
      <c r="X30" s="128" t="n">
        <f aca="false">SUM(S30:W30)</f>
        <v>11425</v>
      </c>
      <c r="Y30" s="6"/>
      <c r="Z30" s="6"/>
      <c r="AA30" s="6"/>
      <c r="AB30" s="6"/>
      <c r="AC30" s="128" t="n">
        <f aca="false">SUM(Y30:AB30)</f>
        <v>0</v>
      </c>
      <c r="AD30" s="6"/>
      <c r="AE30" s="6"/>
      <c r="AF30" s="6"/>
      <c r="AG30" s="6"/>
      <c r="AH30" s="6"/>
      <c r="AI30" s="128" t="n">
        <f aca="false">SUM(AD30:AH30)</f>
        <v>0</v>
      </c>
      <c r="AJ30" s="6"/>
      <c r="AK30" s="129"/>
      <c r="AL30" s="6"/>
      <c r="AM30" s="6"/>
      <c r="AN30" s="6"/>
      <c r="AO30" s="6"/>
      <c r="AP30" s="128" t="n">
        <f aca="false">SUM(AJ30:AO30)</f>
        <v>0</v>
      </c>
      <c r="AQ30" s="6"/>
      <c r="AR30" s="6"/>
      <c r="AS30" s="6"/>
      <c r="AT30" s="6"/>
      <c r="AU30" s="6"/>
      <c r="AV30" s="6"/>
      <c r="AW30" s="6"/>
      <c r="AX30" s="128" t="n">
        <f aca="false">SUM(AQ30:AW30)</f>
        <v>0</v>
      </c>
      <c r="AY30" s="6"/>
      <c r="AZ30" s="6"/>
      <c r="BA30" s="6"/>
      <c r="BB30" s="6"/>
      <c r="BC30" s="6"/>
      <c r="BD30" s="128" t="n">
        <f aca="false">SUM(AY30:BC30)</f>
        <v>0</v>
      </c>
      <c r="BE30" s="130"/>
      <c r="BF30" s="6" t="n">
        <f aca="false">AC30+X30+AI30+AP30+AX30+BD30</f>
        <v>11425</v>
      </c>
      <c r="BG30" s="131" t="n">
        <f aca="false">+N30-BF30</f>
        <v>0</v>
      </c>
    </row>
    <row r="31" customFormat="false" ht="12.75" hidden="false" customHeight="false" outlineLevel="0" collapsed="false">
      <c r="A31" s="58" t="n">
        <v>15</v>
      </c>
      <c r="B31" s="58" t="s">
        <v>156</v>
      </c>
      <c r="C31" s="1" t="n">
        <v>44134</v>
      </c>
      <c r="E31" s="2" t="s">
        <v>154</v>
      </c>
      <c r="F31" s="2" t="s">
        <v>155</v>
      </c>
      <c r="G31" s="2" t="s">
        <v>157</v>
      </c>
      <c r="I31" s="132" t="s">
        <v>158</v>
      </c>
      <c r="J31" s="59" t="s">
        <v>879</v>
      </c>
      <c r="K31" s="59" t="s">
        <v>871</v>
      </c>
      <c r="L31" s="42"/>
      <c r="M31" s="5" t="n">
        <v>0</v>
      </c>
      <c r="N31" s="5" t="n">
        <v>206000</v>
      </c>
      <c r="P31" s="5" t="n">
        <v>206000</v>
      </c>
      <c r="R31" s="6"/>
      <c r="S31" s="6" t="n">
        <v>0</v>
      </c>
      <c r="T31" s="6" t="n">
        <v>178575</v>
      </c>
      <c r="U31" s="6" t="n">
        <v>27425</v>
      </c>
      <c r="V31" s="6"/>
      <c r="W31" s="6"/>
      <c r="X31" s="128" t="n">
        <f aca="false">SUM(S31:W31)</f>
        <v>206000</v>
      </c>
      <c r="Y31" s="6"/>
      <c r="Z31" s="6"/>
      <c r="AA31" s="6"/>
      <c r="AB31" s="6"/>
      <c r="AC31" s="128" t="n">
        <f aca="false">SUM(Y31:AB31)</f>
        <v>0</v>
      </c>
      <c r="AD31" s="6"/>
      <c r="AE31" s="6"/>
      <c r="AF31" s="6"/>
      <c r="AG31" s="6"/>
      <c r="AH31" s="6"/>
      <c r="AI31" s="128" t="n">
        <f aca="false">SUM(AD31:AH31)</f>
        <v>0</v>
      </c>
      <c r="AJ31" s="6"/>
      <c r="AK31" s="129"/>
      <c r="AL31" s="6"/>
      <c r="AM31" s="6"/>
      <c r="AN31" s="6"/>
      <c r="AO31" s="6"/>
      <c r="AP31" s="128" t="n">
        <f aca="false">SUM(AJ31:AO31)</f>
        <v>0</v>
      </c>
      <c r="AQ31" s="6"/>
      <c r="AR31" s="6"/>
      <c r="AS31" s="6"/>
      <c r="AT31" s="6"/>
      <c r="AU31" s="6"/>
      <c r="AV31" s="6"/>
      <c r="AW31" s="6"/>
      <c r="AX31" s="128" t="n">
        <f aca="false">SUM(AQ31:AW31)</f>
        <v>0</v>
      </c>
      <c r="AY31" s="6"/>
      <c r="AZ31" s="6"/>
      <c r="BA31" s="6"/>
      <c r="BB31" s="6"/>
      <c r="BC31" s="6"/>
      <c r="BD31" s="128" t="n">
        <f aca="false">SUM(AY31:BC31)</f>
        <v>0</v>
      </c>
      <c r="BE31" s="130"/>
      <c r="BF31" s="6" t="n">
        <f aca="false">AC31+X31+AI31+AP31+AX31+BD31</f>
        <v>206000</v>
      </c>
      <c r="BG31" s="131" t="n">
        <f aca="false">+N31-BF31</f>
        <v>0</v>
      </c>
    </row>
    <row r="32" customFormat="false" ht="12.75" hidden="false" customHeight="false" outlineLevel="0" collapsed="false">
      <c r="A32" s="58" t="s">
        <v>880</v>
      </c>
      <c r="B32" s="58" t="s">
        <v>161</v>
      </c>
      <c r="C32" s="1" t="n">
        <v>44235</v>
      </c>
      <c r="E32" s="2" t="s">
        <v>159</v>
      </c>
      <c r="F32" s="2" t="s">
        <v>160</v>
      </c>
      <c r="G32" s="2" t="s">
        <v>162</v>
      </c>
      <c r="I32" s="132" t="s">
        <v>163</v>
      </c>
      <c r="J32" s="59" t="s">
        <v>872</v>
      </c>
      <c r="K32" s="59" t="s">
        <v>862</v>
      </c>
      <c r="L32" s="42" t="n">
        <v>175000</v>
      </c>
      <c r="M32" s="5" t="n">
        <v>0</v>
      </c>
      <c r="N32" s="5" t="n">
        <v>175000</v>
      </c>
      <c r="P32" s="5" t="n">
        <v>175000</v>
      </c>
      <c r="R32" s="6"/>
      <c r="S32" s="6" t="n">
        <v>0</v>
      </c>
      <c r="T32" s="6"/>
      <c r="U32" s="6" t="n">
        <v>50000</v>
      </c>
      <c r="V32" s="6"/>
      <c r="W32" s="6"/>
      <c r="X32" s="128" t="n">
        <f aca="false">SUM(S32:W32)</f>
        <v>50000</v>
      </c>
      <c r="Y32" s="6"/>
      <c r="Z32" s="6" t="n">
        <v>50000</v>
      </c>
      <c r="AA32" s="6" t="n">
        <v>75000</v>
      </c>
      <c r="AB32" s="6"/>
      <c r="AC32" s="128" t="n">
        <f aca="false">SUM(Y32:AB32)</f>
        <v>125000</v>
      </c>
      <c r="AD32" s="6"/>
      <c r="AE32" s="6"/>
      <c r="AF32" s="6"/>
      <c r="AG32" s="6"/>
      <c r="AH32" s="6"/>
      <c r="AI32" s="128" t="n">
        <f aca="false">SUM(AD32:AH32)</f>
        <v>0</v>
      </c>
      <c r="AJ32" s="6"/>
      <c r="AK32" s="129"/>
      <c r="AL32" s="6"/>
      <c r="AM32" s="6"/>
      <c r="AN32" s="6"/>
      <c r="AO32" s="6"/>
      <c r="AP32" s="128" t="n">
        <f aca="false">SUM(AJ32:AO32)</f>
        <v>0</v>
      </c>
      <c r="AQ32" s="6"/>
      <c r="AR32" s="6"/>
      <c r="AS32" s="6"/>
      <c r="AT32" s="6"/>
      <c r="AU32" s="6"/>
      <c r="AV32" s="6"/>
      <c r="AW32" s="6"/>
      <c r="AX32" s="128" t="n">
        <f aca="false">SUM(AQ32:AW32)</f>
        <v>0</v>
      </c>
      <c r="AY32" s="6"/>
      <c r="AZ32" s="6"/>
      <c r="BA32" s="6"/>
      <c r="BB32" s="6"/>
      <c r="BC32" s="6"/>
      <c r="BD32" s="128" t="n">
        <f aca="false">SUM(AY32:BC32)</f>
        <v>0</v>
      </c>
      <c r="BE32" s="130"/>
      <c r="BF32" s="6" t="n">
        <f aca="false">AC32+X32+AI32+AP32+AX32+BD32</f>
        <v>175000</v>
      </c>
      <c r="BG32" s="131" t="n">
        <f aca="false">+N32-BF32</f>
        <v>0</v>
      </c>
    </row>
    <row r="33" customFormat="false" ht="12.75" hidden="false" customHeight="false" outlineLevel="0" collapsed="false">
      <c r="A33" s="58" t="n">
        <v>17</v>
      </c>
      <c r="B33" s="58" t="s">
        <v>166</v>
      </c>
      <c r="C33" s="1" t="n">
        <v>44098</v>
      </c>
      <c r="E33" s="2" t="s">
        <v>164</v>
      </c>
      <c r="F33" s="2" t="s">
        <v>165</v>
      </c>
      <c r="G33" s="2" t="s">
        <v>167</v>
      </c>
      <c r="I33" s="132" t="s">
        <v>168</v>
      </c>
      <c r="J33" s="59" t="s">
        <v>881</v>
      </c>
      <c r="K33" s="59" t="s">
        <v>862</v>
      </c>
      <c r="L33" s="42" t="n">
        <v>5314000</v>
      </c>
      <c r="M33" s="5" t="n">
        <v>0</v>
      </c>
      <c r="N33" s="5" t="n">
        <f aca="false">L33</f>
        <v>5314000</v>
      </c>
      <c r="P33" s="5" t="n">
        <v>5314000</v>
      </c>
      <c r="R33" s="6"/>
      <c r="S33" s="6" t="n">
        <v>0</v>
      </c>
      <c r="T33" s="6" t="n">
        <v>461000</v>
      </c>
      <c r="U33" s="6" t="n">
        <v>500000</v>
      </c>
      <c r="V33" s="6"/>
      <c r="W33" s="6" t="n">
        <v>1500000</v>
      </c>
      <c r="X33" s="128" t="n">
        <f aca="false">SUM(S33:W33)</f>
        <v>2461000</v>
      </c>
      <c r="Y33" s="6"/>
      <c r="Z33" s="6" t="n">
        <v>713250</v>
      </c>
      <c r="AA33" s="6"/>
      <c r="AB33" s="6" t="n">
        <v>715000</v>
      </c>
      <c r="AC33" s="128" t="n">
        <f aca="false">SUM(Y33:AB33)</f>
        <v>1428250</v>
      </c>
      <c r="AD33" s="6" t="n">
        <v>712375</v>
      </c>
      <c r="AE33" s="6" t="n">
        <v>712375</v>
      </c>
      <c r="AF33" s="6"/>
      <c r="AG33" s="6"/>
      <c r="AH33" s="6"/>
      <c r="AI33" s="128" t="n">
        <f aca="false">SUM(AD33:AH33)</f>
        <v>1424750</v>
      </c>
      <c r="AJ33" s="6"/>
      <c r="AK33" s="129"/>
      <c r="AL33" s="6"/>
      <c r="AM33" s="6"/>
      <c r="AN33" s="6"/>
      <c r="AO33" s="6"/>
      <c r="AP33" s="128" t="n">
        <f aca="false">SUM(AJ33:AO33)</f>
        <v>0</v>
      </c>
      <c r="AQ33" s="6"/>
      <c r="AR33" s="6"/>
      <c r="AS33" s="6"/>
      <c r="AT33" s="6"/>
      <c r="AU33" s="6"/>
      <c r="AV33" s="6"/>
      <c r="AW33" s="6"/>
      <c r="AX33" s="128" t="n">
        <f aca="false">SUM(AQ33:AW33)</f>
        <v>0</v>
      </c>
      <c r="AY33" s="6"/>
      <c r="AZ33" s="6"/>
      <c r="BA33" s="6"/>
      <c r="BB33" s="6"/>
      <c r="BC33" s="6"/>
      <c r="BD33" s="128" t="n">
        <f aca="false">SUM(AY33:BC33)</f>
        <v>0</v>
      </c>
      <c r="BE33" s="130"/>
      <c r="BF33" s="6" t="n">
        <f aca="false">AC33+X33+AI33+AP33+AX33+BD33</f>
        <v>5314000</v>
      </c>
      <c r="BG33" s="131" t="n">
        <f aca="false">+N33-BF33</f>
        <v>0</v>
      </c>
    </row>
    <row r="34" customFormat="false" ht="12.75" hidden="false" customHeight="false" outlineLevel="0" collapsed="false">
      <c r="A34" s="58" t="n">
        <v>18</v>
      </c>
      <c r="B34" s="58" t="s">
        <v>171</v>
      </c>
      <c r="C34" s="1" t="n">
        <v>44154</v>
      </c>
      <c r="E34" s="2" t="s">
        <v>169</v>
      </c>
      <c r="F34" s="2" t="s">
        <v>170</v>
      </c>
      <c r="G34" s="2" t="s">
        <v>172</v>
      </c>
      <c r="I34" s="132" t="s">
        <v>173</v>
      </c>
      <c r="J34" s="59" t="s">
        <v>882</v>
      </c>
      <c r="K34" s="59" t="s">
        <v>862</v>
      </c>
      <c r="L34" s="42" t="n">
        <v>1750000</v>
      </c>
      <c r="M34" s="5" t="n">
        <v>0</v>
      </c>
      <c r="N34" s="5" t="n">
        <v>875000</v>
      </c>
      <c r="P34" s="5" t="n">
        <v>875000</v>
      </c>
      <c r="R34" s="6"/>
      <c r="S34" s="6" t="n">
        <v>0</v>
      </c>
      <c r="T34" s="6" t="n">
        <v>875000</v>
      </c>
      <c r="U34" s="6"/>
      <c r="V34" s="6"/>
      <c r="W34" s="6"/>
      <c r="X34" s="128" t="n">
        <f aca="false">SUM(S34:W34)</f>
        <v>875000</v>
      </c>
      <c r="Y34" s="6"/>
      <c r="Z34" s="6"/>
      <c r="AA34" s="6"/>
      <c r="AB34" s="6"/>
      <c r="AC34" s="128" t="n">
        <f aca="false">SUM(Y34:AB34)</f>
        <v>0</v>
      </c>
      <c r="AD34" s="6"/>
      <c r="AE34" s="6"/>
      <c r="AF34" s="6"/>
      <c r="AG34" s="6"/>
      <c r="AH34" s="6"/>
      <c r="AI34" s="128" t="n">
        <f aca="false">SUM(AD34:AH34)</f>
        <v>0</v>
      </c>
      <c r="AJ34" s="6"/>
      <c r="AK34" s="129"/>
      <c r="AL34" s="6"/>
      <c r="AM34" s="6"/>
      <c r="AN34" s="6"/>
      <c r="AO34" s="6"/>
      <c r="AP34" s="128" t="n">
        <f aca="false">SUM(AJ34:AO34)</f>
        <v>0</v>
      </c>
      <c r="AQ34" s="6"/>
      <c r="AR34" s="6"/>
      <c r="AS34" s="6"/>
      <c r="AT34" s="6"/>
      <c r="AU34" s="6"/>
      <c r="AV34" s="6"/>
      <c r="AW34" s="6"/>
      <c r="AX34" s="128" t="n">
        <f aca="false">SUM(AQ34:AW34)</f>
        <v>0</v>
      </c>
      <c r="AY34" s="6"/>
      <c r="AZ34" s="6"/>
      <c r="BA34" s="6"/>
      <c r="BB34" s="6"/>
      <c r="BC34" s="6"/>
      <c r="BD34" s="128" t="n">
        <f aca="false">SUM(AY34:BC34)</f>
        <v>0</v>
      </c>
      <c r="BE34" s="130"/>
      <c r="BF34" s="6" t="n">
        <f aca="false">AC34+X34+AI34+AP34+AX34+BD34</f>
        <v>875000</v>
      </c>
      <c r="BG34" s="131" t="n">
        <f aca="false">+N34-BF34</f>
        <v>0</v>
      </c>
    </row>
    <row r="35" customFormat="false" ht="12.75" hidden="false" customHeight="false" outlineLevel="0" collapsed="false">
      <c r="A35" s="58" t="n">
        <v>18</v>
      </c>
      <c r="C35" s="1" t="n">
        <v>44154</v>
      </c>
      <c r="E35" s="2" t="s">
        <v>169</v>
      </c>
      <c r="F35" s="2" t="s">
        <v>170</v>
      </c>
      <c r="G35" s="2" t="s">
        <v>172</v>
      </c>
      <c r="I35" s="132" t="s">
        <v>173</v>
      </c>
      <c r="J35" s="59" t="s">
        <v>883</v>
      </c>
      <c r="K35" s="59" t="s">
        <v>862</v>
      </c>
      <c r="L35" s="42"/>
      <c r="M35" s="5" t="n">
        <v>0</v>
      </c>
      <c r="N35" s="5" t="n">
        <v>875000</v>
      </c>
      <c r="P35" s="5" t="n">
        <v>875000</v>
      </c>
      <c r="R35" s="6"/>
      <c r="S35" s="6" t="n">
        <v>0</v>
      </c>
      <c r="T35" s="6" t="n">
        <v>823000</v>
      </c>
      <c r="U35" s="6" t="n">
        <v>52000</v>
      </c>
      <c r="V35" s="6"/>
      <c r="W35" s="6"/>
      <c r="X35" s="128" t="n">
        <f aca="false">SUM(S35:W35)</f>
        <v>875000</v>
      </c>
      <c r="Y35" s="6"/>
      <c r="Z35" s="6"/>
      <c r="AA35" s="6"/>
      <c r="AB35" s="6"/>
      <c r="AC35" s="128" t="n">
        <f aca="false">SUM(Y35:AB35)</f>
        <v>0</v>
      </c>
      <c r="AD35" s="6"/>
      <c r="AE35" s="6"/>
      <c r="AF35" s="6"/>
      <c r="AG35" s="6"/>
      <c r="AH35" s="6"/>
      <c r="AI35" s="128" t="n">
        <f aca="false">SUM(AD35:AH35)</f>
        <v>0</v>
      </c>
      <c r="AJ35" s="6"/>
      <c r="AK35" s="129"/>
      <c r="AL35" s="6"/>
      <c r="AM35" s="6"/>
      <c r="AN35" s="6"/>
      <c r="AO35" s="6"/>
      <c r="AP35" s="128" t="n">
        <f aca="false">SUM(AJ35:AO35)</f>
        <v>0</v>
      </c>
      <c r="AQ35" s="6"/>
      <c r="AR35" s="6"/>
      <c r="AS35" s="6"/>
      <c r="AT35" s="6"/>
      <c r="AU35" s="6"/>
      <c r="AV35" s="6"/>
      <c r="AW35" s="6"/>
      <c r="AX35" s="128" t="n">
        <f aca="false">SUM(AQ35:AW35)</f>
        <v>0</v>
      </c>
      <c r="AY35" s="6"/>
      <c r="AZ35" s="6"/>
      <c r="BA35" s="6"/>
      <c r="BB35" s="6"/>
      <c r="BC35" s="6"/>
      <c r="BD35" s="128" t="n">
        <f aca="false">SUM(AY35:BC35)</f>
        <v>0</v>
      </c>
      <c r="BE35" s="130"/>
      <c r="BF35" s="6" t="n">
        <f aca="false">AC35+X35+AI35+AP35+AX35+BD35</f>
        <v>875000</v>
      </c>
      <c r="BG35" s="131" t="n">
        <f aca="false">+N35-BF35</f>
        <v>0</v>
      </c>
    </row>
    <row r="36" customFormat="false" ht="12.75" hidden="false" customHeight="false" outlineLevel="0" collapsed="false">
      <c r="A36" s="58" t="n">
        <v>19</v>
      </c>
      <c r="C36" s="1" t="n">
        <v>44187</v>
      </c>
      <c r="E36" s="2" t="s">
        <v>174</v>
      </c>
      <c r="F36" s="2" t="s">
        <v>175</v>
      </c>
      <c r="G36" s="2" t="s">
        <v>177</v>
      </c>
      <c r="I36" s="132" t="s">
        <v>178</v>
      </c>
      <c r="J36" s="59" t="s">
        <v>884</v>
      </c>
      <c r="K36" s="59" t="s">
        <v>862</v>
      </c>
      <c r="L36" s="42" t="n">
        <v>596160</v>
      </c>
      <c r="M36" s="5" t="n">
        <v>0</v>
      </c>
      <c r="N36" s="5" t="n">
        <v>596160</v>
      </c>
      <c r="P36" s="5" t="n">
        <v>596160</v>
      </c>
      <c r="R36" s="6"/>
      <c r="S36" s="6" t="n">
        <v>0</v>
      </c>
      <c r="T36" s="6"/>
      <c r="U36" s="6" t="n">
        <v>370000</v>
      </c>
      <c r="V36" s="6"/>
      <c r="W36" s="6" t="n">
        <v>226160</v>
      </c>
      <c r="X36" s="128" t="n">
        <f aca="false">SUM(S36:W36)</f>
        <v>596160</v>
      </c>
      <c r="Y36" s="6"/>
      <c r="Z36" s="6"/>
      <c r="AA36" s="6"/>
      <c r="AB36" s="6"/>
      <c r="AC36" s="128" t="n">
        <f aca="false">SUM(Y36:AB36)</f>
        <v>0</v>
      </c>
      <c r="AD36" s="6"/>
      <c r="AE36" s="6"/>
      <c r="AF36" s="6"/>
      <c r="AG36" s="6"/>
      <c r="AH36" s="6"/>
      <c r="AI36" s="128" t="n">
        <f aca="false">SUM(AD36:AH36)</f>
        <v>0</v>
      </c>
      <c r="AJ36" s="6"/>
      <c r="AK36" s="129"/>
      <c r="AL36" s="6"/>
      <c r="AM36" s="6"/>
      <c r="AN36" s="6"/>
      <c r="AO36" s="6"/>
      <c r="AP36" s="128" t="n">
        <f aca="false">SUM(AJ36:AO36)</f>
        <v>0</v>
      </c>
      <c r="AQ36" s="6"/>
      <c r="AR36" s="6"/>
      <c r="AS36" s="6"/>
      <c r="AT36" s="6"/>
      <c r="AU36" s="6"/>
      <c r="AV36" s="6"/>
      <c r="AW36" s="6"/>
      <c r="AX36" s="128" t="n">
        <f aca="false">SUM(AQ36:AW36)</f>
        <v>0</v>
      </c>
      <c r="AY36" s="6"/>
      <c r="AZ36" s="6"/>
      <c r="BA36" s="6"/>
      <c r="BB36" s="6"/>
      <c r="BC36" s="6"/>
      <c r="BD36" s="128" t="n">
        <f aca="false">SUM(AY36:BC36)</f>
        <v>0</v>
      </c>
      <c r="BE36" s="130"/>
      <c r="BF36" s="6" t="n">
        <f aca="false">AC36+X36+AI36+AP36+AX36+BD36</f>
        <v>596160</v>
      </c>
      <c r="BG36" s="131" t="n">
        <f aca="false">+N36-BF36</f>
        <v>0</v>
      </c>
    </row>
    <row r="37" customFormat="false" ht="12.75" hidden="false" customHeight="false" outlineLevel="0" collapsed="false">
      <c r="A37" s="58" t="n">
        <v>20</v>
      </c>
      <c r="C37" s="1" t="n">
        <v>44237</v>
      </c>
      <c r="E37" s="2" t="s">
        <v>179</v>
      </c>
      <c r="F37" s="2" t="s">
        <v>180</v>
      </c>
      <c r="G37" s="2" t="s">
        <v>182</v>
      </c>
      <c r="I37" s="132" t="s">
        <v>183</v>
      </c>
      <c r="J37" s="59" t="s">
        <v>885</v>
      </c>
      <c r="K37" s="59" t="s">
        <v>871</v>
      </c>
      <c r="L37" s="42" t="n">
        <v>4388400</v>
      </c>
      <c r="M37" s="5" t="n">
        <v>0</v>
      </c>
      <c r="N37" s="5" t="n">
        <v>4388400</v>
      </c>
      <c r="P37" s="5" t="n">
        <v>4388400</v>
      </c>
      <c r="R37" s="6"/>
      <c r="S37" s="6" t="n">
        <v>0</v>
      </c>
      <c r="T37" s="6"/>
      <c r="U37" s="6" t="n">
        <v>100000</v>
      </c>
      <c r="V37" s="6"/>
      <c r="W37" s="6" t="n">
        <v>500000</v>
      </c>
      <c r="X37" s="128" t="n">
        <f aca="false">SUM(S37:W37)</f>
        <v>600000</v>
      </c>
      <c r="Y37" s="6" t="n">
        <v>150000</v>
      </c>
      <c r="Z37" s="6" t="n">
        <v>600000</v>
      </c>
      <c r="AA37" s="6"/>
      <c r="AB37" s="6" t="n">
        <v>750000</v>
      </c>
      <c r="AC37" s="128" t="n">
        <f aca="false">SUM(Y37:AB37)</f>
        <v>1500000</v>
      </c>
      <c r="AD37" s="153" t="n">
        <f aca="false">762800-762800</f>
        <v>0</v>
      </c>
      <c r="AE37" s="154" t="n">
        <f aca="false">762800+762800</f>
        <v>1525600</v>
      </c>
      <c r="AF37" s="6"/>
      <c r="AG37" s="6" t="n">
        <v>400000</v>
      </c>
      <c r="AH37" s="6" t="n">
        <v>362800</v>
      </c>
      <c r="AI37" s="128" t="n">
        <f aca="false">SUM(AD37:AH37)</f>
        <v>2288400</v>
      </c>
      <c r="AJ37" s="6"/>
      <c r="AK37" s="129"/>
      <c r="AL37" s="6"/>
      <c r="AM37" s="6"/>
      <c r="AN37" s="6"/>
      <c r="AO37" s="6"/>
      <c r="AP37" s="128" t="n">
        <f aca="false">SUM(AJ37:AO37)</f>
        <v>0</v>
      </c>
      <c r="AQ37" s="6"/>
      <c r="AR37" s="6"/>
      <c r="AS37" s="6"/>
      <c r="AT37" s="6"/>
      <c r="AU37" s="6"/>
      <c r="AV37" s="6"/>
      <c r="AW37" s="6"/>
      <c r="AX37" s="128" t="n">
        <f aca="false">SUM(AQ37:AW37)</f>
        <v>0</v>
      </c>
      <c r="AY37" s="6"/>
      <c r="AZ37" s="6"/>
      <c r="BA37" s="6"/>
      <c r="BB37" s="6"/>
      <c r="BC37" s="6"/>
      <c r="BD37" s="128" t="n">
        <f aca="false">SUM(AY37:BC37)</f>
        <v>0</v>
      </c>
      <c r="BE37" s="130"/>
      <c r="BF37" s="6" t="n">
        <f aca="false">AC37+X37+AI37+AP37+AX37+BD37</f>
        <v>4388400</v>
      </c>
      <c r="BG37" s="131" t="n">
        <f aca="false">+N37-BF37</f>
        <v>0</v>
      </c>
    </row>
    <row r="38" customFormat="false" ht="12.75" hidden="false" customHeight="false" outlineLevel="0" collapsed="false">
      <c r="A38" s="58" t="n">
        <v>21</v>
      </c>
      <c r="C38" s="1" t="n">
        <v>44244</v>
      </c>
      <c r="E38" s="2" t="s">
        <v>184</v>
      </c>
      <c r="F38" s="2" t="s">
        <v>185</v>
      </c>
      <c r="G38" s="2" t="s">
        <v>187</v>
      </c>
      <c r="I38" s="132" t="s">
        <v>188</v>
      </c>
      <c r="J38" s="59" t="s">
        <v>886</v>
      </c>
      <c r="K38" s="59" t="s">
        <v>865</v>
      </c>
      <c r="L38" s="42" t="n">
        <v>700000</v>
      </c>
      <c r="M38" s="5" t="n">
        <v>0</v>
      </c>
      <c r="N38" s="5" t="n">
        <v>700000</v>
      </c>
      <c r="P38" s="5" t="n">
        <v>700000</v>
      </c>
      <c r="R38" s="6"/>
      <c r="S38" s="6" t="n">
        <v>0</v>
      </c>
      <c r="T38" s="6"/>
      <c r="U38" s="6" t="n">
        <v>250000</v>
      </c>
      <c r="V38" s="6"/>
      <c r="W38" s="6" t="n">
        <v>100000</v>
      </c>
      <c r="X38" s="128" t="n">
        <f aca="false">SUM(S38:W38)</f>
        <v>350000</v>
      </c>
      <c r="Y38" s="6" t="n">
        <v>250000</v>
      </c>
      <c r="Z38" s="6" t="n">
        <v>33333.33</v>
      </c>
      <c r="AA38" s="6" t="n">
        <v>66666.67</v>
      </c>
      <c r="AB38" s="6"/>
      <c r="AC38" s="128" t="n">
        <f aca="false">SUM(Y38:AB38)</f>
        <v>350000</v>
      </c>
      <c r="AD38" s="6"/>
      <c r="AE38" s="6"/>
      <c r="AF38" s="6"/>
      <c r="AG38" s="6"/>
      <c r="AH38" s="6"/>
      <c r="AI38" s="128" t="n">
        <f aca="false">SUM(AD38:AH38)</f>
        <v>0</v>
      </c>
      <c r="AJ38" s="6"/>
      <c r="AK38" s="129"/>
      <c r="AL38" s="6"/>
      <c r="AM38" s="6"/>
      <c r="AN38" s="6"/>
      <c r="AO38" s="6"/>
      <c r="AP38" s="128" t="n">
        <f aca="false">SUM(AJ38:AO38)</f>
        <v>0</v>
      </c>
      <c r="AQ38" s="6"/>
      <c r="AR38" s="6"/>
      <c r="AS38" s="6"/>
      <c r="AT38" s="6"/>
      <c r="AU38" s="6"/>
      <c r="AV38" s="6"/>
      <c r="AW38" s="6"/>
      <c r="AX38" s="128" t="n">
        <f aca="false">SUM(AQ38:AW38)</f>
        <v>0</v>
      </c>
      <c r="AY38" s="6"/>
      <c r="AZ38" s="6"/>
      <c r="BA38" s="6"/>
      <c r="BB38" s="6"/>
      <c r="BC38" s="6"/>
      <c r="BD38" s="128" t="n">
        <f aca="false">SUM(AY38:BC38)</f>
        <v>0</v>
      </c>
      <c r="BE38" s="130"/>
      <c r="BF38" s="6" t="n">
        <f aca="false">AC38+X38+AI38+AP38+AX38+BD38</f>
        <v>700000</v>
      </c>
      <c r="BG38" s="131" t="n">
        <f aca="false">+N38-BF38</f>
        <v>0</v>
      </c>
    </row>
    <row r="39" customFormat="false" ht="12.75" hidden="false" customHeight="false" outlineLevel="0" collapsed="false">
      <c r="A39" s="58" t="n">
        <v>22</v>
      </c>
      <c r="C39" s="1" t="n">
        <v>44264</v>
      </c>
      <c r="E39" s="2" t="s">
        <v>189</v>
      </c>
      <c r="F39" s="2" t="s">
        <v>190</v>
      </c>
      <c r="G39" s="2" t="s">
        <v>192</v>
      </c>
      <c r="I39" s="132" t="s">
        <v>193</v>
      </c>
      <c r="J39" s="59" t="s">
        <v>887</v>
      </c>
      <c r="K39" s="59" t="s">
        <v>865</v>
      </c>
      <c r="L39" s="42" t="n">
        <v>165000</v>
      </c>
      <c r="M39" s="5" t="n">
        <v>0</v>
      </c>
      <c r="N39" s="5" t="n">
        <v>165000</v>
      </c>
      <c r="P39" s="5" t="n">
        <v>165000</v>
      </c>
      <c r="R39" s="6"/>
      <c r="S39" s="6" t="n">
        <v>0</v>
      </c>
      <c r="T39" s="6"/>
      <c r="U39" s="6"/>
      <c r="V39" s="6"/>
      <c r="W39" s="6" t="n">
        <v>165000</v>
      </c>
      <c r="X39" s="128" t="n">
        <f aca="false">SUM(S39:W39)</f>
        <v>165000</v>
      </c>
      <c r="Y39" s="6"/>
      <c r="Z39" s="6"/>
      <c r="AA39" s="6"/>
      <c r="AB39" s="6"/>
      <c r="AC39" s="128" t="n">
        <f aca="false">SUM(Y39:AB39)</f>
        <v>0</v>
      </c>
      <c r="AD39" s="6"/>
      <c r="AE39" s="6"/>
      <c r="AF39" s="6"/>
      <c r="AG39" s="6"/>
      <c r="AH39" s="6"/>
      <c r="AI39" s="128" t="n">
        <f aca="false">SUM(AD39:AH39)</f>
        <v>0</v>
      </c>
      <c r="AJ39" s="6"/>
      <c r="AK39" s="129"/>
      <c r="AL39" s="6"/>
      <c r="AM39" s="6"/>
      <c r="AN39" s="6"/>
      <c r="AO39" s="6"/>
      <c r="AP39" s="128" t="n">
        <f aca="false">SUM(AJ39:AO39)</f>
        <v>0</v>
      </c>
      <c r="AQ39" s="6"/>
      <c r="AR39" s="6"/>
      <c r="AS39" s="6"/>
      <c r="AT39" s="6"/>
      <c r="AU39" s="6"/>
      <c r="AV39" s="6"/>
      <c r="AW39" s="6"/>
      <c r="AX39" s="128" t="n">
        <f aca="false">SUM(AQ39:AW39)</f>
        <v>0</v>
      </c>
      <c r="AY39" s="6"/>
      <c r="AZ39" s="6"/>
      <c r="BA39" s="6"/>
      <c r="BB39" s="6"/>
      <c r="BC39" s="6"/>
      <c r="BD39" s="128" t="n">
        <f aca="false">SUM(AY39:BC39)</f>
        <v>0</v>
      </c>
      <c r="BE39" s="130"/>
      <c r="BF39" s="6" t="n">
        <f aca="false">AC39+X39+AI39+AP39+AX39+BD39</f>
        <v>165000</v>
      </c>
      <c r="BG39" s="131" t="n">
        <f aca="false">+N39-BF39</f>
        <v>0</v>
      </c>
    </row>
    <row r="40" customFormat="false" ht="12.75" hidden="false" customHeight="false" outlineLevel="0" collapsed="false">
      <c r="A40" s="58" t="n">
        <v>23</v>
      </c>
      <c r="C40" s="1" t="n">
        <v>44294</v>
      </c>
      <c r="E40" s="2" t="s">
        <v>194</v>
      </c>
      <c r="F40" s="2" t="s">
        <v>195</v>
      </c>
      <c r="G40" s="2" t="s">
        <v>197</v>
      </c>
      <c r="I40" s="132" t="s">
        <v>198</v>
      </c>
      <c r="J40" s="59" t="s">
        <v>888</v>
      </c>
      <c r="K40" s="59" t="s">
        <v>865</v>
      </c>
      <c r="L40" s="42" t="n">
        <v>4125000</v>
      </c>
      <c r="M40" s="5" t="n">
        <v>0</v>
      </c>
      <c r="N40" s="5" t="n">
        <v>4125000</v>
      </c>
      <c r="P40" s="5" t="n">
        <v>4125000</v>
      </c>
      <c r="R40" s="6"/>
      <c r="S40" s="6" t="n">
        <v>0</v>
      </c>
      <c r="T40" s="6"/>
      <c r="U40" s="6"/>
      <c r="V40" s="6"/>
      <c r="W40" s="6" t="n">
        <v>4125000</v>
      </c>
      <c r="X40" s="128" t="n">
        <f aca="false">SUM(S40:W40)</f>
        <v>4125000</v>
      </c>
      <c r="Y40" s="6"/>
      <c r="Z40" s="6"/>
      <c r="AA40" s="6"/>
      <c r="AB40" s="6"/>
      <c r="AC40" s="128" t="n">
        <f aca="false">SUM(Y40:AB40)</f>
        <v>0</v>
      </c>
      <c r="AD40" s="6"/>
      <c r="AE40" s="6"/>
      <c r="AF40" s="6"/>
      <c r="AG40" s="6"/>
      <c r="AH40" s="6"/>
      <c r="AI40" s="128" t="n">
        <f aca="false">SUM(AD40:AH40)</f>
        <v>0</v>
      </c>
      <c r="AJ40" s="6"/>
      <c r="AK40" s="129"/>
      <c r="AL40" s="6"/>
      <c r="AM40" s="6"/>
      <c r="AN40" s="6"/>
      <c r="AO40" s="6"/>
      <c r="AP40" s="128" t="n">
        <f aca="false">SUM(AJ40:AO40)</f>
        <v>0</v>
      </c>
      <c r="AQ40" s="6"/>
      <c r="AR40" s="6"/>
      <c r="AS40" s="6"/>
      <c r="AT40" s="6"/>
      <c r="AU40" s="6"/>
      <c r="AV40" s="6"/>
      <c r="AW40" s="6"/>
      <c r="AX40" s="128" t="n">
        <f aca="false">SUM(AQ40:AW40)</f>
        <v>0</v>
      </c>
      <c r="AY40" s="6"/>
      <c r="AZ40" s="6"/>
      <c r="BA40" s="6"/>
      <c r="BB40" s="6"/>
      <c r="BC40" s="6"/>
      <c r="BD40" s="128" t="n">
        <f aca="false">SUM(AY40:BC40)</f>
        <v>0</v>
      </c>
      <c r="BE40" s="130"/>
      <c r="BF40" s="6" t="n">
        <f aca="false">AC40+X40+AI40+AP40+AX40+BD40</f>
        <v>4125000</v>
      </c>
      <c r="BG40" s="131" t="n">
        <f aca="false">+N40-BF40</f>
        <v>0</v>
      </c>
    </row>
    <row r="41" customFormat="false" ht="12.75" hidden="false" customHeight="false" outlineLevel="0" collapsed="false">
      <c r="A41" s="155" t="n">
        <v>24</v>
      </c>
      <c r="C41" s="27" t="n">
        <v>44327</v>
      </c>
      <c r="D41" s="27"/>
      <c r="E41" s="28" t="s">
        <v>199</v>
      </c>
      <c r="F41" s="28" t="s">
        <v>200</v>
      </c>
      <c r="G41" s="28" t="s">
        <v>202</v>
      </c>
      <c r="H41" s="156"/>
      <c r="I41" s="32" t="s">
        <v>203</v>
      </c>
      <c r="J41" s="156" t="s">
        <v>889</v>
      </c>
      <c r="K41" s="156" t="s">
        <v>865</v>
      </c>
      <c r="L41" s="157" t="n">
        <v>630924.61</v>
      </c>
      <c r="M41" s="30" t="n">
        <v>0</v>
      </c>
      <c r="N41" s="30" t="n">
        <v>630924.61</v>
      </c>
      <c r="O41" s="30"/>
      <c r="P41" s="30" t="n">
        <v>630924.61</v>
      </c>
      <c r="Q41" s="30"/>
      <c r="R41" s="158"/>
      <c r="S41" s="158" t="n">
        <v>0</v>
      </c>
      <c r="T41" s="158"/>
      <c r="U41" s="158"/>
      <c r="V41" s="158"/>
      <c r="W41" s="158" t="n">
        <v>200000</v>
      </c>
      <c r="X41" s="159" t="n">
        <f aca="false">SUM(S41:W41)</f>
        <v>200000</v>
      </c>
      <c r="Y41" s="158" t="n">
        <v>100000</v>
      </c>
      <c r="Z41" s="158" t="n">
        <v>330924.61</v>
      </c>
      <c r="AA41" s="158"/>
      <c r="AB41" s="158"/>
      <c r="AC41" s="128" t="n">
        <f aca="false">SUM(Y41:AB41)</f>
        <v>430924.61</v>
      </c>
      <c r="AD41" s="158"/>
      <c r="AE41" s="158"/>
      <c r="AF41" s="158"/>
      <c r="AG41" s="158"/>
      <c r="AH41" s="158"/>
      <c r="AI41" s="128" t="n">
        <f aca="false">SUM(AD41:AH41)</f>
        <v>0</v>
      </c>
      <c r="AJ41" s="158"/>
      <c r="AK41" s="129"/>
      <c r="AL41" s="158"/>
      <c r="AM41" s="158"/>
      <c r="AN41" s="158"/>
      <c r="AO41" s="158"/>
      <c r="AP41" s="128" t="n">
        <f aca="false">SUM(AJ41:AO41)</f>
        <v>0</v>
      </c>
      <c r="AQ41" s="158"/>
      <c r="AR41" s="158"/>
      <c r="AS41" s="158"/>
      <c r="AT41" s="158"/>
      <c r="AU41" s="158"/>
      <c r="AV41" s="158"/>
      <c r="AW41" s="158"/>
      <c r="AX41" s="128" t="n">
        <f aca="false">SUM(AQ41:AW41)</f>
        <v>0</v>
      </c>
      <c r="AY41" s="158"/>
      <c r="AZ41" s="158"/>
      <c r="BA41" s="158"/>
      <c r="BB41" s="158"/>
      <c r="BC41" s="158"/>
      <c r="BD41" s="128" t="n">
        <f aca="false">SUM(AY41:BC41)</f>
        <v>0</v>
      </c>
      <c r="BE41" s="160"/>
      <c r="BF41" s="6" t="n">
        <f aca="false">AC41+X41+AI41+AP41+AX41+BD41</f>
        <v>630924.61</v>
      </c>
      <c r="BG41" s="131" t="n">
        <f aca="false">+N41-BF41</f>
        <v>0</v>
      </c>
    </row>
    <row r="42" customFormat="false" ht="12.75" hidden="false" customHeight="false" outlineLevel="0" collapsed="false">
      <c r="A42" s="58" t="n">
        <v>25</v>
      </c>
      <c r="C42" s="1" t="n">
        <v>44316</v>
      </c>
      <c r="E42" s="2" t="s">
        <v>204</v>
      </c>
      <c r="F42" s="2" t="s">
        <v>205</v>
      </c>
      <c r="G42" s="2" t="s">
        <v>207</v>
      </c>
      <c r="I42" s="132" t="s">
        <v>198</v>
      </c>
      <c r="J42" s="59" t="s">
        <v>890</v>
      </c>
      <c r="K42" s="59" t="s">
        <v>865</v>
      </c>
      <c r="L42" s="42" t="n">
        <v>3788001.31</v>
      </c>
      <c r="M42" s="5" t="n">
        <v>0</v>
      </c>
      <c r="N42" s="5" t="n">
        <v>3788001.31</v>
      </c>
      <c r="P42" s="5" t="n">
        <v>3788001.31</v>
      </c>
      <c r="R42" s="6"/>
      <c r="S42" s="6" t="n">
        <v>0</v>
      </c>
      <c r="T42" s="6"/>
      <c r="U42" s="6"/>
      <c r="V42" s="6"/>
      <c r="W42" s="6" t="n">
        <v>1770000</v>
      </c>
      <c r="X42" s="128" t="n">
        <f aca="false">SUM(S42:W42)</f>
        <v>1770000</v>
      </c>
      <c r="Y42" s="6" t="n">
        <v>1500000</v>
      </c>
      <c r="Z42" s="6" t="n">
        <v>518001.31</v>
      </c>
      <c r="AA42" s="6"/>
      <c r="AB42" s="6"/>
      <c r="AC42" s="128" t="n">
        <f aca="false">SUM(Y42:AB42)</f>
        <v>2018001.31</v>
      </c>
      <c r="AD42" s="6"/>
      <c r="AE42" s="6"/>
      <c r="AF42" s="6"/>
      <c r="AG42" s="6"/>
      <c r="AH42" s="6"/>
      <c r="AI42" s="128" t="n">
        <f aca="false">SUM(AD42:AH42)</f>
        <v>0</v>
      </c>
      <c r="AJ42" s="6"/>
      <c r="AK42" s="129"/>
      <c r="AL42" s="6"/>
      <c r="AM42" s="6"/>
      <c r="AN42" s="6"/>
      <c r="AO42" s="6"/>
      <c r="AP42" s="128" t="n">
        <f aca="false">SUM(AJ42:AO42)</f>
        <v>0</v>
      </c>
      <c r="AQ42" s="6"/>
      <c r="AR42" s="6"/>
      <c r="AS42" s="6"/>
      <c r="AT42" s="6"/>
      <c r="AU42" s="6"/>
      <c r="AV42" s="6"/>
      <c r="AW42" s="6"/>
      <c r="AX42" s="128" t="n">
        <f aca="false">SUM(AQ42:AW42)</f>
        <v>0</v>
      </c>
      <c r="AY42" s="6"/>
      <c r="AZ42" s="6"/>
      <c r="BA42" s="6"/>
      <c r="BB42" s="6"/>
      <c r="BC42" s="6"/>
      <c r="BD42" s="128" t="n">
        <f aca="false">SUM(AY42:BC42)</f>
        <v>0</v>
      </c>
      <c r="BE42" s="130"/>
      <c r="BF42" s="6" t="n">
        <f aca="false">AC42+X42+AI42+AP42+AX42+BD42</f>
        <v>3788001.31</v>
      </c>
      <c r="BG42" s="131" t="n">
        <f aca="false">+N42-BF42</f>
        <v>0</v>
      </c>
    </row>
    <row r="43" customFormat="false" ht="12" hidden="false" customHeight="true" outlineLevel="0" collapsed="false">
      <c r="A43" s="58" t="n">
        <v>26</v>
      </c>
      <c r="C43" s="1" t="n">
        <v>44335</v>
      </c>
      <c r="E43" s="2" t="s">
        <v>208</v>
      </c>
      <c r="F43" s="2" t="s">
        <v>209</v>
      </c>
      <c r="G43" s="2" t="s">
        <v>211</v>
      </c>
      <c r="I43" s="132" t="s">
        <v>212</v>
      </c>
      <c r="J43" s="59" t="s">
        <v>891</v>
      </c>
      <c r="K43" s="59" t="s">
        <v>865</v>
      </c>
      <c r="L43" s="42" t="n">
        <v>110000</v>
      </c>
      <c r="M43" s="5" t="n">
        <v>0</v>
      </c>
      <c r="N43" s="5" t="n">
        <v>110000</v>
      </c>
      <c r="P43" s="5" t="n">
        <v>110000</v>
      </c>
      <c r="R43" s="6"/>
      <c r="S43" s="6" t="n">
        <v>0</v>
      </c>
      <c r="T43" s="6"/>
      <c r="U43" s="6"/>
      <c r="V43" s="6"/>
      <c r="W43" s="6" t="n">
        <v>90000</v>
      </c>
      <c r="X43" s="128" t="n">
        <f aca="false">SUM(S43:W43)</f>
        <v>90000</v>
      </c>
      <c r="Y43" s="6" t="n">
        <v>20000</v>
      </c>
      <c r="Z43" s="6"/>
      <c r="AA43" s="6"/>
      <c r="AB43" s="6"/>
      <c r="AC43" s="128" t="n">
        <f aca="false">SUM(Y43:AB43)</f>
        <v>20000</v>
      </c>
      <c r="AD43" s="6"/>
      <c r="AE43" s="6"/>
      <c r="AF43" s="6"/>
      <c r="AG43" s="6"/>
      <c r="AH43" s="6"/>
      <c r="AI43" s="128" t="n">
        <f aca="false">SUM(AD43:AH43)</f>
        <v>0</v>
      </c>
      <c r="AJ43" s="6"/>
      <c r="AK43" s="129"/>
      <c r="AL43" s="6"/>
      <c r="AM43" s="6"/>
      <c r="AN43" s="6"/>
      <c r="AO43" s="6"/>
      <c r="AP43" s="128" t="n">
        <f aca="false">SUM(AJ43:AO43)</f>
        <v>0</v>
      </c>
      <c r="AQ43" s="6"/>
      <c r="AR43" s="6"/>
      <c r="AS43" s="6"/>
      <c r="AT43" s="6"/>
      <c r="AU43" s="6"/>
      <c r="AV43" s="6"/>
      <c r="AW43" s="6"/>
      <c r="AX43" s="128" t="n">
        <f aca="false">SUM(AQ43:AW43)</f>
        <v>0</v>
      </c>
      <c r="AY43" s="6"/>
      <c r="AZ43" s="6"/>
      <c r="BA43" s="6"/>
      <c r="BB43" s="6"/>
      <c r="BC43" s="6"/>
      <c r="BD43" s="128" t="n">
        <f aca="false">SUM(AY43:BC43)</f>
        <v>0</v>
      </c>
      <c r="BE43" s="130"/>
      <c r="BF43" s="6" t="n">
        <f aca="false">AC43+X43+AI43+AP43+AX43+BD43</f>
        <v>110000</v>
      </c>
      <c r="BG43" s="131" t="n">
        <f aca="false">+N43-BF43</f>
        <v>0</v>
      </c>
    </row>
    <row r="44" customFormat="false" ht="12.75" hidden="false" customHeight="false" outlineLevel="0" collapsed="false">
      <c r="A44" s="155" t="n">
        <v>27</v>
      </c>
      <c r="C44" s="27" t="n">
        <v>44377</v>
      </c>
      <c r="D44" s="27"/>
      <c r="E44" s="28" t="s">
        <v>213</v>
      </c>
      <c r="F44" s="28" t="s">
        <v>214</v>
      </c>
      <c r="G44" s="28" t="s">
        <v>216</v>
      </c>
      <c r="H44" s="156"/>
      <c r="I44" s="32" t="s">
        <v>217</v>
      </c>
      <c r="J44" s="156" t="s">
        <v>878</v>
      </c>
      <c r="K44" s="156" t="s">
        <v>865</v>
      </c>
      <c r="L44" s="157" t="n">
        <v>750000</v>
      </c>
      <c r="M44" s="30" t="n">
        <v>0</v>
      </c>
      <c r="N44" s="30" t="n">
        <v>750000</v>
      </c>
      <c r="O44" s="30"/>
      <c r="P44" s="30" t="n">
        <f aca="false">N44</f>
        <v>750000</v>
      </c>
      <c r="Q44" s="30"/>
      <c r="R44" s="158"/>
      <c r="S44" s="158" t="n">
        <v>0</v>
      </c>
      <c r="T44" s="158"/>
      <c r="U44" s="158"/>
      <c r="V44" s="158"/>
      <c r="W44" s="158"/>
      <c r="X44" s="159" t="n">
        <f aca="false">SUM(S44:W44)</f>
        <v>0</v>
      </c>
      <c r="Y44" s="158" t="n">
        <v>600000</v>
      </c>
      <c r="Z44" s="158" t="n">
        <v>150000</v>
      </c>
      <c r="AA44" s="158"/>
      <c r="AB44" s="158"/>
      <c r="AC44" s="128" t="n">
        <f aca="false">SUM(Y44:AB44)</f>
        <v>750000</v>
      </c>
      <c r="AD44" s="158"/>
      <c r="AE44" s="158"/>
      <c r="AF44" s="158"/>
      <c r="AG44" s="158"/>
      <c r="AH44" s="158"/>
      <c r="AI44" s="128" t="n">
        <f aca="false">SUM(AD44:AH44)</f>
        <v>0</v>
      </c>
      <c r="AJ44" s="158"/>
      <c r="AK44" s="129"/>
      <c r="AL44" s="158"/>
      <c r="AM44" s="158"/>
      <c r="AN44" s="158"/>
      <c r="AO44" s="158"/>
      <c r="AP44" s="128" t="n">
        <f aca="false">SUM(AJ44:AO44)</f>
        <v>0</v>
      </c>
      <c r="AQ44" s="158"/>
      <c r="AR44" s="158"/>
      <c r="AS44" s="158"/>
      <c r="AT44" s="158"/>
      <c r="AU44" s="158"/>
      <c r="AV44" s="158"/>
      <c r="AW44" s="158"/>
      <c r="AX44" s="128" t="n">
        <f aca="false">SUM(AQ44:AW44)</f>
        <v>0</v>
      </c>
      <c r="AY44" s="158"/>
      <c r="AZ44" s="158"/>
      <c r="BA44" s="158"/>
      <c r="BB44" s="158"/>
      <c r="BC44" s="158"/>
      <c r="BD44" s="128" t="n">
        <f aca="false">SUM(AY44:BC44)</f>
        <v>0</v>
      </c>
      <c r="BE44" s="160"/>
      <c r="BF44" s="6" t="n">
        <f aca="false">AC44+X44+AI44+AP44+AX44+BD44</f>
        <v>750000</v>
      </c>
      <c r="BG44" s="131" t="n">
        <f aca="false">+N44-BF44</f>
        <v>0</v>
      </c>
    </row>
    <row r="45" s="28" customFormat="true" ht="12.75" hidden="false" customHeight="false" outlineLevel="0" collapsed="false">
      <c r="A45" s="58" t="n">
        <v>28</v>
      </c>
      <c r="B45" s="58"/>
      <c r="C45" s="1" t="n">
        <v>44355</v>
      </c>
      <c r="D45" s="1"/>
      <c r="E45" s="2" t="s">
        <v>218</v>
      </c>
      <c r="F45" s="2" t="s">
        <v>219</v>
      </c>
      <c r="G45" s="2" t="s">
        <v>221</v>
      </c>
      <c r="H45" s="59" t="s">
        <v>185</v>
      </c>
      <c r="I45" s="132" t="s">
        <v>222</v>
      </c>
      <c r="J45" s="59" t="s">
        <v>892</v>
      </c>
      <c r="K45" s="59" t="s">
        <v>865</v>
      </c>
      <c r="L45" s="42" t="n">
        <v>100000</v>
      </c>
      <c r="M45" s="5" t="n">
        <v>0</v>
      </c>
      <c r="N45" s="5" t="n">
        <v>100000</v>
      </c>
      <c r="O45" s="5"/>
      <c r="P45" s="5" t="n">
        <v>100000</v>
      </c>
      <c r="Q45" s="5"/>
      <c r="R45" s="6"/>
      <c r="S45" s="6" t="n">
        <v>0</v>
      </c>
      <c r="T45" s="6"/>
      <c r="U45" s="6"/>
      <c r="V45" s="6"/>
      <c r="W45" s="6" t="n">
        <v>50000</v>
      </c>
      <c r="X45" s="128" t="n">
        <f aca="false">SUM(S45:W45)</f>
        <v>50000</v>
      </c>
      <c r="Y45" s="6" t="n">
        <v>50000</v>
      </c>
      <c r="Z45" s="6"/>
      <c r="AA45" s="6"/>
      <c r="AB45" s="6"/>
      <c r="AC45" s="128" t="n">
        <f aca="false">SUM(Y45:AB45)</f>
        <v>50000</v>
      </c>
      <c r="AD45" s="6"/>
      <c r="AE45" s="6"/>
      <c r="AF45" s="6"/>
      <c r="AG45" s="6"/>
      <c r="AH45" s="6"/>
      <c r="AI45" s="128" t="n">
        <f aca="false">SUM(AD45:AH45)</f>
        <v>0</v>
      </c>
      <c r="AJ45" s="6"/>
      <c r="AK45" s="129"/>
      <c r="AL45" s="6"/>
      <c r="AM45" s="6"/>
      <c r="AN45" s="6"/>
      <c r="AO45" s="6"/>
      <c r="AP45" s="128" t="n">
        <f aca="false">SUM(AJ45:AO45)</f>
        <v>0</v>
      </c>
      <c r="AQ45" s="6"/>
      <c r="AR45" s="6"/>
      <c r="AS45" s="6"/>
      <c r="AT45" s="6"/>
      <c r="AU45" s="6"/>
      <c r="AV45" s="6"/>
      <c r="AW45" s="6"/>
      <c r="AX45" s="128" t="n">
        <f aca="false">SUM(AQ45:AW45)</f>
        <v>0</v>
      </c>
      <c r="AY45" s="6"/>
      <c r="AZ45" s="6"/>
      <c r="BA45" s="6"/>
      <c r="BB45" s="6"/>
      <c r="BC45" s="6"/>
      <c r="BD45" s="128" t="n">
        <f aca="false">SUM(AY45:BC45)</f>
        <v>0</v>
      </c>
      <c r="BE45" s="130"/>
      <c r="BF45" s="6" t="n">
        <f aca="false">AC45+X45+AI45+AP45+AX45+BD45</f>
        <v>100000</v>
      </c>
      <c r="BG45" s="131" t="n">
        <f aca="false">+N45-BF45</f>
        <v>0</v>
      </c>
      <c r="BH45" s="158"/>
    </row>
    <row r="46" customFormat="false" ht="12.75" hidden="false" customHeight="false" outlineLevel="0" collapsed="false">
      <c r="A46" s="58" t="n">
        <v>29</v>
      </c>
      <c r="C46" s="1" t="n">
        <v>44390</v>
      </c>
      <c r="E46" s="2" t="s">
        <v>223</v>
      </c>
      <c r="F46" s="2" t="s">
        <v>224</v>
      </c>
      <c r="G46" s="2" t="s">
        <v>226</v>
      </c>
      <c r="I46" s="32" t="s">
        <v>227</v>
      </c>
      <c r="J46" s="59" t="s">
        <v>893</v>
      </c>
      <c r="K46" s="59" t="s">
        <v>865</v>
      </c>
      <c r="L46" s="42" t="n">
        <v>192000</v>
      </c>
      <c r="M46" s="5" t="n">
        <v>0</v>
      </c>
      <c r="N46" s="5" t="n">
        <v>192000</v>
      </c>
      <c r="P46" s="5" t="n">
        <v>192000</v>
      </c>
      <c r="R46" s="6"/>
      <c r="S46" s="6" t="n">
        <v>0</v>
      </c>
      <c r="T46" s="6"/>
      <c r="U46" s="6"/>
      <c r="V46" s="6"/>
      <c r="W46" s="6"/>
      <c r="X46" s="128" t="n">
        <f aca="false">SUM(S46:W46)</f>
        <v>0</v>
      </c>
      <c r="Y46" s="6" t="n">
        <v>90000</v>
      </c>
      <c r="Z46" s="6" t="n">
        <v>102000</v>
      </c>
      <c r="AA46" s="6"/>
      <c r="AB46" s="6"/>
      <c r="AC46" s="128" t="n">
        <f aca="false">SUM(Y46:AB46)</f>
        <v>192000</v>
      </c>
      <c r="AD46" s="6"/>
      <c r="AE46" s="6"/>
      <c r="AF46" s="6"/>
      <c r="AG46" s="6"/>
      <c r="AH46" s="6"/>
      <c r="AI46" s="128" t="n">
        <f aca="false">SUM(AD46:AH46)</f>
        <v>0</v>
      </c>
      <c r="AJ46" s="6"/>
      <c r="AK46" s="129"/>
      <c r="AL46" s="6"/>
      <c r="AM46" s="6"/>
      <c r="AN46" s="6"/>
      <c r="AO46" s="6"/>
      <c r="AP46" s="128" t="n">
        <f aca="false">SUM(AJ46:AO46)</f>
        <v>0</v>
      </c>
      <c r="AQ46" s="6"/>
      <c r="AR46" s="6"/>
      <c r="AS46" s="6"/>
      <c r="AT46" s="6"/>
      <c r="AU46" s="6"/>
      <c r="AV46" s="6"/>
      <c r="AW46" s="6"/>
      <c r="AX46" s="128" t="n">
        <f aca="false">SUM(AQ46:AW46)</f>
        <v>0</v>
      </c>
      <c r="AY46" s="6"/>
      <c r="AZ46" s="6"/>
      <c r="BA46" s="6"/>
      <c r="BB46" s="6"/>
      <c r="BC46" s="6"/>
      <c r="BD46" s="128" t="n">
        <f aca="false">SUM(AY46:BC46)</f>
        <v>0</v>
      </c>
      <c r="BE46" s="130"/>
      <c r="BF46" s="6" t="n">
        <f aca="false">AC46+X46+AI46+AP46+AX46+BD46</f>
        <v>192000</v>
      </c>
      <c r="BG46" s="131" t="n">
        <f aca="false">+N46-BF46</f>
        <v>0</v>
      </c>
    </row>
    <row r="47" customFormat="false" ht="12.75" hidden="false" customHeight="false" outlineLevel="0" collapsed="false">
      <c r="A47" s="58" t="n">
        <v>30</v>
      </c>
      <c r="C47" s="1" t="n">
        <v>44427</v>
      </c>
      <c r="E47" s="2" t="s">
        <v>228</v>
      </c>
      <c r="F47" s="2" t="s">
        <v>229</v>
      </c>
      <c r="G47" s="2" t="s">
        <v>231</v>
      </c>
      <c r="I47" s="132" t="s">
        <v>232</v>
      </c>
      <c r="J47" s="59" t="s">
        <v>894</v>
      </c>
      <c r="K47" s="59" t="s">
        <v>871</v>
      </c>
      <c r="L47" s="42" t="n">
        <v>15000</v>
      </c>
      <c r="M47" s="5" t="n">
        <v>0</v>
      </c>
      <c r="N47" s="5" t="n">
        <v>15000</v>
      </c>
      <c r="P47" s="5" t="n">
        <f aca="false">N47</f>
        <v>15000</v>
      </c>
      <c r="R47" s="6"/>
      <c r="S47" s="6" t="n">
        <v>0</v>
      </c>
      <c r="T47" s="6"/>
      <c r="U47" s="6"/>
      <c r="V47" s="6"/>
      <c r="W47" s="6"/>
      <c r="X47" s="128" t="n">
        <f aca="false">SUM(S47:W47)</f>
        <v>0</v>
      </c>
      <c r="Y47" s="6"/>
      <c r="Z47" s="6"/>
      <c r="AA47" s="6"/>
      <c r="AB47" s="161" t="n">
        <f aca="false">100000</f>
        <v>100000</v>
      </c>
      <c r="AC47" s="128" t="n">
        <f aca="false">SUM(Y47:AB47)</f>
        <v>100000</v>
      </c>
      <c r="AD47" s="161" t="n">
        <v>-85000</v>
      </c>
      <c r="AE47" s="6"/>
      <c r="AF47" s="6"/>
      <c r="AG47" s="6"/>
      <c r="AH47" s="6"/>
      <c r="AI47" s="128" t="n">
        <f aca="false">SUM(AD47:AH47)</f>
        <v>-85000</v>
      </c>
      <c r="AJ47" s="6"/>
      <c r="AK47" s="129"/>
      <c r="AL47" s="6"/>
      <c r="AM47" s="6"/>
      <c r="AN47" s="6"/>
      <c r="AO47" s="6"/>
      <c r="AP47" s="128" t="n">
        <f aca="false">SUM(AJ47:AO47)</f>
        <v>0</v>
      </c>
      <c r="AQ47" s="6"/>
      <c r="AR47" s="6"/>
      <c r="AS47" s="6"/>
      <c r="AT47" s="6"/>
      <c r="AU47" s="6"/>
      <c r="AV47" s="6"/>
      <c r="AW47" s="6"/>
      <c r="AX47" s="128" t="n">
        <f aca="false">SUM(AQ47:AW47)</f>
        <v>0</v>
      </c>
      <c r="AY47" s="6"/>
      <c r="AZ47" s="6"/>
      <c r="BA47" s="6"/>
      <c r="BB47" s="6"/>
      <c r="BC47" s="6"/>
      <c r="BD47" s="128" t="n">
        <f aca="false">SUM(AY47:BC47)</f>
        <v>0</v>
      </c>
      <c r="BE47" s="130"/>
      <c r="BF47" s="6" t="n">
        <f aca="false">AC47+X47+AI47+AP47+AX47+BD47</f>
        <v>15000</v>
      </c>
      <c r="BG47" s="131" t="n">
        <f aca="false">+N47-BF47</f>
        <v>0</v>
      </c>
    </row>
    <row r="48" s="28" customFormat="true" ht="12.75" hidden="false" customHeight="false" outlineLevel="0" collapsed="false">
      <c r="A48" s="58" t="n">
        <v>30</v>
      </c>
      <c r="B48" s="58"/>
      <c r="C48" s="1" t="n">
        <v>44427</v>
      </c>
      <c r="D48" s="1"/>
      <c r="E48" s="2" t="s">
        <v>228</v>
      </c>
      <c r="F48" s="2" t="s">
        <v>229</v>
      </c>
      <c r="G48" s="2" t="s">
        <v>231</v>
      </c>
      <c r="H48" s="59"/>
      <c r="I48" s="132" t="s">
        <v>232</v>
      </c>
      <c r="J48" s="59" t="s">
        <v>895</v>
      </c>
      <c r="K48" s="59" t="s">
        <v>871</v>
      </c>
      <c r="L48" s="42" t="n">
        <v>3500000</v>
      </c>
      <c r="M48" s="5" t="n">
        <v>0</v>
      </c>
      <c r="N48" s="5" t="n">
        <v>3500000</v>
      </c>
      <c r="O48" s="5"/>
      <c r="P48" s="5" t="n">
        <f aca="false">N48</f>
        <v>3500000</v>
      </c>
      <c r="Q48" s="5"/>
      <c r="R48" s="6"/>
      <c r="S48" s="6" t="n">
        <v>0</v>
      </c>
      <c r="T48" s="6"/>
      <c r="U48" s="6"/>
      <c r="V48" s="6"/>
      <c r="W48" s="6"/>
      <c r="X48" s="128" t="n">
        <f aca="false">SUM(S48:W48)</f>
        <v>0</v>
      </c>
      <c r="Y48" s="6" t="n">
        <v>2500000</v>
      </c>
      <c r="Z48" s="6" t="n">
        <v>200000</v>
      </c>
      <c r="AA48" s="6"/>
      <c r="AB48" s="161" t="n">
        <f aca="false">100000</f>
        <v>100000</v>
      </c>
      <c r="AC48" s="128" t="n">
        <f aca="false">SUM(Y48:AB48)</f>
        <v>2800000</v>
      </c>
      <c r="AD48" s="161" t="n">
        <f aca="false">85000+103750+50000</f>
        <v>238750</v>
      </c>
      <c r="AE48" s="6" t="n">
        <v>200000</v>
      </c>
      <c r="AF48" s="6"/>
      <c r="AG48" s="6" t="n">
        <v>261250</v>
      </c>
      <c r="AH48" s="6"/>
      <c r="AI48" s="128" t="n">
        <f aca="false">SUM(AD48:AH48)</f>
        <v>700000</v>
      </c>
      <c r="AJ48" s="6"/>
      <c r="AK48" s="129" t="n">
        <v>-85000</v>
      </c>
      <c r="AL48" s="6" t="n">
        <v>85000</v>
      </c>
      <c r="AM48" s="6"/>
      <c r="AN48" s="6"/>
      <c r="AO48" s="6"/>
      <c r="AP48" s="128" t="n">
        <f aca="false">SUM(AJ48:AO48)</f>
        <v>0</v>
      </c>
      <c r="AQ48" s="6"/>
      <c r="AR48" s="6"/>
      <c r="AS48" s="6"/>
      <c r="AT48" s="6"/>
      <c r="AU48" s="6"/>
      <c r="AV48" s="6"/>
      <c r="AW48" s="6"/>
      <c r="AX48" s="128" t="n">
        <f aca="false">SUM(AQ48:AW48)</f>
        <v>0</v>
      </c>
      <c r="AY48" s="6"/>
      <c r="AZ48" s="6"/>
      <c r="BA48" s="6"/>
      <c r="BB48" s="6"/>
      <c r="BC48" s="6"/>
      <c r="BD48" s="128" t="n">
        <f aca="false">SUM(AY48:BC48)</f>
        <v>0</v>
      </c>
      <c r="BE48" s="130"/>
      <c r="BF48" s="6" t="n">
        <f aca="false">AC48+X48+AI48+AP48+AX48+BD48</f>
        <v>3500000</v>
      </c>
      <c r="BG48" s="131" t="n">
        <f aca="false">+N48-BF48</f>
        <v>0</v>
      </c>
      <c r="BH48" s="158"/>
    </row>
    <row r="49" customFormat="false" ht="12.75" hidden="false" customHeight="true" outlineLevel="0" collapsed="false">
      <c r="A49" s="58" t="n">
        <v>31</v>
      </c>
      <c r="B49" s="58" t="s">
        <v>252</v>
      </c>
      <c r="C49" s="1" t="n">
        <v>44396</v>
      </c>
      <c r="E49" s="2" t="s">
        <v>233</v>
      </c>
      <c r="F49" s="2" t="s">
        <v>234</v>
      </c>
      <c r="G49" s="2" t="s">
        <v>236</v>
      </c>
      <c r="I49" s="32" t="s">
        <v>237</v>
      </c>
      <c r="J49" s="59" t="s">
        <v>896</v>
      </c>
      <c r="K49" s="59" t="s">
        <v>865</v>
      </c>
      <c r="L49" s="42" t="n">
        <v>653000</v>
      </c>
      <c r="M49" s="5" t="n">
        <v>0</v>
      </c>
      <c r="N49" s="5" t="n">
        <v>653000</v>
      </c>
      <c r="P49" s="5" t="n">
        <f aca="false">N49</f>
        <v>653000</v>
      </c>
      <c r="R49" s="6"/>
      <c r="S49" s="6" t="n">
        <v>0</v>
      </c>
      <c r="T49" s="6"/>
      <c r="U49" s="6"/>
      <c r="V49" s="6"/>
      <c r="W49" s="6"/>
      <c r="X49" s="128" t="n">
        <f aca="false">SUM(S49:W49)</f>
        <v>0</v>
      </c>
      <c r="Y49" s="6" t="n">
        <v>325000</v>
      </c>
      <c r="Z49" s="6" t="n">
        <v>164000</v>
      </c>
      <c r="AA49" s="6" t="n">
        <v>164000</v>
      </c>
      <c r="AB49" s="6"/>
      <c r="AC49" s="128" t="n">
        <f aca="false">SUM(Y49:AB49)</f>
        <v>653000</v>
      </c>
      <c r="AD49" s="6"/>
      <c r="AE49" s="6"/>
      <c r="AF49" s="6"/>
      <c r="AG49" s="6"/>
      <c r="AH49" s="6"/>
      <c r="AI49" s="128" t="n">
        <f aca="false">SUM(AD49:AH49)</f>
        <v>0</v>
      </c>
      <c r="AJ49" s="6"/>
      <c r="AK49" s="129"/>
      <c r="AL49" s="6"/>
      <c r="AM49" s="6"/>
      <c r="AN49" s="6"/>
      <c r="AO49" s="6"/>
      <c r="AP49" s="128" t="n">
        <f aca="false">SUM(AJ49:AO49)</f>
        <v>0</v>
      </c>
      <c r="AQ49" s="6"/>
      <c r="AR49" s="6"/>
      <c r="AS49" s="6"/>
      <c r="AT49" s="6"/>
      <c r="AU49" s="6"/>
      <c r="AV49" s="6"/>
      <c r="AW49" s="6"/>
      <c r="AX49" s="128" t="n">
        <f aca="false">SUM(AQ49:AW49)</f>
        <v>0</v>
      </c>
      <c r="AY49" s="6"/>
      <c r="AZ49" s="6"/>
      <c r="BA49" s="6"/>
      <c r="BB49" s="6"/>
      <c r="BC49" s="6"/>
      <c r="BD49" s="128" t="n">
        <f aca="false">SUM(AY49:BC49)</f>
        <v>0</v>
      </c>
      <c r="BE49" s="130"/>
      <c r="BF49" s="6" t="n">
        <f aca="false">AC49+X49+AI49+AP49+AX49+BD49</f>
        <v>653000</v>
      </c>
      <c r="BG49" s="131" t="n">
        <f aca="false">+N49-BF49</f>
        <v>0</v>
      </c>
    </row>
    <row r="50" customFormat="false" ht="12.75" hidden="false" customHeight="false" outlineLevel="0" collapsed="false">
      <c r="A50" s="58" t="n">
        <v>32</v>
      </c>
      <c r="B50" s="58" t="s">
        <v>257</v>
      </c>
      <c r="C50" s="1" t="n">
        <v>44418</v>
      </c>
      <c r="E50" s="2" t="s">
        <v>238</v>
      </c>
      <c r="F50" s="2" t="s">
        <v>239</v>
      </c>
      <c r="G50" s="2" t="s">
        <v>241</v>
      </c>
      <c r="I50" s="132" t="s">
        <v>242</v>
      </c>
      <c r="J50" s="59" t="s">
        <v>897</v>
      </c>
      <c r="K50" s="59" t="s">
        <v>871</v>
      </c>
      <c r="L50" s="42" t="n">
        <v>36400</v>
      </c>
      <c r="M50" s="5" t="n">
        <v>0</v>
      </c>
      <c r="N50" s="5" t="n">
        <v>36400</v>
      </c>
      <c r="P50" s="5" t="n">
        <f aca="false">N50</f>
        <v>36400</v>
      </c>
      <c r="R50" s="6"/>
      <c r="S50" s="6" t="n">
        <v>0</v>
      </c>
      <c r="T50" s="6"/>
      <c r="U50" s="6"/>
      <c r="V50" s="6"/>
      <c r="W50" s="6"/>
      <c r="X50" s="128" t="n">
        <f aca="false">SUM(S50:W50)</f>
        <v>0</v>
      </c>
      <c r="Y50" s="6"/>
      <c r="Z50" s="6"/>
      <c r="AA50" s="6"/>
      <c r="AB50" s="6" t="n">
        <v>36400</v>
      </c>
      <c r="AC50" s="128" t="n">
        <f aca="false">SUM(Y50:AB50)</f>
        <v>36400</v>
      </c>
      <c r="AD50" s="6"/>
      <c r="AE50" s="6"/>
      <c r="AF50" s="6"/>
      <c r="AG50" s="6"/>
      <c r="AH50" s="6"/>
      <c r="AI50" s="128" t="n">
        <f aca="false">SUM(AD50:AH50)</f>
        <v>0</v>
      </c>
      <c r="AJ50" s="6"/>
      <c r="AK50" s="129"/>
      <c r="AL50" s="6"/>
      <c r="AM50" s="6"/>
      <c r="AN50" s="6"/>
      <c r="AO50" s="6"/>
      <c r="AP50" s="128" t="n">
        <f aca="false">SUM(AJ50:AO50)</f>
        <v>0</v>
      </c>
      <c r="AQ50" s="6"/>
      <c r="AR50" s="6"/>
      <c r="AS50" s="6"/>
      <c r="AT50" s="6"/>
      <c r="AU50" s="6"/>
      <c r="AV50" s="6"/>
      <c r="AW50" s="6"/>
      <c r="AX50" s="128" t="n">
        <f aca="false">SUM(AQ50:AW50)</f>
        <v>0</v>
      </c>
      <c r="AY50" s="6"/>
      <c r="AZ50" s="6"/>
      <c r="BA50" s="6"/>
      <c r="BB50" s="6"/>
      <c r="BC50" s="6"/>
      <c r="BD50" s="128" t="n">
        <f aca="false">SUM(AY50:BC50)</f>
        <v>0</v>
      </c>
      <c r="BE50" s="130"/>
      <c r="BF50" s="6" t="n">
        <f aca="false">AC50+X50+AI50+AP50+AX50+BD50</f>
        <v>36400</v>
      </c>
      <c r="BG50" s="131" t="n">
        <f aca="false">+N50-BF50</f>
        <v>0</v>
      </c>
    </row>
    <row r="51" customFormat="false" ht="12.75" hidden="false" customHeight="false" outlineLevel="0" collapsed="false">
      <c r="A51" s="58" t="n">
        <v>32</v>
      </c>
      <c r="B51" s="58" t="s">
        <v>262</v>
      </c>
      <c r="C51" s="1" t="n">
        <v>44418</v>
      </c>
      <c r="E51" s="2" t="s">
        <v>238</v>
      </c>
      <c r="F51" s="2" t="s">
        <v>239</v>
      </c>
      <c r="G51" s="2" t="s">
        <v>241</v>
      </c>
      <c r="I51" s="132" t="s">
        <v>243</v>
      </c>
      <c r="J51" s="59" t="s">
        <v>898</v>
      </c>
      <c r="K51" s="59" t="s">
        <v>871</v>
      </c>
      <c r="L51" s="42" t="n">
        <v>733600</v>
      </c>
      <c r="M51" s="5" t="n">
        <v>0</v>
      </c>
      <c r="N51" s="5" t="n">
        <v>733600</v>
      </c>
      <c r="P51" s="5" t="n">
        <f aca="false">N51</f>
        <v>733600</v>
      </c>
      <c r="R51" s="6"/>
      <c r="S51" s="6" t="n">
        <v>0</v>
      </c>
      <c r="T51" s="6"/>
      <c r="U51" s="6"/>
      <c r="V51" s="6"/>
      <c r="W51" s="6"/>
      <c r="X51" s="128" t="n">
        <f aca="false">SUM(S51:W51)</f>
        <v>0</v>
      </c>
      <c r="Y51" s="6" t="n">
        <v>225000</v>
      </c>
      <c r="Z51" s="6" t="n">
        <v>200000</v>
      </c>
      <c r="AA51" s="6"/>
      <c r="AB51" s="6" t="n">
        <v>154300</v>
      </c>
      <c r="AC51" s="128" t="n">
        <f aca="false">SUM(Y51:AB51)</f>
        <v>579300</v>
      </c>
      <c r="AD51" s="6" t="n">
        <v>154300</v>
      </c>
      <c r="AE51" s="6"/>
      <c r="AF51" s="6"/>
      <c r="AG51" s="6"/>
      <c r="AH51" s="6"/>
      <c r="AI51" s="128" t="n">
        <f aca="false">SUM(AD51:AH51)</f>
        <v>154300</v>
      </c>
      <c r="AJ51" s="6"/>
      <c r="AK51" s="129"/>
      <c r="AL51" s="6"/>
      <c r="AM51" s="6"/>
      <c r="AN51" s="6"/>
      <c r="AO51" s="6"/>
      <c r="AP51" s="128" t="n">
        <f aca="false">SUM(AJ51:AO51)</f>
        <v>0</v>
      </c>
      <c r="AQ51" s="6"/>
      <c r="AR51" s="6"/>
      <c r="AS51" s="6"/>
      <c r="AT51" s="6"/>
      <c r="AU51" s="6"/>
      <c r="AV51" s="6"/>
      <c r="AW51" s="6"/>
      <c r="AX51" s="128" t="n">
        <f aca="false">SUM(AQ51:AW51)</f>
        <v>0</v>
      </c>
      <c r="AY51" s="6"/>
      <c r="AZ51" s="6"/>
      <c r="BA51" s="6"/>
      <c r="BB51" s="6"/>
      <c r="BC51" s="6"/>
      <c r="BD51" s="128" t="n">
        <f aca="false">SUM(AY51:BC51)</f>
        <v>0</v>
      </c>
      <c r="BE51" s="130"/>
      <c r="BF51" s="6" t="n">
        <f aca="false">AC51+X51+AI51+AP51+AX51+BD51</f>
        <v>733600</v>
      </c>
      <c r="BG51" s="131" t="n">
        <f aca="false">+N51-BF51</f>
        <v>0</v>
      </c>
    </row>
    <row r="52" customFormat="false" ht="12.75" hidden="false" customHeight="false" outlineLevel="0" collapsed="false">
      <c r="A52" s="58" t="s">
        <v>899</v>
      </c>
      <c r="B52" s="58" t="s">
        <v>267</v>
      </c>
      <c r="C52" s="1" t="n">
        <v>44455</v>
      </c>
      <c r="E52" s="2" t="s">
        <v>244</v>
      </c>
      <c r="F52" s="2" t="s">
        <v>245</v>
      </c>
      <c r="G52" s="2" t="s">
        <v>247</v>
      </c>
      <c r="I52" s="132" t="s">
        <v>249</v>
      </c>
      <c r="J52" s="59" t="s">
        <v>900</v>
      </c>
      <c r="K52" s="59" t="s">
        <v>862</v>
      </c>
      <c r="L52" s="42" t="n">
        <f aca="false">9359166-L53</f>
        <v>8874466</v>
      </c>
      <c r="M52" s="5" t="n">
        <v>0</v>
      </c>
      <c r="N52" s="5" t="n">
        <f aca="false">9359166-N53</f>
        <v>8874466</v>
      </c>
      <c r="P52" s="5" t="n">
        <f aca="false">N52</f>
        <v>8874466</v>
      </c>
      <c r="R52" s="6"/>
      <c r="S52" s="6" t="n">
        <v>0</v>
      </c>
      <c r="T52" s="6"/>
      <c r="U52" s="6"/>
      <c r="V52" s="6"/>
      <c r="W52" s="6"/>
      <c r="X52" s="128" t="n">
        <f aca="false">SUM(S52:W52)</f>
        <v>0</v>
      </c>
      <c r="Y52" s="6" t="n">
        <v>100000</v>
      </c>
      <c r="Z52" s="6" t="n">
        <v>320000</v>
      </c>
      <c r="AA52" s="6" t="n">
        <v>250000</v>
      </c>
      <c r="AB52" s="6" t="n">
        <v>1000000</v>
      </c>
      <c r="AC52" s="128" t="n">
        <f aca="false">SUM(Y52:AB52)</f>
        <v>1670000</v>
      </c>
      <c r="AD52" s="6" t="n">
        <v>1922291.5</v>
      </c>
      <c r="AE52" s="6" t="n">
        <v>2000000</v>
      </c>
      <c r="AF52" s="6"/>
      <c r="AG52" s="6" t="n">
        <v>750000</v>
      </c>
      <c r="AH52" s="6" t="n">
        <v>750000</v>
      </c>
      <c r="AI52" s="128" t="n">
        <f aca="false">SUM(AD52:AH52)</f>
        <v>5422291.5</v>
      </c>
      <c r="AJ52" s="6"/>
      <c r="AK52" s="129"/>
      <c r="AL52" s="6" t="n">
        <v>1200000</v>
      </c>
      <c r="AM52" s="6" t="n">
        <f aca="false">300000-AM53</f>
        <v>115300</v>
      </c>
      <c r="AN52" s="6"/>
      <c r="AO52" s="6"/>
      <c r="AP52" s="128" t="n">
        <f aca="false">SUM(AJ52:AO52)</f>
        <v>1315300</v>
      </c>
      <c r="AQ52" s="6" t="n">
        <v>466874.5</v>
      </c>
      <c r="AR52" s="6"/>
      <c r="AS52" s="6"/>
      <c r="AT52" s="6"/>
      <c r="AU52" s="6"/>
      <c r="AV52" s="6"/>
      <c r="AW52" s="6"/>
      <c r="AX52" s="128" t="n">
        <f aca="false">SUM(AQ52:AW52)</f>
        <v>466874.5</v>
      </c>
      <c r="AY52" s="6"/>
      <c r="AZ52" s="6"/>
      <c r="BA52" s="6"/>
      <c r="BB52" s="6"/>
      <c r="BC52" s="6"/>
      <c r="BD52" s="128" t="n">
        <f aca="false">SUM(AY52:BC52)</f>
        <v>0</v>
      </c>
      <c r="BE52" s="130"/>
      <c r="BF52" s="6" t="n">
        <f aca="false">AC52+X52+AI52+AP52+AX52+BD52</f>
        <v>8874466</v>
      </c>
      <c r="BG52" s="131" t="n">
        <f aca="false">+N52-BF52</f>
        <v>0</v>
      </c>
    </row>
    <row r="53" customFormat="false" ht="12.75" hidden="false" customHeight="false" outlineLevel="0" collapsed="false">
      <c r="A53" s="162" t="s">
        <v>901</v>
      </c>
      <c r="B53" s="162" t="s">
        <v>272</v>
      </c>
      <c r="C53" s="163" t="n">
        <v>44455</v>
      </c>
      <c r="D53" s="163"/>
      <c r="E53" s="164" t="s">
        <v>244</v>
      </c>
      <c r="F53" s="164" t="s">
        <v>245</v>
      </c>
      <c r="G53" s="164" t="s">
        <v>247</v>
      </c>
      <c r="H53" s="165"/>
      <c r="I53" s="166" t="s">
        <v>248</v>
      </c>
      <c r="J53" s="165" t="s">
        <v>900</v>
      </c>
      <c r="K53" s="165" t="s">
        <v>799</v>
      </c>
      <c r="L53" s="167" t="n">
        <v>484700</v>
      </c>
      <c r="M53" s="168"/>
      <c r="N53" s="168" t="n">
        <v>484700</v>
      </c>
      <c r="O53" s="168"/>
      <c r="P53" s="168" t="n">
        <f aca="false">N53</f>
        <v>484700</v>
      </c>
      <c r="Q53" s="168"/>
      <c r="R53" s="169"/>
      <c r="S53" s="6"/>
      <c r="T53" s="6"/>
      <c r="U53" s="6"/>
      <c r="V53" s="6"/>
      <c r="W53" s="6"/>
      <c r="X53" s="128"/>
      <c r="Y53" s="6"/>
      <c r="Z53" s="6"/>
      <c r="AA53" s="6"/>
      <c r="AB53" s="6"/>
      <c r="AC53" s="128"/>
      <c r="AD53" s="6"/>
      <c r="AE53" s="6"/>
      <c r="AF53" s="6"/>
      <c r="AG53" s="6"/>
      <c r="AH53" s="6"/>
      <c r="AI53" s="128"/>
      <c r="AJ53" s="6"/>
      <c r="AK53" s="129"/>
      <c r="AL53" s="6"/>
      <c r="AM53" s="79" t="n">
        <v>184700</v>
      </c>
      <c r="AN53" s="79" t="n">
        <v>300000</v>
      </c>
      <c r="AO53" s="6"/>
      <c r="AP53" s="128" t="n">
        <f aca="false">SUM(AJ53:AO53)</f>
        <v>484700</v>
      </c>
      <c r="AQ53" s="6"/>
      <c r="AR53" s="6"/>
      <c r="AS53" s="6"/>
      <c r="AT53" s="6"/>
      <c r="AU53" s="6"/>
      <c r="AV53" s="6"/>
      <c r="AW53" s="6"/>
      <c r="AX53" s="128" t="n">
        <f aca="false">SUM(AQ53:AW53)</f>
        <v>0</v>
      </c>
      <c r="AY53" s="6"/>
      <c r="AZ53" s="6"/>
      <c r="BA53" s="6"/>
      <c r="BB53" s="6"/>
      <c r="BC53" s="6"/>
      <c r="BD53" s="128" t="n">
        <f aca="false">SUM(AY53:BC53)</f>
        <v>0</v>
      </c>
      <c r="BE53" s="130"/>
      <c r="BF53" s="169" t="n">
        <f aca="false">AC53+X53+AI53+AP53+AX53+BD53</f>
        <v>484700</v>
      </c>
      <c r="BG53" s="131" t="n">
        <f aca="false">+N53-BF53</f>
        <v>0</v>
      </c>
    </row>
    <row r="54" customFormat="false" ht="12.75" hidden="false" customHeight="false" outlineLevel="0" collapsed="false">
      <c r="A54" s="58" t="n">
        <v>34</v>
      </c>
      <c r="B54" s="58" t="s">
        <v>277</v>
      </c>
      <c r="C54" s="1" t="n">
        <v>44453</v>
      </c>
      <c r="E54" s="2" t="s">
        <v>250</v>
      </c>
      <c r="F54" s="2" t="s">
        <v>251</v>
      </c>
      <c r="G54" s="2" t="s">
        <v>253</v>
      </c>
      <c r="I54" s="132" t="s">
        <v>254</v>
      </c>
      <c r="J54" s="59" t="s">
        <v>902</v>
      </c>
      <c r="K54" s="59" t="s">
        <v>862</v>
      </c>
      <c r="L54" s="42" t="n">
        <v>4128000</v>
      </c>
      <c r="M54" s="5" t="n">
        <v>0</v>
      </c>
      <c r="N54" s="5" t="n">
        <v>4128000</v>
      </c>
      <c r="P54" s="5" t="n">
        <f aca="false">N54</f>
        <v>4128000</v>
      </c>
      <c r="R54" s="6"/>
      <c r="S54" s="6" t="n">
        <v>0</v>
      </c>
      <c r="T54" s="6"/>
      <c r="U54" s="6"/>
      <c r="V54" s="6"/>
      <c r="W54" s="6"/>
      <c r="X54" s="128" t="n">
        <f aca="false">SUM(S54:W54)</f>
        <v>0</v>
      </c>
      <c r="Y54" s="6" t="n">
        <v>100000</v>
      </c>
      <c r="Z54" s="6" t="n">
        <v>200000</v>
      </c>
      <c r="AA54" s="6"/>
      <c r="AB54" s="6" t="n">
        <v>1500000</v>
      </c>
      <c r="AC54" s="128" t="n">
        <f aca="false">SUM(Y54:AB54)</f>
        <v>1800000</v>
      </c>
      <c r="AD54" s="6" t="n">
        <v>900000</v>
      </c>
      <c r="AE54" s="6" t="n">
        <v>1428000</v>
      </c>
      <c r="AF54" s="6"/>
      <c r="AG54" s="6"/>
      <c r="AH54" s="6"/>
      <c r="AI54" s="128" t="n">
        <f aca="false">SUM(AD54:AH54)</f>
        <v>2328000</v>
      </c>
      <c r="AJ54" s="6"/>
      <c r="AK54" s="129"/>
      <c r="AL54" s="6"/>
      <c r="AM54" s="6"/>
      <c r="AN54" s="6"/>
      <c r="AO54" s="6"/>
      <c r="AP54" s="128" t="n">
        <f aca="false">SUM(AJ54:AO54)</f>
        <v>0</v>
      </c>
      <c r="AQ54" s="6"/>
      <c r="AR54" s="6"/>
      <c r="AS54" s="6"/>
      <c r="AT54" s="6"/>
      <c r="AU54" s="6"/>
      <c r="AV54" s="6"/>
      <c r="AW54" s="6"/>
      <c r="AX54" s="128" t="n">
        <f aca="false">SUM(AQ54:AW54)</f>
        <v>0</v>
      </c>
      <c r="AY54" s="6"/>
      <c r="AZ54" s="6"/>
      <c r="BA54" s="6"/>
      <c r="BB54" s="6"/>
      <c r="BC54" s="6"/>
      <c r="BD54" s="128" t="n">
        <f aca="false">SUM(AY54:BC54)</f>
        <v>0</v>
      </c>
      <c r="BE54" s="130"/>
      <c r="BF54" s="6" t="n">
        <f aca="false">AC54+X54+AI54+AP54+AX54+BD54</f>
        <v>4128000</v>
      </c>
      <c r="BG54" s="131" t="n">
        <f aca="false">+N54-BF54</f>
        <v>0</v>
      </c>
    </row>
    <row r="55" customFormat="false" ht="12.75" hidden="false" customHeight="false" outlineLevel="0" collapsed="false">
      <c r="A55" s="58" t="n">
        <v>35</v>
      </c>
      <c r="B55" s="58" t="s">
        <v>282</v>
      </c>
      <c r="C55" s="1" t="n">
        <v>44524</v>
      </c>
      <c r="E55" s="2" t="s">
        <v>255</v>
      </c>
      <c r="F55" s="2" t="s">
        <v>256</v>
      </c>
      <c r="G55" s="2" t="s">
        <v>258</v>
      </c>
      <c r="I55" s="32" t="s">
        <v>259</v>
      </c>
      <c r="J55" s="59" t="s">
        <v>900</v>
      </c>
      <c r="K55" s="59" t="s">
        <v>862</v>
      </c>
      <c r="L55" s="42" t="n">
        <v>2715649</v>
      </c>
      <c r="M55" s="5" t="n">
        <v>0</v>
      </c>
      <c r="N55" s="5" t="n">
        <v>2715649</v>
      </c>
      <c r="P55" s="5" t="n">
        <v>2715649</v>
      </c>
      <c r="R55" s="6"/>
      <c r="S55" s="6" t="n">
        <v>0</v>
      </c>
      <c r="T55" s="6"/>
      <c r="U55" s="6"/>
      <c r="V55" s="6"/>
      <c r="W55" s="6"/>
      <c r="X55" s="128" t="n">
        <f aca="false">SUM(S55:W55)</f>
        <v>0</v>
      </c>
      <c r="Y55" s="6"/>
      <c r="Z55" s="6" t="n">
        <v>450000</v>
      </c>
      <c r="AA55" s="6" t="n">
        <v>500000</v>
      </c>
      <c r="AB55" s="6" t="n">
        <v>588550</v>
      </c>
      <c r="AC55" s="128" t="n">
        <f aca="false">SUM(Y55:AB55)</f>
        <v>1538550</v>
      </c>
      <c r="AD55" s="6" t="n">
        <v>588549.5</v>
      </c>
      <c r="AE55" s="6" t="n">
        <v>588549.5</v>
      </c>
      <c r="AF55" s="6"/>
      <c r="AG55" s="6"/>
      <c r="AH55" s="6"/>
      <c r="AI55" s="128" t="n">
        <f aca="false">SUM(AD55:AH55)</f>
        <v>1177099</v>
      </c>
      <c r="AJ55" s="6"/>
      <c r="AK55" s="129"/>
      <c r="AL55" s="6"/>
      <c r="AM55" s="6"/>
      <c r="AN55" s="6"/>
      <c r="AO55" s="6"/>
      <c r="AP55" s="128" t="n">
        <f aca="false">SUM(AJ55:AO55)</f>
        <v>0</v>
      </c>
      <c r="AQ55" s="6"/>
      <c r="AR55" s="6"/>
      <c r="AS55" s="6"/>
      <c r="AT55" s="6"/>
      <c r="AU55" s="6"/>
      <c r="AV55" s="6"/>
      <c r="AW55" s="6"/>
      <c r="AX55" s="128" t="n">
        <f aca="false">SUM(AQ55:AW55)</f>
        <v>0</v>
      </c>
      <c r="AY55" s="6"/>
      <c r="AZ55" s="6"/>
      <c r="BA55" s="6"/>
      <c r="BB55" s="6"/>
      <c r="BC55" s="6"/>
      <c r="BD55" s="128" t="n">
        <f aca="false">SUM(AY55:BC55)</f>
        <v>0</v>
      </c>
      <c r="BE55" s="130"/>
      <c r="BF55" s="6" t="n">
        <f aca="false">AC55+X55+AI55+AP55+AX55+BD55</f>
        <v>2715649</v>
      </c>
      <c r="BG55" s="131" t="n">
        <f aca="false">+N55-BF55</f>
        <v>0</v>
      </c>
    </row>
    <row r="56" customFormat="false" ht="13.8" hidden="false" customHeight="false" outlineLevel="0" collapsed="false">
      <c r="A56" s="58" t="n">
        <v>36</v>
      </c>
      <c r="B56" s="58" t="s">
        <v>287</v>
      </c>
      <c r="C56" s="1" t="n">
        <v>44442</v>
      </c>
      <c r="E56" s="2" t="s">
        <v>260</v>
      </c>
      <c r="F56" s="2" t="s">
        <v>261</v>
      </c>
      <c r="G56" s="2" t="s">
        <v>263</v>
      </c>
      <c r="I56" s="132" t="s">
        <v>264</v>
      </c>
      <c r="J56" s="170" t="s">
        <v>903</v>
      </c>
      <c r="K56" s="59" t="s">
        <v>904</v>
      </c>
      <c r="L56" s="42" t="n">
        <v>100000</v>
      </c>
      <c r="M56" s="5" t="n">
        <v>0</v>
      </c>
      <c r="N56" s="5" t="n">
        <v>100000</v>
      </c>
      <c r="P56" s="5" t="n">
        <f aca="false">N56</f>
        <v>100000</v>
      </c>
      <c r="R56" s="6"/>
      <c r="S56" s="6" t="n">
        <v>0</v>
      </c>
      <c r="T56" s="6"/>
      <c r="U56" s="6"/>
      <c r="V56" s="6"/>
      <c r="W56" s="6"/>
      <c r="X56" s="128" t="n">
        <f aca="false">SUM(S56:W56)</f>
        <v>0</v>
      </c>
      <c r="Y56" s="6" t="n">
        <v>100000</v>
      </c>
      <c r="Z56" s="6"/>
      <c r="AA56" s="6"/>
      <c r="AB56" s="6"/>
      <c r="AC56" s="128" t="n">
        <f aca="false">SUM(Y56:AB56)</f>
        <v>100000</v>
      </c>
      <c r="AD56" s="6"/>
      <c r="AE56" s="6"/>
      <c r="AF56" s="6"/>
      <c r="AG56" s="6"/>
      <c r="AH56" s="6"/>
      <c r="AI56" s="128" t="n">
        <f aca="false">SUM(AD56:AH56)</f>
        <v>0</v>
      </c>
      <c r="AJ56" s="6"/>
      <c r="AK56" s="129"/>
      <c r="AL56" s="6"/>
      <c r="AM56" s="6"/>
      <c r="AN56" s="6"/>
      <c r="AO56" s="6"/>
      <c r="AP56" s="128" t="n">
        <f aca="false">SUM(AJ56:AO56)</f>
        <v>0</v>
      </c>
      <c r="AQ56" s="6"/>
      <c r="AR56" s="6"/>
      <c r="AS56" s="6"/>
      <c r="AT56" s="6"/>
      <c r="AU56" s="6"/>
      <c r="AV56" s="6"/>
      <c r="AW56" s="6"/>
      <c r="AX56" s="128" t="n">
        <f aca="false">SUM(AQ56:AW56)</f>
        <v>0</v>
      </c>
      <c r="AY56" s="6"/>
      <c r="AZ56" s="6"/>
      <c r="BA56" s="6"/>
      <c r="BB56" s="6"/>
      <c r="BC56" s="6"/>
      <c r="BD56" s="128" t="n">
        <f aca="false">SUM(AY56:BC56)</f>
        <v>0</v>
      </c>
      <c r="BE56" s="130"/>
      <c r="BF56" s="6" t="n">
        <f aca="false">AC56+X56+AI56+AP56+AX56+BD56</f>
        <v>100000</v>
      </c>
      <c r="BG56" s="131" t="n">
        <f aca="false">+N56-BF56</f>
        <v>0</v>
      </c>
    </row>
    <row r="57" customFormat="false" ht="15" hidden="false" customHeight="true" outlineLevel="0" collapsed="false">
      <c r="A57" s="58" t="n">
        <v>37</v>
      </c>
      <c r="B57" s="58" t="s">
        <v>292</v>
      </c>
      <c r="C57" s="1" t="n">
        <v>44509</v>
      </c>
      <c r="E57" s="2" t="s">
        <v>265</v>
      </c>
      <c r="F57" s="2" t="s">
        <v>266</v>
      </c>
      <c r="G57" s="2" t="s">
        <v>268</v>
      </c>
      <c r="I57" s="132" t="s">
        <v>269</v>
      </c>
      <c r="J57" s="59" t="s">
        <v>905</v>
      </c>
      <c r="K57" s="59" t="s">
        <v>865</v>
      </c>
      <c r="L57" s="42" t="n">
        <v>2160000</v>
      </c>
      <c r="M57" s="5" t="n">
        <v>0</v>
      </c>
      <c r="N57" s="5" t="n">
        <v>2160000</v>
      </c>
      <c r="P57" s="5" t="n">
        <f aca="false">N57</f>
        <v>2160000</v>
      </c>
      <c r="R57" s="6"/>
      <c r="S57" s="6" t="n">
        <v>0</v>
      </c>
      <c r="T57" s="6"/>
      <c r="U57" s="6"/>
      <c r="V57" s="6"/>
      <c r="W57" s="6"/>
      <c r="X57" s="128" t="n">
        <f aca="false">SUM(S57:W57)</f>
        <v>0</v>
      </c>
      <c r="Y57" s="6"/>
      <c r="Z57" s="6" t="n">
        <v>1600000</v>
      </c>
      <c r="AA57" s="6" t="n">
        <v>560000</v>
      </c>
      <c r="AB57" s="6"/>
      <c r="AC57" s="128" t="n">
        <f aca="false">SUM(Y57:AB57)</f>
        <v>2160000</v>
      </c>
      <c r="AD57" s="6"/>
      <c r="AE57" s="6"/>
      <c r="AF57" s="6"/>
      <c r="AG57" s="6"/>
      <c r="AH57" s="6"/>
      <c r="AI57" s="128" t="n">
        <f aca="false">SUM(AD57:AH57)</f>
        <v>0</v>
      </c>
      <c r="AJ57" s="6"/>
      <c r="AK57" s="129"/>
      <c r="AL57" s="6"/>
      <c r="AM57" s="6"/>
      <c r="AN57" s="6"/>
      <c r="AO57" s="6"/>
      <c r="AP57" s="128" t="n">
        <f aca="false">SUM(AJ57:AO57)</f>
        <v>0</v>
      </c>
      <c r="AQ57" s="6"/>
      <c r="AR57" s="6"/>
      <c r="AS57" s="6"/>
      <c r="AT57" s="6"/>
      <c r="AU57" s="6"/>
      <c r="AV57" s="6"/>
      <c r="AW57" s="6"/>
      <c r="AX57" s="128" t="n">
        <f aca="false">SUM(AQ57:AW57)</f>
        <v>0</v>
      </c>
      <c r="AY57" s="6"/>
      <c r="AZ57" s="6"/>
      <c r="BA57" s="6"/>
      <c r="BB57" s="6"/>
      <c r="BC57" s="6"/>
      <c r="BD57" s="128" t="n">
        <f aca="false">SUM(AY57:BC57)</f>
        <v>0</v>
      </c>
      <c r="BE57" s="130"/>
      <c r="BF57" s="6" t="n">
        <f aca="false">AC57+X57+AI57+AP57+AX57+BD57</f>
        <v>2160000</v>
      </c>
      <c r="BG57" s="131" t="n">
        <f aca="false">+N57-BF57</f>
        <v>0</v>
      </c>
    </row>
    <row r="58" customFormat="false" ht="15" hidden="false" customHeight="true" outlineLevel="0" collapsed="false">
      <c r="A58" s="58" t="n">
        <v>38</v>
      </c>
      <c r="B58" s="58" t="s">
        <v>297</v>
      </c>
      <c r="C58" s="1" t="n">
        <v>44547</v>
      </c>
      <c r="E58" s="2" t="s">
        <v>270</v>
      </c>
      <c r="F58" s="2" t="s">
        <v>271</v>
      </c>
      <c r="G58" s="2" t="s">
        <v>273</v>
      </c>
      <c r="I58" s="132" t="s">
        <v>274</v>
      </c>
      <c r="J58" s="59" t="s">
        <v>906</v>
      </c>
      <c r="K58" s="59" t="s">
        <v>871</v>
      </c>
      <c r="L58" s="42" t="n">
        <v>750000</v>
      </c>
      <c r="M58" s="5" t="n">
        <v>0</v>
      </c>
      <c r="N58" s="5" t="n">
        <v>750000</v>
      </c>
      <c r="P58" s="5" t="n">
        <f aca="false">N58</f>
        <v>750000</v>
      </c>
      <c r="R58" s="6"/>
      <c r="S58" s="6" t="n">
        <v>0</v>
      </c>
      <c r="T58" s="6"/>
      <c r="U58" s="6"/>
      <c r="V58" s="6"/>
      <c r="W58" s="6"/>
      <c r="X58" s="128" t="n">
        <f aca="false">SUM(S58:W58)</f>
        <v>0</v>
      </c>
      <c r="Y58" s="6"/>
      <c r="Z58" s="6" t="n">
        <v>136000</v>
      </c>
      <c r="AA58" s="6" t="n">
        <v>60000</v>
      </c>
      <c r="AB58" s="6" t="n">
        <v>138500</v>
      </c>
      <c r="AC58" s="128" t="n">
        <f aca="false">SUM(Y58:AB58)</f>
        <v>334500</v>
      </c>
      <c r="AD58" s="6" t="n">
        <v>138500</v>
      </c>
      <c r="AE58" s="6" t="n">
        <v>277000</v>
      </c>
      <c r="AF58" s="6"/>
      <c r="AG58" s="6"/>
      <c r="AH58" s="6"/>
      <c r="AI58" s="128" t="n">
        <f aca="false">SUM(AD58:AH58)</f>
        <v>415500</v>
      </c>
      <c r="AJ58" s="6"/>
      <c r="AK58" s="129"/>
      <c r="AL58" s="6"/>
      <c r="AM58" s="6"/>
      <c r="AN58" s="6"/>
      <c r="AO58" s="6"/>
      <c r="AP58" s="128" t="n">
        <f aca="false">SUM(AJ58:AO58)</f>
        <v>0</v>
      </c>
      <c r="AQ58" s="6"/>
      <c r="AR58" s="6"/>
      <c r="AS58" s="6"/>
      <c r="AT58" s="6"/>
      <c r="AU58" s="6"/>
      <c r="AV58" s="6"/>
      <c r="AW58" s="6"/>
      <c r="AX58" s="128" t="n">
        <f aca="false">SUM(AQ58:AW58)</f>
        <v>0</v>
      </c>
      <c r="AY58" s="6"/>
      <c r="AZ58" s="6"/>
      <c r="BA58" s="6"/>
      <c r="BB58" s="6"/>
      <c r="BC58" s="6"/>
      <c r="BD58" s="128" t="n">
        <f aca="false">SUM(AY58:BC58)</f>
        <v>0</v>
      </c>
      <c r="BE58" s="171"/>
      <c r="BF58" s="6" t="n">
        <f aca="false">AC58+X58+AI58+AP58+AX58+BD58</f>
        <v>750000</v>
      </c>
      <c r="BG58" s="131" t="n">
        <f aca="false">+N58-BF58</f>
        <v>0</v>
      </c>
    </row>
    <row r="59" customFormat="false" ht="15" hidden="false" customHeight="true" outlineLevel="0" collapsed="false">
      <c r="A59" s="58" t="n">
        <v>38</v>
      </c>
      <c r="B59" s="58" t="s">
        <v>302</v>
      </c>
      <c r="C59" s="1" t="n">
        <v>44547</v>
      </c>
      <c r="E59" s="2" t="s">
        <v>270</v>
      </c>
      <c r="F59" s="2" t="s">
        <v>271</v>
      </c>
      <c r="G59" s="2" t="s">
        <v>273</v>
      </c>
      <c r="I59" s="132" t="s">
        <v>274</v>
      </c>
      <c r="J59" s="59" t="s">
        <v>907</v>
      </c>
      <c r="K59" s="59" t="s">
        <v>871</v>
      </c>
      <c r="L59" s="42" t="n">
        <v>83000</v>
      </c>
      <c r="M59" s="5" t="n">
        <v>0</v>
      </c>
      <c r="N59" s="5" t="n">
        <v>83000</v>
      </c>
      <c r="P59" s="5" t="n">
        <f aca="false">N59</f>
        <v>83000</v>
      </c>
      <c r="R59" s="6"/>
      <c r="S59" s="6" t="n">
        <v>0</v>
      </c>
      <c r="T59" s="6"/>
      <c r="U59" s="6"/>
      <c r="V59" s="6"/>
      <c r="W59" s="6"/>
      <c r="X59" s="128" t="n">
        <f aca="false">SUM(S59:W59)</f>
        <v>0</v>
      </c>
      <c r="Y59" s="6"/>
      <c r="Z59" s="6"/>
      <c r="AA59" s="6"/>
      <c r="AB59" s="6" t="n">
        <v>20750</v>
      </c>
      <c r="AC59" s="128" t="n">
        <f aca="false">SUM(Y59:AB59)</f>
        <v>20750</v>
      </c>
      <c r="AD59" s="6" t="n">
        <v>20750</v>
      </c>
      <c r="AE59" s="6" t="n">
        <v>41500</v>
      </c>
      <c r="AF59" s="6"/>
      <c r="AG59" s="6"/>
      <c r="AH59" s="6"/>
      <c r="AI59" s="128" t="n">
        <f aca="false">SUM(AD59:AH59)</f>
        <v>62250</v>
      </c>
      <c r="AJ59" s="6"/>
      <c r="AK59" s="129"/>
      <c r="AL59" s="6"/>
      <c r="AM59" s="6"/>
      <c r="AN59" s="6"/>
      <c r="AO59" s="6"/>
      <c r="AP59" s="128" t="n">
        <f aca="false">SUM(AJ59:AO59)</f>
        <v>0</v>
      </c>
      <c r="AQ59" s="6"/>
      <c r="AR59" s="6"/>
      <c r="AS59" s="6"/>
      <c r="AT59" s="6"/>
      <c r="AU59" s="6"/>
      <c r="AV59" s="6"/>
      <c r="AW59" s="6"/>
      <c r="AX59" s="128" t="n">
        <f aca="false">SUM(AQ59:AW59)</f>
        <v>0</v>
      </c>
      <c r="AY59" s="6"/>
      <c r="AZ59" s="6"/>
      <c r="BA59" s="6"/>
      <c r="BB59" s="6"/>
      <c r="BC59" s="6"/>
      <c r="BD59" s="128" t="n">
        <f aca="false">SUM(AY59:BC59)</f>
        <v>0</v>
      </c>
      <c r="BE59" s="171"/>
      <c r="BF59" s="6" t="n">
        <f aca="false">AC59+X59+AI59+AP59+AX59+BD59</f>
        <v>83000</v>
      </c>
      <c r="BG59" s="131" t="n">
        <f aca="false">+N59-BF59</f>
        <v>0</v>
      </c>
    </row>
    <row r="60" customFormat="false" ht="15" hidden="false" customHeight="true" outlineLevel="0" collapsed="false">
      <c r="A60" s="58" t="n">
        <v>39</v>
      </c>
      <c r="B60" s="58" t="s">
        <v>307</v>
      </c>
      <c r="C60" s="1" t="n">
        <v>44631</v>
      </c>
      <c r="E60" s="2" t="s">
        <v>275</v>
      </c>
      <c r="F60" s="2" t="s">
        <v>276</v>
      </c>
      <c r="G60" s="2" t="s">
        <v>278</v>
      </c>
      <c r="I60" s="132" t="s">
        <v>279</v>
      </c>
      <c r="J60" s="59" t="s">
        <v>908</v>
      </c>
      <c r="K60" s="59" t="s">
        <v>862</v>
      </c>
      <c r="L60" s="42" t="n">
        <v>105000</v>
      </c>
      <c r="M60" s="5" t="n">
        <v>0</v>
      </c>
      <c r="N60" s="5" t="n">
        <v>105000</v>
      </c>
      <c r="P60" s="5" t="n">
        <f aca="false">N60</f>
        <v>105000</v>
      </c>
      <c r="R60" s="6"/>
      <c r="S60" s="6" t="n">
        <v>0</v>
      </c>
      <c r="T60" s="6"/>
      <c r="U60" s="6"/>
      <c r="V60" s="6"/>
      <c r="W60" s="6"/>
      <c r="X60" s="128" t="n">
        <f aca="false">SUM(S60:W60)</f>
        <v>0</v>
      </c>
      <c r="Y60" s="6"/>
      <c r="Z60" s="6"/>
      <c r="AA60" s="6" t="n">
        <v>60000</v>
      </c>
      <c r="AB60" s="6" t="n">
        <v>45000</v>
      </c>
      <c r="AC60" s="128" t="n">
        <f aca="false">SUM(Y60:AB60)</f>
        <v>105000</v>
      </c>
      <c r="AD60" s="6"/>
      <c r="AE60" s="6"/>
      <c r="AF60" s="6"/>
      <c r="AG60" s="6"/>
      <c r="AH60" s="6"/>
      <c r="AI60" s="128" t="n">
        <f aca="false">SUM(AD60:AH60)</f>
        <v>0</v>
      </c>
      <c r="AJ60" s="6"/>
      <c r="AK60" s="129"/>
      <c r="AL60" s="6"/>
      <c r="AM60" s="6"/>
      <c r="AN60" s="6"/>
      <c r="AO60" s="6"/>
      <c r="AP60" s="128" t="n">
        <f aca="false">SUM(AJ60:AO60)</f>
        <v>0</v>
      </c>
      <c r="AQ60" s="6"/>
      <c r="AR60" s="6"/>
      <c r="AS60" s="6"/>
      <c r="AT60" s="6"/>
      <c r="AU60" s="6"/>
      <c r="AV60" s="6"/>
      <c r="AW60" s="6"/>
      <c r="AX60" s="128" t="n">
        <f aca="false">SUM(AQ60:AW60)</f>
        <v>0</v>
      </c>
      <c r="AY60" s="6"/>
      <c r="AZ60" s="6"/>
      <c r="BA60" s="6"/>
      <c r="BB60" s="6"/>
      <c r="BC60" s="6"/>
      <c r="BD60" s="128" t="n">
        <f aca="false">SUM(AY60:BC60)</f>
        <v>0</v>
      </c>
      <c r="BE60" s="171"/>
      <c r="BF60" s="6" t="n">
        <f aca="false">AC60+X60+AI60+AP60+AX60+BD60</f>
        <v>105000</v>
      </c>
      <c r="BG60" s="131" t="n">
        <f aca="false">+N60-BF60</f>
        <v>0</v>
      </c>
    </row>
    <row r="61" customFormat="false" ht="15" hidden="false" customHeight="true" outlineLevel="0" collapsed="false">
      <c r="A61" s="58" t="n">
        <v>39</v>
      </c>
      <c r="B61" s="58" t="s">
        <v>311</v>
      </c>
      <c r="C61" s="1" t="n">
        <v>44631</v>
      </c>
      <c r="E61" s="2" t="s">
        <v>275</v>
      </c>
      <c r="F61" s="2" t="s">
        <v>276</v>
      </c>
      <c r="G61" s="2" t="s">
        <v>278</v>
      </c>
      <c r="I61" s="132" t="s">
        <v>279</v>
      </c>
      <c r="J61" s="59" t="s">
        <v>909</v>
      </c>
      <c r="K61" s="59" t="s">
        <v>862</v>
      </c>
      <c r="L61" s="42" t="n">
        <v>8400</v>
      </c>
      <c r="M61" s="5" t="n">
        <v>0</v>
      </c>
      <c r="N61" s="5" t="n">
        <v>8400</v>
      </c>
      <c r="P61" s="5" t="n">
        <f aca="false">N61</f>
        <v>8400</v>
      </c>
      <c r="R61" s="6"/>
      <c r="S61" s="6" t="n">
        <v>0</v>
      </c>
      <c r="T61" s="6"/>
      <c r="U61" s="6"/>
      <c r="V61" s="6"/>
      <c r="W61" s="6"/>
      <c r="X61" s="128" t="n">
        <f aca="false">SUM(S61:W61)</f>
        <v>0</v>
      </c>
      <c r="Y61" s="6"/>
      <c r="Z61" s="6"/>
      <c r="AA61" s="6"/>
      <c r="AB61" s="6" t="n">
        <v>8400</v>
      </c>
      <c r="AC61" s="128" t="n">
        <f aca="false">SUM(Y61:AB61)</f>
        <v>8400</v>
      </c>
      <c r="AD61" s="6"/>
      <c r="AE61" s="6"/>
      <c r="AF61" s="6"/>
      <c r="AG61" s="6"/>
      <c r="AH61" s="6"/>
      <c r="AI61" s="128" t="n">
        <f aca="false">SUM(AD61:AH61)</f>
        <v>0</v>
      </c>
      <c r="AJ61" s="6"/>
      <c r="AK61" s="129"/>
      <c r="AM61" s="6"/>
      <c r="AN61" s="6"/>
      <c r="AO61" s="6"/>
      <c r="AP61" s="128" t="n">
        <f aca="false">SUM(AJ61:AO61)</f>
        <v>0</v>
      </c>
      <c r="AQ61" s="6"/>
      <c r="AS61" s="6"/>
      <c r="AT61" s="6"/>
      <c r="AU61" s="6"/>
      <c r="AV61" s="6"/>
      <c r="AW61" s="6"/>
      <c r="AX61" s="128" t="n">
        <f aca="false">SUM(AQ61:AW61)</f>
        <v>0</v>
      </c>
      <c r="AY61" s="6"/>
      <c r="AZ61" s="6"/>
      <c r="BA61" s="6"/>
      <c r="BB61" s="6"/>
      <c r="BC61" s="6"/>
      <c r="BD61" s="128" t="n">
        <f aca="false">SUM(AY61:BC61)</f>
        <v>0</v>
      </c>
      <c r="BE61" s="171"/>
      <c r="BF61" s="6" t="n">
        <f aca="false">AC61+X61+AI61+AP61+AX61+BD61</f>
        <v>8400</v>
      </c>
      <c r="BG61" s="131" t="n">
        <f aca="false">+N61-BF61</f>
        <v>0</v>
      </c>
    </row>
    <row r="62" customFormat="false" ht="15" hidden="false" customHeight="true" outlineLevel="0" collapsed="false">
      <c r="A62" s="58" t="n">
        <v>40</v>
      </c>
      <c r="B62" s="58" t="s">
        <v>317</v>
      </c>
      <c r="C62" s="1" t="n">
        <v>44643</v>
      </c>
      <c r="E62" s="2" t="s">
        <v>280</v>
      </c>
      <c r="F62" s="2" t="s">
        <v>281</v>
      </c>
      <c r="G62" s="2" t="s">
        <v>283</v>
      </c>
      <c r="I62" s="132" t="s">
        <v>284</v>
      </c>
      <c r="J62" s="59" t="s">
        <v>910</v>
      </c>
      <c r="K62" s="59" t="s">
        <v>862</v>
      </c>
      <c r="L62" s="42" t="n">
        <v>1000000</v>
      </c>
      <c r="M62" s="5" t="n">
        <v>0</v>
      </c>
      <c r="N62" s="5" t="n">
        <v>1000000</v>
      </c>
      <c r="P62" s="5" t="n">
        <f aca="false">N62</f>
        <v>1000000</v>
      </c>
      <c r="R62" s="6"/>
      <c r="S62" s="6" t="n">
        <v>0</v>
      </c>
      <c r="T62" s="6"/>
      <c r="U62" s="6"/>
      <c r="V62" s="6"/>
      <c r="W62" s="6"/>
      <c r="X62" s="128" t="n">
        <f aca="false">SUM(S62:W62)</f>
        <v>0</v>
      </c>
      <c r="Y62" s="6"/>
      <c r="Z62" s="6"/>
      <c r="AA62" s="6"/>
      <c r="AB62" s="6" t="n">
        <v>500000</v>
      </c>
      <c r="AC62" s="128" t="n">
        <f aca="false">SUM(Y62:AB62)</f>
        <v>500000</v>
      </c>
      <c r="AD62" s="6" t="n">
        <v>300000</v>
      </c>
      <c r="AE62" s="6" t="n">
        <v>200000</v>
      </c>
      <c r="AF62" s="6"/>
      <c r="AG62" s="6"/>
      <c r="AH62" s="6"/>
      <c r="AI62" s="128" t="n">
        <f aca="false">SUM(AD62:AH62)</f>
        <v>500000</v>
      </c>
      <c r="AJ62" s="6"/>
      <c r="AK62" s="129"/>
      <c r="AL62" s="6"/>
      <c r="AM62" s="6"/>
      <c r="AN62" s="6"/>
      <c r="AO62" s="6"/>
      <c r="AP62" s="128" t="n">
        <f aca="false">SUM(AJ62:AO62)</f>
        <v>0</v>
      </c>
      <c r="AQ62" s="6"/>
      <c r="AR62" s="6"/>
      <c r="AS62" s="6"/>
      <c r="AT62" s="6"/>
      <c r="AU62" s="6"/>
      <c r="AV62" s="6"/>
      <c r="AW62" s="6"/>
      <c r="AX62" s="128" t="n">
        <f aca="false">SUM(AQ62:AW62)</f>
        <v>0</v>
      </c>
      <c r="AY62" s="6"/>
      <c r="AZ62" s="6"/>
      <c r="BA62" s="6"/>
      <c r="BB62" s="6"/>
      <c r="BC62" s="6"/>
      <c r="BD62" s="128" t="n">
        <f aca="false">SUM(AY62:BC62)</f>
        <v>0</v>
      </c>
      <c r="BE62" s="171"/>
      <c r="BF62" s="6" t="n">
        <f aca="false">AC62+X62+AI62+AP62+AX62+BD62</f>
        <v>1000000</v>
      </c>
      <c r="BG62" s="131" t="n">
        <f aca="false">+N62-BF62</f>
        <v>0</v>
      </c>
    </row>
    <row r="63" customFormat="false" ht="15" hidden="false" customHeight="true" outlineLevel="0" collapsed="false">
      <c r="A63" s="58" t="n">
        <v>41</v>
      </c>
      <c r="B63" s="58" t="s">
        <v>322</v>
      </c>
      <c r="C63" s="1" t="n">
        <v>44679</v>
      </c>
      <c r="E63" s="2" t="s">
        <v>285</v>
      </c>
      <c r="F63" s="2" t="s">
        <v>286</v>
      </c>
      <c r="G63" s="2" t="s">
        <v>288</v>
      </c>
      <c r="I63" s="132" t="s">
        <v>289</v>
      </c>
      <c r="J63" s="59" t="s">
        <v>911</v>
      </c>
      <c r="K63" s="59" t="s">
        <v>871</v>
      </c>
      <c r="L63" s="42" t="n">
        <v>903000</v>
      </c>
      <c r="M63" s="5" t="n">
        <v>0</v>
      </c>
      <c r="N63" s="5" t="n">
        <v>903000</v>
      </c>
      <c r="P63" s="5" t="n">
        <f aca="false">N63</f>
        <v>903000</v>
      </c>
      <c r="R63" s="6"/>
      <c r="S63" s="6" t="n">
        <v>0</v>
      </c>
      <c r="T63" s="6"/>
      <c r="U63" s="6"/>
      <c r="V63" s="6"/>
      <c r="W63" s="6"/>
      <c r="X63" s="128" t="n">
        <f aca="false">SUM(S63:W63)</f>
        <v>0</v>
      </c>
      <c r="Y63" s="6"/>
      <c r="Z63" s="6"/>
      <c r="AA63" s="6"/>
      <c r="AB63" s="6" t="n">
        <v>800000</v>
      </c>
      <c r="AC63" s="128" t="n">
        <f aca="false">SUM(Y63:AB63)</f>
        <v>800000</v>
      </c>
      <c r="AD63" s="6" t="n">
        <v>25750</v>
      </c>
      <c r="AE63" s="6" t="n">
        <v>35000</v>
      </c>
      <c r="AF63" s="6"/>
      <c r="AG63" s="6" t="n">
        <v>42250</v>
      </c>
      <c r="AH63" s="6"/>
      <c r="AI63" s="128" t="n">
        <f aca="false">SUM(AD63:AH63)</f>
        <v>103000</v>
      </c>
      <c r="AJ63" s="6"/>
      <c r="AK63" s="129"/>
      <c r="AL63" s="6"/>
      <c r="AM63" s="6"/>
      <c r="AN63" s="6"/>
      <c r="AO63" s="6"/>
      <c r="AP63" s="128" t="n">
        <f aca="false">SUM(AJ63:AO63)</f>
        <v>0</v>
      </c>
      <c r="AQ63" s="6"/>
      <c r="AR63" s="6"/>
      <c r="AS63" s="6"/>
      <c r="AT63" s="6"/>
      <c r="AU63" s="6"/>
      <c r="AV63" s="6"/>
      <c r="AW63" s="6"/>
      <c r="AX63" s="128" t="n">
        <f aca="false">SUM(AQ63:AW63)</f>
        <v>0</v>
      </c>
      <c r="AY63" s="6"/>
      <c r="AZ63" s="6"/>
      <c r="BA63" s="6"/>
      <c r="BB63" s="6"/>
      <c r="BC63" s="6"/>
      <c r="BD63" s="128" t="n">
        <f aca="false">SUM(AY63:BC63)</f>
        <v>0</v>
      </c>
      <c r="BE63" s="171"/>
      <c r="BF63" s="6" t="n">
        <f aca="false">AC63+X63+AI63+AP63+AX63+BD63</f>
        <v>903000</v>
      </c>
      <c r="BG63" s="131" t="n">
        <f aca="false">+N63-BF63</f>
        <v>0</v>
      </c>
    </row>
    <row r="64" customFormat="false" ht="15" hidden="false" customHeight="true" outlineLevel="0" collapsed="false">
      <c r="A64" s="58" t="n">
        <v>42</v>
      </c>
      <c r="B64" s="58" t="s">
        <v>327</v>
      </c>
      <c r="C64" s="1" t="n">
        <v>44680</v>
      </c>
      <c r="E64" s="2" t="s">
        <v>290</v>
      </c>
      <c r="F64" s="2" t="s">
        <v>291</v>
      </c>
      <c r="G64" s="2" t="s">
        <v>293</v>
      </c>
      <c r="I64" s="132" t="s">
        <v>294</v>
      </c>
      <c r="J64" s="59" t="s">
        <v>912</v>
      </c>
      <c r="K64" s="59" t="s">
        <v>862</v>
      </c>
      <c r="L64" s="42" t="n">
        <v>700000</v>
      </c>
      <c r="M64" s="5" t="n">
        <v>0</v>
      </c>
      <c r="N64" s="5" t="n">
        <v>700000</v>
      </c>
      <c r="P64" s="5" t="n">
        <f aca="false">N64</f>
        <v>700000</v>
      </c>
      <c r="R64" s="6"/>
      <c r="S64" s="6" t="n">
        <v>0</v>
      </c>
      <c r="T64" s="6"/>
      <c r="U64" s="6"/>
      <c r="V64" s="6"/>
      <c r="W64" s="6"/>
      <c r="X64" s="128" t="n">
        <f aca="false">SUM(S64:W64)</f>
        <v>0</v>
      </c>
      <c r="Y64" s="6"/>
      <c r="Z64" s="6"/>
      <c r="AA64" s="6"/>
      <c r="AB64" s="6" t="n">
        <v>600000</v>
      </c>
      <c r="AC64" s="128" t="n">
        <f aca="false">SUM(Y64:AB64)</f>
        <v>600000</v>
      </c>
      <c r="AD64" s="6" t="n">
        <v>100000</v>
      </c>
      <c r="AE64" s="6"/>
      <c r="AF64" s="6"/>
      <c r="AG64" s="6"/>
      <c r="AH64" s="6"/>
      <c r="AI64" s="128" t="n">
        <f aca="false">SUM(AD64:AH64)</f>
        <v>100000</v>
      </c>
      <c r="AJ64" s="6"/>
      <c r="AK64" s="129"/>
      <c r="AL64" s="6"/>
      <c r="AM64" s="6"/>
      <c r="AN64" s="6"/>
      <c r="AO64" s="6"/>
      <c r="AP64" s="128" t="n">
        <f aca="false">SUM(AJ64:AO64)</f>
        <v>0</v>
      </c>
      <c r="AQ64" s="6"/>
      <c r="AR64" s="6"/>
      <c r="AS64" s="6"/>
      <c r="AT64" s="6"/>
      <c r="AU64" s="6"/>
      <c r="AV64" s="6"/>
      <c r="AW64" s="6"/>
      <c r="AX64" s="128" t="n">
        <f aca="false">SUM(AQ64:AW64)</f>
        <v>0</v>
      </c>
      <c r="AY64" s="6"/>
      <c r="AZ64" s="6"/>
      <c r="BA64" s="6"/>
      <c r="BB64" s="6"/>
      <c r="BC64" s="6"/>
      <c r="BD64" s="128" t="n">
        <f aca="false">SUM(AY64:BC64)</f>
        <v>0</v>
      </c>
      <c r="BE64" s="171"/>
      <c r="BF64" s="6" t="n">
        <f aca="false">AC64+X64+AI64+AP64+AX64+BD64</f>
        <v>700000</v>
      </c>
      <c r="BG64" s="131" t="n">
        <f aca="false">+N64-BF64</f>
        <v>0</v>
      </c>
    </row>
    <row r="65" customFormat="false" ht="15" hidden="false" customHeight="true" outlineLevel="0" collapsed="false">
      <c r="A65" s="58" t="n">
        <v>43</v>
      </c>
      <c r="B65" s="58" t="s">
        <v>332</v>
      </c>
      <c r="C65" s="1" t="n">
        <v>44692</v>
      </c>
      <c r="E65" s="2" t="s">
        <v>295</v>
      </c>
      <c r="F65" s="2" t="s">
        <v>296</v>
      </c>
      <c r="G65" s="2" t="s">
        <v>298</v>
      </c>
      <c r="I65" s="132" t="s">
        <v>299</v>
      </c>
      <c r="J65" s="59" t="s">
        <v>913</v>
      </c>
      <c r="K65" s="59" t="s">
        <v>904</v>
      </c>
      <c r="L65" s="42" t="n">
        <v>650000</v>
      </c>
      <c r="M65" s="5" t="n">
        <v>0</v>
      </c>
      <c r="N65" s="5" t="n">
        <v>650000</v>
      </c>
      <c r="P65" s="5" t="n">
        <v>650000</v>
      </c>
      <c r="R65" s="6"/>
      <c r="S65" s="6" t="n">
        <v>0</v>
      </c>
      <c r="T65" s="6"/>
      <c r="U65" s="6"/>
      <c r="V65" s="6"/>
      <c r="W65" s="6"/>
      <c r="X65" s="128" t="n">
        <f aca="false">SUM(S65:W65)</f>
        <v>0</v>
      </c>
      <c r="Y65" s="6"/>
      <c r="Z65" s="6"/>
      <c r="AA65" s="6"/>
      <c r="AB65" s="6" t="n">
        <v>240000</v>
      </c>
      <c r="AC65" s="128" t="n">
        <f aca="false">SUM(Y65:AB65)</f>
        <v>240000</v>
      </c>
      <c r="AD65" s="6" t="n">
        <v>300000</v>
      </c>
      <c r="AE65" s="6" t="n">
        <v>110000</v>
      </c>
      <c r="AF65" s="6"/>
      <c r="AG65" s="6"/>
      <c r="AH65" s="6"/>
      <c r="AI65" s="128" t="n">
        <f aca="false">SUM(AD65:AH65)</f>
        <v>410000</v>
      </c>
      <c r="AJ65" s="6"/>
      <c r="AK65" s="129"/>
      <c r="AL65" s="6"/>
      <c r="AM65" s="6"/>
      <c r="AN65" s="6"/>
      <c r="AO65" s="6"/>
      <c r="AP65" s="128" t="n">
        <f aca="false">SUM(AJ65:AO65)</f>
        <v>0</v>
      </c>
      <c r="AQ65" s="6"/>
      <c r="AR65" s="6"/>
      <c r="AS65" s="6"/>
      <c r="AT65" s="6"/>
      <c r="AU65" s="6"/>
      <c r="AV65" s="6"/>
      <c r="AW65" s="6"/>
      <c r="AX65" s="128" t="n">
        <f aca="false">SUM(AQ65:AW65)</f>
        <v>0</v>
      </c>
      <c r="AY65" s="6"/>
      <c r="AZ65" s="6"/>
      <c r="BA65" s="6"/>
      <c r="BB65" s="6"/>
      <c r="BC65" s="6"/>
      <c r="BD65" s="128" t="n">
        <f aca="false">SUM(AY65:BC65)</f>
        <v>0</v>
      </c>
      <c r="BE65" s="171"/>
      <c r="BF65" s="6" t="n">
        <f aca="false">AC65+X65+AI65+AP65+AX65+BD65</f>
        <v>650000</v>
      </c>
      <c r="BG65" s="131" t="n">
        <f aca="false">+N65-BF65</f>
        <v>0</v>
      </c>
    </row>
    <row r="66" customFormat="false" ht="15" hidden="false" customHeight="true" outlineLevel="0" collapsed="false">
      <c r="A66" s="58" t="n">
        <v>44</v>
      </c>
      <c r="B66" s="58" t="s">
        <v>339</v>
      </c>
      <c r="C66" s="1" t="n">
        <v>44713</v>
      </c>
      <c r="E66" s="2" t="s">
        <v>300</v>
      </c>
      <c r="F66" s="2" t="s">
        <v>301</v>
      </c>
      <c r="G66" s="2" t="s">
        <v>303</v>
      </c>
      <c r="I66" s="132" t="s">
        <v>304</v>
      </c>
      <c r="J66" s="59" t="s">
        <v>914</v>
      </c>
      <c r="K66" s="59" t="s">
        <v>871</v>
      </c>
      <c r="L66" s="42" t="n">
        <v>500000</v>
      </c>
      <c r="M66" s="5" t="n">
        <v>0</v>
      </c>
      <c r="N66" s="5" t="n">
        <v>500000</v>
      </c>
      <c r="P66" s="5" t="n">
        <v>500000</v>
      </c>
      <c r="R66" s="6"/>
      <c r="S66" s="6" t="n">
        <v>0</v>
      </c>
      <c r="T66" s="6"/>
      <c r="U66" s="6"/>
      <c r="V66" s="6"/>
      <c r="W66" s="6"/>
      <c r="X66" s="128" t="n">
        <f aca="false">SUM(S66:W66)</f>
        <v>0</v>
      </c>
      <c r="Y66" s="6"/>
      <c r="Z66" s="6"/>
      <c r="AA66" s="6"/>
      <c r="AB66" s="6" t="n">
        <v>200000</v>
      </c>
      <c r="AC66" s="128" t="n">
        <f aca="false">SUM(Y66:AB66)</f>
        <v>200000</v>
      </c>
      <c r="AD66" s="6" t="n">
        <v>100000</v>
      </c>
      <c r="AE66" s="6" t="n">
        <v>200000</v>
      </c>
      <c r="AF66" s="6"/>
      <c r="AG66" s="6"/>
      <c r="AH66" s="6"/>
      <c r="AI66" s="128" t="n">
        <f aca="false">SUM(AD66:AH66)</f>
        <v>300000</v>
      </c>
      <c r="AJ66" s="6"/>
      <c r="AK66" s="129"/>
      <c r="AL66" s="6"/>
      <c r="AM66" s="6"/>
      <c r="AN66" s="6"/>
      <c r="AO66" s="6"/>
      <c r="AP66" s="128" t="n">
        <f aca="false">SUM(AJ66:AO66)</f>
        <v>0</v>
      </c>
      <c r="AQ66" s="6"/>
      <c r="AR66" s="6"/>
      <c r="AS66" s="6"/>
      <c r="AT66" s="6"/>
      <c r="AU66" s="6"/>
      <c r="AV66" s="6"/>
      <c r="AW66" s="6"/>
      <c r="AX66" s="128" t="n">
        <f aca="false">SUM(AQ66:AW66)</f>
        <v>0</v>
      </c>
      <c r="AY66" s="6"/>
      <c r="AZ66" s="6"/>
      <c r="BA66" s="6"/>
      <c r="BB66" s="6"/>
      <c r="BC66" s="6"/>
      <c r="BD66" s="128" t="n">
        <f aca="false">SUM(AY66:BC66)</f>
        <v>0</v>
      </c>
      <c r="BE66" s="171"/>
      <c r="BF66" s="6" t="n">
        <f aca="false">AC66+X66+AI66+AP66+AX66+BD66</f>
        <v>500000</v>
      </c>
      <c r="BG66" s="131" t="n">
        <f aca="false">+N66-BF66</f>
        <v>0</v>
      </c>
    </row>
    <row r="67" customFormat="false" ht="15" hidden="false" customHeight="true" outlineLevel="0" collapsed="false">
      <c r="A67" s="58" t="n">
        <v>45</v>
      </c>
      <c r="B67" s="58" t="s">
        <v>344</v>
      </c>
      <c r="C67" s="1" t="n">
        <v>44700</v>
      </c>
      <c r="E67" s="2" t="s">
        <v>305</v>
      </c>
      <c r="F67" s="2" t="s">
        <v>306</v>
      </c>
      <c r="G67" s="2" t="s">
        <v>308</v>
      </c>
      <c r="I67" s="132" t="s">
        <v>304</v>
      </c>
      <c r="J67" s="59" t="s">
        <v>915</v>
      </c>
      <c r="K67" s="59" t="s">
        <v>862</v>
      </c>
      <c r="L67" s="42" t="n">
        <v>938000</v>
      </c>
      <c r="M67" s="5" t="n">
        <v>0</v>
      </c>
      <c r="N67" s="5" t="n">
        <v>938000</v>
      </c>
      <c r="P67" s="5" t="n">
        <v>938000</v>
      </c>
      <c r="R67" s="6"/>
      <c r="S67" s="6" t="n">
        <v>0</v>
      </c>
      <c r="T67" s="6"/>
      <c r="U67" s="6"/>
      <c r="V67" s="6"/>
      <c r="W67" s="6"/>
      <c r="X67" s="128" t="n">
        <f aca="false">SUM(S67:W67)</f>
        <v>0</v>
      </c>
      <c r="Y67" s="6"/>
      <c r="Z67" s="6"/>
      <c r="AA67" s="6"/>
      <c r="AB67" s="6" t="n">
        <v>234500</v>
      </c>
      <c r="AC67" s="128" t="n">
        <f aca="false">SUM(Y67:AB67)</f>
        <v>234500</v>
      </c>
      <c r="AD67" s="6" t="n">
        <v>703500</v>
      </c>
      <c r="AE67" s="6"/>
      <c r="AF67" s="6"/>
      <c r="AG67" s="6"/>
      <c r="AH67" s="6"/>
      <c r="AI67" s="128" t="n">
        <f aca="false">SUM(AD67:AH67)</f>
        <v>703500</v>
      </c>
      <c r="AJ67" s="6"/>
      <c r="AK67" s="129"/>
      <c r="AL67" s="6"/>
      <c r="AM67" s="6"/>
      <c r="AN67" s="6"/>
      <c r="AO67" s="6"/>
      <c r="AP67" s="128" t="n">
        <f aca="false">SUM(AJ67:AO67)</f>
        <v>0</v>
      </c>
      <c r="AQ67" s="6"/>
      <c r="AR67" s="6"/>
      <c r="AS67" s="6"/>
      <c r="AT67" s="6"/>
      <c r="AU67" s="6"/>
      <c r="AV67" s="6"/>
      <c r="AW67" s="6"/>
      <c r="AX67" s="128" t="n">
        <f aca="false">SUM(AQ67:AW67)</f>
        <v>0</v>
      </c>
      <c r="AY67" s="6"/>
      <c r="AZ67" s="6"/>
      <c r="BA67" s="6"/>
      <c r="BB67" s="6"/>
      <c r="BC67" s="6"/>
      <c r="BD67" s="128" t="n">
        <f aca="false">SUM(AY67:BC67)</f>
        <v>0</v>
      </c>
      <c r="BE67" s="171"/>
      <c r="BF67" s="6" t="n">
        <f aca="false">AC67+X67+AI67+AP67+AX67+BD67</f>
        <v>938000</v>
      </c>
      <c r="BG67" s="131" t="n">
        <f aca="false">+N67-BF67</f>
        <v>0</v>
      </c>
    </row>
    <row r="68" customFormat="false" ht="15" hidden="false" customHeight="true" outlineLevel="0" collapsed="false">
      <c r="A68" s="58" t="n">
        <v>45</v>
      </c>
      <c r="B68" s="58" t="s">
        <v>349</v>
      </c>
      <c r="C68" s="1" t="n">
        <v>44700</v>
      </c>
      <c r="E68" s="2" t="s">
        <v>305</v>
      </c>
      <c r="F68" s="2" t="s">
        <v>306</v>
      </c>
      <c r="G68" s="2" t="s">
        <v>308</v>
      </c>
      <c r="I68" s="132" t="s">
        <v>304</v>
      </c>
      <c r="J68" s="59" t="s">
        <v>916</v>
      </c>
      <c r="K68" s="59" t="s">
        <v>862</v>
      </c>
      <c r="L68" s="42" t="n">
        <v>712000</v>
      </c>
      <c r="M68" s="5" t="n">
        <v>0</v>
      </c>
      <c r="N68" s="5" t="n">
        <v>712000</v>
      </c>
      <c r="P68" s="5" t="n">
        <v>712000</v>
      </c>
      <c r="R68" s="6"/>
      <c r="S68" s="6" t="n">
        <v>0</v>
      </c>
      <c r="T68" s="6"/>
      <c r="U68" s="6"/>
      <c r="V68" s="6"/>
      <c r="W68" s="6"/>
      <c r="X68" s="128" t="n">
        <f aca="false">SUM(S68:W68)</f>
        <v>0</v>
      </c>
      <c r="Y68" s="6"/>
      <c r="Z68" s="6"/>
      <c r="AA68" s="6"/>
      <c r="AB68" s="6" t="n">
        <v>178000</v>
      </c>
      <c r="AC68" s="128" t="n">
        <f aca="false">SUM(Y68:AB68)</f>
        <v>178000</v>
      </c>
      <c r="AD68" s="6" t="n">
        <v>534000</v>
      </c>
      <c r="AE68" s="6"/>
      <c r="AF68" s="6"/>
      <c r="AG68" s="6"/>
      <c r="AH68" s="6"/>
      <c r="AI68" s="128" t="n">
        <f aca="false">SUM(AD68:AH68)</f>
        <v>534000</v>
      </c>
      <c r="AJ68" s="6"/>
      <c r="AK68" s="129"/>
      <c r="AL68" s="6"/>
      <c r="AM68" s="6"/>
      <c r="AN68" s="6"/>
      <c r="AO68" s="6"/>
      <c r="AP68" s="128" t="n">
        <f aca="false">SUM(AJ68:AO68)</f>
        <v>0</v>
      </c>
      <c r="AQ68" s="6"/>
      <c r="AR68" s="6"/>
      <c r="AS68" s="6"/>
      <c r="AT68" s="6"/>
      <c r="AU68" s="6"/>
      <c r="AV68" s="6"/>
      <c r="AW68" s="6"/>
      <c r="AX68" s="128" t="n">
        <f aca="false">SUM(AQ68:AW68)</f>
        <v>0</v>
      </c>
      <c r="AY68" s="6"/>
      <c r="AZ68" s="6"/>
      <c r="BA68" s="6"/>
      <c r="BB68" s="6"/>
      <c r="BC68" s="6"/>
      <c r="BD68" s="128" t="n">
        <f aca="false">SUM(AY68:BC68)</f>
        <v>0</v>
      </c>
      <c r="BE68" s="171"/>
      <c r="BF68" s="6" t="n">
        <f aca="false">AC68+X68+AI68+AP68+AX68+BD68</f>
        <v>712000</v>
      </c>
      <c r="BG68" s="131" t="n">
        <f aca="false">+N68-BF68</f>
        <v>0</v>
      </c>
    </row>
    <row r="69" customFormat="false" ht="15" hidden="false" customHeight="true" outlineLevel="0" collapsed="false">
      <c r="A69" s="58" t="n">
        <v>46</v>
      </c>
      <c r="B69" s="58" t="s">
        <v>354</v>
      </c>
      <c r="C69" s="1" t="n">
        <v>44686</v>
      </c>
      <c r="E69" s="2" t="s">
        <v>309</v>
      </c>
      <c r="F69" s="2" t="s">
        <v>310</v>
      </c>
      <c r="G69" s="2" t="s">
        <v>312</v>
      </c>
      <c r="I69" s="132" t="s">
        <v>313</v>
      </c>
      <c r="J69" s="59" t="s">
        <v>908</v>
      </c>
      <c r="K69" s="59" t="s">
        <v>871</v>
      </c>
      <c r="L69" s="42" t="n">
        <v>2476201.38</v>
      </c>
      <c r="M69" s="5" t="n">
        <v>0</v>
      </c>
      <c r="N69" s="5" t="n">
        <v>2476201.38</v>
      </c>
      <c r="P69" s="5" t="n">
        <v>2476201.38</v>
      </c>
      <c r="R69" s="6"/>
      <c r="S69" s="6" t="n">
        <v>0</v>
      </c>
      <c r="T69" s="6"/>
      <c r="U69" s="6"/>
      <c r="V69" s="6"/>
      <c r="W69" s="6"/>
      <c r="X69" s="128" t="n">
        <f aca="false">SUM(S69:W69)</f>
        <v>0</v>
      </c>
      <c r="Y69" s="6"/>
      <c r="Z69" s="6"/>
      <c r="AA69" s="6"/>
      <c r="AB69" s="6" t="n">
        <v>1150000</v>
      </c>
      <c r="AC69" s="128" t="n">
        <f aca="false">SUM(Y69:AB69)</f>
        <v>1150000</v>
      </c>
      <c r="AD69" s="6" t="n">
        <v>1030000</v>
      </c>
      <c r="AE69" s="6" t="n">
        <v>296201.38</v>
      </c>
      <c r="AF69" s="6"/>
      <c r="AG69" s="6"/>
      <c r="AH69" s="6"/>
      <c r="AI69" s="128" t="n">
        <f aca="false">SUM(AD69:AH69)</f>
        <v>1326201.38</v>
      </c>
      <c r="AJ69" s="6"/>
      <c r="AK69" s="129"/>
      <c r="AL69" s="6"/>
      <c r="AM69" s="6"/>
      <c r="AN69" s="6"/>
      <c r="AO69" s="6"/>
      <c r="AP69" s="128" t="n">
        <f aca="false">SUM(AJ69:AO69)</f>
        <v>0</v>
      </c>
      <c r="AQ69" s="6"/>
      <c r="AR69" s="6"/>
      <c r="AS69" s="6"/>
      <c r="AT69" s="6"/>
      <c r="AU69" s="6"/>
      <c r="AV69" s="6"/>
      <c r="AW69" s="6"/>
      <c r="AX69" s="128" t="n">
        <f aca="false">SUM(AQ69:AW69)</f>
        <v>0</v>
      </c>
      <c r="AY69" s="6"/>
      <c r="AZ69" s="6"/>
      <c r="BA69" s="6"/>
      <c r="BB69" s="6"/>
      <c r="BC69" s="6"/>
      <c r="BD69" s="128" t="n">
        <f aca="false">SUM(AY69:BC69)</f>
        <v>0</v>
      </c>
      <c r="BE69" s="171"/>
      <c r="BF69" s="6" t="n">
        <f aca="false">AC69+X69+AI69+AP69+AX69+BD69</f>
        <v>2476201.38</v>
      </c>
      <c r="BG69" s="131" t="n">
        <f aca="false">+N69-BF69</f>
        <v>0</v>
      </c>
    </row>
    <row r="70" customFormat="false" ht="15" hidden="false" customHeight="true" outlineLevel="0" collapsed="false">
      <c r="A70" s="58" t="n">
        <v>46</v>
      </c>
      <c r="B70" s="58" t="s">
        <v>359</v>
      </c>
      <c r="C70" s="1" t="n">
        <v>44686</v>
      </c>
      <c r="E70" s="2" t="s">
        <v>309</v>
      </c>
      <c r="F70" s="2" t="s">
        <v>310</v>
      </c>
      <c r="G70" s="2" t="s">
        <v>312</v>
      </c>
      <c r="I70" s="132" t="s">
        <v>314</v>
      </c>
      <c r="J70" s="59" t="s">
        <v>909</v>
      </c>
      <c r="K70" s="59" t="s">
        <v>871</v>
      </c>
      <c r="L70" s="42" t="n">
        <v>198096.11</v>
      </c>
      <c r="M70" s="5" t="n">
        <v>0</v>
      </c>
      <c r="N70" s="5" t="n">
        <v>198096.11</v>
      </c>
      <c r="P70" s="5" t="n">
        <v>198096.11</v>
      </c>
      <c r="R70" s="6"/>
      <c r="S70" s="6" t="n">
        <v>0</v>
      </c>
      <c r="T70" s="6"/>
      <c r="U70" s="6"/>
      <c r="V70" s="6"/>
      <c r="W70" s="6"/>
      <c r="X70" s="128" t="n">
        <f aca="false">SUM(S70:W70)</f>
        <v>0</v>
      </c>
      <c r="Y70" s="6"/>
      <c r="Z70" s="6"/>
      <c r="AA70" s="6"/>
      <c r="AB70" s="6" t="n">
        <v>50000</v>
      </c>
      <c r="AC70" s="128" t="n">
        <f aca="false">SUM(Y70:AB70)</f>
        <v>50000</v>
      </c>
      <c r="AD70" s="6" t="n">
        <v>74048.06</v>
      </c>
      <c r="AE70" s="6" t="n">
        <v>74048.05</v>
      </c>
      <c r="AF70" s="6"/>
      <c r="AG70" s="6"/>
      <c r="AH70" s="6"/>
      <c r="AI70" s="128" t="n">
        <f aca="false">SUM(AD70:AH70)</f>
        <v>148096.11</v>
      </c>
      <c r="AJ70" s="6"/>
      <c r="AK70" s="129"/>
      <c r="AL70" s="6"/>
      <c r="AM70" s="6"/>
      <c r="AN70" s="6"/>
      <c r="AO70" s="6"/>
      <c r="AP70" s="128" t="n">
        <f aca="false">SUM(AJ70:AO70)</f>
        <v>0</v>
      </c>
      <c r="AQ70" s="6"/>
      <c r="AR70" s="6"/>
      <c r="AS70" s="6"/>
      <c r="AT70" s="6"/>
      <c r="AU70" s="6"/>
      <c r="AV70" s="6"/>
      <c r="AW70" s="6"/>
      <c r="AX70" s="128" t="n">
        <f aca="false">SUM(AQ70:AW70)</f>
        <v>0</v>
      </c>
      <c r="AY70" s="6"/>
      <c r="AZ70" s="6"/>
      <c r="BA70" s="6"/>
      <c r="BB70" s="6"/>
      <c r="BC70" s="6"/>
      <c r="BD70" s="128" t="n">
        <f aca="false">SUM(AY70:BC70)</f>
        <v>0</v>
      </c>
      <c r="BE70" s="171"/>
      <c r="BF70" s="6" t="n">
        <f aca="false">AC70+X70+AI70+AP70+AX70+BD70</f>
        <v>198096.11</v>
      </c>
      <c r="BG70" s="131" t="n">
        <f aca="false">+N70-BF70</f>
        <v>0</v>
      </c>
    </row>
    <row r="71" customFormat="false" ht="15" hidden="false" customHeight="true" outlineLevel="0" collapsed="false">
      <c r="A71" s="58" t="n">
        <v>47</v>
      </c>
      <c r="B71" s="58" t="s">
        <v>364</v>
      </c>
      <c r="C71" s="1" t="n">
        <v>44718</v>
      </c>
      <c r="E71" s="2" t="s">
        <v>315</v>
      </c>
      <c r="F71" s="2" t="s">
        <v>316</v>
      </c>
      <c r="G71" s="2" t="s">
        <v>318</v>
      </c>
      <c r="I71" s="132" t="s">
        <v>319</v>
      </c>
      <c r="J71" s="59" t="s">
        <v>917</v>
      </c>
      <c r="K71" s="59" t="s">
        <v>865</v>
      </c>
      <c r="L71" s="42" t="n">
        <v>3858000</v>
      </c>
      <c r="M71" s="5" t="n">
        <v>0</v>
      </c>
      <c r="N71" s="5" t="n">
        <v>3858000</v>
      </c>
      <c r="P71" s="5" t="n">
        <v>3858000</v>
      </c>
      <c r="R71" s="6"/>
      <c r="S71" s="6" t="n">
        <v>0</v>
      </c>
      <c r="T71" s="6"/>
      <c r="U71" s="6"/>
      <c r="V71" s="6"/>
      <c r="W71" s="6"/>
      <c r="X71" s="128" t="n">
        <f aca="false">SUM(S71:W71)</f>
        <v>0</v>
      </c>
      <c r="Y71" s="6"/>
      <c r="Z71" s="6"/>
      <c r="AA71" s="6"/>
      <c r="AB71" s="6" t="n">
        <v>643000</v>
      </c>
      <c r="AC71" s="128" t="n">
        <f aca="false">SUM(Y71:AB71)</f>
        <v>643000</v>
      </c>
      <c r="AD71" s="6" t="n">
        <v>803750</v>
      </c>
      <c r="AE71" s="6" t="n">
        <v>1000000</v>
      </c>
      <c r="AF71" s="6"/>
      <c r="AG71" s="6" t="n">
        <v>850000</v>
      </c>
      <c r="AH71" s="6" t="n">
        <v>561250</v>
      </c>
      <c r="AI71" s="128" t="n">
        <f aca="false">SUM(AD71:AH71)</f>
        <v>3215000</v>
      </c>
      <c r="AJ71" s="6"/>
      <c r="AK71" s="129"/>
      <c r="AL71" s="6"/>
      <c r="AM71" s="6"/>
      <c r="AN71" s="6"/>
      <c r="AO71" s="6"/>
      <c r="AP71" s="128" t="n">
        <f aca="false">SUM(AJ71:AO71)</f>
        <v>0</v>
      </c>
      <c r="AQ71" s="6"/>
      <c r="AR71" s="6"/>
      <c r="AS71" s="6"/>
      <c r="AT71" s="6"/>
      <c r="AU71" s="6"/>
      <c r="AV71" s="6"/>
      <c r="AW71" s="6"/>
      <c r="AX71" s="128" t="n">
        <f aca="false">SUM(AQ71:AW71)</f>
        <v>0</v>
      </c>
      <c r="AY71" s="6"/>
      <c r="AZ71" s="6"/>
      <c r="BA71" s="6"/>
      <c r="BB71" s="6"/>
      <c r="BC71" s="6"/>
      <c r="BD71" s="128" t="n">
        <f aca="false">SUM(AY71:BC71)</f>
        <v>0</v>
      </c>
      <c r="BE71" s="171"/>
      <c r="BF71" s="6" t="n">
        <f aca="false">AC71+X71+AI71+AP71+AX71+BD71</f>
        <v>3858000</v>
      </c>
      <c r="BG71" s="131" t="n">
        <f aca="false">+N71-BF71</f>
        <v>0</v>
      </c>
    </row>
    <row r="72" customFormat="false" ht="15" hidden="false" customHeight="true" outlineLevel="0" collapsed="false">
      <c r="A72" s="58" t="n">
        <v>48</v>
      </c>
      <c r="B72" s="58" t="s">
        <v>369</v>
      </c>
      <c r="C72" s="1" t="n">
        <v>44797</v>
      </c>
      <c r="E72" s="2" t="s">
        <v>320</v>
      </c>
      <c r="F72" s="2" t="s">
        <v>321</v>
      </c>
      <c r="G72" s="2" t="s">
        <v>323</v>
      </c>
      <c r="I72" s="132" t="s">
        <v>324</v>
      </c>
      <c r="J72" s="59" t="s">
        <v>916</v>
      </c>
      <c r="K72" s="59" t="s">
        <v>862</v>
      </c>
      <c r="L72" s="42" t="n">
        <v>1690000</v>
      </c>
      <c r="N72" s="5" t="n">
        <v>1690000</v>
      </c>
      <c r="P72" s="5" t="n">
        <v>1690000</v>
      </c>
      <c r="R72" s="6"/>
      <c r="S72" s="6"/>
      <c r="T72" s="6"/>
      <c r="U72" s="6"/>
      <c r="V72" s="6"/>
      <c r="W72" s="6"/>
      <c r="X72" s="128" t="n">
        <f aca="false">SUM(S72:W72)</f>
        <v>0</v>
      </c>
      <c r="Y72" s="6"/>
      <c r="Z72" s="6"/>
      <c r="AA72" s="6"/>
      <c r="AB72" s="6"/>
      <c r="AC72" s="128" t="n">
        <f aca="false">SUM(Y72:AB72)</f>
        <v>0</v>
      </c>
      <c r="AD72" s="6" t="n">
        <v>1600000</v>
      </c>
      <c r="AE72" s="6" t="n">
        <v>90000</v>
      </c>
      <c r="AF72" s="6"/>
      <c r="AG72" s="6"/>
      <c r="AH72" s="6"/>
      <c r="AI72" s="128" t="n">
        <f aca="false">SUM(AD72:AH72)</f>
        <v>1690000</v>
      </c>
      <c r="AJ72" s="6"/>
      <c r="AK72" s="129"/>
      <c r="AL72" s="6"/>
      <c r="AM72" s="6"/>
      <c r="AN72" s="6"/>
      <c r="AO72" s="6"/>
      <c r="AP72" s="128" t="n">
        <f aca="false">SUM(AJ72:AO72)</f>
        <v>0</v>
      </c>
      <c r="AQ72" s="6"/>
      <c r="AR72" s="6"/>
      <c r="AS72" s="6"/>
      <c r="AT72" s="6"/>
      <c r="AU72" s="6"/>
      <c r="AV72" s="6"/>
      <c r="AW72" s="6"/>
      <c r="AX72" s="128" t="n">
        <f aca="false">SUM(AQ72:AW72)</f>
        <v>0</v>
      </c>
      <c r="AY72" s="6"/>
      <c r="AZ72" s="6"/>
      <c r="BA72" s="6"/>
      <c r="BB72" s="6"/>
      <c r="BC72" s="6"/>
      <c r="BD72" s="128" t="n">
        <f aca="false">SUM(AY72:BC72)</f>
        <v>0</v>
      </c>
      <c r="BE72" s="171"/>
      <c r="BF72" s="6" t="n">
        <f aca="false">AC72+X72+AI72+AP72+AX72+BD72</f>
        <v>1690000</v>
      </c>
      <c r="BG72" s="131" t="n">
        <f aca="false">+N72-BF72</f>
        <v>0</v>
      </c>
    </row>
    <row r="73" customFormat="false" ht="15" hidden="false" customHeight="true" outlineLevel="0" collapsed="false">
      <c r="A73" s="58" t="s">
        <v>918</v>
      </c>
      <c r="B73" s="58" t="s">
        <v>374</v>
      </c>
      <c r="C73" s="1" t="n">
        <v>44783</v>
      </c>
      <c r="E73" s="2" t="s">
        <v>325</v>
      </c>
      <c r="F73" s="2" t="s">
        <v>326</v>
      </c>
      <c r="G73" s="2" t="s">
        <v>328</v>
      </c>
      <c r="I73" s="132" t="s">
        <v>329</v>
      </c>
      <c r="J73" s="59" t="s">
        <v>919</v>
      </c>
      <c r="K73" s="59" t="s">
        <v>862</v>
      </c>
      <c r="L73" s="42" t="n">
        <v>2250000</v>
      </c>
      <c r="N73" s="5" t="n">
        <v>2250000</v>
      </c>
      <c r="P73" s="5" t="n">
        <v>2250000</v>
      </c>
      <c r="R73" s="6"/>
      <c r="S73" s="6" t="n">
        <v>0</v>
      </c>
      <c r="T73" s="6"/>
      <c r="U73" s="6"/>
      <c r="V73" s="6"/>
      <c r="W73" s="6"/>
      <c r="X73" s="128" t="n">
        <f aca="false">SUM(S73:W73)</f>
        <v>0</v>
      </c>
      <c r="Y73" s="6"/>
      <c r="Z73" s="6"/>
      <c r="AA73" s="6"/>
      <c r="AB73" s="6"/>
      <c r="AC73" s="128" t="n">
        <f aca="false">SUM(Y73:AB73)</f>
        <v>0</v>
      </c>
      <c r="AD73" s="6" t="n">
        <v>300000</v>
      </c>
      <c r="AE73" s="6" t="n">
        <v>650000</v>
      </c>
      <c r="AF73" s="6"/>
      <c r="AG73" s="6" t="n">
        <v>800000</v>
      </c>
      <c r="AH73" s="6" t="n">
        <v>200000</v>
      </c>
      <c r="AI73" s="128" t="n">
        <f aca="false">SUM(AD73:AH73)</f>
        <v>1950000</v>
      </c>
      <c r="AJ73" s="6"/>
      <c r="AK73" s="129" t="n">
        <v>258000</v>
      </c>
      <c r="AL73" s="6" t="n">
        <v>42000</v>
      </c>
      <c r="AM73" s="6"/>
      <c r="AN73" s="6"/>
      <c r="AO73" s="6"/>
      <c r="AP73" s="128" t="n">
        <f aca="false">SUM(AJ73:AO73)</f>
        <v>300000</v>
      </c>
      <c r="AQ73" s="6"/>
      <c r="AR73" s="6"/>
      <c r="AS73" s="6"/>
      <c r="AT73" s="6"/>
      <c r="AU73" s="6"/>
      <c r="AV73" s="6"/>
      <c r="AW73" s="6"/>
      <c r="AX73" s="128" t="n">
        <f aca="false">SUM(AQ73:AW73)</f>
        <v>0</v>
      </c>
      <c r="AY73" s="6"/>
      <c r="AZ73" s="6"/>
      <c r="BA73" s="6"/>
      <c r="BB73" s="6"/>
      <c r="BC73" s="6"/>
      <c r="BD73" s="128" t="n">
        <f aca="false">SUM(AY73:BC73)</f>
        <v>0</v>
      </c>
      <c r="BE73" s="171"/>
      <c r="BF73" s="6" t="n">
        <f aca="false">AC73+X73+AI73+AP73+AX73+BD73</f>
        <v>2250000</v>
      </c>
      <c r="BG73" s="131" t="n">
        <f aca="false">+N73-BF73</f>
        <v>0</v>
      </c>
    </row>
    <row r="74" customFormat="false" ht="15" hidden="false" customHeight="true" outlineLevel="0" collapsed="false">
      <c r="A74" s="58" t="n">
        <v>50</v>
      </c>
      <c r="B74" s="58" t="s">
        <v>379</v>
      </c>
      <c r="C74" s="1" t="n">
        <v>44813</v>
      </c>
      <c r="E74" s="2" t="s">
        <v>335</v>
      </c>
      <c r="F74" s="2" t="s">
        <v>331</v>
      </c>
      <c r="G74" s="2" t="s">
        <v>333</v>
      </c>
      <c r="H74" s="59" t="s">
        <v>281</v>
      </c>
      <c r="I74" s="132" t="s">
        <v>336</v>
      </c>
      <c r="J74" s="59" t="s">
        <v>920</v>
      </c>
      <c r="K74" s="156" t="s">
        <v>871</v>
      </c>
      <c r="L74" s="42" t="n">
        <v>1000000</v>
      </c>
      <c r="N74" s="5" t="n">
        <v>1000000</v>
      </c>
      <c r="P74" s="5" t="n">
        <v>1000000</v>
      </c>
      <c r="R74" s="6"/>
      <c r="S74" s="6" t="n">
        <v>0</v>
      </c>
      <c r="T74" s="6"/>
      <c r="U74" s="6"/>
      <c r="V74" s="6"/>
      <c r="W74" s="6"/>
      <c r="X74" s="128" t="n">
        <f aca="false">SUM(S74:W74)</f>
        <v>0</v>
      </c>
      <c r="Y74" s="6"/>
      <c r="Z74" s="6"/>
      <c r="AA74" s="6"/>
      <c r="AB74" s="6"/>
      <c r="AC74" s="128" t="n">
        <f aca="false">SUM(Y74:AB74)</f>
        <v>0</v>
      </c>
      <c r="AD74" s="6"/>
      <c r="AE74" s="6" t="n">
        <v>500000</v>
      </c>
      <c r="AF74" s="6"/>
      <c r="AG74" s="6" t="n">
        <v>300000</v>
      </c>
      <c r="AH74" s="6"/>
      <c r="AI74" s="128" t="n">
        <f aca="false">SUM(AD74:AH74)</f>
        <v>800000</v>
      </c>
      <c r="AJ74" s="6"/>
      <c r="AK74" s="129"/>
      <c r="AL74" s="6" t="n">
        <v>200000</v>
      </c>
      <c r="AM74" s="6"/>
      <c r="AN74" s="6"/>
      <c r="AO74" s="6"/>
      <c r="AP74" s="128" t="n">
        <f aca="false">SUM(AJ74:AO74)</f>
        <v>200000</v>
      </c>
      <c r="AQ74" s="6"/>
      <c r="AR74" s="6"/>
      <c r="AS74" s="6"/>
      <c r="AT74" s="6"/>
      <c r="AU74" s="6"/>
      <c r="AV74" s="6"/>
      <c r="AW74" s="6"/>
      <c r="AX74" s="128" t="n">
        <f aca="false">SUM(AQ74:AW74)</f>
        <v>0</v>
      </c>
      <c r="AY74" s="6"/>
      <c r="AZ74" s="6"/>
      <c r="BA74" s="6"/>
      <c r="BB74" s="6"/>
      <c r="BC74" s="6"/>
      <c r="BD74" s="128" t="n">
        <f aca="false">SUM(AY74:BC74)</f>
        <v>0</v>
      </c>
      <c r="BE74" s="171"/>
      <c r="BF74" s="6" t="n">
        <f aca="false">AC74+X74+AI74+AP74+AX74+BD74</f>
        <v>1000000</v>
      </c>
      <c r="BG74" s="131" t="n">
        <f aca="false">+N74-BF74</f>
        <v>0</v>
      </c>
    </row>
    <row r="75" customFormat="false" ht="15" hidden="false" customHeight="true" outlineLevel="0" collapsed="false">
      <c r="A75" s="58" t="n">
        <v>50</v>
      </c>
      <c r="B75" s="58" t="s">
        <v>384</v>
      </c>
      <c r="C75" s="1" t="n">
        <v>44820</v>
      </c>
      <c r="E75" s="2" t="s">
        <v>330</v>
      </c>
      <c r="F75" s="2" t="s">
        <v>331</v>
      </c>
      <c r="G75" s="2" t="s">
        <v>333</v>
      </c>
      <c r="H75" s="59" t="s">
        <v>281</v>
      </c>
      <c r="I75" s="132" t="s">
        <v>334</v>
      </c>
      <c r="J75" s="59" t="s">
        <v>921</v>
      </c>
      <c r="K75" s="156" t="s">
        <v>871</v>
      </c>
      <c r="L75" s="42" t="n">
        <v>14000</v>
      </c>
      <c r="N75" s="5" t="n">
        <v>14000</v>
      </c>
      <c r="P75" s="5" t="n">
        <v>14000</v>
      </c>
      <c r="R75" s="6"/>
      <c r="S75" s="6" t="n">
        <v>0</v>
      </c>
      <c r="T75" s="6"/>
      <c r="U75" s="6"/>
      <c r="V75" s="6"/>
      <c r="W75" s="6"/>
      <c r="X75" s="128" t="n">
        <f aca="false">SUM(S75:W75)</f>
        <v>0</v>
      </c>
      <c r="Y75" s="6"/>
      <c r="Z75" s="6"/>
      <c r="AA75" s="6"/>
      <c r="AB75" s="6"/>
      <c r="AC75" s="128" t="n">
        <f aca="false">SUM(Y75:AB75)</f>
        <v>0</v>
      </c>
      <c r="AD75" s="6"/>
      <c r="AE75" s="6" t="n">
        <v>14000</v>
      </c>
      <c r="AF75" s="6"/>
      <c r="AG75" s="6"/>
      <c r="AH75" s="6"/>
      <c r="AI75" s="128" t="n">
        <f aca="false">SUM(AD75:AH75)</f>
        <v>14000</v>
      </c>
      <c r="AJ75" s="6"/>
      <c r="AK75" s="129"/>
      <c r="AL75" s="6"/>
      <c r="AM75" s="6"/>
      <c r="AN75" s="6"/>
      <c r="AO75" s="6"/>
      <c r="AP75" s="128" t="n">
        <f aca="false">SUM(AJ75:AO75)</f>
        <v>0</v>
      </c>
      <c r="AQ75" s="6"/>
      <c r="AR75" s="6"/>
      <c r="AS75" s="6"/>
      <c r="AT75" s="6"/>
      <c r="AU75" s="6"/>
      <c r="AV75" s="6"/>
      <c r="AW75" s="6"/>
      <c r="AX75" s="128" t="n">
        <f aca="false">SUM(AQ75:AW75)</f>
        <v>0</v>
      </c>
      <c r="AY75" s="6"/>
      <c r="AZ75" s="6"/>
      <c r="BA75" s="6"/>
      <c r="BB75" s="6"/>
      <c r="BC75" s="6"/>
      <c r="BD75" s="128" t="n">
        <f aca="false">SUM(AY75:BC75)</f>
        <v>0</v>
      </c>
      <c r="BE75" s="171"/>
      <c r="BF75" s="6" t="n">
        <f aca="false">AC75+X75+AI75+AP75+AX75+BD75</f>
        <v>14000</v>
      </c>
      <c r="BG75" s="131" t="n">
        <f aca="false">+N75-BF75</f>
        <v>0</v>
      </c>
    </row>
    <row r="76" customFormat="false" ht="15" hidden="false" customHeight="true" outlineLevel="0" collapsed="false">
      <c r="A76" s="58" t="n">
        <v>51</v>
      </c>
      <c r="B76" s="58" t="s">
        <v>389</v>
      </c>
      <c r="C76" s="1" t="n">
        <v>44937</v>
      </c>
      <c r="E76" s="2" t="s">
        <v>337</v>
      </c>
      <c r="F76" s="2" t="s">
        <v>338</v>
      </c>
      <c r="G76" s="2" t="s">
        <v>340</v>
      </c>
      <c r="I76" s="132" t="s">
        <v>341</v>
      </c>
      <c r="J76" s="59" t="s">
        <v>922</v>
      </c>
      <c r="K76" s="59" t="s">
        <v>923</v>
      </c>
      <c r="L76" s="42" t="n">
        <v>130000</v>
      </c>
      <c r="N76" s="5" t="n">
        <v>130000</v>
      </c>
      <c r="P76" s="5" t="n">
        <v>130000</v>
      </c>
      <c r="R76" s="6"/>
      <c r="S76" s="6" t="n">
        <v>0</v>
      </c>
      <c r="T76" s="6"/>
      <c r="U76" s="6"/>
      <c r="V76" s="6"/>
      <c r="W76" s="6"/>
      <c r="X76" s="128" t="n">
        <f aca="false">SUM(S76:W76)</f>
        <v>0</v>
      </c>
      <c r="Y76" s="6"/>
      <c r="Z76" s="6"/>
      <c r="AA76" s="6"/>
      <c r="AB76" s="6"/>
      <c r="AC76" s="128" t="n">
        <f aca="false">SUM(Y76:AB76)</f>
        <v>0</v>
      </c>
      <c r="AD76" s="6"/>
      <c r="AE76" s="6"/>
      <c r="AF76" s="6"/>
      <c r="AG76" s="6" t="n">
        <v>130000</v>
      </c>
      <c r="AH76" s="6"/>
      <c r="AI76" s="128" t="n">
        <f aca="false">SUM(AD76:AH76)</f>
        <v>130000</v>
      </c>
      <c r="AJ76" s="6"/>
      <c r="AK76" s="129"/>
      <c r="AL76" s="6"/>
      <c r="AM76" s="6"/>
      <c r="AN76" s="6"/>
      <c r="AO76" s="6"/>
      <c r="AP76" s="128" t="n">
        <f aca="false">SUM(AJ76:AO76)</f>
        <v>0</v>
      </c>
      <c r="AQ76" s="6"/>
      <c r="AR76" s="6"/>
      <c r="AS76" s="6"/>
      <c r="AT76" s="6"/>
      <c r="AU76" s="6"/>
      <c r="AV76" s="6"/>
      <c r="AW76" s="6"/>
      <c r="AX76" s="128" t="n">
        <f aca="false">SUM(AQ76:AW76)</f>
        <v>0</v>
      </c>
      <c r="AY76" s="6"/>
      <c r="AZ76" s="6"/>
      <c r="BA76" s="6"/>
      <c r="BB76" s="6"/>
      <c r="BC76" s="6"/>
      <c r="BD76" s="128" t="n">
        <f aca="false">SUM(AY76:BC76)</f>
        <v>0</v>
      </c>
      <c r="BE76" s="171"/>
      <c r="BF76" s="6" t="n">
        <f aca="false">AC76+X76+AI76+AP76+AX76+BD76</f>
        <v>130000</v>
      </c>
      <c r="BG76" s="131" t="n">
        <f aca="false">+N76-BF76</f>
        <v>0</v>
      </c>
    </row>
    <row r="77" customFormat="false" ht="15" hidden="false" customHeight="true" outlineLevel="0" collapsed="false">
      <c r="A77" s="58" t="n">
        <v>52</v>
      </c>
      <c r="B77" s="58" t="s">
        <v>394</v>
      </c>
      <c r="C77" s="1" t="n">
        <v>44802</v>
      </c>
      <c r="E77" s="2" t="s">
        <v>342</v>
      </c>
      <c r="F77" s="2" t="s">
        <v>343</v>
      </c>
      <c r="G77" s="2" t="s">
        <v>345</v>
      </c>
      <c r="I77" s="132" t="s">
        <v>346</v>
      </c>
      <c r="J77" s="59" t="s">
        <v>924</v>
      </c>
      <c r="K77" s="59" t="s">
        <v>904</v>
      </c>
      <c r="L77" s="42" t="n">
        <v>1000000</v>
      </c>
      <c r="N77" s="5" t="n">
        <v>1000000</v>
      </c>
      <c r="P77" s="5" t="n">
        <v>1000000</v>
      </c>
      <c r="R77" s="6"/>
      <c r="S77" s="6" t="n">
        <v>0</v>
      </c>
      <c r="T77" s="6"/>
      <c r="U77" s="6"/>
      <c r="V77" s="6"/>
      <c r="W77" s="6"/>
      <c r="X77" s="128" t="n">
        <f aca="false">SUM(S77:W77)</f>
        <v>0</v>
      </c>
      <c r="Y77" s="6"/>
      <c r="Z77" s="6"/>
      <c r="AA77" s="6"/>
      <c r="AB77" s="6"/>
      <c r="AC77" s="128" t="n">
        <f aca="false">SUM(Y77:AB77)</f>
        <v>0</v>
      </c>
      <c r="AD77" s="6" t="n">
        <v>300000</v>
      </c>
      <c r="AE77" s="6" t="n">
        <v>700000</v>
      </c>
      <c r="AF77" s="6"/>
      <c r="AG77" s="6"/>
      <c r="AH77" s="6"/>
      <c r="AI77" s="128" t="n">
        <f aca="false">SUM(AD77:AH77)</f>
        <v>1000000</v>
      </c>
      <c r="AJ77" s="6"/>
      <c r="AK77" s="129"/>
      <c r="AL77" s="6"/>
      <c r="AM77" s="6"/>
      <c r="AN77" s="6"/>
      <c r="AO77" s="6"/>
      <c r="AP77" s="128" t="n">
        <f aca="false">SUM(AJ77:AO77)</f>
        <v>0</v>
      </c>
      <c r="AQ77" s="6"/>
      <c r="AR77" s="6"/>
      <c r="AS77" s="6"/>
      <c r="AT77" s="6"/>
      <c r="AU77" s="6"/>
      <c r="AV77" s="6"/>
      <c r="AW77" s="6"/>
      <c r="AX77" s="128" t="n">
        <f aca="false">SUM(AQ77:AW77)</f>
        <v>0</v>
      </c>
      <c r="AY77" s="6"/>
      <c r="AZ77" s="6"/>
      <c r="BA77" s="6"/>
      <c r="BB77" s="6"/>
      <c r="BC77" s="6"/>
      <c r="BD77" s="128" t="n">
        <f aca="false">SUM(AY77:BC77)</f>
        <v>0</v>
      </c>
      <c r="BE77" s="171"/>
      <c r="BF77" s="6" t="n">
        <f aca="false">AC77+X77+AI77+AP77+AX77+BD77</f>
        <v>1000000</v>
      </c>
      <c r="BG77" s="131" t="n">
        <f aca="false">+N77-BF77</f>
        <v>0</v>
      </c>
    </row>
    <row r="78" customFormat="false" ht="15" hidden="false" customHeight="true" outlineLevel="0" collapsed="false">
      <c r="A78" s="58" t="n">
        <v>53</v>
      </c>
      <c r="B78" s="58" t="s">
        <v>399</v>
      </c>
      <c r="C78" s="1" t="n">
        <v>44812</v>
      </c>
      <c r="E78" s="2" t="s">
        <v>347</v>
      </c>
      <c r="F78" s="2" t="s">
        <v>348</v>
      </c>
      <c r="G78" s="2" t="s">
        <v>350</v>
      </c>
      <c r="I78" s="132" t="s">
        <v>351</v>
      </c>
      <c r="J78" s="59" t="s">
        <v>925</v>
      </c>
      <c r="K78" s="156" t="s">
        <v>865</v>
      </c>
      <c r="L78" s="42" t="n">
        <v>50000</v>
      </c>
      <c r="N78" s="5" t="n">
        <v>50000</v>
      </c>
      <c r="P78" s="5" t="n">
        <v>50000</v>
      </c>
      <c r="R78" s="6"/>
      <c r="S78" s="6" t="n">
        <v>0</v>
      </c>
      <c r="T78" s="6"/>
      <c r="U78" s="6"/>
      <c r="V78" s="6"/>
      <c r="W78" s="6"/>
      <c r="X78" s="128" t="n">
        <f aca="false">SUM(S78:W78)</f>
        <v>0</v>
      </c>
      <c r="Y78" s="6"/>
      <c r="Z78" s="6"/>
      <c r="AA78" s="6"/>
      <c r="AB78" s="6"/>
      <c r="AC78" s="128" t="n">
        <f aca="false">SUM(Y78:AB78)</f>
        <v>0</v>
      </c>
      <c r="AD78" s="6" t="n">
        <v>50000</v>
      </c>
      <c r="AE78" s="6"/>
      <c r="AF78" s="6"/>
      <c r="AG78" s="6"/>
      <c r="AH78" s="6"/>
      <c r="AI78" s="128" t="n">
        <f aca="false">SUM(AD78:AH78)</f>
        <v>50000</v>
      </c>
      <c r="AJ78" s="6"/>
      <c r="AK78" s="129"/>
      <c r="AL78" s="6"/>
      <c r="AM78" s="6"/>
      <c r="AN78" s="6"/>
      <c r="AO78" s="6"/>
      <c r="AP78" s="128" t="n">
        <f aca="false">SUM(AJ78:AO78)</f>
        <v>0</v>
      </c>
      <c r="AQ78" s="6"/>
      <c r="AR78" s="6"/>
      <c r="AS78" s="6"/>
      <c r="AT78" s="6"/>
      <c r="AU78" s="6"/>
      <c r="AV78" s="6"/>
      <c r="AW78" s="6"/>
      <c r="AX78" s="128" t="n">
        <f aca="false">SUM(AQ78:AW78)</f>
        <v>0</v>
      </c>
      <c r="AY78" s="6"/>
      <c r="AZ78" s="6"/>
      <c r="BA78" s="6"/>
      <c r="BB78" s="6"/>
      <c r="BC78" s="6"/>
      <c r="BD78" s="128" t="n">
        <f aca="false">SUM(AY78:BC78)</f>
        <v>0</v>
      </c>
      <c r="BE78" s="171"/>
      <c r="BF78" s="6" t="n">
        <f aca="false">AC78+X78+AI78+AP78+AX78+BD78</f>
        <v>50000</v>
      </c>
      <c r="BG78" s="131" t="n">
        <f aca="false">+N78-BF78</f>
        <v>0</v>
      </c>
    </row>
    <row r="79" customFormat="false" ht="15" hidden="false" customHeight="true" outlineLevel="0" collapsed="false">
      <c r="A79" s="58" t="n">
        <v>54</v>
      </c>
      <c r="B79" s="58" t="s">
        <v>404</v>
      </c>
      <c r="C79" s="1" t="n">
        <v>44832</v>
      </c>
      <c r="E79" s="2" t="s">
        <v>352</v>
      </c>
      <c r="F79" s="2" t="s">
        <v>353</v>
      </c>
      <c r="G79" s="2" t="s">
        <v>355</v>
      </c>
      <c r="I79" s="132" t="s">
        <v>356</v>
      </c>
      <c r="J79" s="59" t="s">
        <v>926</v>
      </c>
      <c r="K79" s="156" t="s">
        <v>865</v>
      </c>
      <c r="L79" s="42" t="n">
        <v>3252000</v>
      </c>
      <c r="N79" s="5" t="n">
        <v>3252000</v>
      </c>
      <c r="P79" s="5" t="n">
        <v>3252000</v>
      </c>
      <c r="R79" s="6"/>
      <c r="S79" s="6" t="n">
        <v>0</v>
      </c>
      <c r="T79" s="6"/>
      <c r="U79" s="6"/>
      <c r="V79" s="6"/>
      <c r="W79" s="6"/>
      <c r="X79" s="128" t="n">
        <f aca="false">SUM(S79:W79)</f>
        <v>0</v>
      </c>
      <c r="Y79" s="6"/>
      <c r="Z79" s="6"/>
      <c r="AA79" s="6"/>
      <c r="AB79" s="6"/>
      <c r="AC79" s="128" t="n">
        <f aca="false">SUM(Y79:AB79)</f>
        <v>0</v>
      </c>
      <c r="AD79" s="6"/>
      <c r="AE79" s="6" t="n">
        <v>1084000</v>
      </c>
      <c r="AF79" s="6"/>
      <c r="AG79" s="6" t="n">
        <v>1500000</v>
      </c>
      <c r="AH79" s="6" t="n">
        <v>668000</v>
      </c>
      <c r="AI79" s="128" t="n">
        <f aca="false">SUM(AD79:AH79)</f>
        <v>3252000</v>
      </c>
      <c r="AJ79" s="6"/>
      <c r="AK79" s="129"/>
      <c r="AL79" s="6"/>
      <c r="AM79" s="6"/>
      <c r="AN79" s="6"/>
      <c r="AO79" s="6"/>
      <c r="AP79" s="128" t="n">
        <f aca="false">SUM(AJ79:AO79)</f>
        <v>0</v>
      </c>
      <c r="AQ79" s="6"/>
      <c r="AR79" s="6"/>
      <c r="AS79" s="6"/>
      <c r="AT79" s="6"/>
      <c r="AU79" s="6"/>
      <c r="AV79" s="6"/>
      <c r="AW79" s="6"/>
      <c r="AX79" s="128" t="n">
        <f aca="false">SUM(AQ79:AW79)</f>
        <v>0</v>
      </c>
      <c r="AY79" s="6"/>
      <c r="AZ79" s="6"/>
      <c r="BA79" s="6"/>
      <c r="BB79" s="6"/>
      <c r="BC79" s="6"/>
      <c r="BD79" s="128" t="n">
        <f aca="false">SUM(AY79:BC79)</f>
        <v>0</v>
      </c>
      <c r="BE79" s="171"/>
      <c r="BF79" s="6" t="n">
        <f aca="false">AC79+X79+AI79+AP79+AX79+BD79</f>
        <v>3252000</v>
      </c>
      <c r="BG79" s="131" t="n">
        <f aca="false">+N79-BF79</f>
        <v>0</v>
      </c>
    </row>
    <row r="80" customFormat="false" ht="15" hidden="false" customHeight="true" outlineLevel="0" collapsed="false">
      <c r="A80" s="58" t="n">
        <v>55</v>
      </c>
      <c r="B80" s="58" t="s">
        <v>409</v>
      </c>
      <c r="C80" s="1" t="n">
        <v>44851</v>
      </c>
      <c r="E80" s="2" t="s">
        <v>357</v>
      </c>
      <c r="F80" s="2" t="s">
        <v>358</v>
      </c>
      <c r="G80" s="2" t="s">
        <v>360</v>
      </c>
      <c r="I80" s="132" t="s">
        <v>361</v>
      </c>
      <c r="J80" s="59" t="s">
        <v>927</v>
      </c>
      <c r="K80" s="156" t="s">
        <v>871</v>
      </c>
      <c r="L80" s="42" t="n">
        <v>216206.46</v>
      </c>
      <c r="N80" s="5" t="n">
        <v>216206.46</v>
      </c>
      <c r="P80" s="5" t="n">
        <v>216206.46</v>
      </c>
      <c r="R80" s="6"/>
      <c r="S80" s="6" t="n">
        <v>0</v>
      </c>
      <c r="T80" s="6"/>
      <c r="U80" s="6"/>
      <c r="V80" s="6"/>
      <c r="W80" s="6"/>
      <c r="X80" s="128" t="n">
        <f aca="false">SUM(S80:W80)</f>
        <v>0</v>
      </c>
      <c r="Y80" s="6"/>
      <c r="Z80" s="6"/>
      <c r="AA80" s="6"/>
      <c r="AB80" s="6"/>
      <c r="AC80" s="128" t="n">
        <f aca="false">SUM(Y80:AB80)</f>
        <v>0</v>
      </c>
      <c r="AD80" s="6"/>
      <c r="AE80" s="6" t="n">
        <v>108000</v>
      </c>
      <c r="AF80" s="6"/>
      <c r="AG80" s="6" t="n">
        <v>108206.46</v>
      </c>
      <c r="AH80" s="6"/>
      <c r="AI80" s="128" t="n">
        <f aca="false">SUM(AD80:AH80)</f>
        <v>216206.46</v>
      </c>
      <c r="AJ80" s="6"/>
      <c r="AK80" s="129" t="n">
        <v>-108000</v>
      </c>
      <c r="AL80" s="6" t="n">
        <v>108000</v>
      </c>
      <c r="AM80" s="6"/>
      <c r="AN80" s="6"/>
      <c r="AO80" s="6"/>
      <c r="AP80" s="128" t="n">
        <f aca="false">SUM(AJ80:AO80)</f>
        <v>0</v>
      </c>
      <c r="AQ80" s="6"/>
      <c r="AR80" s="6"/>
      <c r="AS80" s="6"/>
      <c r="AT80" s="6"/>
      <c r="AU80" s="6"/>
      <c r="AV80" s="6"/>
      <c r="AW80" s="6"/>
      <c r="AX80" s="128" t="n">
        <f aca="false">SUM(AQ80:AW80)</f>
        <v>0</v>
      </c>
      <c r="AY80" s="6"/>
      <c r="AZ80" s="6"/>
      <c r="BA80" s="6"/>
      <c r="BB80" s="6"/>
      <c r="BC80" s="6"/>
      <c r="BD80" s="128" t="n">
        <f aca="false">SUM(AY80:BC80)</f>
        <v>0</v>
      </c>
      <c r="BE80" s="171"/>
      <c r="BF80" s="6" t="n">
        <f aca="false">AC80+X80+AI80+AP80+AX80+BD80</f>
        <v>216206.46</v>
      </c>
      <c r="BG80" s="131" t="n">
        <f aca="false">+N80-BF80</f>
        <v>0</v>
      </c>
    </row>
    <row r="81" customFormat="false" ht="15" hidden="false" customHeight="true" outlineLevel="0" collapsed="false">
      <c r="A81" s="58" t="n">
        <v>55</v>
      </c>
      <c r="B81" s="58" t="s">
        <v>414</v>
      </c>
      <c r="C81" s="1" t="n">
        <v>44851</v>
      </c>
      <c r="E81" s="2" t="s">
        <v>357</v>
      </c>
      <c r="F81" s="2" t="s">
        <v>358</v>
      </c>
      <c r="G81" s="2" t="s">
        <v>360</v>
      </c>
      <c r="I81" s="132" t="s">
        <v>361</v>
      </c>
      <c r="J81" s="59" t="s">
        <v>928</v>
      </c>
      <c r="K81" s="156" t="s">
        <v>871</v>
      </c>
      <c r="L81" s="42" t="n">
        <v>2327398.96</v>
      </c>
      <c r="N81" s="5" t="n">
        <v>2327398.96</v>
      </c>
      <c r="P81" s="5" t="n">
        <v>2327398.96</v>
      </c>
      <c r="R81" s="6"/>
      <c r="S81" s="6" t="n">
        <v>0</v>
      </c>
      <c r="T81" s="6"/>
      <c r="U81" s="6"/>
      <c r="V81" s="6"/>
      <c r="W81" s="6"/>
      <c r="X81" s="128" t="n">
        <f aca="false">SUM(S81:W81)</f>
        <v>0</v>
      </c>
      <c r="Y81" s="6"/>
      <c r="Z81" s="6"/>
      <c r="AA81" s="6"/>
      <c r="AB81" s="6"/>
      <c r="AC81" s="128" t="n">
        <f aca="false">SUM(Y81:AB81)</f>
        <v>0</v>
      </c>
      <c r="AD81" s="6"/>
      <c r="AE81" s="6" t="n">
        <v>1000000</v>
      </c>
      <c r="AF81" s="6"/>
      <c r="AG81" s="6" t="n">
        <v>800000</v>
      </c>
      <c r="AH81" s="6" t="n">
        <v>263699.48</v>
      </c>
      <c r="AI81" s="128" t="n">
        <f aca="false">SUM(AD81:AH81)</f>
        <v>2063699.48</v>
      </c>
      <c r="AJ81" s="6" t="n">
        <v>263699.48</v>
      </c>
      <c r="AK81" s="129"/>
      <c r="AL81" s="6"/>
      <c r="AM81" s="6"/>
      <c r="AN81" s="6"/>
      <c r="AO81" s="6"/>
      <c r="AP81" s="128" t="n">
        <f aca="false">SUM(AJ81:AO81)</f>
        <v>263699.48</v>
      </c>
      <c r="AQ81" s="6"/>
      <c r="AR81" s="6"/>
      <c r="AS81" s="6"/>
      <c r="AT81" s="6"/>
      <c r="AU81" s="6"/>
      <c r="AV81" s="6"/>
      <c r="AW81" s="6"/>
      <c r="AX81" s="128" t="n">
        <f aca="false">SUM(AQ81:AW81)</f>
        <v>0</v>
      </c>
      <c r="AY81" s="6"/>
      <c r="AZ81" s="6"/>
      <c r="BA81" s="6"/>
      <c r="BB81" s="6"/>
      <c r="BC81" s="6"/>
      <c r="BD81" s="128" t="n">
        <f aca="false">SUM(AY81:BC81)</f>
        <v>0</v>
      </c>
      <c r="BE81" s="171"/>
      <c r="BF81" s="6" t="n">
        <f aca="false">AC81+X81+AI81+AP81+AX81+BD81</f>
        <v>2327398.96</v>
      </c>
      <c r="BG81" s="131" t="n">
        <f aca="false">+N81-BF81</f>
        <v>0</v>
      </c>
    </row>
    <row r="82" customFormat="false" ht="15" hidden="false" customHeight="true" outlineLevel="0" collapsed="false">
      <c r="A82" s="58" t="n">
        <v>56</v>
      </c>
      <c r="B82" s="58" t="s">
        <v>419</v>
      </c>
      <c r="C82" s="1" t="n">
        <v>44867</v>
      </c>
      <c r="E82" s="2" t="s">
        <v>362</v>
      </c>
      <c r="F82" s="2" t="s">
        <v>363</v>
      </c>
      <c r="G82" s="2" t="s">
        <v>365</v>
      </c>
      <c r="I82" s="132" t="s">
        <v>366</v>
      </c>
      <c r="J82" s="59" t="s">
        <v>929</v>
      </c>
      <c r="K82" s="156" t="s">
        <v>865</v>
      </c>
      <c r="L82" s="42" t="n">
        <v>361000</v>
      </c>
      <c r="N82" s="5" t="n">
        <v>361000</v>
      </c>
      <c r="P82" s="5" t="n">
        <v>361000</v>
      </c>
      <c r="R82" s="6"/>
      <c r="S82" s="6" t="n">
        <v>0</v>
      </c>
      <c r="T82" s="6"/>
      <c r="U82" s="6"/>
      <c r="V82" s="6"/>
      <c r="W82" s="6"/>
      <c r="X82" s="128" t="n">
        <f aca="false">SUM(S82:W82)</f>
        <v>0</v>
      </c>
      <c r="Y82" s="6"/>
      <c r="Z82" s="6"/>
      <c r="AA82" s="6"/>
      <c r="AB82" s="6"/>
      <c r="AC82" s="128" t="n">
        <f aca="false">SUM(Y82:AB82)</f>
        <v>0</v>
      </c>
      <c r="AD82" s="6"/>
      <c r="AE82" s="6" t="n">
        <v>361000</v>
      </c>
      <c r="AF82" s="6"/>
      <c r="AG82" s="6"/>
      <c r="AH82" s="6"/>
      <c r="AI82" s="128" t="n">
        <f aca="false">SUM(AD82:AH82)</f>
        <v>361000</v>
      </c>
      <c r="AJ82" s="6"/>
      <c r="AK82" s="129"/>
      <c r="AL82" s="6"/>
      <c r="AM82" s="6"/>
      <c r="AN82" s="6"/>
      <c r="AO82" s="6"/>
      <c r="AP82" s="128" t="n">
        <f aca="false">SUM(AJ82:AO82)</f>
        <v>0</v>
      </c>
      <c r="AQ82" s="6"/>
      <c r="AR82" s="6"/>
      <c r="AS82" s="6"/>
      <c r="AT82" s="6"/>
      <c r="AU82" s="6"/>
      <c r="AV82" s="6"/>
      <c r="AW82" s="6"/>
      <c r="AX82" s="128" t="n">
        <f aca="false">SUM(AQ82:AW82)</f>
        <v>0</v>
      </c>
      <c r="AY82" s="6"/>
      <c r="AZ82" s="6"/>
      <c r="BA82" s="6"/>
      <c r="BB82" s="6"/>
      <c r="BC82" s="6"/>
      <c r="BD82" s="128" t="n">
        <f aca="false">SUM(AY82:BC82)</f>
        <v>0</v>
      </c>
      <c r="BE82" s="171"/>
      <c r="BF82" s="6" t="n">
        <f aca="false">AC82+X82+AI82+AP82+AX82+BD82</f>
        <v>361000</v>
      </c>
      <c r="BG82" s="131" t="n">
        <f aca="false">+N82-BF82</f>
        <v>0</v>
      </c>
    </row>
    <row r="83" customFormat="false" ht="15" hidden="false" customHeight="true" outlineLevel="0" collapsed="false">
      <c r="A83" s="58" t="n">
        <v>57</v>
      </c>
      <c r="B83" s="58" t="s">
        <v>424</v>
      </c>
      <c r="C83" s="1" t="n">
        <v>45077</v>
      </c>
      <c r="E83" s="2" t="s">
        <v>367</v>
      </c>
      <c r="F83" s="2" t="s">
        <v>368</v>
      </c>
      <c r="G83" s="2" t="s">
        <v>370</v>
      </c>
      <c r="I83" s="132" t="s">
        <v>371</v>
      </c>
      <c r="J83" s="59" t="s">
        <v>930</v>
      </c>
      <c r="K83" s="156" t="s">
        <v>862</v>
      </c>
      <c r="L83" s="42" t="n">
        <v>1644300</v>
      </c>
      <c r="N83" s="5" t="n">
        <v>1644300</v>
      </c>
      <c r="P83" s="5" t="n">
        <v>1644300</v>
      </c>
      <c r="R83" s="6"/>
      <c r="S83" s="6" t="n">
        <v>0</v>
      </c>
      <c r="T83" s="6"/>
      <c r="U83" s="6"/>
      <c r="V83" s="6"/>
      <c r="W83" s="6"/>
      <c r="X83" s="128" t="n">
        <f aca="false">SUM(S83:W83)</f>
        <v>0</v>
      </c>
      <c r="Y83" s="6"/>
      <c r="Z83" s="6"/>
      <c r="AA83" s="6"/>
      <c r="AB83" s="6"/>
      <c r="AC83" s="128" t="n">
        <f aca="false">SUM(Y83:AB83)</f>
        <v>0</v>
      </c>
      <c r="AD83" s="6"/>
      <c r="AE83" s="6"/>
      <c r="AF83" s="6"/>
      <c r="AG83" s="6"/>
      <c r="AH83" s="6" t="n">
        <v>325000</v>
      </c>
      <c r="AI83" s="128" t="n">
        <f aca="false">SUM(AD83:AH83)</f>
        <v>325000</v>
      </c>
      <c r="AJ83" s="6" t="n">
        <v>175000</v>
      </c>
      <c r="AK83" s="129"/>
      <c r="AL83" s="6" t="n">
        <v>500000</v>
      </c>
      <c r="AM83" s="6" t="n">
        <v>120000</v>
      </c>
      <c r="AN83" s="6" t="n">
        <v>250000</v>
      </c>
      <c r="AO83" s="6"/>
      <c r="AP83" s="128" t="n">
        <f aca="false">SUM(AJ83:AO83)</f>
        <v>1045000</v>
      </c>
      <c r="AQ83" s="6" t="n">
        <v>274300</v>
      </c>
      <c r="AR83" s="6"/>
      <c r="AS83" s="6"/>
      <c r="AT83" s="6"/>
      <c r="AU83" s="6"/>
      <c r="AV83" s="6"/>
      <c r="AW83" s="6"/>
      <c r="AX83" s="128" t="n">
        <f aca="false">SUM(AQ83:AW83)</f>
        <v>274300</v>
      </c>
      <c r="AY83" s="6"/>
      <c r="AZ83" s="6"/>
      <c r="BA83" s="6"/>
      <c r="BB83" s="6"/>
      <c r="BC83" s="6"/>
      <c r="BD83" s="128" t="n">
        <f aca="false">SUM(AY83:BC83)</f>
        <v>0</v>
      </c>
      <c r="BE83" s="171"/>
      <c r="BF83" s="6" t="n">
        <f aca="false">AC83+X83+AI83+AP83+AX83+BD83</f>
        <v>1644300</v>
      </c>
      <c r="BG83" s="131" t="n">
        <f aca="false">+N83-BF83</f>
        <v>0</v>
      </c>
    </row>
    <row r="84" customFormat="false" ht="15" hidden="false" customHeight="true" outlineLevel="0" collapsed="false">
      <c r="A84" s="58" t="s">
        <v>931</v>
      </c>
      <c r="B84" s="58" t="s">
        <v>429</v>
      </c>
      <c r="C84" s="1" t="n">
        <v>44971</v>
      </c>
      <c r="E84" s="2" t="s">
        <v>372</v>
      </c>
      <c r="F84" s="2" t="s">
        <v>373</v>
      </c>
      <c r="G84" s="172" t="s">
        <v>375</v>
      </c>
      <c r="I84" s="132" t="s">
        <v>376</v>
      </c>
      <c r="J84" s="59" t="s">
        <v>932</v>
      </c>
      <c r="K84" s="156" t="s">
        <v>862</v>
      </c>
      <c r="L84" s="42" t="n">
        <v>250776.75</v>
      </c>
      <c r="N84" s="5" t="n">
        <v>250776.75</v>
      </c>
      <c r="P84" s="5" t="n">
        <v>250776.75</v>
      </c>
      <c r="R84" s="6"/>
      <c r="S84" s="6" t="n">
        <v>0</v>
      </c>
      <c r="T84" s="6"/>
      <c r="U84" s="6"/>
      <c r="V84" s="6"/>
      <c r="W84" s="6"/>
      <c r="X84" s="128" t="n">
        <f aca="false">SUM(S84:W84)</f>
        <v>0</v>
      </c>
      <c r="Y84" s="6"/>
      <c r="Z84" s="6"/>
      <c r="AA84" s="6"/>
      <c r="AB84" s="6"/>
      <c r="AC84" s="128" t="n">
        <f aca="false">SUM(Y84:AB84)</f>
        <v>0</v>
      </c>
      <c r="AD84" s="6"/>
      <c r="AE84" s="6" t="n">
        <v>0</v>
      </c>
      <c r="AF84" s="6"/>
      <c r="AG84" s="6" t="n">
        <v>250776.75</v>
      </c>
      <c r="AH84" s="6"/>
      <c r="AI84" s="128" t="n">
        <f aca="false">SUM(AD84:AH84)</f>
        <v>250776.75</v>
      </c>
      <c r="AJ84" s="6"/>
      <c r="AK84" s="129"/>
      <c r="AL84" s="6"/>
      <c r="AM84" s="6"/>
      <c r="AN84" s="6"/>
      <c r="AO84" s="6"/>
      <c r="AP84" s="128" t="n">
        <f aca="false">SUM(AJ84:AO84)</f>
        <v>0</v>
      </c>
      <c r="AQ84" s="6"/>
      <c r="AR84" s="6"/>
      <c r="AS84" s="6"/>
      <c r="AT84" s="6"/>
      <c r="AU84" s="6"/>
      <c r="AV84" s="6"/>
      <c r="AW84" s="6"/>
      <c r="AX84" s="128" t="n">
        <f aca="false">SUM(AQ84:AW84)</f>
        <v>0</v>
      </c>
      <c r="AY84" s="6"/>
      <c r="AZ84" s="6"/>
      <c r="BA84" s="6"/>
      <c r="BB84" s="6"/>
      <c r="BC84" s="6"/>
      <c r="BD84" s="128" t="n">
        <f aca="false">SUM(AY84:BC84)</f>
        <v>0</v>
      </c>
      <c r="BE84" s="171"/>
      <c r="BF84" s="6" t="n">
        <f aca="false">AC84+X84+AI84+AP84+AX84+BD84</f>
        <v>250776.75</v>
      </c>
      <c r="BG84" s="131" t="n">
        <f aca="false">+N84-BF84</f>
        <v>0</v>
      </c>
    </row>
    <row r="85" customFormat="false" ht="15" hidden="false" customHeight="true" outlineLevel="0" collapsed="false">
      <c r="A85" s="58" t="s">
        <v>931</v>
      </c>
      <c r="B85" s="58" t="s">
        <v>434</v>
      </c>
      <c r="C85" s="1" t="n">
        <v>44971</v>
      </c>
      <c r="E85" s="2" t="s">
        <v>372</v>
      </c>
      <c r="F85" s="2" t="s">
        <v>373</v>
      </c>
      <c r="G85" s="172" t="s">
        <v>375</v>
      </c>
      <c r="I85" s="132" t="s">
        <v>376</v>
      </c>
      <c r="J85" s="59" t="s">
        <v>933</v>
      </c>
      <c r="K85" s="156" t="s">
        <v>862</v>
      </c>
      <c r="L85" s="42" t="n">
        <v>970445.23</v>
      </c>
      <c r="N85" s="5" t="n">
        <v>970445.23</v>
      </c>
      <c r="P85" s="5" t="n">
        <v>970445.23</v>
      </c>
      <c r="R85" s="6"/>
      <c r="S85" s="6" t="n">
        <v>0</v>
      </c>
      <c r="T85" s="6"/>
      <c r="U85" s="6"/>
      <c r="V85" s="6"/>
      <c r="W85" s="6"/>
      <c r="X85" s="128" t="n">
        <f aca="false">SUM(S85:W85)</f>
        <v>0</v>
      </c>
      <c r="Y85" s="6"/>
      <c r="Z85" s="6"/>
      <c r="AA85" s="6"/>
      <c r="AB85" s="6"/>
      <c r="AC85" s="128" t="n">
        <f aca="false">SUM(Y85:AB85)</f>
        <v>0</v>
      </c>
      <c r="AD85" s="6"/>
      <c r="AE85" s="6" t="n">
        <v>0</v>
      </c>
      <c r="AF85" s="6"/>
      <c r="AG85" s="6"/>
      <c r="AH85" s="6" t="n">
        <v>243000</v>
      </c>
      <c r="AI85" s="128" t="n">
        <f aca="false">SUM(AD85:AH85)</f>
        <v>243000</v>
      </c>
      <c r="AJ85" s="6" t="n">
        <v>250000</v>
      </c>
      <c r="AK85" s="129"/>
      <c r="AL85" s="6" t="n">
        <v>477445.23</v>
      </c>
      <c r="AM85" s="6"/>
      <c r="AN85" s="6"/>
      <c r="AO85" s="6"/>
      <c r="AP85" s="128" t="n">
        <f aca="false">SUM(AJ85:AO85)</f>
        <v>727445.23</v>
      </c>
      <c r="AQ85" s="6"/>
      <c r="AR85" s="6"/>
      <c r="AS85" s="6"/>
      <c r="AT85" s="6"/>
      <c r="AU85" s="6"/>
      <c r="AV85" s="6"/>
      <c r="AW85" s="6"/>
      <c r="AX85" s="128" t="n">
        <f aca="false">SUM(AQ85:AW85)</f>
        <v>0</v>
      </c>
      <c r="AY85" s="6"/>
      <c r="AZ85" s="6"/>
      <c r="BA85" s="6"/>
      <c r="BB85" s="6"/>
      <c r="BC85" s="6"/>
      <c r="BD85" s="128" t="n">
        <f aca="false">SUM(AY85:BC85)</f>
        <v>0</v>
      </c>
      <c r="BE85" s="171"/>
      <c r="BF85" s="6" t="n">
        <f aca="false">AC85+X85+AI85+AP85+AX85+BD85</f>
        <v>970445.23</v>
      </c>
      <c r="BG85" s="131" t="n">
        <f aca="false">+N85-BF85</f>
        <v>0</v>
      </c>
    </row>
    <row r="86" customFormat="false" ht="15" hidden="false" customHeight="true" outlineLevel="0" collapsed="false">
      <c r="A86" s="58" t="s">
        <v>934</v>
      </c>
      <c r="B86" s="58" t="s">
        <v>438</v>
      </c>
      <c r="C86" s="1" t="n">
        <v>45021</v>
      </c>
      <c r="E86" s="2" t="s">
        <v>377</v>
      </c>
      <c r="F86" s="2" t="s">
        <v>378</v>
      </c>
      <c r="G86" s="173" t="s">
        <v>380</v>
      </c>
      <c r="I86" s="132" t="s">
        <v>381</v>
      </c>
      <c r="J86" s="59" t="s">
        <v>935</v>
      </c>
      <c r="K86" s="174" t="s">
        <v>865</v>
      </c>
      <c r="L86" s="42" t="n">
        <v>474412.17</v>
      </c>
      <c r="N86" s="5" t="n">
        <v>474412.17</v>
      </c>
      <c r="P86" s="5" t="n">
        <v>474412.17</v>
      </c>
      <c r="R86" s="6"/>
      <c r="S86" s="6"/>
      <c r="T86" s="6"/>
      <c r="U86" s="6"/>
      <c r="V86" s="6"/>
      <c r="W86" s="6"/>
      <c r="X86" s="128" t="n">
        <f aca="false">SUM(S86:W86)</f>
        <v>0</v>
      </c>
      <c r="Y86" s="6"/>
      <c r="Z86" s="6"/>
      <c r="AA86" s="6"/>
      <c r="AB86" s="6"/>
      <c r="AC86" s="128" t="n">
        <f aca="false">SUM(Y86:AB86)</f>
        <v>0</v>
      </c>
      <c r="AD86" s="6"/>
      <c r="AE86" s="6"/>
      <c r="AF86" s="6"/>
      <c r="AG86" s="6"/>
      <c r="AH86" s="6" t="n">
        <v>474412.17</v>
      </c>
      <c r="AI86" s="128" t="n">
        <f aca="false">SUM(AD86:AH86)</f>
        <v>474412.17</v>
      </c>
      <c r="AJ86" s="6"/>
      <c r="AK86" s="129"/>
      <c r="AL86" s="6"/>
      <c r="AM86" s="6"/>
      <c r="AN86" s="6"/>
      <c r="AO86" s="6"/>
      <c r="AP86" s="128" t="n">
        <f aca="false">SUM(AJ86:AO86)</f>
        <v>0</v>
      </c>
      <c r="AQ86" s="6"/>
      <c r="AR86" s="6"/>
      <c r="AS86" s="6"/>
      <c r="AT86" s="6"/>
      <c r="AU86" s="6"/>
      <c r="AV86" s="6"/>
      <c r="AW86" s="6"/>
      <c r="AX86" s="128" t="n">
        <f aca="false">SUM(AQ86:AW86)</f>
        <v>0</v>
      </c>
      <c r="AY86" s="6"/>
      <c r="AZ86" s="6"/>
      <c r="BA86" s="6"/>
      <c r="BB86" s="6"/>
      <c r="BC86" s="6"/>
      <c r="BD86" s="128" t="n">
        <f aca="false">SUM(AY86:BC86)</f>
        <v>0</v>
      </c>
      <c r="BE86" s="171"/>
      <c r="BF86" s="6" t="n">
        <f aca="false">AC86+X86+AI86+AP86+AX86+BD86</f>
        <v>474412.17</v>
      </c>
      <c r="BG86" s="131" t="n">
        <f aca="false">+N86-BF86</f>
        <v>0</v>
      </c>
    </row>
    <row r="87" customFormat="false" ht="15" hidden="false" customHeight="true" outlineLevel="0" collapsed="false">
      <c r="A87" s="58" t="s">
        <v>934</v>
      </c>
      <c r="B87" s="58" t="s">
        <v>443</v>
      </c>
      <c r="C87" s="1" t="n">
        <v>45021</v>
      </c>
      <c r="E87" s="2" t="s">
        <v>377</v>
      </c>
      <c r="F87" s="2" t="s">
        <v>378</v>
      </c>
      <c r="G87" s="173" t="s">
        <v>380</v>
      </c>
      <c r="I87" s="132" t="s">
        <v>381</v>
      </c>
      <c r="J87" s="59" t="s">
        <v>936</v>
      </c>
      <c r="K87" s="174" t="s">
        <v>865</v>
      </c>
      <c r="L87" s="42" t="n">
        <v>2138330.6</v>
      </c>
      <c r="N87" s="5" t="n">
        <v>2138330.6</v>
      </c>
      <c r="P87" s="5" t="n">
        <v>2138330.6</v>
      </c>
      <c r="R87" s="6"/>
      <c r="S87" s="6"/>
      <c r="T87" s="6"/>
      <c r="U87" s="6"/>
      <c r="V87" s="6"/>
      <c r="W87" s="6"/>
      <c r="X87" s="128" t="n">
        <f aca="false">SUM(S87:W87)</f>
        <v>0</v>
      </c>
      <c r="Y87" s="6"/>
      <c r="Z87" s="6"/>
      <c r="AA87" s="6"/>
      <c r="AB87" s="6"/>
      <c r="AC87" s="128" t="n">
        <f aca="false">SUM(Y87:AB87)</f>
        <v>0</v>
      </c>
      <c r="AD87" s="6"/>
      <c r="AE87" s="6"/>
      <c r="AF87" s="6"/>
      <c r="AG87" s="6"/>
      <c r="AH87" s="6"/>
      <c r="AI87" s="128" t="n">
        <f aca="false">SUM(AD87:AH87)</f>
        <v>0</v>
      </c>
      <c r="AJ87" s="6" t="n">
        <v>1100000</v>
      </c>
      <c r="AK87" s="129"/>
      <c r="AL87" s="6" t="n">
        <v>778747.95</v>
      </c>
      <c r="AM87" s="6" t="n">
        <v>100000</v>
      </c>
      <c r="AN87" s="6" t="n">
        <v>159582.65</v>
      </c>
      <c r="AO87" s="6"/>
      <c r="AP87" s="128" t="n">
        <f aca="false">SUM(AJ87:AO87)</f>
        <v>2138330.6</v>
      </c>
      <c r="AQ87" s="6"/>
      <c r="AR87" s="6"/>
      <c r="AS87" s="6"/>
      <c r="AT87" s="6"/>
      <c r="AU87" s="6"/>
      <c r="AV87" s="6"/>
      <c r="AW87" s="6"/>
      <c r="AX87" s="128" t="n">
        <f aca="false">SUM(AQ87:AW87)</f>
        <v>0</v>
      </c>
      <c r="AY87" s="6"/>
      <c r="AZ87" s="6"/>
      <c r="BA87" s="6"/>
      <c r="BB87" s="6"/>
      <c r="BC87" s="6"/>
      <c r="BD87" s="128" t="n">
        <f aca="false">SUM(AY87:BC87)</f>
        <v>0</v>
      </c>
      <c r="BE87" s="171"/>
      <c r="BF87" s="6" t="n">
        <f aca="false">AC87+X87+AI87+AP87+AX87+BD87</f>
        <v>2138330.6</v>
      </c>
      <c r="BG87" s="131" t="n">
        <f aca="false">+N87-BF87</f>
        <v>0</v>
      </c>
    </row>
    <row r="88" customFormat="false" ht="15" hidden="false" customHeight="true" outlineLevel="0" collapsed="false">
      <c r="A88" s="58" t="n">
        <v>59</v>
      </c>
      <c r="B88" s="58" t="s">
        <v>448</v>
      </c>
      <c r="C88" s="1" t="n">
        <v>45021</v>
      </c>
      <c r="E88" s="2" t="s">
        <v>377</v>
      </c>
      <c r="F88" s="2" t="s">
        <v>378</v>
      </c>
      <c r="G88" s="173" t="s">
        <v>380</v>
      </c>
      <c r="I88" s="132" t="s">
        <v>381</v>
      </c>
      <c r="J88" s="59" t="s">
        <v>937</v>
      </c>
      <c r="K88" s="174" t="s">
        <v>865</v>
      </c>
      <c r="L88" s="42" t="n">
        <v>247809</v>
      </c>
      <c r="N88" s="5" t="n">
        <v>247809</v>
      </c>
      <c r="P88" s="5" t="n">
        <v>247809</v>
      </c>
      <c r="R88" s="6"/>
      <c r="S88" s="6"/>
      <c r="T88" s="6"/>
      <c r="U88" s="6"/>
      <c r="V88" s="6"/>
      <c r="W88" s="6"/>
      <c r="X88" s="128" t="n">
        <f aca="false">SUM(S88:W88)</f>
        <v>0</v>
      </c>
      <c r="Y88" s="6"/>
      <c r="Z88" s="6"/>
      <c r="AA88" s="6"/>
      <c r="AB88" s="6"/>
      <c r="AC88" s="128" t="n">
        <f aca="false">SUM(Y88:AB88)</f>
        <v>0</v>
      </c>
      <c r="AD88" s="6"/>
      <c r="AE88" s="6"/>
      <c r="AF88" s="6"/>
      <c r="AG88" s="6"/>
      <c r="AH88" s="6" t="n">
        <v>247809</v>
      </c>
      <c r="AI88" s="128" t="n">
        <f aca="false">SUM(AD88:AH88)</f>
        <v>247809</v>
      </c>
      <c r="AJ88" s="6"/>
      <c r="AK88" s="129"/>
      <c r="AL88" s="6"/>
      <c r="AM88" s="6"/>
      <c r="AN88" s="6"/>
      <c r="AO88" s="6"/>
      <c r="AP88" s="128" t="n">
        <f aca="false">SUM(AJ88:AO88)</f>
        <v>0</v>
      </c>
      <c r="AQ88" s="6"/>
      <c r="AR88" s="6"/>
      <c r="AS88" s="6"/>
      <c r="AT88" s="6"/>
      <c r="AU88" s="6"/>
      <c r="AV88" s="6"/>
      <c r="AW88" s="6"/>
      <c r="AX88" s="128" t="n">
        <f aca="false">SUM(AQ88:AW88)</f>
        <v>0</v>
      </c>
      <c r="AY88" s="6"/>
      <c r="AZ88" s="6"/>
      <c r="BA88" s="6"/>
      <c r="BB88" s="6"/>
      <c r="BC88" s="6"/>
      <c r="BD88" s="128" t="n">
        <f aca="false">SUM(AY88:BC88)</f>
        <v>0</v>
      </c>
      <c r="BE88" s="171"/>
      <c r="BF88" s="6" t="n">
        <f aca="false">AC88+X88+AI88+AP88+AX88+BD88</f>
        <v>247809</v>
      </c>
      <c r="BG88" s="131" t="n">
        <f aca="false">+N88-BF88</f>
        <v>0</v>
      </c>
    </row>
    <row r="89" customFormat="false" ht="15" hidden="false" customHeight="true" outlineLevel="0" collapsed="false">
      <c r="A89" s="58" t="n">
        <v>60</v>
      </c>
      <c r="B89" s="58" t="s">
        <v>453</v>
      </c>
      <c r="C89" s="1" t="n">
        <v>44964</v>
      </c>
      <c r="E89" s="2" t="s">
        <v>382</v>
      </c>
      <c r="F89" s="2" t="s">
        <v>383</v>
      </c>
      <c r="G89" s="2" t="s">
        <v>385</v>
      </c>
      <c r="I89" s="132" t="s">
        <v>386</v>
      </c>
      <c r="J89" s="59" t="s">
        <v>938</v>
      </c>
      <c r="K89" s="156" t="s">
        <v>871</v>
      </c>
      <c r="L89" s="42" t="n">
        <v>1000000</v>
      </c>
      <c r="N89" s="5" t="n">
        <v>1000000</v>
      </c>
      <c r="P89" s="5" t="n">
        <v>1000000</v>
      </c>
      <c r="R89" s="6"/>
      <c r="S89" s="6" t="n">
        <v>0</v>
      </c>
      <c r="T89" s="6"/>
      <c r="U89" s="6"/>
      <c r="V89" s="6"/>
      <c r="W89" s="6"/>
      <c r="X89" s="128" t="n">
        <f aca="false">SUM(S89:W89)</f>
        <v>0</v>
      </c>
      <c r="Y89" s="6"/>
      <c r="Z89" s="6"/>
      <c r="AA89" s="6"/>
      <c r="AB89" s="6"/>
      <c r="AC89" s="128" t="n">
        <f aca="false">SUM(Y89:AB89)</f>
        <v>0</v>
      </c>
      <c r="AD89" s="6"/>
      <c r="AE89" s="6" t="n">
        <v>0</v>
      </c>
      <c r="AF89" s="6"/>
      <c r="AG89" s="6" t="n">
        <v>250000</v>
      </c>
      <c r="AH89" s="6" t="n">
        <v>187500</v>
      </c>
      <c r="AI89" s="128" t="n">
        <f aca="false">SUM(AD89:AH89)</f>
        <v>437500</v>
      </c>
      <c r="AJ89" s="6"/>
      <c r="AK89" s="129"/>
      <c r="AL89" s="6" t="n">
        <v>562500</v>
      </c>
      <c r="AM89" s="6"/>
      <c r="AN89" s="6"/>
      <c r="AO89" s="6"/>
      <c r="AP89" s="128" t="n">
        <f aca="false">SUM(AJ89:AO89)</f>
        <v>562500</v>
      </c>
      <c r="AQ89" s="6"/>
      <c r="AR89" s="6"/>
      <c r="AS89" s="6"/>
      <c r="AT89" s="6"/>
      <c r="AU89" s="6"/>
      <c r="AV89" s="6"/>
      <c r="AW89" s="6"/>
      <c r="AX89" s="128" t="n">
        <f aca="false">SUM(AQ89:AW89)</f>
        <v>0</v>
      </c>
      <c r="AY89" s="6"/>
      <c r="AZ89" s="6"/>
      <c r="BA89" s="6"/>
      <c r="BB89" s="6"/>
      <c r="BC89" s="6"/>
      <c r="BD89" s="128" t="n">
        <f aca="false">SUM(AY89:BC89)</f>
        <v>0</v>
      </c>
      <c r="BE89" s="171"/>
      <c r="BF89" s="6" t="n">
        <f aca="false">AC89+X89+AI89+AP89+AX89+BD89</f>
        <v>1000000</v>
      </c>
      <c r="BG89" s="131" t="n">
        <f aca="false">+N89-BF89</f>
        <v>0</v>
      </c>
    </row>
    <row r="90" customFormat="false" ht="15" hidden="false" customHeight="true" outlineLevel="0" collapsed="false">
      <c r="A90" s="58" t="n">
        <v>61</v>
      </c>
      <c r="B90" s="58" t="s">
        <v>458</v>
      </c>
      <c r="C90" s="1" t="n">
        <v>45023</v>
      </c>
      <c r="E90" s="2" t="s">
        <v>387</v>
      </c>
      <c r="F90" s="2" t="s">
        <v>388</v>
      </c>
      <c r="G90" s="2" t="s">
        <v>390</v>
      </c>
      <c r="I90" s="132" t="s">
        <v>391</v>
      </c>
      <c r="J90" s="59" t="s">
        <v>939</v>
      </c>
      <c r="K90" s="156" t="s">
        <v>865</v>
      </c>
      <c r="L90" s="42" t="n">
        <v>9600000</v>
      </c>
      <c r="N90" s="5" t="n">
        <v>9600000</v>
      </c>
      <c r="P90" s="5" t="n">
        <v>9600000</v>
      </c>
      <c r="R90" s="6"/>
      <c r="S90" s="6" t="n">
        <v>0</v>
      </c>
      <c r="T90" s="6"/>
      <c r="U90" s="6"/>
      <c r="V90" s="6"/>
      <c r="W90" s="6"/>
      <c r="X90" s="128" t="n">
        <f aca="false">SUM(S90:W90)</f>
        <v>0</v>
      </c>
      <c r="Y90" s="6"/>
      <c r="Z90" s="6"/>
      <c r="AA90" s="6"/>
      <c r="AB90" s="6"/>
      <c r="AC90" s="128" t="n">
        <f aca="false">SUM(Y90:AB90)</f>
        <v>0</v>
      </c>
      <c r="AD90" s="6"/>
      <c r="AE90" s="6"/>
      <c r="AF90" s="6"/>
      <c r="AG90" s="6"/>
      <c r="AH90" s="6" t="n">
        <v>2625914.0997067</v>
      </c>
      <c r="AI90" s="128" t="n">
        <f aca="false">SUM(AD90:AH90)</f>
        <v>2625914.0997067</v>
      </c>
      <c r="AJ90" s="6"/>
      <c r="AK90" s="129"/>
      <c r="AL90" s="6" t="n">
        <v>3200000</v>
      </c>
      <c r="AM90" s="6"/>
      <c r="AN90" s="6"/>
      <c r="AO90" s="6"/>
      <c r="AP90" s="128" t="n">
        <f aca="false">SUM(AJ90:AO90)</f>
        <v>3200000</v>
      </c>
      <c r="AQ90" s="6" t="n">
        <v>1000000</v>
      </c>
      <c r="AR90" s="6"/>
      <c r="AS90" s="6"/>
      <c r="AT90" s="6" t="n">
        <v>750000</v>
      </c>
      <c r="AU90" s="6" t="n">
        <v>1000000</v>
      </c>
      <c r="AV90" s="6"/>
      <c r="AW90" s="6" t="n">
        <v>1024085.9</v>
      </c>
      <c r="AX90" s="128" t="n">
        <f aca="false">SUM(AQ90:AW90)</f>
        <v>3774085.9</v>
      </c>
      <c r="AY90" s="6"/>
      <c r="AZ90" s="6"/>
      <c r="BA90" s="6"/>
      <c r="BB90" s="6"/>
      <c r="BC90" s="6"/>
      <c r="BD90" s="128" t="n">
        <f aca="false">SUM(AY90:BC90)</f>
        <v>0</v>
      </c>
      <c r="BE90" s="171"/>
      <c r="BF90" s="6" t="n">
        <f aca="false">AC90+X90+AI90+AP90+AX90+BD90</f>
        <v>9599999.9997067</v>
      </c>
      <c r="BG90" s="131" t="n">
        <f aca="false">+N90-BF90</f>
        <v>0.000293299555778503</v>
      </c>
    </row>
    <row r="91" customFormat="false" ht="15" hidden="false" customHeight="true" outlineLevel="0" collapsed="false">
      <c r="A91" s="58" t="s">
        <v>940</v>
      </c>
      <c r="B91" s="58" t="s">
        <v>473</v>
      </c>
      <c r="C91" s="1" t="n">
        <v>45092</v>
      </c>
      <c r="E91" s="2" t="s">
        <v>392</v>
      </c>
      <c r="F91" s="2" t="s">
        <v>393</v>
      </c>
      <c r="G91" s="173" t="s">
        <v>395</v>
      </c>
      <c r="I91" s="132" t="s">
        <v>396</v>
      </c>
      <c r="J91" s="59" t="s">
        <v>941</v>
      </c>
      <c r="K91" s="174" t="s">
        <v>862</v>
      </c>
      <c r="L91" s="42" t="n">
        <v>106671.22</v>
      </c>
      <c r="N91" s="5" t="n">
        <v>106671.22</v>
      </c>
      <c r="P91" s="5" t="n">
        <v>106671.22</v>
      </c>
      <c r="R91" s="6"/>
      <c r="S91" s="6"/>
      <c r="T91" s="6"/>
      <c r="U91" s="6"/>
      <c r="V91" s="6"/>
      <c r="W91" s="6"/>
      <c r="X91" s="128" t="n">
        <f aca="false">SUM(S91:W91)</f>
        <v>0</v>
      </c>
      <c r="Y91" s="6"/>
      <c r="Z91" s="6"/>
      <c r="AA91" s="6"/>
      <c r="AB91" s="6"/>
      <c r="AC91" s="128" t="n">
        <f aca="false">SUM(Y91:AB91)</f>
        <v>0</v>
      </c>
      <c r="AD91" s="6"/>
      <c r="AE91" s="6"/>
      <c r="AF91" s="6"/>
      <c r="AG91" s="6"/>
      <c r="AH91" s="6"/>
      <c r="AI91" s="128" t="n">
        <f aca="false">SUM(AD91:AH91)</f>
        <v>0</v>
      </c>
      <c r="AJ91" s="6" t="n">
        <v>50000</v>
      </c>
      <c r="AK91" s="129"/>
      <c r="AL91" s="6" t="n">
        <v>56671.22</v>
      </c>
      <c r="AM91" s="6"/>
      <c r="AN91" s="6"/>
      <c r="AO91" s="6"/>
      <c r="AP91" s="128" t="n">
        <f aca="false">SUM(AJ91:AO91)</f>
        <v>106671.22</v>
      </c>
      <c r="AQ91" s="6"/>
      <c r="AR91" s="6"/>
      <c r="AS91" s="6"/>
      <c r="AT91" s="6"/>
      <c r="AU91" s="6"/>
      <c r="AV91" s="6"/>
      <c r="AW91" s="6" t="n">
        <v>0</v>
      </c>
      <c r="AX91" s="128" t="n">
        <f aca="false">SUM(AQ91:AW91)</f>
        <v>0</v>
      </c>
      <c r="AY91" s="6"/>
      <c r="AZ91" s="6"/>
      <c r="BA91" s="6"/>
      <c r="BB91" s="6"/>
      <c r="BC91" s="6"/>
      <c r="BD91" s="128" t="n">
        <f aca="false">SUM(AY91:BC91)</f>
        <v>0</v>
      </c>
      <c r="BE91" s="171"/>
      <c r="BF91" s="6" t="n">
        <f aca="false">AC91+X91+AI91+AP91+AX91+BD91</f>
        <v>106671.22</v>
      </c>
      <c r="BG91" s="131" t="n">
        <f aca="false">+N91-BF91</f>
        <v>0</v>
      </c>
    </row>
    <row r="92" customFormat="false" ht="15" hidden="false" customHeight="true" outlineLevel="0" collapsed="false">
      <c r="A92" s="58" t="s">
        <v>940</v>
      </c>
      <c r="B92" s="58" t="s">
        <v>479</v>
      </c>
      <c r="C92" s="1" t="n">
        <v>45092</v>
      </c>
      <c r="E92" s="2" t="s">
        <v>392</v>
      </c>
      <c r="F92" s="2" t="s">
        <v>393</v>
      </c>
      <c r="G92" s="173" t="s">
        <v>395</v>
      </c>
      <c r="I92" s="132" t="s">
        <v>396</v>
      </c>
      <c r="J92" s="59" t="s">
        <v>942</v>
      </c>
      <c r="K92" s="174" t="s">
        <v>862</v>
      </c>
      <c r="L92" s="42" t="n">
        <v>3800000</v>
      </c>
      <c r="N92" s="5" t="n">
        <v>3800000</v>
      </c>
      <c r="P92" s="5" t="n">
        <v>3800000</v>
      </c>
      <c r="R92" s="6"/>
      <c r="S92" s="6"/>
      <c r="T92" s="6"/>
      <c r="U92" s="6"/>
      <c r="V92" s="6"/>
      <c r="W92" s="6"/>
      <c r="X92" s="128" t="n">
        <f aca="false">SUM(S92:W92)</f>
        <v>0</v>
      </c>
      <c r="Y92" s="6"/>
      <c r="Z92" s="6"/>
      <c r="AA92" s="6"/>
      <c r="AB92" s="6"/>
      <c r="AC92" s="128" t="n">
        <f aca="false">SUM(Y92:AB92)</f>
        <v>0</v>
      </c>
      <c r="AD92" s="6"/>
      <c r="AE92" s="6"/>
      <c r="AF92" s="6"/>
      <c r="AG92" s="6"/>
      <c r="AH92" s="6"/>
      <c r="AI92" s="128" t="n">
        <f aca="false">SUM(AD92:AH92)</f>
        <v>0</v>
      </c>
      <c r="AJ92" s="6" t="n">
        <v>1000000</v>
      </c>
      <c r="AK92" s="129"/>
      <c r="AL92" s="6" t="n">
        <v>1000000</v>
      </c>
      <c r="AM92" s="6" t="n">
        <v>1800000</v>
      </c>
      <c r="AN92" s="6"/>
      <c r="AO92" s="6"/>
      <c r="AP92" s="128" t="n">
        <f aca="false">SUM(AJ92:AO92)</f>
        <v>3800000</v>
      </c>
      <c r="AQ92" s="6"/>
      <c r="AR92" s="6"/>
      <c r="AS92" s="6"/>
      <c r="AT92" s="6"/>
      <c r="AU92" s="6"/>
      <c r="AV92" s="6"/>
      <c r="AW92" s="6" t="n">
        <v>0</v>
      </c>
      <c r="AX92" s="128" t="n">
        <f aca="false">SUM(AQ92:AW92)</f>
        <v>0</v>
      </c>
      <c r="AY92" s="6"/>
      <c r="AZ92" s="6"/>
      <c r="BA92" s="6"/>
      <c r="BB92" s="6"/>
      <c r="BC92" s="6"/>
      <c r="BD92" s="128" t="n">
        <f aca="false">SUM(AY92:BC92)</f>
        <v>0</v>
      </c>
      <c r="BE92" s="171"/>
      <c r="BF92" s="6" t="n">
        <f aca="false">AC92+X92+AI92+AP92+AX92+BD92</f>
        <v>3800000</v>
      </c>
      <c r="BG92" s="131" t="n">
        <f aca="false">+N92-BF92</f>
        <v>0</v>
      </c>
    </row>
    <row r="93" customFormat="false" ht="15" hidden="false" customHeight="true" outlineLevel="0" collapsed="false">
      <c r="A93" s="58" t="s">
        <v>940</v>
      </c>
      <c r="B93" s="58" t="s">
        <v>484</v>
      </c>
      <c r="C93" s="1" t="n">
        <v>45092</v>
      </c>
      <c r="E93" s="2" t="s">
        <v>392</v>
      </c>
      <c r="F93" s="2" t="s">
        <v>393</v>
      </c>
      <c r="G93" s="173" t="s">
        <v>395</v>
      </c>
      <c r="I93" s="132" t="s">
        <v>396</v>
      </c>
      <c r="J93" s="59" t="s">
        <v>943</v>
      </c>
      <c r="K93" s="174" t="s">
        <v>862</v>
      </c>
      <c r="L93" s="42" t="n">
        <v>3625340</v>
      </c>
      <c r="N93" s="5" t="n">
        <v>3625340</v>
      </c>
      <c r="P93" s="5" t="n">
        <v>3625340</v>
      </c>
      <c r="R93" s="6"/>
      <c r="S93" s="6"/>
      <c r="T93" s="6"/>
      <c r="U93" s="6"/>
      <c r="V93" s="6"/>
      <c r="W93" s="6"/>
      <c r="X93" s="128" t="n">
        <f aca="false">SUM(S93:W93)</f>
        <v>0</v>
      </c>
      <c r="Y93" s="6"/>
      <c r="Z93" s="6"/>
      <c r="AA93" s="6"/>
      <c r="AB93" s="6"/>
      <c r="AC93" s="128" t="n">
        <f aca="false">SUM(Y93:AB93)</f>
        <v>0</v>
      </c>
      <c r="AD93" s="6"/>
      <c r="AE93" s="6"/>
      <c r="AF93" s="6"/>
      <c r="AG93" s="6"/>
      <c r="AH93" s="6"/>
      <c r="AI93" s="128" t="n">
        <f aca="false">SUM(AD93:AH93)</f>
        <v>0</v>
      </c>
      <c r="AJ93" s="6"/>
      <c r="AK93" s="129"/>
      <c r="AL93" s="6"/>
      <c r="AM93" s="6"/>
      <c r="AN93" s="6" t="n">
        <v>1300000</v>
      </c>
      <c r="AO93" s="6"/>
      <c r="AP93" s="128" t="n">
        <f aca="false">SUM(AJ93:AO93)</f>
        <v>1300000</v>
      </c>
      <c r="AQ93" s="6" t="n">
        <v>1000000</v>
      </c>
      <c r="AR93" s="6" t="n">
        <v>1000000</v>
      </c>
      <c r="AS93" s="6"/>
      <c r="AT93" s="6"/>
      <c r="AU93" s="6"/>
      <c r="AV93" s="6"/>
      <c r="AW93" s="6" t="n">
        <v>0</v>
      </c>
      <c r="AX93" s="128" t="n">
        <f aca="false">SUM(AQ93:AW93)</f>
        <v>2000000</v>
      </c>
      <c r="AY93" s="6"/>
      <c r="AZ93" s="6"/>
      <c r="BA93" s="6"/>
      <c r="BB93" s="6"/>
      <c r="BC93" s="6"/>
      <c r="BD93" s="128" t="n">
        <f aca="false">SUM(AY93:BC93)</f>
        <v>0</v>
      </c>
      <c r="BE93" s="171"/>
      <c r="BF93" s="6" t="n">
        <f aca="false">AC93+X93+AI93+AP93+AX93+BD93</f>
        <v>3300000</v>
      </c>
      <c r="BG93" s="131" t="n">
        <f aca="false">+N93-BF93</f>
        <v>325340</v>
      </c>
    </row>
    <row r="94" customFormat="false" ht="15" hidden="false" customHeight="true" outlineLevel="0" collapsed="false">
      <c r="A94" s="58" t="n">
        <v>63</v>
      </c>
      <c r="B94" s="58" t="s">
        <v>489</v>
      </c>
      <c r="C94" s="1" t="n">
        <v>45085</v>
      </c>
      <c r="E94" s="2" t="s">
        <v>397</v>
      </c>
      <c r="F94" s="2" t="s">
        <v>398</v>
      </c>
      <c r="G94" s="2" t="s">
        <v>400</v>
      </c>
      <c r="I94" s="132" t="s">
        <v>401</v>
      </c>
      <c r="J94" s="59" t="s">
        <v>944</v>
      </c>
      <c r="K94" s="156" t="s">
        <v>862</v>
      </c>
      <c r="L94" s="42" t="n">
        <v>500000</v>
      </c>
      <c r="N94" s="5" t="n">
        <v>500000</v>
      </c>
      <c r="P94" s="5" t="n">
        <v>500000</v>
      </c>
      <c r="R94" s="6"/>
      <c r="S94" s="6"/>
      <c r="T94" s="6"/>
      <c r="U94" s="6"/>
      <c r="V94" s="6"/>
      <c r="W94" s="6"/>
      <c r="X94" s="128" t="n">
        <f aca="false">SUM(S94:W94)</f>
        <v>0</v>
      </c>
      <c r="Y94" s="6"/>
      <c r="Z94" s="6"/>
      <c r="AA94" s="6"/>
      <c r="AB94" s="6"/>
      <c r="AC94" s="128" t="n">
        <f aca="false">SUM(Y94:AB94)</f>
        <v>0</v>
      </c>
      <c r="AD94" s="6"/>
      <c r="AE94" s="6"/>
      <c r="AF94" s="6"/>
      <c r="AG94" s="6"/>
      <c r="AH94" s="6" t="n">
        <v>500000</v>
      </c>
      <c r="AI94" s="128" t="n">
        <f aca="false">SUM(AD94:AH94)</f>
        <v>500000</v>
      </c>
      <c r="AJ94" s="6"/>
      <c r="AK94" s="129"/>
      <c r="AL94" s="6"/>
      <c r="AM94" s="6"/>
      <c r="AN94" s="6"/>
      <c r="AO94" s="6"/>
      <c r="AP94" s="128" t="n">
        <f aca="false">SUM(AJ94:AO94)</f>
        <v>0</v>
      </c>
      <c r="AQ94" s="6"/>
      <c r="AR94" s="6"/>
      <c r="AS94" s="6"/>
      <c r="AT94" s="6"/>
      <c r="AU94" s="6"/>
      <c r="AV94" s="6"/>
      <c r="AW94" s="6" t="n">
        <v>0</v>
      </c>
      <c r="AX94" s="128" t="n">
        <f aca="false">SUM(AQ94:AW94)</f>
        <v>0</v>
      </c>
      <c r="AY94" s="6"/>
      <c r="AZ94" s="6"/>
      <c r="BA94" s="6"/>
      <c r="BB94" s="6"/>
      <c r="BC94" s="6"/>
      <c r="BD94" s="128" t="n">
        <f aca="false">SUM(AY94:BC94)</f>
        <v>0</v>
      </c>
      <c r="BE94" s="171"/>
      <c r="BF94" s="6" t="n">
        <f aca="false">AC94+X94+AI94+AP94+AX94+BD94</f>
        <v>500000</v>
      </c>
      <c r="BG94" s="131" t="n">
        <f aca="false">+N94-BF94</f>
        <v>0</v>
      </c>
    </row>
    <row r="95" customFormat="false" ht="15" hidden="false" customHeight="true" outlineLevel="0" collapsed="false">
      <c r="A95" s="58" t="n">
        <v>64</v>
      </c>
      <c r="B95" s="58" t="s">
        <v>494</v>
      </c>
      <c r="C95" s="1" t="n">
        <v>45114</v>
      </c>
      <c r="E95" s="2" t="s">
        <v>402</v>
      </c>
      <c r="F95" s="2" t="s">
        <v>403</v>
      </c>
      <c r="G95" s="2" t="s">
        <v>405</v>
      </c>
      <c r="I95" s="132" t="s">
        <v>406</v>
      </c>
      <c r="J95" s="59" t="s">
        <v>945</v>
      </c>
      <c r="K95" s="156" t="s">
        <v>862</v>
      </c>
      <c r="L95" s="42" t="n">
        <v>5520000</v>
      </c>
      <c r="N95" s="5" t="n">
        <v>5520000</v>
      </c>
      <c r="P95" s="5" t="n">
        <v>5520000</v>
      </c>
      <c r="R95" s="6"/>
      <c r="S95" s="6"/>
      <c r="T95" s="6"/>
      <c r="U95" s="6"/>
      <c r="V95" s="6"/>
      <c r="W95" s="6"/>
      <c r="X95" s="128" t="n">
        <f aca="false">SUM(S95:W95)</f>
        <v>0</v>
      </c>
      <c r="Y95" s="6"/>
      <c r="Z95" s="6"/>
      <c r="AA95" s="6"/>
      <c r="AB95" s="6"/>
      <c r="AC95" s="128" t="n">
        <f aca="false">SUM(Y95:AB95)</f>
        <v>0</v>
      </c>
      <c r="AD95" s="6"/>
      <c r="AE95" s="6"/>
      <c r="AF95" s="6"/>
      <c r="AG95" s="6"/>
      <c r="AH95" s="6"/>
      <c r="AI95" s="128" t="n">
        <f aca="false">SUM(AD95:AH95)</f>
        <v>0</v>
      </c>
      <c r="AJ95" s="6" t="n">
        <v>460000</v>
      </c>
      <c r="AK95" s="129"/>
      <c r="AL95" s="6" t="n">
        <v>350000</v>
      </c>
      <c r="AM95" s="6" t="n">
        <v>100000</v>
      </c>
      <c r="AN95" s="6" t="n">
        <v>500000</v>
      </c>
      <c r="AO95" s="6"/>
      <c r="AP95" s="128" t="n">
        <f aca="false">SUM(AJ95:AO95)</f>
        <v>1410000</v>
      </c>
      <c r="AQ95" s="6" t="n">
        <v>1200000</v>
      </c>
      <c r="AR95" s="6" t="n">
        <v>400000</v>
      </c>
      <c r="AS95" s="6"/>
      <c r="AT95" s="6" t="n">
        <v>700000</v>
      </c>
      <c r="AU95" s="6"/>
      <c r="AV95" s="6"/>
      <c r="AW95" s="6" t="n">
        <v>500000</v>
      </c>
      <c r="AX95" s="128" t="n">
        <f aca="false">SUM(AQ95:AW95)</f>
        <v>2800000</v>
      </c>
      <c r="AY95" s="6"/>
      <c r="AZ95" s="6"/>
      <c r="BA95" s="6"/>
      <c r="BB95" s="6"/>
      <c r="BC95" s="6"/>
      <c r="BD95" s="128" t="n">
        <f aca="false">SUM(AY95:BC95)</f>
        <v>0</v>
      </c>
      <c r="BE95" s="171"/>
      <c r="BF95" s="6" t="n">
        <f aca="false">AC95+X95+AI95+AP95+AX95+BD95</f>
        <v>4210000</v>
      </c>
      <c r="BG95" s="131" t="n">
        <f aca="false">+N95-BF95</f>
        <v>1310000</v>
      </c>
    </row>
    <row r="96" customFormat="false" ht="15" hidden="false" customHeight="true" outlineLevel="0" collapsed="false">
      <c r="A96" s="58" t="n">
        <v>65</v>
      </c>
      <c r="B96" s="58" t="s">
        <v>499</v>
      </c>
      <c r="C96" s="1" t="n">
        <v>45121</v>
      </c>
      <c r="E96" s="2" t="s">
        <v>407</v>
      </c>
      <c r="F96" s="2" t="s">
        <v>408</v>
      </c>
      <c r="G96" s="2" t="s">
        <v>410</v>
      </c>
      <c r="I96" s="132" t="s">
        <v>411</v>
      </c>
      <c r="J96" s="59" t="s">
        <v>946</v>
      </c>
      <c r="K96" s="156" t="s">
        <v>862</v>
      </c>
      <c r="L96" s="42" t="n">
        <v>3000000</v>
      </c>
      <c r="N96" s="5" t="n">
        <v>3000000</v>
      </c>
      <c r="P96" s="5" t="n">
        <v>3000000</v>
      </c>
      <c r="R96" s="6"/>
      <c r="S96" s="6"/>
      <c r="T96" s="6"/>
      <c r="U96" s="6"/>
      <c r="V96" s="6"/>
      <c r="W96" s="6"/>
      <c r="X96" s="128" t="n">
        <f aca="false">SUM(S96:W96)</f>
        <v>0</v>
      </c>
      <c r="Y96" s="6"/>
      <c r="Z96" s="6"/>
      <c r="AA96" s="6"/>
      <c r="AB96" s="6"/>
      <c r="AC96" s="128" t="n">
        <f aca="false">SUM(Y96:AB96)</f>
        <v>0</v>
      </c>
      <c r="AD96" s="6"/>
      <c r="AE96" s="6"/>
      <c r="AF96" s="6"/>
      <c r="AG96" s="6"/>
      <c r="AH96" s="6"/>
      <c r="AI96" s="128" t="n">
        <f aca="false">SUM(AD96:AH96)</f>
        <v>0</v>
      </c>
      <c r="AJ96" s="6" t="n">
        <v>2000000</v>
      </c>
      <c r="AK96" s="129"/>
      <c r="AL96" s="6" t="n">
        <v>1000000</v>
      </c>
      <c r="AM96" s="6"/>
      <c r="AN96" s="6"/>
      <c r="AO96" s="6"/>
      <c r="AP96" s="128" t="n">
        <f aca="false">SUM(AJ96:AO96)</f>
        <v>3000000</v>
      </c>
      <c r="AQ96" s="6"/>
      <c r="AR96" s="6"/>
      <c r="AS96" s="6"/>
      <c r="AT96" s="6"/>
      <c r="AU96" s="6"/>
      <c r="AV96" s="6"/>
      <c r="AW96" s="6" t="n">
        <v>0</v>
      </c>
      <c r="AX96" s="128" t="n">
        <f aca="false">SUM(AQ96:AW96)</f>
        <v>0</v>
      </c>
      <c r="AY96" s="6"/>
      <c r="AZ96" s="6"/>
      <c r="BA96" s="6"/>
      <c r="BB96" s="6"/>
      <c r="BC96" s="6"/>
      <c r="BD96" s="128" t="n">
        <f aca="false">SUM(AY96:BC96)</f>
        <v>0</v>
      </c>
      <c r="BE96" s="171"/>
      <c r="BF96" s="6" t="n">
        <f aca="false">AC96+X96+AI96+AP96+AX96+BD96</f>
        <v>3000000</v>
      </c>
      <c r="BG96" s="131" t="n">
        <f aca="false">+N96-BF96</f>
        <v>0</v>
      </c>
    </row>
    <row r="97" customFormat="false" ht="15" hidden="false" customHeight="true" outlineLevel="0" collapsed="false">
      <c r="A97" s="58" t="n">
        <v>66</v>
      </c>
      <c r="B97" s="58" t="s">
        <v>504</v>
      </c>
      <c r="C97" s="1" t="n">
        <v>45125</v>
      </c>
      <c r="E97" s="2" t="s">
        <v>412</v>
      </c>
      <c r="F97" s="2" t="s">
        <v>413</v>
      </c>
      <c r="G97" s="2" t="s">
        <v>415</v>
      </c>
      <c r="I97" s="132" t="s">
        <v>416</v>
      </c>
      <c r="J97" s="59" t="s">
        <v>947</v>
      </c>
      <c r="K97" s="59" t="s">
        <v>862</v>
      </c>
      <c r="L97" s="42" t="n">
        <v>790239</v>
      </c>
      <c r="N97" s="5" t="n">
        <v>790239</v>
      </c>
      <c r="P97" s="5" t="n">
        <v>790239</v>
      </c>
      <c r="R97" s="6"/>
      <c r="S97" s="6" t="n">
        <v>0</v>
      </c>
      <c r="T97" s="6"/>
      <c r="U97" s="6"/>
      <c r="V97" s="6"/>
      <c r="W97" s="6"/>
      <c r="X97" s="128" t="n">
        <f aca="false">SUM(S97:W97)</f>
        <v>0</v>
      </c>
      <c r="Y97" s="6"/>
      <c r="Z97" s="6"/>
      <c r="AA97" s="6"/>
      <c r="AB97" s="6"/>
      <c r="AC97" s="128" t="n">
        <f aca="false">SUM(Y97:AB97)</f>
        <v>0</v>
      </c>
      <c r="AD97" s="6"/>
      <c r="AE97" s="6"/>
      <c r="AF97" s="6"/>
      <c r="AG97" s="6"/>
      <c r="AH97" s="6" t="n">
        <v>0</v>
      </c>
      <c r="AI97" s="128" t="n">
        <f aca="false">SUM(AD97:AH97)</f>
        <v>0</v>
      </c>
      <c r="AJ97" s="6" t="n">
        <v>395000</v>
      </c>
      <c r="AK97" s="129"/>
      <c r="AL97" s="6" t="n">
        <v>395239</v>
      </c>
      <c r="AM97" s="6"/>
      <c r="AN97" s="6"/>
      <c r="AO97" s="6"/>
      <c r="AP97" s="128" t="n">
        <f aca="false">SUM(AJ97:AO97)</f>
        <v>790239</v>
      </c>
      <c r="AQ97" s="6"/>
      <c r="AR97" s="6"/>
      <c r="AS97" s="6"/>
      <c r="AT97" s="6"/>
      <c r="AU97" s="6"/>
      <c r="AV97" s="6"/>
      <c r="AW97" s="6" t="n">
        <v>0</v>
      </c>
      <c r="AX97" s="128" t="n">
        <f aca="false">SUM(AQ97:AW97)</f>
        <v>0</v>
      </c>
      <c r="AY97" s="6"/>
      <c r="AZ97" s="6"/>
      <c r="BA97" s="6"/>
      <c r="BB97" s="6"/>
      <c r="BC97" s="6"/>
      <c r="BD97" s="128" t="n">
        <f aca="false">SUM(AY97:BC97)</f>
        <v>0</v>
      </c>
      <c r="BE97" s="171"/>
      <c r="BF97" s="6" t="n">
        <f aca="false">AC97+X97+AI97+AP97+AX97+BD97</f>
        <v>790239</v>
      </c>
      <c r="BG97" s="131" t="n">
        <f aca="false">+N97-BF97</f>
        <v>0</v>
      </c>
    </row>
    <row r="98" customFormat="false" ht="15" hidden="false" customHeight="true" outlineLevel="0" collapsed="false">
      <c r="A98" s="58" t="n">
        <v>67</v>
      </c>
      <c r="B98" s="58" t="s">
        <v>509</v>
      </c>
      <c r="C98" s="1" t="n">
        <v>45082</v>
      </c>
      <c r="E98" s="2" t="s">
        <v>417</v>
      </c>
      <c r="F98" s="2" t="s">
        <v>418</v>
      </c>
      <c r="G98" s="2" t="s">
        <v>420</v>
      </c>
      <c r="I98" s="132" t="s">
        <v>421</v>
      </c>
      <c r="J98" s="59" t="s">
        <v>948</v>
      </c>
      <c r="K98" s="156" t="s">
        <v>862</v>
      </c>
      <c r="L98" s="42" t="n">
        <v>4000000</v>
      </c>
      <c r="N98" s="5" t="n">
        <v>4000000</v>
      </c>
      <c r="P98" s="5" t="n">
        <v>4000000</v>
      </c>
      <c r="R98" s="6"/>
      <c r="S98" s="6" t="n">
        <v>0</v>
      </c>
      <c r="T98" s="6"/>
      <c r="U98" s="6"/>
      <c r="V98" s="6"/>
      <c r="W98" s="6"/>
      <c r="X98" s="128" t="n">
        <f aca="false">SUM(S98:W98)</f>
        <v>0</v>
      </c>
      <c r="Y98" s="6"/>
      <c r="Z98" s="6"/>
      <c r="AA98" s="6"/>
      <c r="AB98" s="6"/>
      <c r="AC98" s="128" t="n">
        <f aca="false">SUM(Y98:AB98)</f>
        <v>0</v>
      </c>
      <c r="AD98" s="6"/>
      <c r="AE98" s="6"/>
      <c r="AF98" s="6"/>
      <c r="AG98" s="6"/>
      <c r="AH98" s="6" t="n">
        <v>1900000</v>
      </c>
      <c r="AI98" s="128" t="n">
        <f aca="false">SUM(AD98:AH98)</f>
        <v>1900000</v>
      </c>
      <c r="AJ98" s="6" t="n">
        <v>1000000</v>
      </c>
      <c r="AK98" s="129"/>
      <c r="AL98" s="6" t="n">
        <v>700000</v>
      </c>
      <c r="AM98" s="6"/>
      <c r="AN98" s="6" t="n">
        <v>400000</v>
      </c>
      <c r="AO98" s="6"/>
      <c r="AP98" s="128" t="n">
        <f aca="false">SUM(AJ98:AO98)</f>
        <v>2100000</v>
      </c>
      <c r="AQ98" s="6"/>
      <c r="AR98" s="6"/>
      <c r="AS98" s="6"/>
      <c r="AT98" s="6"/>
      <c r="AU98" s="6"/>
      <c r="AV98" s="6"/>
      <c r="AW98" s="6" t="n">
        <v>0</v>
      </c>
      <c r="AX98" s="128" t="n">
        <f aca="false">SUM(AQ98:AW98)</f>
        <v>0</v>
      </c>
      <c r="AY98" s="6"/>
      <c r="AZ98" s="6"/>
      <c r="BA98" s="6"/>
      <c r="BB98" s="6"/>
      <c r="BC98" s="6"/>
      <c r="BD98" s="128" t="n">
        <f aca="false">SUM(AY98:BC98)</f>
        <v>0</v>
      </c>
      <c r="BE98" s="171"/>
      <c r="BF98" s="6" t="n">
        <f aca="false">AC98+X98+AI98+AP98+AX98+BD98</f>
        <v>4000000</v>
      </c>
      <c r="BG98" s="131" t="n">
        <f aca="false">+N98-BF98</f>
        <v>0</v>
      </c>
    </row>
    <row r="99" customFormat="false" ht="12.75" hidden="false" customHeight="false" outlineLevel="0" collapsed="false">
      <c r="A99" s="58" t="n">
        <v>68</v>
      </c>
      <c r="B99" s="58" t="s">
        <v>515</v>
      </c>
      <c r="C99" s="1" t="n">
        <v>45135</v>
      </c>
      <c r="E99" s="2" t="s">
        <v>422</v>
      </c>
      <c r="F99" s="2" t="s">
        <v>423</v>
      </c>
      <c r="G99" s="175" t="s">
        <v>425</v>
      </c>
      <c r="I99" s="176" t="s">
        <v>426</v>
      </c>
      <c r="J99" s="59" t="s">
        <v>949</v>
      </c>
      <c r="K99" s="177" t="s">
        <v>862</v>
      </c>
      <c r="L99" s="42" t="n">
        <v>1564650</v>
      </c>
      <c r="N99" s="5" t="n">
        <v>1564650</v>
      </c>
      <c r="P99" s="5" t="n">
        <v>1564650</v>
      </c>
      <c r="R99" s="6"/>
      <c r="S99" s="6" t="n">
        <v>0</v>
      </c>
      <c r="T99" s="6"/>
      <c r="U99" s="6"/>
      <c r="V99" s="6"/>
      <c r="W99" s="6"/>
      <c r="X99" s="128" t="n">
        <f aca="false">SUM(S99:W99)</f>
        <v>0</v>
      </c>
      <c r="Y99" s="6"/>
      <c r="Z99" s="6"/>
      <c r="AA99" s="6"/>
      <c r="AB99" s="6"/>
      <c r="AC99" s="128" t="n">
        <f aca="false">SUM(Y99:AB99)</f>
        <v>0</v>
      </c>
      <c r="AD99" s="6"/>
      <c r="AE99" s="6"/>
      <c r="AF99" s="6"/>
      <c r="AG99" s="6"/>
      <c r="AH99" s="6"/>
      <c r="AI99" s="128" t="n">
        <f aca="false">SUM(AD99:AH99)</f>
        <v>0</v>
      </c>
      <c r="AJ99" s="6" t="n">
        <v>395000</v>
      </c>
      <c r="AK99" s="129"/>
      <c r="AL99" s="6" t="n">
        <v>500000</v>
      </c>
      <c r="AM99" s="6" t="n">
        <v>669650</v>
      </c>
      <c r="AN99" s="6"/>
      <c r="AO99" s="6"/>
      <c r="AP99" s="128" t="n">
        <f aca="false">SUM(AJ99:AO99)</f>
        <v>1564650</v>
      </c>
      <c r="AQ99" s="6"/>
      <c r="AR99" s="6"/>
      <c r="AS99" s="6"/>
      <c r="AT99" s="6"/>
      <c r="AU99" s="6"/>
      <c r="AV99" s="6"/>
      <c r="AW99" s="6" t="n">
        <v>0</v>
      </c>
      <c r="AX99" s="128" t="n">
        <f aca="false">SUM(AQ99:AW99)</f>
        <v>0</v>
      </c>
      <c r="AY99" s="6"/>
      <c r="AZ99" s="6"/>
      <c r="BA99" s="6"/>
      <c r="BB99" s="6"/>
      <c r="BC99" s="6"/>
      <c r="BD99" s="128" t="n">
        <f aca="false">SUM(AY99:BC99)</f>
        <v>0</v>
      </c>
      <c r="BE99" s="130"/>
      <c r="BF99" s="6" t="n">
        <f aca="false">AC99+X99+AI99+AP99+AX99+BD99</f>
        <v>1564650</v>
      </c>
      <c r="BG99" s="131" t="n">
        <f aca="false">+N99-BF99</f>
        <v>0</v>
      </c>
    </row>
    <row r="100" customFormat="false" ht="12.75" hidden="false" customHeight="false" outlineLevel="0" collapsed="false">
      <c r="A100" s="58" t="n">
        <v>68</v>
      </c>
      <c r="B100" s="58" t="s">
        <v>520</v>
      </c>
      <c r="C100" s="1" t="n">
        <v>45135</v>
      </c>
      <c r="E100" s="2" t="s">
        <v>422</v>
      </c>
      <c r="F100" s="2" t="s">
        <v>423</v>
      </c>
      <c r="G100" s="175" t="s">
        <v>425</v>
      </c>
      <c r="I100" s="176" t="s">
        <v>426</v>
      </c>
      <c r="J100" s="59" t="s">
        <v>950</v>
      </c>
      <c r="K100" s="177" t="s">
        <v>862</v>
      </c>
      <c r="L100" s="42" t="n">
        <v>145350</v>
      </c>
      <c r="N100" s="5" t="n">
        <v>145350</v>
      </c>
      <c r="P100" s="5" t="n">
        <v>145350</v>
      </c>
      <c r="R100" s="6"/>
      <c r="S100" s="6" t="n">
        <v>0</v>
      </c>
      <c r="T100" s="6"/>
      <c r="U100" s="6"/>
      <c r="V100" s="6"/>
      <c r="W100" s="6"/>
      <c r="X100" s="128" t="n">
        <f aca="false">SUM(S100:W100)</f>
        <v>0</v>
      </c>
      <c r="Y100" s="6"/>
      <c r="Z100" s="6"/>
      <c r="AA100" s="6"/>
      <c r="AB100" s="6"/>
      <c r="AC100" s="128" t="n">
        <f aca="false">SUM(Y100:AB100)</f>
        <v>0</v>
      </c>
      <c r="AD100" s="6"/>
      <c r="AE100" s="6"/>
      <c r="AF100" s="6"/>
      <c r="AG100" s="6"/>
      <c r="AH100" s="6"/>
      <c r="AI100" s="128" t="n">
        <f aca="false">SUM(AD100:AH100)</f>
        <v>0</v>
      </c>
      <c r="AJ100" s="6" t="n">
        <v>40000</v>
      </c>
      <c r="AK100" s="129"/>
      <c r="AL100" s="6" t="n">
        <v>105350</v>
      </c>
      <c r="AM100" s="6"/>
      <c r="AN100" s="6"/>
      <c r="AO100" s="6"/>
      <c r="AP100" s="128" t="n">
        <f aca="false">SUM(AJ100:AO100)</f>
        <v>145350</v>
      </c>
      <c r="AQ100" s="6"/>
      <c r="AR100" s="6"/>
      <c r="AS100" s="6"/>
      <c r="AT100" s="6"/>
      <c r="AU100" s="6"/>
      <c r="AV100" s="6"/>
      <c r="AW100" s="6" t="n">
        <v>0</v>
      </c>
      <c r="AX100" s="128" t="n">
        <f aca="false">SUM(AQ100:AW100)</f>
        <v>0</v>
      </c>
      <c r="AY100" s="6"/>
      <c r="AZ100" s="6"/>
      <c r="BA100" s="6"/>
      <c r="BB100" s="6"/>
      <c r="BC100" s="6"/>
      <c r="BD100" s="128" t="n">
        <f aca="false">SUM(AY100:BC100)</f>
        <v>0</v>
      </c>
      <c r="BE100" s="130"/>
      <c r="BF100" s="6" t="n">
        <f aca="false">AC100+X100+AI100+AP100+AX100+BD100</f>
        <v>145350</v>
      </c>
      <c r="BG100" s="131" t="n">
        <f aca="false">+N100-BF100</f>
        <v>0</v>
      </c>
    </row>
    <row r="101" customFormat="false" ht="15" hidden="false" customHeight="true" outlineLevel="0" collapsed="false">
      <c r="A101" s="58" t="n">
        <v>69</v>
      </c>
      <c r="B101" s="58" t="s">
        <v>525</v>
      </c>
      <c r="C101" s="1" t="n">
        <v>45133</v>
      </c>
      <c r="E101" s="2" t="s">
        <v>427</v>
      </c>
      <c r="F101" s="2" t="s">
        <v>428</v>
      </c>
      <c r="G101" s="2" t="s">
        <v>430</v>
      </c>
      <c r="I101" s="132" t="s">
        <v>431</v>
      </c>
      <c r="J101" s="59" t="s">
        <v>951</v>
      </c>
      <c r="K101" s="156" t="s">
        <v>862</v>
      </c>
      <c r="L101" s="42" t="n">
        <v>500000</v>
      </c>
      <c r="N101" s="5" t="n">
        <v>500000</v>
      </c>
      <c r="P101" s="5" t="n">
        <v>500000</v>
      </c>
      <c r="R101" s="6"/>
      <c r="S101" s="6" t="n">
        <v>0</v>
      </c>
      <c r="T101" s="6"/>
      <c r="U101" s="6"/>
      <c r="V101" s="6"/>
      <c r="W101" s="6"/>
      <c r="X101" s="128" t="n">
        <f aca="false">SUM(S101:W101)</f>
        <v>0</v>
      </c>
      <c r="Y101" s="6"/>
      <c r="Z101" s="6"/>
      <c r="AA101" s="6"/>
      <c r="AB101" s="6"/>
      <c r="AC101" s="128" t="n">
        <f aca="false">SUM(Y101:AB101)</f>
        <v>0</v>
      </c>
      <c r="AD101" s="6"/>
      <c r="AE101" s="6"/>
      <c r="AF101" s="6"/>
      <c r="AG101" s="6"/>
      <c r="AH101" s="6"/>
      <c r="AI101" s="128" t="n">
        <f aca="false">SUM(AD101:AH101)</f>
        <v>0</v>
      </c>
      <c r="AJ101" s="6" t="n">
        <v>250000</v>
      </c>
      <c r="AK101" s="129"/>
      <c r="AL101" s="6" t="n">
        <v>250000</v>
      </c>
      <c r="AM101" s="6"/>
      <c r="AN101" s="6"/>
      <c r="AO101" s="6"/>
      <c r="AP101" s="128" t="n">
        <f aca="false">SUM(AJ101:AO101)</f>
        <v>500000</v>
      </c>
      <c r="AQ101" s="6"/>
      <c r="AR101" s="6"/>
      <c r="AS101" s="6"/>
      <c r="AT101" s="6"/>
      <c r="AU101" s="6"/>
      <c r="AV101" s="6"/>
      <c r="AW101" s="6" t="n">
        <v>0</v>
      </c>
      <c r="AX101" s="128" t="n">
        <f aca="false">SUM(AQ101:AW101)</f>
        <v>0</v>
      </c>
      <c r="AY101" s="6"/>
      <c r="AZ101" s="6"/>
      <c r="BA101" s="6"/>
      <c r="BB101" s="6"/>
      <c r="BC101" s="6"/>
      <c r="BD101" s="128" t="n">
        <f aca="false">SUM(AY101:BC101)</f>
        <v>0</v>
      </c>
      <c r="BE101" s="171"/>
      <c r="BF101" s="6" t="n">
        <f aca="false">AC101+X101+AI101+AP101+AX101+BD101</f>
        <v>500000</v>
      </c>
      <c r="BG101" s="131" t="n">
        <f aca="false">+N101-BF101</f>
        <v>0</v>
      </c>
    </row>
    <row r="102" customFormat="false" ht="15" hidden="false" customHeight="true" outlineLevel="0" collapsed="false">
      <c r="A102" s="58" t="n">
        <v>70</v>
      </c>
      <c r="B102" s="58" t="s">
        <v>531</v>
      </c>
      <c r="C102" s="1" t="n">
        <v>45135</v>
      </c>
      <c r="E102" s="2" t="s">
        <v>432</v>
      </c>
      <c r="F102" s="2" t="s">
        <v>433</v>
      </c>
      <c r="G102" s="2" t="s">
        <v>435</v>
      </c>
      <c r="I102" s="132" t="s">
        <v>431</v>
      </c>
      <c r="J102" s="59" t="s">
        <v>952</v>
      </c>
      <c r="K102" s="156" t="s">
        <v>865</v>
      </c>
      <c r="L102" s="42" t="n">
        <v>4100000</v>
      </c>
      <c r="N102" s="5" t="n">
        <v>4100000</v>
      </c>
      <c r="P102" s="5" t="n">
        <v>4100000</v>
      </c>
      <c r="R102" s="6"/>
      <c r="S102" s="6" t="n">
        <v>0</v>
      </c>
      <c r="T102" s="6"/>
      <c r="U102" s="6"/>
      <c r="V102" s="6"/>
      <c r="W102" s="6"/>
      <c r="X102" s="128" t="n">
        <f aca="false">SUM(S102:W102)</f>
        <v>0</v>
      </c>
      <c r="Y102" s="6"/>
      <c r="Z102" s="6"/>
      <c r="AA102" s="6"/>
      <c r="AB102" s="6"/>
      <c r="AC102" s="128" t="n">
        <f aca="false">SUM(Y102:AB102)</f>
        <v>0</v>
      </c>
      <c r="AD102" s="6"/>
      <c r="AE102" s="6"/>
      <c r="AF102" s="6"/>
      <c r="AG102" s="6"/>
      <c r="AH102" s="6"/>
      <c r="AI102" s="128" t="n">
        <f aca="false">SUM(AD102:AH102)</f>
        <v>0</v>
      </c>
      <c r="AJ102" s="6" t="n">
        <v>525000</v>
      </c>
      <c r="AK102" s="129"/>
      <c r="AL102" s="6" t="n">
        <v>500000</v>
      </c>
      <c r="AM102" s="6"/>
      <c r="AN102" s="6" t="n">
        <v>1500000</v>
      </c>
      <c r="AO102" s="6"/>
      <c r="AP102" s="128" t="n">
        <f aca="false">SUM(AJ102:AO102)</f>
        <v>2525000</v>
      </c>
      <c r="AQ102" s="6" t="n">
        <v>500000</v>
      </c>
      <c r="AR102" s="6" t="n">
        <v>500000</v>
      </c>
      <c r="AS102" s="6"/>
      <c r="AT102" s="6" t="n">
        <v>575000</v>
      </c>
      <c r="AU102" s="6"/>
      <c r="AV102" s="6"/>
      <c r="AW102" s="6" t="n">
        <v>0</v>
      </c>
      <c r="AX102" s="128" t="n">
        <f aca="false">SUM(AQ102:AW102)</f>
        <v>1575000</v>
      </c>
      <c r="AY102" s="6"/>
      <c r="AZ102" s="6"/>
      <c r="BA102" s="6"/>
      <c r="BB102" s="6"/>
      <c r="BC102" s="6"/>
      <c r="BD102" s="128" t="n">
        <f aca="false">SUM(AY102:BC102)</f>
        <v>0</v>
      </c>
      <c r="BE102" s="171"/>
      <c r="BF102" s="6" t="n">
        <f aca="false">AC102+X102+AI102+AP102+AX102+BD102</f>
        <v>4100000</v>
      </c>
      <c r="BG102" s="131" t="n">
        <f aca="false">+N102-BF102</f>
        <v>0</v>
      </c>
    </row>
    <row r="103" customFormat="false" ht="12.75" hidden="false" customHeight="false" outlineLevel="0" collapsed="false">
      <c r="A103" s="58" t="n">
        <v>71</v>
      </c>
      <c r="B103" s="58" t="s">
        <v>536</v>
      </c>
      <c r="C103" s="1" t="n">
        <v>45142</v>
      </c>
      <c r="E103" s="2" t="s">
        <v>436</v>
      </c>
      <c r="F103" s="2" t="s">
        <v>437</v>
      </c>
      <c r="G103" s="2" t="s">
        <v>439</v>
      </c>
      <c r="I103" s="1" t="s">
        <v>440</v>
      </c>
      <c r="J103" s="59" t="s">
        <v>953</v>
      </c>
      <c r="K103" s="156" t="s">
        <v>862</v>
      </c>
      <c r="L103" s="42" t="n">
        <v>3000000</v>
      </c>
      <c r="N103" s="5" t="n">
        <v>3000000</v>
      </c>
      <c r="P103" s="5" t="n">
        <v>3000000</v>
      </c>
      <c r="R103" s="6"/>
      <c r="S103" s="6"/>
      <c r="T103" s="6"/>
      <c r="U103" s="6"/>
      <c r="V103" s="6"/>
      <c r="W103" s="6"/>
      <c r="X103" s="128" t="n">
        <f aca="false">SUM(S103:W103)</f>
        <v>0</v>
      </c>
      <c r="Y103" s="6"/>
      <c r="Z103" s="6"/>
      <c r="AA103" s="6"/>
      <c r="AB103" s="6"/>
      <c r="AC103" s="128" t="n">
        <f aca="false">SUM(Y103:AB103)</f>
        <v>0</v>
      </c>
      <c r="AD103" s="6"/>
      <c r="AE103" s="6"/>
      <c r="AF103" s="6"/>
      <c r="AG103" s="6"/>
      <c r="AH103" s="6"/>
      <c r="AI103" s="128" t="n">
        <f aca="false">SUM(AD103:AH103)</f>
        <v>0</v>
      </c>
      <c r="AJ103" s="6" t="n">
        <v>500000</v>
      </c>
      <c r="AK103" s="129"/>
      <c r="AL103" s="6" t="n">
        <v>500000</v>
      </c>
      <c r="AM103" s="6" t="n">
        <v>500000</v>
      </c>
      <c r="AN103" s="6" t="n">
        <v>900000</v>
      </c>
      <c r="AO103" s="6"/>
      <c r="AP103" s="128" t="n">
        <f aca="false">SUM(AJ103:AO103)</f>
        <v>2400000</v>
      </c>
      <c r="AQ103" s="6" t="n">
        <v>200000</v>
      </c>
      <c r="AR103" s="6" t="n">
        <v>400000</v>
      </c>
      <c r="AS103" s="6"/>
      <c r="AT103" s="6"/>
      <c r="AU103" s="6"/>
      <c r="AV103" s="6"/>
      <c r="AW103" s="6" t="n">
        <v>0</v>
      </c>
      <c r="AX103" s="128" t="n">
        <f aca="false">SUM(AQ103:AW103)</f>
        <v>600000</v>
      </c>
      <c r="AY103" s="6"/>
      <c r="AZ103" s="6"/>
      <c r="BA103" s="6"/>
      <c r="BB103" s="6"/>
      <c r="BC103" s="6"/>
      <c r="BD103" s="128" t="n">
        <f aca="false">SUM(AY103:BC103)</f>
        <v>0</v>
      </c>
      <c r="BE103" s="130"/>
      <c r="BF103" s="6" t="n">
        <f aca="false">AC103+X103+AI103+AP103+AX103+BD103</f>
        <v>3000000</v>
      </c>
      <c r="BG103" s="131" t="n">
        <f aca="false">+N103-BF103</f>
        <v>0</v>
      </c>
    </row>
    <row r="104" customFormat="false" ht="12.75" hidden="false" customHeight="false" outlineLevel="0" collapsed="false">
      <c r="A104" s="58" t="n">
        <v>72</v>
      </c>
      <c r="B104" s="58" t="s">
        <v>541</v>
      </c>
      <c r="C104" s="1" t="n">
        <v>45161</v>
      </c>
      <c r="E104" s="2" t="s">
        <v>441</v>
      </c>
      <c r="F104" s="2" t="s">
        <v>442</v>
      </c>
      <c r="G104" s="173" t="s">
        <v>444</v>
      </c>
      <c r="I104" s="176" t="s">
        <v>445</v>
      </c>
      <c r="J104" s="59" t="s">
        <v>954</v>
      </c>
      <c r="K104" s="177" t="s">
        <v>862</v>
      </c>
      <c r="L104" s="42" t="n">
        <v>1300000</v>
      </c>
      <c r="N104" s="5" t="n">
        <v>1300000</v>
      </c>
      <c r="P104" s="5" t="n">
        <v>1300000</v>
      </c>
      <c r="R104" s="6"/>
      <c r="S104" s="6"/>
      <c r="T104" s="6"/>
      <c r="U104" s="6"/>
      <c r="V104" s="6"/>
      <c r="W104" s="6"/>
      <c r="X104" s="128" t="n">
        <f aca="false">SUM(S104:W104)</f>
        <v>0</v>
      </c>
      <c r="Y104" s="6"/>
      <c r="Z104" s="6"/>
      <c r="AA104" s="6"/>
      <c r="AB104" s="6"/>
      <c r="AC104" s="128" t="n">
        <f aca="false">SUM(Y104:AB104)</f>
        <v>0</v>
      </c>
      <c r="AD104" s="6"/>
      <c r="AE104" s="6"/>
      <c r="AF104" s="6"/>
      <c r="AG104" s="6"/>
      <c r="AH104" s="6"/>
      <c r="AI104" s="128" t="n">
        <f aca="false">SUM(AD104:AH104)</f>
        <v>0</v>
      </c>
      <c r="AJ104" s="6" t="n">
        <v>650000</v>
      </c>
      <c r="AK104" s="129"/>
      <c r="AL104" s="6" t="n">
        <v>300000</v>
      </c>
      <c r="AM104" s="6"/>
      <c r="AN104" s="6" t="n">
        <v>350000</v>
      </c>
      <c r="AO104" s="6"/>
      <c r="AP104" s="128" t="n">
        <f aca="false">SUM(AJ104:AO104)</f>
        <v>1300000</v>
      </c>
      <c r="AQ104" s="6"/>
      <c r="AR104" s="6"/>
      <c r="AS104" s="6"/>
      <c r="AT104" s="6"/>
      <c r="AU104" s="6"/>
      <c r="AV104" s="6"/>
      <c r="AW104" s="6" t="n">
        <v>0</v>
      </c>
      <c r="AX104" s="128" t="n">
        <f aca="false">SUM(AQ104:AW104)</f>
        <v>0</v>
      </c>
      <c r="AY104" s="6"/>
      <c r="AZ104" s="6"/>
      <c r="BA104" s="6"/>
      <c r="BB104" s="6"/>
      <c r="BC104" s="6"/>
      <c r="BD104" s="128" t="n">
        <f aca="false">SUM(AY104:BC104)</f>
        <v>0</v>
      </c>
      <c r="BE104" s="130"/>
      <c r="BF104" s="6" t="n">
        <f aca="false">AC104+X104+AI104+AP104+AX104+BD104</f>
        <v>1300000</v>
      </c>
      <c r="BG104" s="131" t="n">
        <f aca="false">+N104-BF104</f>
        <v>0</v>
      </c>
    </row>
    <row r="105" customFormat="false" ht="12.75" hidden="false" customHeight="false" outlineLevel="0" collapsed="false">
      <c r="A105" s="58" t="n">
        <v>72</v>
      </c>
      <c r="B105" s="58" t="s">
        <v>549</v>
      </c>
      <c r="C105" s="1" t="n">
        <v>45161</v>
      </c>
      <c r="E105" s="2" t="s">
        <v>441</v>
      </c>
      <c r="F105" s="2" t="s">
        <v>442</v>
      </c>
      <c r="G105" s="173" t="s">
        <v>444</v>
      </c>
      <c r="I105" s="176" t="s">
        <v>445</v>
      </c>
      <c r="J105" s="59" t="s">
        <v>955</v>
      </c>
      <c r="K105" s="177" t="s">
        <v>862</v>
      </c>
      <c r="L105" s="42" t="n">
        <v>1834250</v>
      </c>
      <c r="N105" s="5" t="n">
        <v>1834250</v>
      </c>
      <c r="P105" s="5" t="n">
        <v>1834250</v>
      </c>
      <c r="R105" s="6"/>
      <c r="S105" s="6"/>
      <c r="T105" s="6"/>
      <c r="U105" s="6"/>
      <c r="V105" s="6"/>
      <c r="W105" s="6"/>
      <c r="X105" s="128" t="n">
        <f aca="false">SUM(S105:W105)</f>
        <v>0</v>
      </c>
      <c r="Y105" s="6"/>
      <c r="Z105" s="6"/>
      <c r="AA105" s="6"/>
      <c r="AB105" s="6"/>
      <c r="AC105" s="128" t="n">
        <f aca="false">SUM(Y105:AB105)</f>
        <v>0</v>
      </c>
      <c r="AD105" s="6"/>
      <c r="AE105" s="6"/>
      <c r="AF105" s="6"/>
      <c r="AG105" s="6"/>
      <c r="AH105" s="6"/>
      <c r="AI105" s="128" t="n">
        <f aca="false">SUM(AD105:AH105)</f>
        <v>0</v>
      </c>
      <c r="AJ105" s="6" t="n">
        <v>900000</v>
      </c>
      <c r="AK105" s="129"/>
      <c r="AL105" s="6" t="n">
        <v>500000</v>
      </c>
      <c r="AM105" s="6" t="n">
        <v>434250</v>
      </c>
      <c r="AN105" s="6"/>
      <c r="AO105" s="6"/>
      <c r="AP105" s="128" t="n">
        <f aca="false">SUM(AJ105:AO105)</f>
        <v>1834250</v>
      </c>
      <c r="AQ105" s="6"/>
      <c r="AR105" s="6"/>
      <c r="AS105" s="6"/>
      <c r="AT105" s="6"/>
      <c r="AU105" s="6"/>
      <c r="AV105" s="6"/>
      <c r="AW105" s="6" t="n">
        <v>0</v>
      </c>
      <c r="AX105" s="128" t="n">
        <f aca="false">SUM(AQ105:AW105)</f>
        <v>0</v>
      </c>
      <c r="AY105" s="6"/>
      <c r="AZ105" s="6"/>
      <c r="BA105" s="6"/>
      <c r="BB105" s="6"/>
      <c r="BC105" s="6"/>
      <c r="BD105" s="128" t="n">
        <f aca="false">SUM(AY105:BC105)</f>
        <v>0</v>
      </c>
      <c r="BE105" s="130"/>
      <c r="BF105" s="6" t="n">
        <f aca="false">AC105+X105+AI105+AP105+AX105+BD105</f>
        <v>1834250</v>
      </c>
      <c r="BG105" s="131" t="n">
        <f aca="false">+N105-BF105</f>
        <v>0</v>
      </c>
    </row>
    <row r="106" customFormat="false" ht="12.75" hidden="false" customHeight="false" outlineLevel="0" collapsed="false">
      <c r="A106" s="58" t="n">
        <v>73</v>
      </c>
      <c r="B106" s="58" t="s">
        <v>554</v>
      </c>
      <c r="C106" s="1" t="n">
        <v>45181</v>
      </c>
      <c r="E106" s="2" t="s">
        <v>446</v>
      </c>
      <c r="F106" s="2" t="s">
        <v>447</v>
      </c>
      <c r="G106" s="2" t="s">
        <v>449</v>
      </c>
      <c r="I106" s="1" t="s">
        <v>450</v>
      </c>
      <c r="J106" s="59" t="s">
        <v>956</v>
      </c>
      <c r="K106" s="156" t="s">
        <v>871</v>
      </c>
      <c r="L106" s="42" t="n">
        <v>385000</v>
      </c>
      <c r="N106" s="5" t="n">
        <v>385000</v>
      </c>
      <c r="P106" s="5" t="n">
        <v>385000</v>
      </c>
      <c r="R106" s="6"/>
      <c r="S106" s="6"/>
      <c r="T106" s="6"/>
      <c r="U106" s="6"/>
      <c r="V106" s="6"/>
      <c r="W106" s="6"/>
      <c r="X106" s="128" t="n">
        <f aca="false">SUM(S106:W106)</f>
        <v>0</v>
      </c>
      <c r="Y106" s="6"/>
      <c r="Z106" s="6"/>
      <c r="AA106" s="6"/>
      <c r="AB106" s="6"/>
      <c r="AC106" s="128" t="n">
        <f aca="false">SUM(Y106:AB106)</f>
        <v>0</v>
      </c>
      <c r="AD106" s="6"/>
      <c r="AE106" s="6"/>
      <c r="AF106" s="6"/>
      <c r="AG106" s="6"/>
      <c r="AH106" s="6"/>
      <c r="AI106" s="128" t="n">
        <f aca="false">SUM(AD106:AH106)</f>
        <v>0</v>
      </c>
      <c r="AJ106" s="6" t="n">
        <v>150000</v>
      </c>
      <c r="AK106" s="129" t="n">
        <v>-150000</v>
      </c>
      <c r="AL106" s="6" t="n">
        <v>215000</v>
      </c>
      <c r="AM106" s="6"/>
      <c r="AN106" s="6" t="n">
        <v>170000</v>
      </c>
      <c r="AO106" s="6"/>
      <c r="AP106" s="128" t="n">
        <f aca="false">SUM(AJ106:AO106)</f>
        <v>385000</v>
      </c>
      <c r="AQ106" s="6"/>
      <c r="AR106" s="6"/>
      <c r="AS106" s="6"/>
      <c r="AT106" s="6"/>
      <c r="AU106" s="6"/>
      <c r="AV106" s="6"/>
      <c r="AW106" s="6" t="n">
        <v>0</v>
      </c>
      <c r="AX106" s="128" t="n">
        <f aca="false">SUM(AQ106:AW106)</f>
        <v>0</v>
      </c>
      <c r="AY106" s="6"/>
      <c r="AZ106" s="6"/>
      <c r="BA106" s="6"/>
      <c r="BB106" s="6"/>
      <c r="BC106" s="6"/>
      <c r="BD106" s="128" t="n">
        <f aca="false">SUM(AY106:BC106)</f>
        <v>0</v>
      </c>
      <c r="BE106" s="130"/>
      <c r="BF106" s="6" t="n">
        <f aca="false">AC106+X106+AI106+AP106+AX106+BD106</f>
        <v>385000</v>
      </c>
      <c r="BG106" s="131" t="n">
        <f aca="false">+N106-BF106</f>
        <v>0</v>
      </c>
      <c r="BI106" s="31"/>
    </row>
    <row r="107" customFormat="false" ht="12.75" hidden="false" customHeight="false" outlineLevel="0" collapsed="false">
      <c r="A107" s="58" t="n">
        <v>74</v>
      </c>
      <c r="B107" s="58" t="s">
        <v>559</v>
      </c>
      <c r="C107" s="1" t="n">
        <v>45265</v>
      </c>
      <c r="E107" s="2" t="s">
        <v>451</v>
      </c>
      <c r="F107" s="2" t="s">
        <v>452</v>
      </c>
      <c r="G107" s="2" t="s">
        <v>454</v>
      </c>
      <c r="I107" s="1" t="s">
        <v>455</v>
      </c>
      <c r="J107" s="59" t="s">
        <v>957</v>
      </c>
      <c r="K107" s="156" t="s">
        <v>871</v>
      </c>
      <c r="L107" s="42" t="n">
        <v>12000000</v>
      </c>
      <c r="N107" s="5" t="n">
        <v>12000000</v>
      </c>
      <c r="P107" s="5" t="n">
        <v>12000000</v>
      </c>
      <c r="R107" s="6"/>
      <c r="S107" s="6"/>
      <c r="T107" s="6"/>
      <c r="U107" s="6"/>
      <c r="V107" s="6"/>
      <c r="W107" s="6"/>
      <c r="X107" s="128" t="n">
        <f aca="false">SUM(S107:W107)</f>
        <v>0</v>
      </c>
      <c r="Y107" s="6"/>
      <c r="Z107" s="6"/>
      <c r="AA107" s="6"/>
      <c r="AB107" s="6"/>
      <c r="AC107" s="128" t="n">
        <f aca="false">SUM(Y107:AB107)</f>
        <v>0</v>
      </c>
      <c r="AD107" s="6"/>
      <c r="AE107" s="6"/>
      <c r="AF107" s="6"/>
      <c r="AG107" s="6"/>
      <c r="AH107" s="6"/>
      <c r="AI107" s="128" t="n">
        <f aca="false">SUM(AD107:AH107)</f>
        <v>0</v>
      </c>
      <c r="AJ107" s="6"/>
      <c r="AK107" s="129"/>
      <c r="AL107" s="6" t="n">
        <v>4000000</v>
      </c>
      <c r="AM107" s="6"/>
      <c r="AN107" s="6"/>
      <c r="AO107" s="6"/>
      <c r="AP107" s="128" t="n">
        <f aca="false">SUM(AJ107:AO107)</f>
        <v>4000000</v>
      </c>
      <c r="AQ107" s="6"/>
      <c r="AR107" s="6" t="n">
        <v>500000</v>
      </c>
      <c r="AS107" s="6"/>
      <c r="AT107" s="6" t="n">
        <v>1000000</v>
      </c>
      <c r="AU107" s="6" t="n">
        <v>1000000</v>
      </c>
      <c r="AV107" s="6"/>
      <c r="AW107" s="6" t="n">
        <v>0</v>
      </c>
      <c r="AX107" s="128" t="n">
        <f aca="false">SUM(AQ107:AW107)</f>
        <v>2500000</v>
      </c>
      <c r="AY107" s="6" t="n">
        <v>1000000</v>
      </c>
      <c r="AZ107" s="6"/>
      <c r="BA107" s="6"/>
      <c r="BB107" s="6"/>
      <c r="BC107" s="6"/>
      <c r="BD107" s="128" t="n">
        <f aca="false">SUM(AY107:BC107)</f>
        <v>1000000</v>
      </c>
      <c r="BE107" s="130"/>
      <c r="BF107" s="6" t="n">
        <f aca="false">AC107+X107+AI107+AP107+AX107+BD107</f>
        <v>7500000</v>
      </c>
      <c r="BG107" s="131" t="n">
        <f aca="false">+N107-BF107</f>
        <v>4500000</v>
      </c>
      <c r="BI107" s="31"/>
    </row>
    <row r="108" customFormat="false" ht="12.75" hidden="false" customHeight="false" outlineLevel="0" collapsed="false">
      <c r="A108" s="58" t="n">
        <v>75</v>
      </c>
      <c r="B108" s="58" t="s">
        <v>564</v>
      </c>
      <c r="C108" s="1" t="n">
        <v>45226</v>
      </c>
      <c r="E108" s="2" t="s">
        <v>456</v>
      </c>
      <c r="F108" s="2" t="s">
        <v>457</v>
      </c>
      <c r="G108" s="2" t="s">
        <v>459</v>
      </c>
      <c r="I108" s="1" t="s">
        <v>460</v>
      </c>
      <c r="J108" s="59" t="s">
        <v>958</v>
      </c>
      <c r="K108" s="59" t="s">
        <v>871</v>
      </c>
      <c r="L108" s="9" t="n">
        <v>5100000</v>
      </c>
      <c r="N108" s="65" t="n">
        <v>431800</v>
      </c>
      <c r="P108" s="5" t="n">
        <v>431800</v>
      </c>
      <c r="R108" s="6"/>
      <c r="S108" s="6"/>
      <c r="T108" s="6"/>
      <c r="U108" s="6"/>
      <c r="V108" s="6"/>
      <c r="W108" s="6"/>
      <c r="X108" s="128" t="n">
        <f aca="false">SUM(S108:W108)</f>
        <v>0</v>
      </c>
      <c r="Y108" s="6"/>
      <c r="Z108" s="6"/>
      <c r="AA108" s="6"/>
      <c r="AB108" s="6"/>
      <c r="AC108" s="128" t="n">
        <f aca="false">SUM(Y108:AB108)</f>
        <v>0</v>
      </c>
      <c r="AD108" s="6"/>
      <c r="AE108" s="6"/>
      <c r="AF108" s="6"/>
      <c r="AG108" s="6"/>
      <c r="AH108" s="6"/>
      <c r="AI108" s="128" t="n">
        <f aca="false">SUM(AD108:AH108)</f>
        <v>0</v>
      </c>
      <c r="AJ108" s="6"/>
      <c r="AK108" s="129"/>
      <c r="AL108" s="6" t="n">
        <v>431800</v>
      </c>
      <c r="AM108" s="6"/>
      <c r="AN108" s="6"/>
      <c r="AO108" s="6"/>
      <c r="AP108" s="128" t="n">
        <f aca="false">SUM(AJ108:AO108)</f>
        <v>431800</v>
      </c>
      <c r="AQ108" s="6"/>
      <c r="AR108" s="6"/>
      <c r="AS108" s="6"/>
      <c r="AT108" s="6"/>
      <c r="AU108" s="6"/>
      <c r="AV108" s="6"/>
      <c r="AW108" s="6" t="n">
        <v>0</v>
      </c>
      <c r="AX108" s="128" t="n">
        <f aca="false">SUM(AQ108:AW108)</f>
        <v>0</v>
      </c>
      <c r="AY108" s="6"/>
      <c r="AZ108" s="6"/>
      <c r="BA108" s="6"/>
      <c r="BB108" s="6"/>
      <c r="BC108" s="6"/>
      <c r="BD108" s="128" t="n">
        <f aca="false">SUM(AY108:BC108)</f>
        <v>0</v>
      </c>
      <c r="BE108" s="130"/>
      <c r="BF108" s="6" t="n">
        <f aca="false">AC108+X108+AI108+AP108+AX108+BD108</f>
        <v>431800</v>
      </c>
      <c r="BG108" s="131" t="n">
        <f aca="false">+N108-BF108</f>
        <v>0</v>
      </c>
      <c r="BI108" s="31"/>
    </row>
    <row r="109" customFormat="false" ht="12.75" hidden="false" customHeight="false" outlineLevel="0" collapsed="false">
      <c r="A109" s="58" t="n">
        <v>75</v>
      </c>
      <c r="B109" s="58" t="s">
        <v>569</v>
      </c>
      <c r="C109" s="1" t="n">
        <v>45265</v>
      </c>
      <c r="E109" s="2" t="s">
        <v>461</v>
      </c>
      <c r="F109" s="2" t="s">
        <v>457</v>
      </c>
      <c r="G109" s="2" t="s">
        <v>459</v>
      </c>
      <c r="I109" s="1" t="s">
        <v>460</v>
      </c>
      <c r="J109" s="59" t="s">
        <v>959</v>
      </c>
      <c r="K109" s="59" t="s">
        <v>871</v>
      </c>
      <c r="L109" s="42"/>
      <c r="N109" s="65" t="n">
        <v>300000</v>
      </c>
      <c r="P109" s="5" t="n">
        <v>300000</v>
      </c>
      <c r="R109" s="6"/>
      <c r="S109" s="6"/>
      <c r="T109" s="6"/>
      <c r="U109" s="6"/>
      <c r="V109" s="6"/>
      <c r="W109" s="6"/>
      <c r="X109" s="128" t="n">
        <f aca="false">SUM(S109:W109)</f>
        <v>0</v>
      </c>
      <c r="Y109" s="6"/>
      <c r="Z109" s="6"/>
      <c r="AA109" s="6"/>
      <c r="AB109" s="6"/>
      <c r="AC109" s="128" t="n">
        <f aca="false">SUM(Y109:AB109)</f>
        <v>0</v>
      </c>
      <c r="AD109" s="6"/>
      <c r="AE109" s="6"/>
      <c r="AF109" s="6"/>
      <c r="AG109" s="6"/>
      <c r="AH109" s="6"/>
      <c r="AI109" s="128" t="n">
        <f aca="false">SUM(AD109:AH109)</f>
        <v>0</v>
      </c>
      <c r="AJ109" s="6"/>
      <c r="AK109" s="129"/>
      <c r="AL109" s="6" t="n">
        <v>300000</v>
      </c>
      <c r="AM109" s="6"/>
      <c r="AN109" s="6"/>
      <c r="AO109" s="6"/>
      <c r="AP109" s="128" t="n">
        <f aca="false">SUM(AJ109:AO109)</f>
        <v>300000</v>
      </c>
      <c r="AQ109" s="6"/>
      <c r="AR109" s="6"/>
      <c r="AS109" s="6"/>
      <c r="AT109" s="6"/>
      <c r="AU109" s="6"/>
      <c r="AV109" s="6"/>
      <c r="AW109" s="6" t="n">
        <v>0</v>
      </c>
      <c r="AX109" s="128" t="n">
        <f aca="false">SUM(AQ109:AW109)</f>
        <v>0</v>
      </c>
      <c r="AY109" s="6"/>
      <c r="AZ109" s="6"/>
      <c r="BA109" s="6"/>
      <c r="BB109" s="6"/>
      <c r="BC109" s="6"/>
      <c r="BD109" s="128" t="n">
        <f aca="false">SUM(AY109:BC109)</f>
        <v>0</v>
      </c>
      <c r="BE109" s="130"/>
      <c r="BF109" s="6" t="n">
        <f aca="false">AC109+X109+AI109+AP109+AX109+BD109</f>
        <v>300000</v>
      </c>
      <c r="BG109" s="131" t="n">
        <f aca="false">+N109-BF109</f>
        <v>0</v>
      </c>
    </row>
    <row r="110" customFormat="false" ht="12.75" hidden="false" customHeight="false" outlineLevel="0" collapsed="false">
      <c r="A110" s="58" t="n">
        <v>75</v>
      </c>
      <c r="B110" s="58" t="s">
        <v>574</v>
      </c>
      <c r="C110" s="1" t="n">
        <v>45333</v>
      </c>
      <c r="E110" s="2" t="s">
        <v>462</v>
      </c>
      <c r="F110" s="2" t="s">
        <v>457</v>
      </c>
      <c r="G110" s="2" t="s">
        <v>459</v>
      </c>
      <c r="I110" s="1" t="s">
        <v>460</v>
      </c>
      <c r="J110" s="59" t="s">
        <v>959</v>
      </c>
      <c r="K110" s="59" t="s">
        <v>871</v>
      </c>
      <c r="L110" s="42"/>
      <c r="N110" s="65" t="n">
        <v>400000</v>
      </c>
      <c r="P110" s="5" t="n">
        <v>400000</v>
      </c>
      <c r="R110" s="6"/>
      <c r="S110" s="6"/>
      <c r="T110" s="6"/>
      <c r="U110" s="6"/>
      <c r="V110" s="6"/>
      <c r="W110" s="6"/>
      <c r="X110" s="128" t="n">
        <f aca="false">SUM(S110:W110)</f>
        <v>0</v>
      </c>
      <c r="Y110" s="6"/>
      <c r="Z110" s="6"/>
      <c r="AA110" s="6"/>
      <c r="AB110" s="6"/>
      <c r="AC110" s="128" t="n">
        <f aca="false">SUM(Y110:AB110)</f>
        <v>0</v>
      </c>
      <c r="AD110" s="6"/>
      <c r="AE110" s="6"/>
      <c r="AF110" s="6"/>
      <c r="AG110" s="6"/>
      <c r="AH110" s="6"/>
      <c r="AI110" s="128" t="n">
        <f aca="false">SUM(AD110:AH110)</f>
        <v>0</v>
      </c>
      <c r="AJ110" s="6"/>
      <c r="AK110" s="129"/>
      <c r="AL110" s="6"/>
      <c r="AM110" s="6" t="n">
        <v>400000</v>
      </c>
      <c r="AN110" s="6"/>
      <c r="AO110" s="6"/>
      <c r="AP110" s="128" t="n">
        <f aca="false">SUM(AJ110:AO110)</f>
        <v>400000</v>
      </c>
      <c r="AQ110" s="6"/>
      <c r="AR110" s="6"/>
      <c r="AS110" s="6"/>
      <c r="AT110" s="6"/>
      <c r="AU110" s="6"/>
      <c r="AV110" s="6"/>
      <c r="AW110" s="6" t="n">
        <v>0</v>
      </c>
      <c r="AX110" s="128" t="n">
        <f aca="false">SUM(AQ110:AW110)</f>
        <v>0</v>
      </c>
      <c r="AY110" s="6"/>
      <c r="AZ110" s="6"/>
      <c r="BA110" s="6"/>
      <c r="BB110" s="6"/>
      <c r="BC110" s="6"/>
      <c r="BD110" s="128" t="n">
        <f aca="false">SUM(AY110:BC110)</f>
        <v>0</v>
      </c>
      <c r="BE110" s="130"/>
      <c r="BF110" s="6" t="n">
        <f aca="false">AC110+X110+AI110+AP110+AX110+BD110</f>
        <v>400000</v>
      </c>
      <c r="BG110" s="131" t="n">
        <f aca="false">+N110-BF110</f>
        <v>0</v>
      </c>
      <c r="BI110" s="6"/>
    </row>
    <row r="111" customFormat="false" ht="12.75" hidden="false" customHeight="false" outlineLevel="0" collapsed="false">
      <c r="A111" s="58" t="n">
        <v>75</v>
      </c>
      <c r="B111" s="58" t="s">
        <v>579</v>
      </c>
      <c r="C111" s="1" t="n">
        <v>45474</v>
      </c>
      <c r="E111" s="2" t="s">
        <v>960</v>
      </c>
      <c r="F111" s="2" t="s">
        <v>457</v>
      </c>
      <c r="G111" s="2" t="s">
        <v>459</v>
      </c>
      <c r="I111" s="1" t="s">
        <v>460</v>
      </c>
      <c r="J111" s="59" t="s">
        <v>961</v>
      </c>
      <c r="K111" s="59" t="s">
        <v>871</v>
      </c>
      <c r="L111" s="42"/>
      <c r="N111" s="65" t="n">
        <v>250000</v>
      </c>
      <c r="P111" s="5" t="n">
        <v>250000</v>
      </c>
      <c r="R111" s="6"/>
      <c r="S111" s="6"/>
      <c r="T111" s="6"/>
      <c r="U111" s="6"/>
      <c r="V111" s="6"/>
      <c r="W111" s="6"/>
      <c r="X111" s="128" t="n">
        <f aca="false">SUM(S111:W111)</f>
        <v>0</v>
      </c>
      <c r="Y111" s="6"/>
      <c r="Z111" s="6"/>
      <c r="AA111" s="6"/>
      <c r="AB111" s="6"/>
      <c r="AC111" s="128" t="n">
        <f aca="false">SUM(Y111:AB111)</f>
        <v>0</v>
      </c>
      <c r="AD111" s="6"/>
      <c r="AE111" s="6"/>
      <c r="AF111" s="6"/>
      <c r="AG111" s="6"/>
      <c r="AH111" s="6"/>
      <c r="AI111" s="128" t="n">
        <f aca="false">SUM(AD111:AH111)</f>
        <v>0</v>
      </c>
      <c r="AJ111" s="6"/>
      <c r="AK111" s="129"/>
      <c r="AL111" s="6"/>
      <c r="AM111" s="6"/>
      <c r="AN111" s="6" t="n">
        <v>250000</v>
      </c>
      <c r="AO111" s="6"/>
      <c r="AP111" s="128" t="n">
        <f aca="false">SUM(AJ111:AO111)</f>
        <v>250000</v>
      </c>
      <c r="AQ111" s="6"/>
      <c r="AR111" s="6"/>
      <c r="AS111" s="6"/>
      <c r="AT111" s="6"/>
      <c r="AU111" s="6"/>
      <c r="AV111" s="6"/>
      <c r="AW111" s="6" t="n">
        <v>0</v>
      </c>
      <c r="AX111" s="128" t="n">
        <f aca="false">SUM(AQ111:AW111)</f>
        <v>0</v>
      </c>
      <c r="AY111" s="6"/>
      <c r="AZ111" s="6"/>
      <c r="BA111" s="6"/>
      <c r="BB111" s="6"/>
      <c r="BC111" s="6"/>
      <c r="BD111" s="128" t="n">
        <f aca="false">SUM(AY111:BC111)</f>
        <v>0</v>
      </c>
      <c r="BE111" s="130"/>
      <c r="BF111" s="6" t="n">
        <f aca="false">AC111+X111+AI111+AP111+AX111+BD111</f>
        <v>250000</v>
      </c>
      <c r="BG111" s="131" t="n">
        <f aca="false">+N111-BF111</f>
        <v>0</v>
      </c>
      <c r="BI111" s="31"/>
    </row>
    <row r="112" customFormat="false" ht="12.75" hidden="false" customHeight="false" outlineLevel="0" collapsed="false">
      <c r="A112" s="58" t="n">
        <v>75</v>
      </c>
      <c r="B112" s="58" t="s">
        <v>584</v>
      </c>
      <c r="C112" s="1" t="n">
        <v>45541</v>
      </c>
      <c r="D112" s="40"/>
      <c r="E112" s="2" t="s">
        <v>464</v>
      </c>
      <c r="F112" s="2" t="s">
        <v>457</v>
      </c>
      <c r="G112" s="2" t="s">
        <v>459</v>
      </c>
      <c r="I112" s="1" t="s">
        <v>460</v>
      </c>
      <c r="J112" s="59" t="s">
        <v>962</v>
      </c>
      <c r="K112" s="59" t="s">
        <v>871</v>
      </c>
      <c r="L112" s="42"/>
      <c r="N112" s="65" t="n">
        <v>200000</v>
      </c>
      <c r="P112" s="5" t="n">
        <v>200000</v>
      </c>
      <c r="R112" s="6"/>
      <c r="S112" s="6"/>
      <c r="T112" s="6"/>
      <c r="U112" s="6"/>
      <c r="V112" s="6"/>
      <c r="W112" s="6"/>
      <c r="X112" s="128" t="n">
        <f aca="false">SUM(S112:W112)</f>
        <v>0</v>
      </c>
      <c r="Y112" s="6"/>
      <c r="Z112" s="6"/>
      <c r="AA112" s="6"/>
      <c r="AB112" s="6"/>
      <c r="AC112" s="128" t="n">
        <f aca="false">SUM(Y112:AB112)</f>
        <v>0</v>
      </c>
      <c r="AD112" s="6"/>
      <c r="AE112" s="6"/>
      <c r="AF112" s="6"/>
      <c r="AG112" s="6"/>
      <c r="AH112" s="6"/>
      <c r="AI112" s="128" t="n">
        <f aca="false">SUM(AD112:AH112)</f>
        <v>0</v>
      </c>
      <c r="AJ112" s="6"/>
      <c r="AK112" s="129"/>
      <c r="AL112" s="6"/>
      <c r="AM112" s="6"/>
      <c r="AN112" s="6"/>
      <c r="AO112" s="6"/>
      <c r="AP112" s="128" t="n">
        <f aca="false">SUM(AJ112:AO112)</f>
        <v>0</v>
      </c>
      <c r="AQ112" s="6" t="n">
        <v>200000</v>
      </c>
      <c r="AR112" s="6"/>
      <c r="AS112" s="6"/>
      <c r="AT112" s="6"/>
      <c r="AU112" s="6"/>
      <c r="AV112" s="6"/>
      <c r="AW112" s="6" t="n">
        <v>0</v>
      </c>
      <c r="AX112" s="128" t="n">
        <f aca="false">SUM(AQ112:AW112)</f>
        <v>200000</v>
      </c>
      <c r="AY112" s="6"/>
      <c r="AZ112" s="6"/>
      <c r="BA112" s="6"/>
      <c r="BB112" s="6"/>
      <c r="BC112" s="6"/>
      <c r="BD112" s="128" t="n">
        <f aca="false">SUM(AY112:BC112)</f>
        <v>0</v>
      </c>
      <c r="BE112" s="130"/>
      <c r="BF112" s="6" t="n">
        <f aca="false">AC112+X112+AI112+AP112+AX112+BD112</f>
        <v>200000</v>
      </c>
      <c r="BG112" s="131" t="n">
        <f aca="false">+N112-BF112</f>
        <v>0</v>
      </c>
    </row>
    <row r="113" customFormat="false" ht="12.75" hidden="false" customHeight="false" outlineLevel="0" collapsed="false">
      <c r="A113" s="58" t="n">
        <v>75</v>
      </c>
      <c r="B113" s="58" t="s">
        <v>589</v>
      </c>
      <c r="C113" s="1" t="n">
        <v>45560</v>
      </c>
      <c r="D113" s="40"/>
      <c r="E113" s="2" t="s">
        <v>465</v>
      </c>
      <c r="F113" s="2" t="s">
        <v>457</v>
      </c>
      <c r="G113" s="2" t="s">
        <v>459</v>
      </c>
      <c r="I113" s="1" t="s">
        <v>460</v>
      </c>
      <c r="J113" s="59" t="s">
        <v>963</v>
      </c>
      <c r="K113" s="59" t="s">
        <v>871</v>
      </c>
      <c r="L113" s="42"/>
      <c r="N113" s="65" t="n">
        <v>124093</v>
      </c>
      <c r="P113" s="5" t="n">
        <v>124093</v>
      </c>
      <c r="R113" s="6"/>
      <c r="S113" s="6"/>
      <c r="T113" s="6"/>
      <c r="U113" s="6"/>
      <c r="V113" s="6"/>
      <c r="W113" s="6"/>
      <c r="X113" s="128" t="n">
        <f aca="false">SUM(S113:W113)</f>
        <v>0</v>
      </c>
      <c r="Y113" s="6"/>
      <c r="Z113" s="6"/>
      <c r="AA113" s="6"/>
      <c r="AB113" s="6"/>
      <c r="AC113" s="128" t="n">
        <f aca="false">SUM(Y113:AB113)</f>
        <v>0</v>
      </c>
      <c r="AD113" s="6"/>
      <c r="AE113" s="6"/>
      <c r="AF113" s="6"/>
      <c r="AG113" s="6"/>
      <c r="AH113" s="6"/>
      <c r="AI113" s="128" t="n">
        <f aca="false">SUM(AD113:AH113)</f>
        <v>0</v>
      </c>
      <c r="AJ113" s="6"/>
      <c r="AK113" s="129"/>
      <c r="AL113" s="6"/>
      <c r="AM113" s="6"/>
      <c r="AN113" s="6"/>
      <c r="AO113" s="6"/>
      <c r="AP113" s="128" t="n">
        <f aca="false">SUM(AJ113:AO113)</f>
        <v>0</v>
      </c>
      <c r="AQ113" s="6"/>
      <c r="AR113" s="6" t="n">
        <v>75000</v>
      </c>
      <c r="AS113" s="6"/>
      <c r="AT113" s="6" t="n">
        <v>49093</v>
      </c>
      <c r="AU113" s="6"/>
      <c r="AV113" s="6"/>
      <c r="AW113" s="6" t="n">
        <v>0</v>
      </c>
      <c r="AX113" s="128" t="n">
        <f aca="false">SUM(AQ113:AW113)</f>
        <v>124093</v>
      </c>
      <c r="AY113" s="6"/>
      <c r="AZ113" s="6"/>
      <c r="BA113" s="6"/>
      <c r="BB113" s="6"/>
      <c r="BC113" s="6"/>
      <c r="BD113" s="128" t="n">
        <f aca="false">SUM(AY113:BC113)</f>
        <v>0</v>
      </c>
      <c r="BE113" s="130"/>
      <c r="BF113" s="6" t="n">
        <f aca="false">AC113+X113+AI113+AP113+AX113+BD113</f>
        <v>124093</v>
      </c>
      <c r="BG113" s="131" t="n">
        <f aca="false">+N113-BF113</f>
        <v>0</v>
      </c>
      <c r="BI113" s="31"/>
    </row>
    <row r="114" customFormat="false" ht="12.75" hidden="false" customHeight="false" outlineLevel="0" collapsed="false">
      <c r="A114" s="58" t="n">
        <v>75</v>
      </c>
      <c r="B114" s="58" t="s">
        <v>756</v>
      </c>
      <c r="C114" s="1" t="n">
        <v>45560</v>
      </c>
      <c r="D114" s="40"/>
      <c r="E114" s="2" t="s">
        <v>465</v>
      </c>
      <c r="F114" s="2" t="s">
        <v>457</v>
      </c>
      <c r="G114" s="2" t="s">
        <v>459</v>
      </c>
      <c r="I114" s="1" t="s">
        <v>460</v>
      </c>
      <c r="J114" s="59" t="s">
        <v>964</v>
      </c>
      <c r="K114" s="59" t="s">
        <v>871</v>
      </c>
      <c r="L114" s="42"/>
      <c r="N114" s="65" t="n">
        <v>3549</v>
      </c>
      <c r="P114" s="5" t="n">
        <v>3549</v>
      </c>
      <c r="R114" s="6"/>
      <c r="S114" s="6"/>
      <c r="T114" s="6"/>
      <c r="U114" s="6"/>
      <c r="V114" s="6"/>
      <c r="W114" s="6"/>
      <c r="X114" s="128" t="n">
        <f aca="false">SUM(S114:W114)</f>
        <v>0</v>
      </c>
      <c r="Y114" s="6"/>
      <c r="Z114" s="6"/>
      <c r="AA114" s="6"/>
      <c r="AB114" s="6"/>
      <c r="AC114" s="128" t="n">
        <f aca="false">SUM(Y114:AB114)</f>
        <v>0</v>
      </c>
      <c r="AD114" s="6"/>
      <c r="AE114" s="6"/>
      <c r="AF114" s="6"/>
      <c r="AG114" s="6"/>
      <c r="AH114" s="6"/>
      <c r="AI114" s="128" t="n">
        <f aca="false">SUM(AD114:AH114)</f>
        <v>0</v>
      </c>
      <c r="AJ114" s="6"/>
      <c r="AK114" s="129"/>
      <c r="AL114" s="6"/>
      <c r="AM114" s="6"/>
      <c r="AN114" s="6"/>
      <c r="AO114" s="6"/>
      <c r="AP114" s="128" t="n">
        <f aca="false">SUM(AJ114:AO114)</f>
        <v>0</v>
      </c>
      <c r="AQ114" s="6"/>
      <c r="AR114" s="6" t="n">
        <v>3549</v>
      </c>
      <c r="AS114" s="6"/>
      <c r="AT114" s="6"/>
      <c r="AU114" s="6"/>
      <c r="AV114" s="6"/>
      <c r="AW114" s="6" t="n">
        <v>0</v>
      </c>
      <c r="AX114" s="128" t="n">
        <f aca="false">SUM(AQ114:AW114)</f>
        <v>3549</v>
      </c>
      <c r="AY114" s="6"/>
      <c r="AZ114" s="6"/>
      <c r="BA114" s="6"/>
      <c r="BB114" s="6"/>
      <c r="BC114" s="6"/>
      <c r="BD114" s="128" t="n">
        <f aca="false">SUM(AY114:BC114)</f>
        <v>0</v>
      </c>
      <c r="BE114" s="130"/>
      <c r="BF114" s="6" t="n">
        <f aca="false">AC114+X114+AI114+AP114+AX114+BD114</f>
        <v>3549</v>
      </c>
      <c r="BG114" s="131" t="n">
        <f aca="false">+N114-BF114</f>
        <v>0</v>
      </c>
    </row>
    <row r="115" customFormat="false" ht="12.75" hidden="false" customHeight="false" outlineLevel="0" collapsed="false">
      <c r="A115" s="58" t="n">
        <v>75</v>
      </c>
      <c r="B115" s="58" t="s">
        <v>594</v>
      </c>
      <c r="C115" s="1" t="n">
        <v>45608</v>
      </c>
      <c r="D115" s="40"/>
      <c r="E115" s="2" t="s">
        <v>466</v>
      </c>
      <c r="F115" s="2" t="s">
        <v>457</v>
      </c>
      <c r="G115" s="2" t="s">
        <v>459</v>
      </c>
      <c r="I115" s="1" t="s">
        <v>460</v>
      </c>
      <c r="J115" s="59" t="s">
        <v>965</v>
      </c>
      <c r="K115" s="59" t="s">
        <v>871</v>
      </c>
      <c r="L115" s="42"/>
      <c r="N115" s="65" t="n">
        <v>400000</v>
      </c>
      <c r="P115" s="5" t="n">
        <v>400000</v>
      </c>
      <c r="R115" s="6"/>
      <c r="S115" s="6"/>
      <c r="T115" s="6"/>
      <c r="U115" s="6"/>
      <c r="V115" s="6"/>
      <c r="W115" s="6"/>
      <c r="X115" s="128" t="n">
        <f aca="false">SUM(S115:W115)</f>
        <v>0</v>
      </c>
      <c r="Y115" s="6"/>
      <c r="Z115" s="6"/>
      <c r="AA115" s="6"/>
      <c r="AB115" s="6"/>
      <c r="AC115" s="128" t="n">
        <f aca="false">SUM(Y115:AB115)</f>
        <v>0</v>
      </c>
      <c r="AD115" s="6"/>
      <c r="AE115" s="6"/>
      <c r="AF115" s="6"/>
      <c r="AG115" s="6"/>
      <c r="AH115" s="6"/>
      <c r="AI115" s="128" t="n">
        <f aca="false">SUM(AD115:AH115)</f>
        <v>0</v>
      </c>
      <c r="AJ115" s="6"/>
      <c r="AK115" s="129"/>
      <c r="AL115" s="6"/>
      <c r="AM115" s="6"/>
      <c r="AN115" s="6"/>
      <c r="AO115" s="6"/>
      <c r="AP115" s="128" t="n">
        <f aca="false">SUM(AJ115:AO115)</f>
        <v>0</v>
      </c>
      <c r="AQ115" s="6"/>
      <c r="AR115" s="6" t="n">
        <v>400000</v>
      </c>
      <c r="AS115" s="6"/>
      <c r="AT115" s="6"/>
      <c r="AU115" s="6"/>
      <c r="AV115" s="6"/>
      <c r="AW115" s="6" t="n">
        <v>0</v>
      </c>
      <c r="AX115" s="128" t="n">
        <f aca="false">SUM(AQ115:AW115)</f>
        <v>400000</v>
      </c>
      <c r="AY115" s="6"/>
      <c r="AZ115" s="6"/>
      <c r="BA115" s="6"/>
      <c r="BB115" s="6"/>
      <c r="BC115" s="6"/>
      <c r="BD115" s="128" t="n">
        <f aca="false">SUM(AY115:BC115)</f>
        <v>0</v>
      </c>
      <c r="BE115" s="130"/>
      <c r="BF115" s="6" t="n">
        <f aca="false">AC115+X115+AI115+AP115+AX115+BD115</f>
        <v>400000</v>
      </c>
      <c r="BG115" s="131" t="n">
        <f aca="false">+N115-BF115</f>
        <v>0</v>
      </c>
      <c r="BI115" s="31"/>
    </row>
    <row r="116" customFormat="false" ht="12.75" hidden="false" customHeight="false" outlineLevel="0" collapsed="false">
      <c r="A116" s="58" t="n">
        <v>75</v>
      </c>
      <c r="B116" s="58" t="s">
        <v>761</v>
      </c>
      <c r="C116" s="1" t="n">
        <v>45695</v>
      </c>
      <c r="E116" s="2" t="s">
        <v>467</v>
      </c>
      <c r="F116" s="2" t="s">
        <v>457</v>
      </c>
      <c r="G116" s="2" t="s">
        <v>459</v>
      </c>
      <c r="I116" s="1" t="s">
        <v>460</v>
      </c>
      <c r="J116" s="59" t="s">
        <v>966</v>
      </c>
      <c r="K116" s="59" t="s">
        <v>871</v>
      </c>
      <c r="L116" s="42"/>
      <c r="N116" s="65" t="n">
        <v>600000</v>
      </c>
      <c r="P116" s="5" t="n">
        <v>600000</v>
      </c>
      <c r="R116" s="6"/>
      <c r="S116" s="6"/>
      <c r="T116" s="6"/>
      <c r="U116" s="6"/>
      <c r="V116" s="6"/>
      <c r="W116" s="6"/>
      <c r="X116" s="128" t="n">
        <f aca="false">SUM(S116:W116)</f>
        <v>0</v>
      </c>
      <c r="Y116" s="6"/>
      <c r="Z116" s="6"/>
      <c r="AA116" s="6"/>
      <c r="AB116" s="6"/>
      <c r="AC116" s="128" t="n">
        <f aca="false">SUM(Y116:AB116)</f>
        <v>0</v>
      </c>
      <c r="AD116" s="6"/>
      <c r="AE116" s="6"/>
      <c r="AF116" s="6"/>
      <c r="AG116" s="6"/>
      <c r="AH116" s="6"/>
      <c r="AI116" s="128" t="n">
        <f aca="false">SUM(AD116:AH116)</f>
        <v>0</v>
      </c>
      <c r="AJ116" s="6"/>
      <c r="AK116" s="129"/>
      <c r="AL116" s="6"/>
      <c r="AM116" s="6"/>
      <c r="AN116" s="6"/>
      <c r="AO116" s="6"/>
      <c r="AP116" s="128" t="n">
        <f aca="false">SUM(AJ116:AO116)</f>
        <v>0</v>
      </c>
      <c r="AQ116" s="6"/>
      <c r="AR116" s="6"/>
      <c r="AS116" s="6"/>
      <c r="AT116" s="6" t="n">
        <v>600000</v>
      </c>
      <c r="AU116" s="6"/>
      <c r="AV116" s="6"/>
      <c r="AW116" s="6" t="n">
        <v>0</v>
      </c>
      <c r="AX116" s="128" t="n">
        <f aca="false">SUM(AQ116:AW116)</f>
        <v>600000</v>
      </c>
      <c r="AY116" s="6"/>
      <c r="AZ116" s="6"/>
      <c r="BA116" s="6"/>
      <c r="BB116" s="6"/>
      <c r="BC116" s="6"/>
      <c r="BD116" s="128" t="n">
        <f aca="false">SUM(AY116:BC116)</f>
        <v>0</v>
      </c>
      <c r="BE116" s="130"/>
      <c r="BF116" s="6" t="n">
        <f aca="false">AC116+X116+AI116+AP116+AX116+BD116</f>
        <v>600000</v>
      </c>
      <c r="BG116" s="131" t="n">
        <f aca="false">+N116-BF116</f>
        <v>0</v>
      </c>
    </row>
    <row r="117" customFormat="false" ht="12.75" hidden="false" customHeight="false" outlineLevel="0" collapsed="false">
      <c r="A117" s="58" t="n">
        <v>75</v>
      </c>
      <c r="B117" s="58" t="s">
        <v>599</v>
      </c>
      <c r="C117" s="1" t="n">
        <v>45812</v>
      </c>
      <c r="E117" s="2" t="s">
        <v>468</v>
      </c>
      <c r="F117" s="2" t="s">
        <v>457</v>
      </c>
      <c r="G117" s="2" t="s">
        <v>459</v>
      </c>
      <c r="I117" s="1" t="s">
        <v>460</v>
      </c>
      <c r="J117" s="59" t="s">
        <v>967</v>
      </c>
      <c r="K117" s="59" t="s">
        <v>871</v>
      </c>
      <c r="L117" s="42"/>
      <c r="N117" s="65" t="n">
        <v>600000</v>
      </c>
      <c r="P117" s="5" t="n">
        <v>600000</v>
      </c>
      <c r="R117" s="6"/>
      <c r="S117" s="6"/>
      <c r="T117" s="6"/>
      <c r="U117" s="6"/>
      <c r="V117" s="6"/>
      <c r="W117" s="6"/>
      <c r="X117" s="128" t="n">
        <f aca="false">SUM(S117:W117)</f>
        <v>0</v>
      </c>
      <c r="Y117" s="6"/>
      <c r="Z117" s="6"/>
      <c r="AA117" s="6"/>
      <c r="AB117" s="6"/>
      <c r="AC117" s="128" t="n">
        <f aca="false">SUM(Y117:AB117)</f>
        <v>0</v>
      </c>
      <c r="AD117" s="6"/>
      <c r="AE117" s="6"/>
      <c r="AF117" s="6"/>
      <c r="AG117" s="6"/>
      <c r="AH117" s="6"/>
      <c r="AI117" s="128" t="n">
        <f aca="false">SUM(AD117:AH117)</f>
        <v>0</v>
      </c>
      <c r="AJ117" s="6"/>
      <c r="AK117" s="129"/>
      <c r="AL117" s="6"/>
      <c r="AM117" s="6"/>
      <c r="AN117" s="6"/>
      <c r="AO117" s="6"/>
      <c r="AP117" s="128" t="n">
        <f aca="false">SUM(AJ117:AO117)</f>
        <v>0</v>
      </c>
      <c r="AQ117" s="6"/>
      <c r="AR117" s="6"/>
      <c r="AS117" s="6"/>
      <c r="AT117" s="6"/>
      <c r="AU117" s="6"/>
      <c r="AV117" s="6" t="n">
        <v>600000</v>
      </c>
      <c r="AW117" s="6" t="n">
        <v>0</v>
      </c>
      <c r="AX117" s="128" t="n">
        <f aca="false">SUM(AQ117:AW117)</f>
        <v>600000</v>
      </c>
      <c r="AY117" s="6"/>
      <c r="AZ117" s="6"/>
      <c r="BA117" s="6"/>
      <c r="BB117" s="6"/>
      <c r="BC117" s="6"/>
      <c r="BD117" s="128" t="n">
        <f aca="false">SUM(AY117:BC117)</f>
        <v>0</v>
      </c>
      <c r="BE117" s="130"/>
      <c r="BF117" s="6" t="n">
        <f aca="false">AC117+X117+AI117+AP117+AX117+BD117</f>
        <v>600000</v>
      </c>
      <c r="BG117" s="131" t="n">
        <f aca="false">+N117-BF117</f>
        <v>0</v>
      </c>
    </row>
    <row r="118" customFormat="false" ht="12.75" hidden="false" customHeight="false" outlineLevel="0" collapsed="false">
      <c r="A118" s="58" t="n">
        <v>75</v>
      </c>
      <c r="B118" s="58" t="s">
        <v>604</v>
      </c>
      <c r="C118" s="1" t="n">
        <v>45994</v>
      </c>
      <c r="E118" s="2" t="s">
        <v>469</v>
      </c>
      <c r="F118" s="2" t="s">
        <v>457</v>
      </c>
      <c r="G118" s="2" t="s">
        <v>459</v>
      </c>
      <c r="I118" s="1" t="s">
        <v>460</v>
      </c>
      <c r="J118" s="59" t="s">
        <v>968</v>
      </c>
      <c r="K118" s="59" t="s">
        <v>871</v>
      </c>
      <c r="L118" s="42"/>
      <c r="N118" s="65" t="n">
        <v>1000000</v>
      </c>
      <c r="P118" s="5" t="n">
        <v>1000000</v>
      </c>
      <c r="R118" s="6"/>
      <c r="S118" s="6"/>
      <c r="T118" s="6"/>
      <c r="U118" s="6"/>
      <c r="V118" s="6"/>
      <c r="W118" s="6"/>
      <c r="X118" s="128" t="n">
        <f aca="false">SUM(S118:W118)</f>
        <v>0</v>
      </c>
      <c r="Y118" s="6"/>
      <c r="Z118" s="6"/>
      <c r="AA118" s="6"/>
      <c r="AB118" s="6"/>
      <c r="AC118" s="128" t="n">
        <f aca="false">SUM(Y118:AB118)</f>
        <v>0</v>
      </c>
      <c r="AD118" s="6"/>
      <c r="AE118" s="6"/>
      <c r="AF118" s="6"/>
      <c r="AG118" s="6"/>
      <c r="AH118" s="6"/>
      <c r="AI118" s="128" t="n">
        <f aca="false">SUM(AD118:AH118)</f>
        <v>0</v>
      </c>
      <c r="AJ118" s="6"/>
      <c r="AK118" s="129"/>
      <c r="AL118" s="6"/>
      <c r="AM118" s="6"/>
      <c r="AN118" s="6"/>
      <c r="AO118" s="6"/>
      <c r="AP118" s="128" t="n">
        <f aca="false">SUM(AJ118:AO118)</f>
        <v>0</v>
      </c>
      <c r="AQ118" s="6"/>
      <c r="AR118" s="6"/>
      <c r="AS118" s="6"/>
      <c r="AT118" s="6"/>
      <c r="AU118" s="6"/>
      <c r="AV118" s="6"/>
      <c r="AW118" s="6" t="n">
        <v>0</v>
      </c>
      <c r="AX118" s="128" t="n">
        <f aca="false">SUM(AQ118:AW118)</f>
        <v>0</v>
      </c>
      <c r="AY118" s="6" t="n">
        <v>1000000</v>
      </c>
      <c r="AZ118" s="6"/>
      <c r="BA118" s="6"/>
      <c r="BB118" s="6"/>
      <c r="BC118" s="6"/>
      <c r="BD118" s="128" t="n">
        <f aca="false">SUM(AY118:BC118)</f>
        <v>1000000</v>
      </c>
      <c r="BE118" s="130"/>
      <c r="BF118" s="6" t="n">
        <f aca="false">AC118+X118+AI118+AP118+AX118+BD118</f>
        <v>1000000</v>
      </c>
      <c r="BG118" s="131" t="n">
        <f aca="false">+N118-BF118</f>
        <v>0</v>
      </c>
    </row>
    <row r="119" customFormat="false" ht="12.75" hidden="false" customHeight="false" outlineLevel="0" collapsed="false">
      <c r="A119" s="58" t="n">
        <v>75</v>
      </c>
      <c r="C119" s="1" t="n">
        <v>46098</v>
      </c>
      <c r="D119" s="1" t="n">
        <f aca="false">C119+30</f>
        <v>46128</v>
      </c>
      <c r="E119" s="2" t="s">
        <v>470</v>
      </c>
      <c r="F119" s="2" t="s">
        <v>457</v>
      </c>
      <c r="G119" s="2" t="s">
        <v>459</v>
      </c>
      <c r="I119" s="1" t="s">
        <v>460</v>
      </c>
      <c r="J119" s="59" t="s">
        <v>969</v>
      </c>
      <c r="K119" s="59"/>
      <c r="N119" s="65" t="n">
        <v>655000</v>
      </c>
      <c r="P119" s="5" t="n">
        <v>655000</v>
      </c>
      <c r="R119" s="6"/>
      <c r="S119" s="6"/>
      <c r="T119" s="6"/>
      <c r="U119" s="6"/>
      <c r="V119" s="6"/>
      <c r="W119" s="6"/>
      <c r="X119" s="128" t="n">
        <f aca="false">SUM(S119:W119)</f>
        <v>0</v>
      </c>
      <c r="Y119" s="6"/>
      <c r="Z119" s="6"/>
      <c r="AA119" s="6"/>
      <c r="AB119" s="6"/>
      <c r="AC119" s="128" t="n">
        <f aca="false">SUM(Y119:AB119)</f>
        <v>0</v>
      </c>
      <c r="AD119" s="6"/>
      <c r="AE119" s="6"/>
      <c r="AF119" s="6"/>
      <c r="AG119" s="6"/>
      <c r="AH119" s="6"/>
      <c r="AI119" s="128" t="n">
        <f aca="false">SUM(AD119:AH119)</f>
        <v>0</v>
      </c>
      <c r="AJ119" s="6"/>
      <c r="AK119" s="129"/>
      <c r="AL119" s="6"/>
      <c r="AM119" s="6"/>
      <c r="AN119" s="6"/>
      <c r="AO119" s="6"/>
      <c r="AP119" s="128" t="n">
        <f aca="false">SUM(AJ119:AO119)</f>
        <v>0</v>
      </c>
      <c r="AQ119" s="6"/>
      <c r="AR119" s="6"/>
      <c r="AS119" s="6"/>
      <c r="AT119" s="6"/>
      <c r="AU119" s="6"/>
      <c r="AV119" s="6"/>
      <c r="AW119" s="6"/>
      <c r="AX119" s="128" t="n">
        <f aca="false">SUM(AQ119:AW119)</f>
        <v>0</v>
      </c>
      <c r="AY119" s="6"/>
      <c r="AZ119" s="6"/>
      <c r="BA119" s="6"/>
      <c r="BB119" s="6"/>
      <c r="BC119" s="6"/>
      <c r="BD119" s="128" t="n">
        <f aca="false">SUM(AY119:BC119)</f>
        <v>0</v>
      </c>
      <c r="BE119" s="130"/>
      <c r="BF119" s="6" t="n">
        <f aca="false">AC119+X119+AI119+AP119+AX119+BD119</f>
        <v>0</v>
      </c>
      <c r="BG119" s="131" t="n">
        <f aca="false">+N119-BF119</f>
        <v>655000</v>
      </c>
    </row>
    <row r="120" customFormat="false" ht="12.75" hidden="false" customHeight="false" outlineLevel="0" collapsed="false">
      <c r="A120" s="58" t="n">
        <v>76</v>
      </c>
      <c r="B120" s="58" t="s">
        <v>609</v>
      </c>
      <c r="C120" s="1" t="n">
        <v>45245</v>
      </c>
      <c r="E120" s="2" t="s">
        <v>471</v>
      </c>
      <c r="F120" s="2" t="s">
        <v>472</v>
      </c>
      <c r="G120" s="2" t="s">
        <v>474</v>
      </c>
      <c r="I120" s="1" t="s">
        <v>475</v>
      </c>
      <c r="J120" s="59" t="s">
        <v>970</v>
      </c>
      <c r="K120" s="59" t="s">
        <v>871</v>
      </c>
      <c r="L120" s="42" t="n">
        <v>250000</v>
      </c>
      <c r="N120" s="5" t="n">
        <v>50000</v>
      </c>
      <c r="P120" s="5" t="n">
        <v>50000</v>
      </c>
      <c r="R120" s="6"/>
      <c r="S120" s="6"/>
      <c r="T120" s="6"/>
      <c r="U120" s="6"/>
      <c r="V120" s="6"/>
      <c r="W120" s="6"/>
      <c r="X120" s="128" t="n">
        <f aca="false">SUM(S120:W120)</f>
        <v>0</v>
      </c>
      <c r="Y120" s="6"/>
      <c r="Z120" s="6"/>
      <c r="AA120" s="6"/>
      <c r="AB120" s="6"/>
      <c r="AC120" s="128" t="n">
        <f aca="false">SUM(Y120:AB120)</f>
        <v>0</v>
      </c>
      <c r="AD120" s="6"/>
      <c r="AE120" s="6"/>
      <c r="AF120" s="6"/>
      <c r="AG120" s="6"/>
      <c r="AH120" s="6"/>
      <c r="AI120" s="128" t="n">
        <f aca="false">SUM(AD120:AH120)</f>
        <v>0</v>
      </c>
      <c r="AJ120" s="6"/>
      <c r="AK120" s="129"/>
      <c r="AL120" s="6" t="n">
        <v>50000</v>
      </c>
      <c r="AM120" s="6"/>
      <c r="AN120" s="6"/>
      <c r="AO120" s="6"/>
      <c r="AP120" s="128" t="n">
        <f aca="false">SUM(AJ120:AO120)</f>
        <v>50000</v>
      </c>
      <c r="AQ120" s="6"/>
      <c r="AR120" s="6"/>
      <c r="AS120" s="6"/>
      <c r="AT120" s="6"/>
      <c r="AU120" s="6"/>
      <c r="AV120" s="6"/>
      <c r="AW120" s="6" t="n">
        <v>0</v>
      </c>
      <c r="AX120" s="128" t="n">
        <f aca="false">SUM(AQ120:AW120)</f>
        <v>0</v>
      </c>
      <c r="AY120" s="6"/>
      <c r="AZ120" s="6"/>
      <c r="BA120" s="6"/>
      <c r="BB120" s="6"/>
      <c r="BC120" s="6"/>
      <c r="BD120" s="128" t="n">
        <f aca="false">SUM(AY120:BC120)</f>
        <v>0</v>
      </c>
      <c r="BE120" s="130"/>
      <c r="BF120" s="6" t="n">
        <f aca="false">AC120+X120+AI120+AP120+AX120+BD120</f>
        <v>50000</v>
      </c>
      <c r="BG120" s="131" t="n">
        <f aca="false">+N120-BF120</f>
        <v>0</v>
      </c>
    </row>
    <row r="121" customFormat="false" ht="12.75" hidden="false" customHeight="false" outlineLevel="0" collapsed="false">
      <c r="A121" s="58" t="n">
        <v>76</v>
      </c>
      <c r="B121" s="58" t="s">
        <v>971</v>
      </c>
      <c r="C121" s="1" t="n">
        <v>45279</v>
      </c>
      <c r="E121" s="2" t="s">
        <v>476</v>
      </c>
      <c r="F121" s="2" t="s">
        <v>472</v>
      </c>
      <c r="G121" s="2" t="s">
        <v>474</v>
      </c>
      <c r="I121" s="1" t="s">
        <v>475</v>
      </c>
      <c r="J121" s="59" t="s">
        <v>972</v>
      </c>
      <c r="K121" s="59" t="s">
        <v>871</v>
      </c>
      <c r="L121" s="42"/>
      <c r="N121" s="5" t="n">
        <v>100000</v>
      </c>
      <c r="P121" s="5" t="n">
        <v>100000</v>
      </c>
      <c r="R121" s="6"/>
      <c r="S121" s="6"/>
      <c r="T121" s="6"/>
      <c r="U121" s="6"/>
      <c r="V121" s="6"/>
      <c r="W121" s="6"/>
      <c r="X121" s="128" t="n">
        <f aca="false">SUM(S121:W121)</f>
        <v>0</v>
      </c>
      <c r="Y121" s="6"/>
      <c r="Z121" s="6"/>
      <c r="AA121" s="6"/>
      <c r="AB121" s="6"/>
      <c r="AC121" s="128" t="n">
        <f aca="false">SUM(Y121:AB121)</f>
        <v>0</v>
      </c>
      <c r="AD121" s="6"/>
      <c r="AE121" s="6"/>
      <c r="AF121" s="6"/>
      <c r="AG121" s="6"/>
      <c r="AH121" s="6"/>
      <c r="AI121" s="128" t="n">
        <f aca="false">SUM(AD121:AH121)</f>
        <v>0</v>
      </c>
      <c r="AJ121" s="6"/>
      <c r="AK121" s="129"/>
      <c r="AL121" s="6" t="n">
        <v>100000</v>
      </c>
      <c r="AM121" s="6"/>
      <c r="AN121" s="6"/>
      <c r="AO121" s="6"/>
      <c r="AP121" s="128" t="n">
        <f aca="false">SUM(AJ121:AO121)</f>
        <v>100000</v>
      </c>
      <c r="AQ121" s="6"/>
      <c r="AR121" s="6"/>
      <c r="AS121" s="6"/>
      <c r="AT121" s="6"/>
      <c r="AU121" s="6"/>
      <c r="AV121" s="6"/>
      <c r="AW121" s="6" t="n">
        <v>0</v>
      </c>
      <c r="AX121" s="128" t="n">
        <f aca="false">SUM(AQ121:AW121)</f>
        <v>0</v>
      </c>
      <c r="AY121" s="6"/>
      <c r="AZ121" s="6"/>
      <c r="BA121" s="6"/>
      <c r="BB121" s="6"/>
      <c r="BC121" s="6"/>
      <c r="BD121" s="128" t="n">
        <f aca="false">SUM(AY121:BC121)</f>
        <v>0</v>
      </c>
      <c r="BE121" s="130"/>
      <c r="BF121" s="6" t="n">
        <f aca="false">AC121+X121+AI121+AP121+AX121+BD121</f>
        <v>100000</v>
      </c>
      <c r="BG121" s="131" t="n">
        <f aca="false">+N121-BF121</f>
        <v>0</v>
      </c>
    </row>
    <row r="122" customFormat="false" ht="12.75" hidden="false" customHeight="false" outlineLevel="0" collapsed="false">
      <c r="A122" s="58" t="n">
        <v>76</v>
      </c>
      <c r="B122" s="58" t="s">
        <v>614</v>
      </c>
      <c r="C122" s="1" t="n">
        <v>45333</v>
      </c>
      <c r="E122" s="2" t="s">
        <v>462</v>
      </c>
      <c r="F122" s="2" t="s">
        <v>472</v>
      </c>
      <c r="G122" s="2" t="s">
        <v>474</v>
      </c>
      <c r="I122" s="1" t="s">
        <v>475</v>
      </c>
      <c r="J122" s="59" t="s">
        <v>972</v>
      </c>
      <c r="K122" s="59" t="s">
        <v>871</v>
      </c>
      <c r="L122" s="42"/>
      <c r="N122" s="5" t="n">
        <v>100000</v>
      </c>
      <c r="P122" s="5" t="n">
        <v>100000</v>
      </c>
      <c r="R122" s="6"/>
      <c r="S122" s="6"/>
      <c r="T122" s="6"/>
      <c r="U122" s="6"/>
      <c r="V122" s="6"/>
      <c r="W122" s="6"/>
      <c r="X122" s="128" t="n">
        <f aca="false">SUM(S122:W122)</f>
        <v>0</v>
      </c>
      <c r="Y122" s="6"/>
      <c r="Z122" s="6"/>
      <c r="AA122" s="6"/>
      <c r="AB122" s="6"/>
      <c r="AC122" s="128" t="n">
        <f aca="false">SUM(Y122:AB122)</f>
        <v>0</v>
      </c>
      <c r="AD122" s="6"/>
      <c r="AE122" s="6"/>
      <c r="AF122" s="6"/>
      <c r="AG122" s="6"/>
      <c r="AH122" s="6"/>
      <c r="AI122" s="128" t="n">
        <f aca="false">SUM(AD122:AH122)</f>
        <v>0</v>
      </c>
      <c r="AJ122" s="6"/>
      <c r="AK122" s="129"/>
      <c r="AL122" s="6"/>
      <c r="AM122" s="6" t="n">
        <v>100000</v>
      </c>
      <c r="AN122" s="6"/>
      <c r="AO122" s="6"/>
      <c r="AP122" s="128" t="n">
        <f aca="false">SUM(AJ122:AO122)</f>
        <v>100000</v>
      </c>
      <c r="AQ122" s="6"/>
      <c r="AR122" s="6"/>
      <c r="AS122" s="6"/>
      <c r="AT122" s="6"/>
      <c r="AU122" s="6"/>
      <c r="AV122" s="6"/>
      <c r="AW122" s="6" t="n">
        <v>0</v>
      </c>
      <c r="AX122" s="128" t="n">
        <f aca="false">SUM(AQ122:AW122)</f>
        <v>0</v>
      </c>
      <c r="AY122" s="6"/>
      <c r="AZ122" s="6"/>
      <c r="BA122" s="6"/>
      <c r="BB122" s="6"/>
      <c r="BC122" s="6"/>
      <c r="BD122" s="128" t="n">
        <f aca="false">SUM(AY122:BC122)</f>
        <v>0</v>
      </c>
      <c r="BE122" s="130"/>
      <c r="BF122" s="6" t="n">
        <f aca="false">AC122+X122+AI122+AP122+AX122+BD122</f>
        <v>100000</v>
      </c>
      <c r="BG122" s="131" t="n">
        <f aca="false">+N122-BF122</f>
        <v>0</v>
      </c>
    </row>
    <row r="123" customFormat="false" ht="12.75" hidden="false" customHeight="false" outlineLevel="0" collapsed="false">
      <c r="A123" s="58" t="n">
        <v>77</v>
      </c>
      <c r="B123" s="58" t="s">
        <v>619</v>
      </c>
      <c r="C123" s="1" t="n">
        <v>45260</v>
      </c>
      <c r="E123" s="2" t="s">
        <v>477</v>
      </c>
      <c r="F123" s="2" t="s">
        <v>478</v>
      </c>
      <c r="G123" s="2" t="s">
        <v>480</v>
      </c>
      <c r="I123" s="1" t="s">
        <v>481</v>
      </c>
      <c r="J123" s="59" t="s">
        <v>973</v>
      </c>
      <c r="K123" s="59" t="s">
        <v>871</v>
      </c>
      <c r="L123" s="42" t="n">
        <v>6000000</v>
      </c>
      <c r="N123" s="5" t="n">
        <v>6000000</v>
      </c>
      <c r="P123" s="5" t="n">
        <v>6000000</v>
      </c>
      <c r="R123" s="6"/>
      <c r="S123" s="6"/>
      <c r="T123" s="6"/>
      <c r="U123" s="6"/>
      <c r="V123" s="6"/>
      <c r="W123" s="6"/>
      <c r="X123" s="128" t="n">
        <f aca="false">SUM(S123:W123)</f>
        <v>0</v>
      </c>
      <c r="Y123" s="6"/>
      <c r="Z123" s="6"/>
      <c r="AA123" s="6"/>
      <c r="AB123" s="6"/>
      <c r="AC123" s="128" t="n">
        <f aca="false">SUM(Y123:AB123)</f>
        <v>0</v>
      </c>
      <c r="AD123" s="6"/>
      <c r="AE123" s="6"/>
      <c r="AF123" s="6"/>
      <c r="AG123" s="6"/>
      <c r="AH123" s="6"/>
      <c r="AI123" s="128" t="n">
        <f aca="false">SUM(AD123:AH123)</f>
        <v>0</v>
      </c>
      <c r="AJ123" s="6"/>
      <c r="AK123" s="129"/>
      <c r="AL123" s="6" t="n">
        <v>4000000</v>
      </c>
      <c r="AM123" s="6" t="n">
        <v>1500000</v>
      </c>
      <c r="AN123" s="6" t="n">
        <v>500000</v>
      </c>
      <c r="AO123" s="6"/>
      <c r="AP123" s="128" t="n">
        <f aca="false">SUM(AJ123:AO123)</f>
        <v>6000000</v>
      </c>
      <c r="AQ123" s="6"/>
      <c r="AR123" s="6"/>
      <c r="AS123" s="6"/>
      <c r="AT123" s="6"/>
      <c r="AU123" s="6"/>
      <c r="AV123" s="6"/>
      <c r="AW123" s="6" t="n">
        <v>0</v>
      </c>
      <c r="AX123" s="128" t="n">
        <f aca="false">SUM(AQ123:AW123)</f>
        <v>0</v>
      </c>
      <c r="AY123" s="6"/>
      <c r="AZ123" s="6"/>
      <c r="BA123" s="6"/>
      <c r="BB123" s="6"/>
      <c r="BC123" s="6"/>
      <c r="BD123" s="128" t="n">
        <f aca="false">SUM(AY123:BC123)</f>
        <v>0</v>
      </c>
      <c r="BE123" s="130"/>
      <c r="BF123" s="6" t="n">
        <f aca="false">AC123+X123+AI123+AP123+AX123+BD123</f>
        <v>6000000</v>
      </c>
      <c r="BG123" s="131" t="n">
        <f aca="false">+N123-BF123</f>
        <v>0</v>
      </c>
    </row>
    <row r="124" customFormat="false" ht="12.75" hidden="false" customHeight="false" outlineLevel="0" collapsed="false">
      <c r="A124" s="58" t="n">
        <v>78</v>
      </c>
      <c r="B124" s="58" t="s">
        <v>974</v>
      </c>
      <c r="C124" s="1" t="n">
        <v>45271</v>
      </c>
      <c r="E124" s="2" t="s">
        <v>482</v>
      </c>
      <c r="F124" s="2" t="s">
        <v>483</v>
      </c>
      <c r="G124" s="2" t="s">
        <v>485</v>
      </c>
      <c r="I124" s="1" t="s">
        <v>486</v>
      </c>
      <c r="J124" s="59" t="s">
        <v>975</v>
      </c>
      <c r="K124" s="59" t="s">
        <v>871</v>
      </c>
      <c r="L124" s="42" t="n">
        <v>320000</v>
      </c>
      <c r="N124" s="5" t="n">
        <v>320000</v>
      </c>
      <c r="P124" s="5" t="n">
        <v>320000</v>
      </c>
      <c r="R124" s="6"/>
      <c r="S124" s="6"/>
      <c r="T124" s="6"/>
      <c r="U124" s="6"/>
      <c r="V124" s="6"/>
      <c r="W124" s="6"/>
      <c r="X124" s="128" t="n">
        <f aca="false">SUM(S124:W124)</f>
        <v>0</v>
      </c>
      <c r="Y124" s="6"/>
      <c r="Z124" s="6"/>
      <c r="AA124" s="6"/>
      <c r="AB124" s="6"/>
      <c r="AC124" s="128" t="n">
        <f aca="false">SUM(Y124:AB124)</f>
        <v>0</v>
      </c>
      <c r="AD124" s="6"/>
      <c r="AE124" s="6"/>
      <c r="AF124" s="6"/>
      <c r="AG124" s="6"/>
      <c r="AH124" s="6"/>
      <c r="AI124" s="128" t="n">
        <f aca="false">SUM(AD124:AH124)</f>
        <v>0</v>
      </c>
      <c r="AJ124" s="6"/>
      <c r="AK124" s="129"/>
      <c r="AL124" s="6" t="n">
        <v>150000</v>
      </c>
      <c r="AM124" s="6" t="n">
        <v>50000</v>
      </c>
      <c r="AN124" s="6" t="n">
        <v>20000</v>
      </c>
      <c r="AO124" s="6"/>
      <c r="AP124" s="128" t="n">
        <f aca="false">SUM(AJ124:AO124)</f>
        <v>220000</v>
      </c>
      <c r="AQ124" s="6" t="n">
        <v>100000</v>
      </c>
      <c r="AR124" s="6"/>
      <c r="AS124" s="6"/>
      <c r="AT124" s="6"/>
      <c r="AU124" s="6"/>
      <c r="AV124" s="6"/>
      <c r="AW124" s="6" t="n">
        <v>0</v>
      </c>
      <c r="AX124" s="128" t="n">
        <f aca="false">SUM(AQ124:AW124)</f>
        <v>100000</v>
      </c>
      <c r="AY124" s="6"/>
      <c r="AZ124" s="6"/>
      <c r="BA124" s="6"/>
      <c r="BB124" s="6"/>
      <c r="BC124" s="6"/>
      <c r="BD124" s="128" t="n">
        <f aca="false">SUM(AY124:BC124)</f>
        <v>0</v>
      </c>
      <c r="BE124" s="130"/>
      <c r="BF124" s="6" t="n">
        <f aca="false">AC124+X124+AI124+AP124+AX124+BD124</f>
        <v>320000</v>
      </c>
      <c r="BG124" s="131" t="n">
        <f aca="false">+N124-BF124</f>
        <v>0</v>
      </c>
    </row>
    <row r="125" customFormat="false" ht="12.75" hidden="false" customHeight="false" outlineLevel="0" collapsed="false">
      <c r="A125" s="58" t="n">
        <v>79</v>
      </c>
      <c r="B125" s="58" t="s">
        <v>624</v>
      </c>
      <c r="C125" s="1" t="n">
        <v>45323</v>
      </c>
      <c r="E125" s="2" t="s">
        <v>487</v>
      </c>
      <c r="F125" s="2" t="s">
        <v>488</v>
      </c>
      <c r="G125" s="2" t="s">
        <v>490</v>
      </c>
      <c r="I125" s="1" t="s">
        <v>491</v>
      </c>
      <c r="J125" s="59" t="s">
        <v>975</v>
      </c>
      <c r="K125" s="59" t="s">
        <v>871</v>
      </c>
      <c r="L125" s="42" t="n">
        <v>2550.37</v>
      </c>
      <c r="N125" s="5" t="n">
        <v>2550.37</v>
      </c>
      <c r="P125" s="5" t="n">
        <v>2550.37</v>
      </c>
      <c r="R125" s="6"/>
      <c r="S125" s="6"/>
      <c r="T125" s="6"/>
      <c r="U125" s="6"/>
      <c r="V125" s="6"/>
      <c r="W125" s="6"/>
      <c r="X125" s="128" t="n">
        <f aca="false">SUM(S125:W125)</f>
        <v>0</v>
      </c>
      <c r="Y125" s="6"/>
      <c r="Z125" s="6"/>
      <c r="AA125" s="6"/>
      <c r="AB125" s="6"/>
      <c r="AC125" s="128" t="n">
        <f aca="false">SUM(Y125:AB125)</f>
        <v>0</v>
      </c>
      <c r="AD125" s="6"/>
      <c r="AE125" s="6"/>
      <c r="AF125" s="6"/>
      <c r="AG125" s="6"/>
      <c r="AH125" s="6"/>
      <c r="AI125" s="128" t="n">
        <f aca="false">SUM(AD125:AH125)</f>
        <v>0</v>
      </c>
      <c r="AJ125" s="6"/>
      <c r="AK125" s="129"/>
      <c r="AL125" s="6"/>
      <c r="AM125" s="6" t="n">
        <v>2550.37</v>
      </c>
      <c r="AN125" s="6"/>
      <c r="AO125" s="6"/>
      <c r="AP125" s="128" t="n">
        <f aca="false">SUM(AJ125:AO125)</f>
        <v>2550.37</v>
      </c>
      <c r="AQ125" s="6"/>
      <c r="AR125" s="6"/>
      <c r="AS125" s="6"/>
      <c r="AT125" s="6"/>
      <c r="AU125" s="6"/>
      <c r="AV125" s="6"/>
      <c r="AW125" s="6" t="n">
        <v>0</v>
      </c>
      <c r="AX125" s="128" t="n">
        <f aca="false">SUM(AQ125:AW125)</f>
        <v>0</v>
      </c>
      <c r="AY125" s="6"/>
      <c r="AZ125" s="6"/>
      <c r="BA125" s="6"/>
      <c r="BB125" s="6"/>
      <c r="BC125" s="6"/>
      <c r="BD125" s="128" t="n">
        <f aca="false">SUM(AY125:BC125)</f>
        <v>0</v>
      </c>
      <c r="BE125" s="130"/>
      <c r="BF125" s="6" t="n">
        <f aca="false">AC125+X125+AI125+AP125+AX125+BD125</f>
        <v>2550.37</v>
      </c>
      <c r="BG125" s="131" t="n">
        <f aca="false">+N125-BF125</f>
        <v>0</v>
      </c>
    </row>
    <row r="126" customFormat="false" ht="12.75" hidden="false" customHeight="false" outlineLevel="0" collapsed="false">
      <c r="A126" s="58" t="n">
        <v>79</v>
      </c>
      <c r="B126" s="58" t="s">
        <v>629</v>
      </c>
      <c r="C126" s="1" t="n">
        <v>45323</v>
      </c>
      <c r="E126" s="2" t="s">
        <v>487</v>
      </c>
      <c r="F126" s="2" t="s">
        <v>488</v>
      </c>
      <c r="G126" s="2" t="s">
        <v>490</v>
      </c>
      <c r="I126" s="1" t="s">
        <v>491</v>
      </c>
      <c r="J126" s="59" t="s">
        <v>976</v>
      </c>
      <c r="K126" s="59" t="s">
        <v>871</v>
      </c>
      <c r="L126" s="42" t="n">
        <v>272449.63</v>
      </c>
      <c r="N126" s="5" t="n">
        <v>272449.63</v>
      </c>
      <c r="P126" s="5" t="n">
        <v>272449.63</v>
      </c>
      <c r="R126" s="6"/>
      <c r="S126" s="6"/>
      <c r="T126" s="6"/>
      <c r="U126" s="6"/>
      <c r="V126" s="6"/>
      <c r="W126" s="6"/>
      <c r="X126" s="128" t="n">
        <f aca="false">SUM(S126:W126)</f>
        <v>0</v>
      </c>
      <c r="Y126" s="6"/>
      <c r="Z126" s="6"/>
      <c r="AA126" s="6"/>
      <c r="AB126" s="6"/>
      <c r="AC126" s="128" t="n">
        <f aca="false">SUM(Y126:AB126)</f>
        <v>0</v>
      </c>
      <c r="AD126" s="6"/>
      <c r="AE126" s="6"/>
      <c r="AF126" s="6"/>
      <c r="AG126" s="6"/>
      <c r="AH126" s="6"/>
      <c r="AI126" s="128" t="n">
        <f aca="false">SUM(AD126:AH126)</f>
        <v>0</v>
      </c>
      <c r="AJ126" s="6"/>
      <c r="AK126" s="129"/>
      <c r="AL126" s="6"/>
      <c r="AM126" s="6" t="n">
        <v>100000</v>
      </c>
      <c r="AN126" s="6"/>
      <c r="AO126" s="6"/>
      <c r="AP126" s="128" t="n">
        <f aca="false">SUM(AJ126:AO126)</f>
        <v>100000</v>
      </c>
      <c r="AQ126" s="6" t="n">
        <v>172449.63</v>
      </c>
      <c r="AR126" s="6"/>
      <c r="AS126" s="6"/>
      <c r="AT126" s="6"/>
      <c r="AU126" s="6"/>
      <c r="AV126" s="6"/>
      <c r="AW126" s="6" t="n">
        <v>0</v>
      </c>
      <c r="AX126" s="128" t="n">
        <f aca="false">SUM(AQ126:AW126)</f>
        <v>172449.63</v>
      </c>
      <c r="AY126" s="6"/>
      <c r="AZ126" s="6"/>
      <c r="BA126" s="6"/>
      <c r="BB126" s="6"/>
      <c r="BC126" s="6"/>
      <c r="BD126" s="128" t="n">
        <f aca="false">SUM(AY126:BC126)</f>
        <v>0</v>
      </c>
      <c r="BE126" s="130"/>
      <c r="BF126" s="6" t="n">
        <f aca="false">AC126+X126+AI126+AP126+AX126+BD126</f>
        <v>272449.63</v>
      </c>
      <c r="BG126" s="131" t="n">
        <f aca="false">+N126-BF126</f>
        <v>0</v>
      </c>
    </row>
    <row r="127" customFormat="false" ht="12.75" hidden="false" customHeight="false" outlineLevel="0" collapsed="false">
      <c r="A127" s="58" t="n">
        <v>80</v>
      </c>
      <c r="B127" s="58" t="s">
        <v>977</v>
      </c>
      <c r="C127" s="1" t="n">
        <v>45323</v>
      </c>
      <c r="E127" s="2" t="s">
        <v>492</v>
      </c>
      <c r="F127" s="2" t="s">
        <v>493</v>
      </c>
      <c r="G127" s="2" t="s">
        <v>495</v>
      </c>
      <c r="I127" s="1" t="s">
        <v>496</v>
      </c>
      <c r="J127" s="59" t="s">
        <v>978</v>
      </c>
      <c r="K127" s="59" t="s">
        <v>862</v>
      </c>
      <c r="L127" s="42" t="n">
        <v>581338.85</v>
      </c>
      <c r="N127" s="5" t="n">
        <v>581338.85</v>
      </c>
      <c r="P127" s="5" t="n">
        <v>581338.85</v>
      </c>
      <c r="R127" s="6"/>
      <c r="S127" s="6"/>
      <c r="T127" s="6"/>
      <c r="U127" s="6"/>
      <c r="V127" s="6"/>
      <c r="W127" s="6"/>
      <c r="X127" s="128" t="n">
        <f aca="false">SUM(S127:W127)</f>
        <v>0</v>
      </c>
      <c r="Y127" s="6"/>
      <c r="Z127" s="6"/>
      <c r="AA127" s="6"/>
      <c r="AB127" s="6"/>
      <c r="AC127" s="128" t="n">
        <f aca="false">SUM(Y127:AB127)</f>
        <v>0</v>
      </c>
      <c r="AD127" s="6"/>
      <c r="AE127" s="6"/>
      <c r="AF127" s="6"/>
      <c r="AG127" s="6"/>
      <c r="AH127" s="6"/>
      <c r="AI127" s="128" t="n">
        <f aca="false">SUM(AD127:AH127)</f>
        <v>0</v>
      </c>
      <c r="AJ127" s="6"/>
      <c r="AK127" s="129"/>
      <c r="AL127" s="6"/>
      <c r="AM127" s="6" t="n">
        <v>100000</v>
      </c>
      <c r="AN127" s="6" t="n">
        <v>150000</v>
      </c>
      <c r="AO127" s="6"/>
      <c r="AP127" s="128" t="n">
        <f aca="false">SUM(AJ127:AO127)</f>
        <v>250000</v>
      </c>
      <c r="AQ127" s="6" t="n">
        <v>331338.85</v>
      </c>
      <c r="AR127" s="6"/>
      <c r="AS127" s="6"/>
      <c r="AT127" s="6"/>
      <c r="AU127" s="6"/>
      <c r="AV127" s="6"/>
      <c r="AW127" s="6" t="n">
        <v>0</v>
      </c>
      <c r="AX127" s="128" t="n">
        <f aca="false">SUM(AQ127:AW127)</f>
        <v>331338.85</v>
      </c>
      <c r="AY127" s="6"/>
      <c r="AZ127" s="6"/>
      <c r="BA127" s="6"/>
      <c r="BB127" s="6"/>
      <c r="BC127" s="6"/>
      <c r="BD127" s="128" t="n">
        <f aca="false">SUM(AY127:BC127)</f>
        <v>0</v>
      </c>
      <c r="BE127" s="130"/>
      <c r="BF127" s="6" t="n">
        <f aca="false">AC127+X127+AI127+AP127+AX127+BD127</f>
        <v>581338.85</v>
      </c>
      <c r="BG127" s="131" t="n">
        <f aca="false">+N127-BF127</f>
        <v>0</v>
      </c>
    </row>
    <row r="128" customFormat="false" ht="12.75" hidden="false" customHeight="false" outlineLevel="0" collapsed="false">
      <c r="A128" s="58" t="n">
        <v>80</v>
      </c>
      <c r="B128" s="58" t="s">
        <v>633</v>
      </c>
      <c r="C128" s="1" t="n">
        <v>45323</v>
      </c>
      <c r="E128" s="2" t="s">
        <v>492</v>
      </c>
      <c r="F128" s="2" t="s">
        <v>493</v>
      </c>
      <c r="G128" s="2" t="s">
        <v>495</v>
      </c>
      <c r="I128" s="1" t="s">
        <v>496</v>
      </c>
      <c r="J128" s="59" t="s">
        <v>979</v>
      </c>
      <c r="K128" s="59" t="s">
        <v>862</v>
      </c>
      <c r="L128" s="42" t="n">
        <v>54004.15</v>
      </c>
      <c r="N128" s="5" t="n">
        <v>54004.15</v>
      </c>
      <c r="P128" s="5" t="n">
        <v>54004.15</v>
      </c>
      <c r="R128" s="6"/>
      <c r="S128" s="6"/>
      <c r="T128" s="6"/>
      <c r="U128" s="6"/>
      <c r="V128" s="6"/>
      <c r="W128" s="6"/>
      <c r="X128" s="128" t="n">
        <f aca="false">SUM(S128:W128)</f>
        <v>0</v>
      </c>
      <c r="Y128" s="6"/>
      <c r="Z128" s="6"/>
      <c r="AA128" s="6"/>
      <c r="AB128" s="6"/>
      <c r="AC128" s="128" t="n">
        <f aca="false">SUM(Y128:AB128)</f>
        <v>0</v>
      </c>
      <c r="AD128" s="6"/>
      <c r="AE128" s="6"/>
      <c r="AF128" s="6"/>
      <c r="AG128" s="6"/>
      <c r="AH128" s="6"/>
      <c r="AI128" s="128" t="n">
        <f aca="false">SUM(AD128:AH128)</f>
        <v>0</v>
      </c>
      <c r="AJ128" s="6"/>
      <c r="AK128" s="129"/>
      <c r="AL128" s="6"/>
      <c r="AM128" s="6" t="n">
        <v>54004.15</v>
      </c>
      <c r="AN128" s="6"/>
      <c r="AO128" s="6"/>
      <c r="AP128" s="128" t="n">
        <f aca="false">SUM(AJ128:AO128)</f>
        <v>54004.15</v>
      </c>
      <c r="AQ128" s="6"/>
      <c r="AR128" s="6"/>
      <c r="AS128" s="6"/>
      <c r="AT128" s="6"/>
      <c r="AU128" s="6"/>
      <c r="AV128" s="6"/>
      <c r="AW128" s="6" t="n">
        <v>0</v>
      </c>
      <c r="AX128" s="128" t="n">
        <f aca="false">SUM(AQ128:AW128)</f>
        <v>0</v>
      </c>
      <c r="AY128" s="6"/>
      <c r="AZ128" s="6"/>
      <c r="BA128" s="6"/>
      <c r="BB128" s="6"/>
      <c r="BC128" s="6"/>
      <c r="BD128" s="128" t="n">
        <f aca="false">SUM(AY128:BC128)</f>
        <v>0</v>
      </c>
      <c r="BE128" s="130"/>
      <c r="BF128" s="6" t="n">
        <f aca="false">AC128+X128+AI128+AP128+AX128+BD128</f>
        <v>54004.15</v>
      </c>
      <c r="BG128" s="131" t="n">
        <f aca="false">+N128-BF128</f>
        <v>0</v>
      </c>
    </row>
    <row r="129" customFormat="false" ht="12.75" hidden="false" customHeight="false" outlineLevel="0" collapsed="false">
      <c r="A129" s="58" t="n">
        <v>81</v>
      </c>
      <c r="B129" s="58" t="s">
        <v>638</v>
      </c>
      <c r="C129" s="1" t="n">
        <v>45391</v>
      </c>
      <c r="E129" s="2" t="s">
        <v>497</v>
      </c>
      <c r="F129" s="2" t="s">
        <v>498</v>
      </c>
      <c r="G129" s="2" t="s">
        <v>500</v>
      </c>
      <c r="I129" s="1" t="s">
        <v>501</v>
      </c>
      <c r="J129" s="59" t="s">
        <v>980</v>
      </c>
      <c r="K129" s="59" t="s">
        <v>871</v>
      </c>
      <c r="L129" s="42" t="n">
        <v>225310</v>
      </c>
      <c r="N129" s="5" t="n">
        <v>225310</v>
      </c>
      <c r="P129" s="5" t="n">
        <v>225310</v>
      </c>
      <c r="R129" s="6"/>
      <c r="S129" s="6"/>
      <c r="T129" s="6"/>
      <c r="U129" s="6"/>
      <c r="V129" s="6"/>
      <c r="W129" s="6"/>
      <c r="X129" s="128" t="n">
        <f aca="false">SUM(S129:W129)</f>
        <v>0</v>
      </c>
      <c r="Y129" s="6"/>
      <c r="Z129" s="6"/>
      <c r="AA129" s="6"/>
      <c r="AB129" s="6"/>
      <c r="AC129" s="128" t="n">
        <f aca="false">SUM(Y129:AB129)</f>
        <v>0</v>
      </c>
      <c r="AD129" s="6"/>
      <c r="AE129" s="6"/>
      <c r="AF129" s="6"/>
      <c r="AG129" s="6"/>
      <c r="AH129" s="6"/>
      <c r="AI129" s="128" t="n">
        <f aca="false">SUM(AD129:AH129)</f>
        <v>0</v>
      </c>
      <c r="AJ129" s="6"/>
      <c r="AK129" s="129"/>
      <c r="AL129" s="6"/>
      <c r="AM129" s="6"/>
      <c r="AN129" s="6" t="n">
        <v>225310</v>
      </c>
      <c r="AO129" s="6"/>
      <c r="AP129" s="128" t="n">
        <f aca="false">SUM(AJ129:AO129)</f>
        <v>225310</v>
      </c>
      <c r="AQ129" s="6"/>
      <c r="AR129" s="6"/>
      <c r="AS129" s="6"/>
      <c r="AT129" s="6"/>
      <c r="AU129" s="6"/>
      <c r="AV129" s="6"/>
      <c r="AW129" s="6" t="n">
        <v>0</v>
      </c>
      <c r="AX129" s="128" t="n">
        <f aca="false">SUM(AQ129:AW129)</f>
        <v>0</v>
      </c>
      <c r="AY129" s="6"/>
      <c r="AZ129" s="6"/>
      <c r="BA129" s="6"/>
      <c r="BB129" s="6"/>
      <c r="BC129" s="6"/>
      <c r="BD129" s="128" t="n">
        <f aca="false">SUM(AY129:BC129)</f>
        <v>0</v>
      </c>
      <c r="BE129" s="130"/>
      <c r="BF129" s="6" t="n">
        <f aca="false">AC129+X129+AI129+AP129+AX129+BD129</f>
        <v>225310</v>
      </c>
      <c r="BG129" s="131" t="n">
        <f aca="false">+N129-BF129</f>
        <v>0</v>
      </c>
    </row>
    <row r="130" customFormat="false" ht="12.75" hidden="false" customHeight="false" outlineLevel="0" collapsed="false">
      <c r="A130" s="58" t="n">
        <v>81</v>
      </c>
      <c r="B130" s="58" t="s">
        <v>642</v>
      </c>
      <c r="C130" s="1" t="n">
        <v>45391</v>
      </c>
      <c r="E130" s="2" t="s">
        <v>497</v>
      </c>
      <c r="F130" s="2" t="s">
        <v>498</v>
      </c>
      <c r="G130" s="2" t="s">
        <v>500</v>
      </c>
      <c r="I130" s="1" t="s">
        <v>501</v>
      </c>
      <c r="J130" s="59" t="s">
        <v>981</v>
      </c>
      <c r="K130" s="59" t="s">
        <v>871</v>
      </c>
      <c r="L130" s="42" t="n">
        <v>615000</v>
      </c>
      <c r="N130" s="5" t="n">
        <v>615000</v>
      </c>
      <c r="P130" s="5" t="n">
        <v>615000</v>
      </c>
      <c r="R130" s="6"/>
      <c r="S130" s="6"/>
      <c r="T130" s="6"/>
      <c r="U130" s="6"/>
      <c r="V130" s="6"/>
      <c r="W130" s="6"/>
      <c r="X130" s="128" t="n">
        <f aca="false">SUM(S130:W130)</f>
        <v>0</v>
      </c>
      <c r="Y130" s="6"/>
      <c r="Z130" s="6"/>
      <c r="AA130" s="6"/>
      <c r="AB130" s="6"/>
      <c r="AC130" s="128" t="n">
        <f aca="false">SUM(Y130:AB130)</f>
        <v>0</v>
      </c>
      <c r="AD130" s="6"/>
      <c r="AE130" s="6"/>
      <c r="AF130" s="6"/>
      <c r="AG130" s="6"/>
      <c r="AH130" s="6"/>
      <c r="AI130" s="128" t="n">
        <f aca="false">SUM(AD130:AH130)</f>
        <v>0</v>
      </c>
      <c r="AJ130" s="6"/>
      <c r="AK130" s="129"/>
      <c r="AL130" s="6"/>
      <c r="AM130" s="6"/>
      <c r="AN130" s="6" t="n">
        <v>615000</v>
      </c>
      <c r="AO130" s="6"/>
      <c r="AP130" s="128" t="n">
        <f aca="false">SUM(AJ130:AO130)</f>
        <v>615000</v>
      </c>
      <c r="AQ130" s="6"/>
      <c r="AR130" s="6"/>
      <c r="AS130" s="6"/>
      <c r="AT130" s="6"/>
      <c r="AU130" s="6"/>
      <c r="AV130" s="6"/>
      <c r="AW130" s="6" t="n">
        <v>0</v>
      </c>
      <c r="AX130" s="128" t="n">
        <f aca="false">SUM(AQ130:AW130)</f>
        <v>0</v>
      </c>
      <c r="AY130" s="6"/>
      <c r="AZ130" s="6"/>
      <c r="BA130" s="6"/>
      <c r="BB130" s="6"/>
      <c r="BC130" s="6"/>
      <c r="BD130" s="128" t="n">
        <f aca="false">SUM(AY130:BC130)</f>
        <v>0</v>
      </c>
      <c r="BE130" s="130"/>
      <c r="BF130" s="6" t="n">
        <f aca="false">AC130+X130+AI130+AP130+AX130+BD130</f>
        <v>615000</v>
      </c>
      <c r="BG130" s="131" t="n">
        <f aca="false">+N130-BF130</f>
        <v>0</v>
      </c>
    </row>
    <row r="131" customFormat="false" ht="12.75" hidden="false" customHeight="false" outlineLevel="0" collapsed="false">
      <c r="A131" s="58" t="n">
        <v>82</v>
      </c>
      <c r="B131" s="58" t="s">
        <v>646</v>
      </c>
      <c r="C131" s="1" t="n">
        <v>45352</v>
      </c>
      <c r="E131" s="2" t="s">
        <v>502</v>
      </c>
      <c r="F131" s="2" t="s">
        <v>503</v>
      </c>
      <c r="G131" s="2" t="s">
        <v>505</v>
      </c>
      <c r="I131" s="1" t="s">
        <v>506</v>
      </c>
      <c r="J131" s="59" t="s">
        <v>976</v>
      </c>
      <c r="K131" s="59" t="s">
        <v>871</v>
      </c>
      <c r="L131" s="42" t="n">
        <v>425000</v>
      </c>
      <c r="N131" s="5" t="n">
        <v>425000</v>
      </c>
      <c r="P131" s="5" t="n">
        <v>425000</v>
      </c>
      <c r="R131" s="6"/>
      <c r="S131" s="6"/>
      <c r="T131" s="6"/>
      <c r="U131" s="6"/>
      <c r="V131" s="6"/>
      <c r="W131" s="6"/>
      <c r="X131" s="128" t="n">
        <f aca="false">SUM(S131:W131)</f>
        <v>0</v>
      </c>
      <c r="Y131" s="6"/>
      <c r="Z131" s="6"/>
      <c r="AA131" s="6"/>
      <c r="AB131" s="6"/>
      <c r="AC131" s="128" t="n">
        <f aca="false">SUM(Y131:AB131)</f>
        <v>0</v>
      </c>
      <c r="AD131" s="6"/>
      <c r="AE131" s="6"/>
      <c r="AF131" s="6"/>
      <c r="AG131" s="6"/>
      <c r="AH131" s="6"/>
      <c r="AI131" s="128" t="n">
        <f aca="false">SUM(AD131:AH131)</f>
        <v>0</v>
      </c>
      <c r="AJ131" s="6"/>
      <c r="AK131" s="129"/>
      <c r="AL131" s="6"/>
      <c r="AM131" s="6" t="n">
        <v>400000</v>
      </c>
      <c r="AN131" s="6" t="n">
        <v>25000</v>
      </c>
      <c r="AO131" s="6"/>
      <c r="AP131" s="128" t="n">
        <f aca="false">SUM(AJ131:AO131)</f>
        <v>425000</v>
      </c>
      <c r="AQ131" s="6"/>
      <c r="AR131" s="6"/>
      <c r="AS131" s="6"/>
      <c r="AT131" s="6"/>
      <c r="AU131" s="6"/>
      <c r="AV131" s="6"/>
      <c r="AW131" s="6" t="n">
        <v>0</v>
      </c>
      <c r="AX131" s="128" t="n">
        <f aca="false">SUM(AQ131:AW131)</f>
        <v>0</v>
      </c>
      <c r="AY131" s="6"/>
      <c r="AZ131" s="6"/>
      <c r="BA131" s="6"/>
      <c r="BB131" s="6"/>
      <c r="BC131" s="6"/>
      <c r="BD131" s="128" t="n">
        <f aca="false">SUM(AY131:BC131)</f>
        <v>0</v>
      </c>
      <c r="BE131" s="130"/>
      <c r="BF131" s="6" t="n">
        <f aca="false">AC131+X131+AI131+AP131+AX131+BD131</f>
        <v>425000</v>
      </c>
      <c r="BG131" s="131" t="n">
        <f aca="false">+N131-BF131</f>
        <v>0</v>
      </c>
    </row>
    <row r="132" customFormat="false" ht="12.75" hidden="false" customHeight="false" outlineLevel="0" collapsed="false">
      <c r="A132" s="58" t="n">
        <v>83</v>
      </c>
      <c r="B132" s="58" t="s">
        <v>651</v>
      </c>
      <c r="C132" s="1" t="n">
        <v>45348</v>
      </c>
      <c r="E132" s="2" t="s">
        <v>507</v>
      </c>
      <c r="F132" s="2" t="s">
        <v>508</v>
      </c>
      <c r="G132" s="2" t="s">
        <v>510</v>
      </c>
      <c r="I132" s="1" t="s">
        <v>511</v>
      </c>
      <c r="J132" s="59" t="s">
        <v>982</v>
      </c>
      <c r="K132" s="59" t="s">
        <v>862</v>
      </c>
      <c r="L132" s="42" t="n">
        <f aca="false">1290373.28-775073.28</f>
        <v>515300</v>
      </c>
      <c r="N132" s="5" t="n">
        <f aca="false">1290373.28-775073.28</f>
        <v>515300</v>
      </c>
      <c r="P132" s="5" t="n">
        <f aca="false">1290373.28-775073.28</f>
        <v>515300</v>
      </c>
      <c r="R132" s="6"/>
      <c r="S132" s="6"/>
      <c r="T132" s="6"/>
      <c r="U132" s="6"/>
      <c r="V132" s="6"/>
      <c r="W132" s="6"/>
      <c r="X132" s="128" t="n">
        <f aca="false">SUM(S132:W132)</f>
        <v>0</v>
      </c>
      <c r="Y132" s="6"/>
      <c r="Z132" s="6"/>
      <c r="AA132" s="6"/>
      <c r="AB132" s="6"/>
      <c r="AC132" s="128" t="n">
        <f aca="false">SUM(Y132:AB132)</f>
        <v>0</v>
      </c>
      <c r="AD132" s="6"/>
      <c r="AE132" s="6"/>
      <c r="AF132" s="6"/>
      <c r="AG132" s="6"/>
      <c r="AH132" s="6"/>
      <c r="AI132" s="128" t="n">
        <f aca="false">SUM(AD132:AH132)</f>
        <v>0</v>
      </c>
      <c r="AJ132" s="6"/>
      <c r="AK132" s="129"/>
      <c r="AL132" s="6"/>
      <c r="AM132" s="158"/>
      <c r="AN132" s="6" t="n">
        <v>75000</v>
      </c>
      <c r="AO132" s="6"/>
      <c r="AP132" s="128" t="n">
        <f aca="false">SUM(AJ132:AO132)</f>
        <v>75000</v>
      </c>
      <c r="AQ132" s="6" t="n">
        <f aca="false">220150-220150</f>
        <v>0</v>
      </c>
      <c r="AR132" s="6" t="n">
        <v>440300</v>
      </c>
      <c r="AS132" s="158"/>
      <c r="AT132" s="6"/>
      <c r="AU132" s="6"/>
      <c r="AV132" s="6"/>
      <c r="AW132" s="6" t="n">
        <v>0</v>
      </c>
      <c r="AX132" s="128" t="n">
        <f aca="false">SUM(AQ132:AW132)</f>
        <v>440300</v>
      </c>
      <c r="AY132" s="158"/>
      <c r="AZ132" s="6"/>
      <c r="BA132" s="6"/>
      <c r="BB132" s="6"/>
      <c r="BC132" s="6"/>
      <c r="BD132" s="128" t="n">
        <f aca="false">SUM(AY132:BC132)</f>
        <v>0</v>
      </c>
      <c r="BE132" s="171"/>
      <c r="BF132" s="6" t="n">
        <f aca="false">AC132+X132+AI132+AP132+AX132+BD132</f>
        <v>515300</v>
      </c>
      <c r="BG132" s="131" t="n">
        <f aca="false">+N132-BF132</f>
        <v>0</v>
      </c>
    </row>
    <row r="133" customFormat="false" ht="12.75" hidden="false" customHeight="false" outlineLevel="0" collapsed="false">
      <c r="A133" s="162" t="s">
        <v>983</v>
      </c>
      <c r="B133" s="58" t="s">
        <v>656</v>
      </c>
      <c r="C133" s="163" t="n">
        <v>45348</v>
      </c>
      <c r="D133" s="163"/>
      <c r="E133" s="164" t="s">
        <v>507</v>
      </c>
      <c r="F133" s="164" t="s">
        <v>508</v>
      </c>
      <c r="G133" s="164" t="s">
        <v>510</v>
      </c>
      <c r="H133" s="165"/>
      <c r="I133" s="163" t="s">
        <v>512</v>
      </c>
      <c r="J133" s="165" t="s">
        <v>982</v>
      </c>
      <c r="K133" s="165" t="s">
        <v>799</v>
      </c>
      <c r="L133" s="167" t="n">
        <v>775073.28</v>
      </c>
      <c r="M133" s="168"/>
      <c r="N133" s="168" t="n">
        <v>775073.28</v>
      </c>
      <c r="O133" s="168"/>
      <c r="P133" s="168" t="n">
        <v>775073.28</v>
      </c>
      <c r="R133" s="6"/>
      <c r="S133" s="6"/>
      <c r="T133" s="6"/>
      <c r="U133" s="6"/>
      <c r="V133" s="6"/>
      <c r="W133" s="6"/>
      <c r="X133" s="128" t="n">
        <f aca="false">SUM(S133:W133)</f>
        <v>0</v>
      </c>
      <c r="Y133" s="6"/>
      <c r="Z133" s="6"/>
      <c r="AA133" s="6"/>
      <c r="AB133" s="6"/>
      <c r="AC133" s="128" t="n">
        <f aca="false">SUM(Y133:AB133)</f>
        <v>0</v>
      </c>
      <c r="AD133" s="6"/>
      <c r="AE133" s="6"/>
      <c r="AF133" s="6"/>
      <c r="AG133" s="6"/>
      <c r="AH133" s="6"/>
      <c r="AI133" s="128" t="n">
        <f aca="false">SUM(AD133:AH133)</f>
        <v>0</v>
      </c>
      <c r="AJ133" s="6"/>
      <c r="AK133" s="129"/>
      <c r="AL133" s="6"/>
      <c r="AM133" s="178" t="n">
        <v>775073.28</v>
      </c>
      <c r="AN133" s="6"/>
      <c r="AO133" s="6"/>
      <c r="AP133" s="128" t="n">
        <f aca="false">SUM(AJ133:AO133)</f>
        <v>775073.28</v>
      </c>
      <c r="AQ133" s="6"/>
      <c r="AR133" s="6"/>
      <c r="AS133" s="158"/>
      <c r="AT133" s="6"/>
      <c r="AU133" s="6"/>
      <c r="AV133" s="6"/>
      <c r="AW133" s="6" t="n">
        <v>0</v>
      </c>
      <c r="AX133" s="128" t="n">
        <f aca="false">SUM(AQ133:AW133)</f>
        <v>0</v>
      </c>
      <c r="AY133" s="158"/>
      <c r="AZ133" s="6"/>
      <c r="BA133" s="6"/>
      <c r="BB133" s="6"/>
      <c r="BC133" s="6"/>
      <c r="BD133" s="128" t="n">
        <f aca="false">SUM(AY133:BC133)</f>
        <v>0</v>
      </c>
      <c r="BE133" s="171"/>
      <c r="BF133" s="169" t="n">
        <f aca="false">AC133+X133+AI133+AP133+AX133+BD133</f>
        <v>775073.28</v>
      </c>
      <c r="BG133" s="131" t="n">
        <f aca="false">+N133-BF133</f>
        <v>0</v>
      </c>
    </row>
    <row r="134" customFormat="false" ht="12.75" hidden="false" customHeight="false" outlineLevel="0" collapsed="false">
      <c r="A134" s="58" t="n">
        <v>84</v>
      </c>
      <c r="B134" s="58" t="s">
        <v>661</v>
      </c>
      <c r="C134" s="1" t="n">
        <v>45364</v>
      </c>
      <c r="E134" s="2" t="s">
        <v>513</v>
      </c>
      <c r="F134" s="2" t="s">
        <v>514</v>
      </c>
      <c r="G134" s="2" t="s">
        <v>516</v>
      </c>
      <c r="I134" s="1" t="s">
        <v>517</v>
      </c>
      <c r="J134" s="59" t="s">
        <v>982</v>
      </c>
      <c r="K134" s="59" t="s">
        <v>862</v>
      </c>
      <c r="L134" s="42" t="n">
        <v>1644300</v>
      </c>
      <c r="N134" s="5" t="n">
        <v>1644300</v>
      </c>
      <c r="P134" s="5" t="n">
        <v>1644300</v>
      </c>
      <c r="R134" s="6"/>
      <c r="S134" s="6"/>
      <c r="T134" s="6"/>
      <c r="U134" s="6"/>
      <c r="V134" s="6"/>
      <c r="W134" s="6"/>
      <c r="X134" s="128" t="n">
        <f aca="false">SUM(S134:W134)</f>
        <v>0</v>
      </c>
      <c r="Y134" s="6"/>
      <c r="Z134" s="6"/>
      <c r="AA134" s="6"/>
      <c r="AB134" s="6"/>
      <c r="AC134" s="128" t="n">
        <f aca="false">SUM(Y134:AB134)</f>
        <v>0</v>
      </c>
      <c r="AD134" s="6"/>
      <c r="AE134" s="6"/>
      <c r="AF134" s="6"/>
      <c r="AG134" s="6"/>
      <c r="AH134" s="6"/>
      <c r="AI134" s="128" t="n">
        <f aca="false">SUM(AD134:AH134)</f>
        <v>0</v>
      </c>
      <c r="AJ134" s="6"/>
      <c r="AK134" s="129"/>
      <c r="AL134" s="6"/>
      <c r="AM134" s="6" t="n">
        <v>30000</v>
      </c>
      <c r="AN134" s="6" t="n">
        <v>100000</v>
      </c>
      <c r="AO134" s="6"/>
      <c r="AP134" s="128" t="n">
        <f aca="false">SUM(AJ134:AO134)</f>
        <v>130000</v>
      </c>
      <c r="AQ134" s="6" t="n">
        <v>664226.72</v>
      </c>
      <c r="AR134" s="6" t="n">
        <v>550000</v>
      </c>
      <c r="AS134" s="6"/>
      <c r="AT134" s="6" t="n">
        <v>300073.28</v>
      </c>
      <c r="AU134" s="6"/>
      <c r="AV134" s="6"/>
      <c r="AW134" s="6" t="n">
        <v>0</v>
      </c>
      <c r="AX134" s="128" t="n">
        <f aca="false">SUM(AQ134:AW134)</f>
        <v>1514300</v>
      </c>
      <c r="AY134" s="6"/>
      <c r="AZ134" s="6"/>
      <c r="BA134" s="6"/>
      <c r="BB134" s="6"/>
      <c r="BC134" s="6"/>
      <c r="BD134" s="128" t="n">
        <f aca="false">SUM(AY134:BC134)</f>
        <v>0</v>
      </c>
      <c r="BE134" s="130"/>
      <c r="BF134" s="6" t="n">
        <f aca="false">AC134+X134+AI134+AP134+AX134+BD134</f>
        <v>1644300</v>
      </c>
      <c r="BG134" s="131" t="n">
        <f aca="false">+N134-BF134</f>
        <v>0</v>
      </c>
    </row>
    <row r="135" customFormat="false" ht="12.75" hidden="false" customHeight="false" outlineLevel="0" collapsed="false">
      <c r="A135" s="58" t="n">
        <v>85</v>
      </c>
      <c r="B135" s="58" t="s">
        <v>666</v>
      </c>
      <c r="C135" s="1" t="n">
        <v>45372</v>
      </c>
      <c r="E135" s="2" t="s">
        <v>518</v>
      </c>
      <c r="F135" s="2" t="s">
        <v>519</v>
      </c>
      <c r="G135" s="2" t="s">
        <v>521</v>
      </c>
      <c r="I135" s="1" t="s">
        <v>522</v>
      </c>
      <c r="J135" s="59" t="s">
        <v>984</v>
      </c>
      <c r="K135" s="59" t="s">
        <v>871</v>
      </c>
      <c r="L135" s="42" t="n">
        <v>1000000</v>
      </c>
      <c r="N135" s="5" t="n">
        <v>1000000</v>
      </c>
      <c r="P135" s="5" t="n">
        <v>1000000</v>
      </c>
      <c r="R135" s="6"/>
      <c r="S135" s="6"/>
      <c r="T135" s="6"/>
      <c r="U135" s="6"/>
      <c r="V135" s="6"/>
      <c r="W135" s="6"/>
      <c r="X135" s="128" t="n">
        <f aca="false">SUM(S135:W135)</f>
        <v>0</v>
      </c>
      <c r="Y135" s="6"/>
      <c r="Z135" s="6"/>
      <c r="AA135" s="6"/>
      <c r="AB135" s="6"/>
      <c r="AC135" s="128" t="n">
        <f aca="false">SUM(Y135:AB135)</f>
        <v>0</v>
      </c>
      <c r="AD135" s="6"/>
      <c r="AE135" s="6"/>
      <c r="AF135" s="6"/>
      <c r="AG135" s="6"/>
      <c r="AH135" s="6"/>
      <c r="AI135" s="128" t="n">
        <f aca="false">SUM(AD135:AH135)</f>
        <v>0</v>
      </c>
      <c r="AJ135" s="6"/>
      <c r="AK135" s="129"/>
      <c r="AL135" s="6"/>
      <c r="AM135" s="6"/>
      <c r="AN135" s="6" t="n">
        <v>300000</v>
      </c>
      <c r="AO135" s="6"/>
      <c r="AP135" s="128" t="n">
        <f aca="false">SUM(AJ135:AO135)</f>
        <v>300000</v>
      </c>
      <c r="AQ135" s="6" t="n">
        <v>200000</v>
      </c>
      <c r="AR135" s="6" t="n">
        <v>500000</v>
      </c>
      <c r="AS135" s="6"/>
      <c r="AT135" s="6"/>
      <c r="AU135" s="6"/>
      <c r="AV135" s="6"/>
      <c r="AW135" s="6" t="n">
        <v>0</v>
      </c>
      <c r="AX135" s="128" t="n">
        <f aca="false">SUM(AQ135:AW135)</f>
        <v>700000</v>
      </c>
      <c r="AY135" s="6"/>
      <c r="AZ135" s="6"/>
      <c r="BA135" s="6"/>
      <c r="BB135" s="6"/>
      <c r="BC135" s="6"/>
      <c r="BD135" s="128" t="n">
        <f aca="false">SUM(AY135:BC135)</f>
        <v>0</v>
      </c>
      <c r="BE135" s="130"/>
      <c r="BF135" s="6" t="n">
        <f aca="false">AC135+X135+AI135+AP135+AX135+BD135</f>
        <v>1000000</v>
      </c>
      <c r="BG135" s="131" t="n">
        <f aca="false">+N135-BF135</f>
        <v>0</v>
      </c>
    </row>
    <row r="136" customFormat="false" ht="12.75" hidden="false" customHeight="false" outlineLevel="0" collapsed="false">
      <c r="A136" s="58" t="n">
        <v>86</v>
      </c>
      <c r="B136" s="58" t="s">
        <v>671</v>
      </c>
      <c r="C136" s="1" t="n">
        <v>45436</v>
      </c>
      <c r="E136" s="2" t="s">
        <v>523</v>
      </c>
      <c r="F136" s="2" t="s">
        <v>524</v>
      </c>
      <c r="G136" s="2" t="s">
        <v>526</v>
      </c>
      <c r="I136" s="1" t="s">
        <v>527</v>
      </c>
      <c r="J136" s="59" t="s">
        <v>985</v>
      </c>
      <c r="K136" s="59" t="s">
        <v>871</v>
      </c>
      <c r="L136" s="42" t="n">
        <v>1500000</v>
      </c>
      <c r="N136" s="5" t="n">
        <v>500000</v>
      </c>
      <c r="P136" s="5" t="n">
        <v>500000</v>
      </c>
      <c r="R136" s="6"/>
      <c r="S136" s="6"/>
      <c r="T136" s="6"/>
      <c r="U136" s="6"/>
      <c r="V136" s="6"/>
      <c r="W136" s="6"/>
      <c r="X136" s="128" t="n">
        <f aca="false">SUM(S136:W136)</f>
        <v>0</v>
      </c>
      <c r="Y136" s="6"/>
      <c r="Z136" s="6"/>
      <c r="AA136" s="6"/>
      <c r="AB136" s="6"/>
      <c r="AC136" s="128" t="n">
        <f aca="false">SUM(Y136:AB136)</f>
        <v>0</v>
      </c>
      <c r="AD136" s="6"/>
      <c r="AE136" s="6"/>
      <c r="AF136" s="6"/>
      <c r="AG136" s="6"/>
      <c r="AH136" s="6"/>
      <c r="AI136" s="128" t="n">
        <f aca="false">SUM(AD136:AH136)</f>
        <v>0</v>
      </c>
      <c r="AJ136" s="6"/>
      <c r="AK136" s="129"/>
      <c r="AL136" s="6"/>
      <c r="AM136" s="6"/>
      <c r="AN136" s="6" t="n">
        <v>100000</v>
      </c>
      <c r="AO136" s="6"/>
      <c r="AP136" s="128" t="n">
        <f aca="false">SUM(AJ136:AO136)</f>
        <v>100000</v>
      </c>
      <c r="AQ136" s="6" t="n">
        <v>100000</v>
      </c>
      <c r="AR136" s="6" t="n">
        <v>200000</v>
      </c>
      <c r="AS136" s="6"/>
      <c r="AT136" s="6" t="n">
        <v>100000</v>
      </c>
      <c r="AU136" s="6"/>
      <c r="AV136" s="6"/>
      <c r="AW136" s="6" t="n">
        <v>0</v>
      </c>
      <c r="AX136" s="128" t="n">
        <f aca="false">SUM(AQ136:AW136)</f>
        <v>400000</v>
      </c>
      <c r="AY136" s="6"/>
      <c r="AZ136" s="6"/>
      <c r="BA136" s="6"/>
      <c r="BB136" s="6"/>
      <c r="BC136" s="6"/>
      <c r="BD136" s="128" t="n">
        <f aca="false">SUM(AY136:BC136)</f>
        <v>0</v>
      </c>
      <c r="BE136" s="130"/>
      <c r="BF136" s="6" t="n">
        <f aca="false">AC136+X136+AI136+AP136+AX136+BD136</f>
        <v>500000</v>
      </c>
      <c r="BG136" s="131" t="n">
        <f aca="false">+N136-BF136</f>
        <v>0</v>
      </c>
    </row>
    <row r="137" s="144" customFormat="true" ht="12.75" hidden="false" customHeight="false" outlineLevel="0" collapsed="false">
      <c r="A137" s="179" t="s">
        <v>986</v>
      </c>
      <c r="B137" s="58" t="s">
        <v>676</v>
      </c>
      <c r="C137" s="180"/>
      <c r="D137" s="181"/>
      <c r="E137" s="182" t="s">
        <v>528</v>
      </c>
      <c r="F137" s="144" t="s">
        <v>524</v>
      </c>
      <c r="G137" s="144" t="s">
        <v>526</v>
      </c>
      <c r="H137" s="145"/>
      <c r="I137" s="180" t="s">
        <v>527</v>
      </c>
      <c r="J137" s="145" t="s">
        <v>987</v>
      </c>
      <c r="K137" s="145" t="s">
        <v>871</v>
      </c>
      <c r="L137" s="183" t="n">
        <v>-1000000</v>
      </c>
      <c r="M137" s="5"/>
      <c r="N137" s="184" t="n">
        <v>0</v>
      </c>
      <c r="O137" s="184"/>
      <c r="P137" s="184" t="n">
        <v>0</v>
      </c>
      <c r="Q137" s="184"/>
      <c r="R137" s="150"/>
      <c r="S137" s="150"/>
      <c r="T137" s="150"/>
      <c r="U137" s="150"/>
      <c r="V137" s="150"/>
      <c r="W137" s="150"/>
      <c r="X137" s="151" t="n">
        <f aca="false">SUM(S137:W137)</f>
        <v>0</v>
      </c>
      <c r="Y137" s="150"/>
      <c r="Z137" s="150"/>
      <c r="AA137" s="150"/>
      <c r="AB137" s="150"/>
      <c r="AC137" s="151" t="n">
        <f aca="false">SUM(Y137:AB137)</f>
        <v>0</v>
      </c>
      <c r="AD137" s="150"/>
      <c r="AE137" s="150"/>
      <c r="AF137" s="150"/>
      <c r="AG137" s="150"/>
      <c r="AH137" s="150"/>
      <c r="AI137" s="151" t="n">
        <f aca="false">SUM(AD137:AH137)</f>
        <v>0</v>
      </c>
      <c r="AJ137" s="150"/>
      <c r="AK137" s="150"/>
      <c r="AL137" s="150"/>
      <c r="AM137" s="150"/>
      <c r="AN137" s="150"/>
      <c r="AO137" s="150"/>
      <c r="AP137" s="151" t="n">
        <f aca="false">SUM(AJ137:AO137)</f>
        <v>0</v>
      </c>
      <c r="AQ137" s="150"/>
      <c r="AR137" s="150"/>
      <c r="AS137" s="150"/>
      <c r="AT137" s="150"/>
      <c r="AU137" s="150"/>
      <c r="AV137" s="150"/>
      <c r="AW137" s="150" t="n">
        <v>0</v>
      </c>
      <c r="AX137" s="151" t="n">
        <f aca="false">SUM(AQ137:AW137)</f>
        <v>0</v>
      </c>
      <c r="AY137" s="150"/>
      <c r="AZ137" s="150"/>
      <c r="BA137" s="150"/>
      <c r="BB137" s="150"/>
      <c r="BC137" s="150"/>
      <c r="BD137" s="128" t="n">
        <f aca="false">SUM(AY137:BC137)</f>
        <v>0</v>
      </c>
      <c r="BE137" s="185"/>
      <c r="BF137" s="6" t="n">
        <f aca="false">AC137+X137+AI137+AP137+AX137+BD137</f>
        <v>0</v>
      </c>
      <c r="BG137" s="131" t="n">
        <f aca="false">+N137-BF137</f>
        <v>0</v>
      </c>
      <c r="BH137" s="6"/>
    </row>
    <row r="138" customFormat="false" ht="12.75" hidden="false" customHeight="false" outlineLevel="0" collapsed="false">
      <c r="A138" s="58" t="n">
        <v>87</v>
      </c>
      <c r="C138" s="1" t="n">
        <v>45392</v>
      </c>
      <c r="E138" s="2" t="s">
        <v>529</v>
      </c>
      <c r="F138" s="2" t="s">
        <v>530</v>
      </c>
      <c r="G138" s="2" t="s">
        <v>532</v>
      </c>
      <c r="I138" s="1" t="s">
        <v>533</v>
      </c>
      <c r="J138" s="59" t="s">
        <v>988</v>
      </c>
      <c r="K138" s="59" t="s">
        <v>862</v>
      </c>
      <c r="L138" s="42" t="n">
        <v>1000000</v>
      </c>
      <c r="N138" s="5" t="n">
        <v>1000000</v>
      </c>
      <c r="P138" s="5" t="n">
        <v>1000000</v>
      </c>
      <c r="R138" s="6"/>
      <c r="S138" s="6"/>
      <c r="T138" s="6"/>
      <c r="U138" s="6"/>
      <c r="V138" s="6"/>
      <c r="W138" s="6"/>
      <c r="X138" s="128" t="n">
        <f aca="false">SUM(S138:W138)</f>
        <v>0</v>
      </c>
      <c r="Y138" s="6"/>
      <c r="Z138" s="6"/>
      <c r="AA138" s="6"/>
      <c r="AB138" s="6"/>
      <c r="AC138" s="128" t="n">
        <f aca="false">SUM(Y138:AB138)</f>
        <v>0</v>
      </c>
      <c r="AD138" s="6"/>
      <c r="AE138" s="6"/>
      <c r="AF138" s="6"/>
      <c r="AG138" s="6"/>
      <c r="AH138" s="6"/>
      <c r="AI138" s="128" t="n">
        <f aca="false">SUM(AD138:AH138)</f>
        <v>0</v>
      </c>
      <c r="AJ138" s="6"/>
      <c r="AK138" s="129"/>
      <c r="AL138" s="6"/>
      <c r="AM138" s="6"/>
      <c r="AN138" s="6" t="n">
        <v>200000</v>
      </c>
      <c r="AO138" s="6"/>
      <c r="AP138" s="128" t="n">
        <f aca="false">SUM(AJ138:AO138)</f>
        <v>200000</v>
      </c>
      <c r="AQ138" s="6" t="n">
        <v>300000</v>
      </c>
      <c r="AR138" s="6" t="n">
        <v>500000</v>
      </c>
      <c r="AS138" s="6"/>
      <c r="AT138" s="6"/>
      <c r="AU138" s="6"/>
      <c r="AV138" s="6"/>
      <c r="AW138" s="6" t="n">
        <v>0</v>
      </c>
      <c r="AX138" s="128" t="n">
        <f aca="false">SUM(AQ138:AW138)</f>
        <v>800000</v>
      </c>
      <c r="AY138" s="6"/>
      <c r="AZ138" s="6"/>
      <c r="BA138" s="6"/>
      <c r="BB138" s="6"/>
      <c r="BC138" s="6"/>
      <c r="BD138" s="128" t="n">
        <f aca="false">SUM(AY138:BC138)</f>
        <v>0</v>
      </c>
      <c r="BE138" s="130"/>
      <c r="BF138" s="6" t="n">
        <f aca="false">AC138+X138+AI138+AP138+AX138+BD138</f>
        <v>1000000</v>
      </c>
      <c r="BG138" s="131" t="n">
        <f aca="false">+N138-BF138</f>
        <v>0</v>
      </c>
    </row>
    <row r="139" customFormat="false" ht="12.75" hidden="false" customHeight="false" outlineLevel="0" collapsed="false">
      <c r="A139" s="58" t="n">
        <v>88</v>
      </c>
      <c r="C139" s="1" t="n">
        <v>45392</v>
      </c>
      <c r="E139" s="2" t="s">
        <v>534</v>
      </c>
      <c r="F139" s="2" t="s">
        <v>535</v>
      </c>
      <c r="G139" s="2" t="s">
        <v>537</v>
      </c>
      <c r="I139" s="1" t="s">
        <v>538</v>
      </c>
      <c r="J139" s="59" t="s">
        <v>989</v>
      </c>
      <c r="K139" s="59" t="s">
        <v>871</v>
      </c>
      <c r="L139" s="42" t="n">
        <v>500000</v>
      </c>
      <c r="N139" s="5" t="n">
        <v>500000</v>
      </c>
      <c r="P139" s="5" t="n">
        <v>500000</v>
      </c>
      <c r="R139" s="6"/>
      <c r="S139" s="6"/>
      <c r="T139" s="6"/>
      <c r="U139" s="6"/>
      <c r="V139" s="6"/>
      <c r="W139" s="6"/>
      <c r="X139" s="128" t="n">
        <f aca="false">SUM(S139:W139)</f>
        <v>0</v>
      </c>
      <c r="Y139" s="6"/>
      <c r="Z139" s="6"/>
      <c r="AA139" s="6"/>
      <c r="AB139" s="6"/>
      <c r="AC139" s="128" t="n">
        <f aca="false">SUM(Y139:AB139)</f>
        <v>0</v>
      </c>
      <c r="AD139" s="6"/>
      <c r="AE139" s="6"/>
      <c r="AF139" s="6"/>
      <c r="AG139" s="6"/>
      <c r="AH139" s="6"/>
      <c r="AI139" s="128" t="n">
        <f aca="false">SUM(AD139:AH139)</f>
        <v>0</v>
      </c>
      <c r="AJ139" s="6"/>
      <c r="AK139" s="129"/>
      <c r="AL139" s="6"/>
      <c r="AM139" s="6"/>
      <c r="AN139" s="6" t="n">
        <v>250000</v>
      </c>
      <c r="AO139" s="6"/>
      <c r="AP139" s="128" t="n">
        <f aca="false">SUM(AJ139:AO139)</f>
        <v>250000</v>
      </c>
      <c r="AQ139" s="6" t="n">
        <v>250000</v>
      </c>
      <c r="AR139" s="6"/>
      <c r="AS139" s="6"/>
      <c r="AT139" s="6"/>
      <c r="AU139" s="6"/>
      <c r="AV139" s="6"/>
      <c r="AW139" s="6" t="n">
        <v>0</v>
      </c>
      <c r="AX139" s="128" t="n">
        <f aca="false">SUM(AQ139:AW139)</f>
        <v>250000</v>
      </c>
      <c r="AY139" s="6"/>
      <c r="AZ139" s="6"/>
      <c r="BA139" s="6"/>
      <c r="BB139" s="6"/>
      <c r="BC139" s="6"/>
      <c r="BD139" s="128" t="n">
        <f aca="false">SUM(AY139:BC139)</f>
        <v>0</v>
      </c>
      <c r="BE139" s="130"/>
      <c r="BF139" s="6" t="n">
        <f aca="false">AC139+X139+AI139+AP139+AX139+BD139</f>
        <v>500000</v>
      </c>
      <c r="BG139" s="131" t="n">
        <f aca="false">+N139-BF139</f>
        <v>0</v>
      </c>
    </row>
    <row r="140" customFormat="false" ht="12.75" hidden="false" customHeight="false" outlineLevel="0" collapsed="false">
      <c r="A140" s="186" t="s">
        <v>990</v>
      </c>
      <c r="B140" s="186"/>
      <c r="C140" s="1" t="n">
        <v>45399</v>
      </c>
      <c r="E140" s="2" t="s">
        <v>539</v>
      </c>
      <c r="F140" s="2" t="s">
        <v>540</v>
      </c>
      <c r="G140" s="2" t="s">
        <v>542</v>
      </c>
      <c r="I140" s="1" t="s">
        <v>543</v>
      </c>
      <c r="J140" s="59" t="s">
        <v>991</v>
      </c>
      <c r="K140" s="59" t="s">
        <v>862</v>
      </c>
      <c r="L140" s="187" t="n">
        <v>1500000</v>
      </c>
      <c r="N140" s="5" t="n">
        <v>1500000</v>
      </c>
      <c r="P140" s="5" t="n">
        <v>1500000</v>
      </c>
      <c r="R140" s="6"/>
      <c r="S140" s="6"/>
      <c r="T140" s="6"/>
      <c r="U140" s="6"/>
      <c r="V140" s="6"/>
      <c r="W140" s="6"/>
      <c r="X140" s="128" t="n">
        <f aca="false">SUM(S140:W140)</f>
        <v>0</v>
      </c>
      <c r="Y140" s="6"/>
      <c r="Z140" s="6"/>
      <c r="AA140" s="6"/>
      <c r="AB140" s="6"/>
      <c r="AC140" s="128" t="n">
        <f aca="false">SUM(Y140:AB140)</f>
        <v>0</v>
      </c>
      <c r="AD140" s="6"/>
      <c r="AE140" s="6"/>
      <c r="AF140" s="6"/>
      <c r="AG140" s="6"/>
      <c r="AH140" s="6"/>
      <c r="AI140" s="128" t="n">
        <f aca="false">SUM(AD140:AH140)</f>
        <v>0</v>
      </c>
      <c r="AJ140" s="6"/>
      <c r="AK140" s="129"/>
      <c r="AL140" s="6"/>
      <c r="AM140" s="6"/>
      <c r="AN140" s="6"/>
      <c r="AO140" s="6"/>
      <c r="AP140" s="128" t="n">
        <f aca="false">SUM(AJ140:AO140)</f>
        <v>0</v>
      </c>
      <c r="AQ140" s="6" t="n">
        <v>500000</v>
      </c>
      <c r="AR140" s="6" t="n">
        <v>200000</v>
      </c>
      <c r="AS140" s="6"/>
      <c r="AT140" s="6"/>
      <c r="AU140" s="6"/>
      <c r="AV140" s="6"/>
      <c r="AW140" s="6" t="n">
        <v>0</v>
      </c>
      <c r="AX140" s="128" t="n">
        <f aca="false">SUM(AQ140:AW140)</f>
        <v>700000</v>
      </c>
      <c r="AY140" s="6" t="n">
        <v>87844</v>
      </c>
      <c r="AZ140" s="6"/>
      <c r="BA140" s="6"/>
      <c r="BB140" s="6"/>
      <c r="BC140" s="6"/>
      <c r="BD140" s="128" t="n">
        <f aca="false">SUM(AY140:BC140)</f>
        <v>87844</v>
      </c>
      <c r="BE140" s="130"/>
      <c r="BF140" s="6" t="n">
        <f aca="false">AC140+X140+AI140+AP140+AX140+BD140</f>
        <v>787844</v>
      </c>
      <c r="BG140" s="131" t="n">
        <v>0</v>
      </c>
    </row>
    <row r="141" s="144" customFormat="true" ht="12.75" hidden="false" customHeight="false" outlineLevel="0" collapsed="false">
      <c r="A141" s="188" t="s">
        <v>992</v>
      </c>
      <c r="B141" s="188"/>
      <c r="C141" s="180" t="n">
        <v>45727</v>
      </c>
      <c r="D141" s="180"/>
      <c r="E141" s="144" t="s">
        <v>544</v>
      </c>
      <c r="F141" s="144" t="s">
        <v>540</v>
      </c>
      <c r="G141" s="144" t="s">
        <v>542</v>
      </c>
      <c r="H141" s="145"/>
      <c r="I141" s="180" t="s">
        <v>543</v>
      </c>
      <c r="J141" s="145" t="s">
        <v>991</v>
      </c>
      <c r="K141" s="145" t="s">
        <v>862</v>
      </c>
      <c r="L141" s="189" t="n">
        <v>-1500000</v>
      </c>
      <c r="M141" s="184"/>
      <c r="N141" s="184" t="n">
        <v>-1500000</v>
      </c>
      <c r="O141" s="184"/>
      <c r="P141" s="184" t="n">
        <v>-1500000</v>
      </c>
      <c r="Q141" s="184"/>
      <c r="R141" s="150"/>
      <c r="S141" s="150"/>
      <c r="T141" s="150"/>
      <c r="U141" s="150"/>
      <c r="V141" s="150"/>
      <c r="W141" s="150"/>
      <c r="X141" s="151" t="n">
        <f aca="false">SUM(S141:W141)</f>
        <v>0</v>
      </c>
      <c r="Y141" s="150"/>
      <c r="Z141" s="150"/>
      <c r="AA141" s="150"/>
      <c r="AB141" s="150"/>
      <c r="AC141" s="151" t="n">
        <f aca="false">SUM(Y141:AB141)</f>
        <v>0</v>
      </c>
      <c r="AD141" s="150"/>
      <c r="AE141" s="150"/>
      <c r="AF141" s="150"/>
      <c r="AG141" s="150"/>
      <c r="AH141" s="150"/>
      <c r="AI141" s="151" t="n">
        <f aca="false">SUM(AD141:AH141)</f>
        <v>0</v>
      </c>
      <c r="AJ141" s="150"/>
      <c r="AK141" s="150"/>
      <c r="AL141" s="150"/>
      <c r="AM141" s="150"/>
      <c r="AN141" s="150"/>
      <c r="AO141" s="150"/>
      <c r="AP141" s="151" t="n">
        <f aca="false">SUM(AJ141:AO141)</f>
        <v>0</v>
      </c>
      <c r="AQ141" s="150"/>
      <c r="AR141" s="150"/>
      <c r="AS141" s="150"/>
      <c r="AT141" s="150"/>
      <c r="AU141" s="150"/>
      <c r="AV141" s="150"/>
      <c r="AW141" s="150" t="n">
        <v>0</v>
      </c>
      <c r="AX141" s="151" t="n">
        <f aca="false">SUM(AQ141:AW141)</f>
        <v>0</v>
      </c>
      <c r="AY141" s="150"/>
      <c r="AZ141" s="150"/>
      <c r="BA141" s="150"/>
      <c r="BB141" s="150"/>
      <c r="BC141" s="150"/>
      <c r="BD141" s="128" t="n">
        <f aca="false">SUM(AY141:BC141)</f>
        <v>0</v>
      </c>
      <c r="BE141" s="185"/>
      <c r="BF141" s="6" t="n">
        <f aca="false">AC141+X141+AI141+AP141+AX141+BD141</f>
        <v>0</v>
      </c>
      <c r="BG141" s="131" t="n">
        <v>0</v>
      </c>
      <c r="BH141" s="6"/>
    </row>
    <row r="142" s="28" customFormat="true" ht="12.75" hidden="false" customHeight="false" outlineLevel="0" collapsed="false">
      <c r="A142" s="190" t="s">
        <v>993</v>
      </c>
      <c r="B142" s="190"/>
      <c r="C142" s="27" t="n">
        <v>45729</v>
      </c>
      <c r="D142" s="27"/>
      <c r="E142" s="28" t="s">
        <v>545</v>
      </c>
      <c r="F142" s="28" t="s">
        <v>540</v>
      </c>
      <c r="G142" s="28" t="s">
        <v>542</v>
      </c>
      <c r="H142" s="156"/>
      <c r="I142" s="27" t="s">
        <v>543</v>
      </c>
      <c r="J142" s="156" t="s">
        <v>991</v>
      </c>
      <c r="K142" s="156" t="s">
        <v>862</v>
      </c>
      <c r="L142" s="191" t="n">
        <v>1260076</v>
      </c>
      <c r="M142" s="30"/>
      <c r="N142" s="30" t="n">
        <v>1260076</v>
      </c>
      <c r="O142" s="30"/>
      <c r="P142" s="30" t="n">
        <v>1260076</v>
      </c>
      <c r="Q142" s="30"/>
      <c r="R142" s="158"/>
      <c r="S142" s="158"/>
      <c r="T142" s="158"/>
      <c r="U142" s="158"/>
      <c r="V142" s="158"/>
      <c r="W142" s="158"/>
      <c r="X142" s="159"/>
      <c r="Y142" s="158"/>
      <c r="Z142" s="158"/>
      <c r="AA142" s="158"/>
      <c r="AB142" s="158"/>
      <c r="AC142" s="159"/>
      <c r="AD142" s="158"/>
      <c r="AE142" s="158"/>
      <c r="AF142" s="158"/>
      <c r="AG142" s="158"/>
      <c r="AH142" s="158"/>
      <c r="AI142" s="159"/>
      <c r="AJ142" s="158"/>
      <c r="AK142" s="158"/>
      <c r="AL142" s="158"/>
      <c r="AM142" s="158"/>
      <c r="AN142" s="158"/>
      <c r="AO142" s="158"/>
      <c r="AP142" s="159"/>
      <c r="AQ142" s="158"/>
      <c r="AR142" s="158"/>
      <c r="AS142" s="158"/>
      <c r="AT142" s="158"/>
      <c r="AU142" s="158"/>
      <c r="AV142" s="158"/>
      <c r="AW142" s="158" t="n">
        <v>0</v>
      </c>
      <c r="AX142" s="159"/>
      <c r="AY142" s="158"/>
      <c r="AZ142" s="158"/>
      <c r="BA142" s="158"/>
      <c r="BB142" s="158"/>
      <c r="BC142" s="158"/>
      <c r="BD142" s="128" t="n">
        <f aca="false">SUM(AY142:BC142)</f>
        <v>0</v>
      </c>
      <c r="BE142" s="160"/>
      <c r="BF142" s="6" t="n">
        <f aca="false">AC142+X142+AI142+AP142+AX142+BD142</f>
        <v>0</v>
      </c>
      <c r="BG142" s="131" t="n">
        <f aca="false">+N142-BF140-BF144</f>
        <v>0</v>
      </c>
      <c r="BH142" s="6"/>
    </row>
    <row r="143" s="144" customFormat="true" ht="12.75" hidden="false" customHeight="false" outlineLevel="0" collapsed="false">
      <c r="A143" s="190" t="s">
        <v>993</v>
      </c>
      <c r="B143" s="190"/>
      <c r="C143" s="180" t="n">
        <v>45741</v>
      </c>
      <c r="D143" s="180"/>
      <c r="E143" s="144" t="s">
        <v>546</v>
      </c>
      <c r="F143" s="144" t="s">
        <v>540</v>
      </c>
      <c r="G143" s="144" t="s">
        <v>542</v>
      </c>
      <c r="H143" s="145"/>
      <c r="I143" s="180" t="s">
        <v>543</v>
      </c>
      <c r="J143" s="145" t="s">
        <v>991</v>
      </c>
      <c r="K143" s="145" t="s">
        <v>862</v>
      </c>
      <c r="L143" s="189" t="n">
        <v>-472232</v>
      </c>
      <c r="M143" s="184"/>
      <c r="N143" s="184" t="n">
        <v>-472232</v>
      </c>
      <c r="O143" s="184"/>
      <c r="P143" s="184" t="n">
        <v>-472232</v>
      </c>
      <c r="Q143" s="184"/>
      <c r="R143" s="150"/>
      <c r="S143" s="150"/>
      <c r="T143" s="150"/>
      <c r="U143" s="150"/>
      <c r="V143" s="150"/>
      <c r="W143" s="150"/>
      <c r="X143" s="151"/>
      <c r="Y143" s="150"/>
      <c r="Z143" s="150"/>
      <c r="AA143" s="150"/>
      <c r="AB143" s="150"/>
      <c r="AC143" s="151"/>
      <c r="AD143" s="150"/>
      <c r="AE143" s="150"/>
      <c r="AF143" s="150"/>
      <c r="AG143" s="150"/>
      <c r="AH143" s="150"/>
      <c r="AI143" s="151"/>
      <c r="AJ143" s="150"/>
      <c r="AK143" s="150"/>
      <c r="AL143" s="150"/>
      <c r="AM143" s="150"/>
      <c r="AN143" s="150"/>
      <c r="AO143" s="150"/>
      <c r="AP143" s="151"/>
      <c r="AQ143" s="150"/>
      <c r="AR143" s="150"/>
      <c r="AS143" s="150"/>
      <c r="AT143" s="150"/>
      <c r="AU143" s="150"/>
      <c r="AV143" s="150"/>
      <c r="AW143" s="150" t="n">
        <v>0</v>
      </c>
      <c r="AX143" s="151"/>
      <c r="AY143" s="150"/>
      <c r="AZ143" s="150"/>
      <c r="BA143" s="150"/>
      <c r="BB143" s="150"/>
      <c r="BC143" s="150"/>
      <c r="BD143" s="128" t="n">
        <f aca="false">SUM(AY143:BC143)</f>
        <v>0</v>
      </c>
      <c r="BE143" s="185"/>
      <c r="BF143" s="6" t="n">
        <f aca="false">AC143+X143+AI143+AP143+AX143+BD143</f>
        <v>0</v>
      </c>
      <c r="BG143" s="131" t="n">
        <v>0</v>
      </c>
      <c r="BH143" s="6"/>
    </row>
    <row r="144" customFormat="false" ht="12.75" hidden="false" customHeight="false" outlineLevel="0" collapsed="false">
      <c r="A144" s="186" t="s">
        <v>990</v>
      </c>
      <c r="B144" s="186"/>
      <c r="C144" s="1" t="n">
        <v>45399</v>
      </c>
      <c r="E144" s="2" t="s">
        <v>539</v>
      </c>
      <c r="F144" s="2" t="s">
        <v>540</v>
      </c>
      <c r="G144" s="2" t="s">
        <v>542</v>
      </c>
      <c r="I144" s="1" t="s">
        <v>543</v>
      </c>
      <c r="J144" s="59" t="s">
        <v>994</v>
      </c>
      <c r="K144" s="59" t="s">
        <v>862</v>
      </c>
      <c r="L144" s="187" t="n">
        <v>472232</v>
      </c>
      <c r="N144" s="5" t="n">
        <v>472232</v>
      </c>
      <c r="P144" s="5" t="n">
        <v>472232</v>
      </c>
      <c r="R144" s="6"/>
      <c r="S144" s="6"/>
      <c r="T144" s="6"/>
      <c r="U144" s="6"/>
      <c r="V144" s="6"/>
      <c r="W144" s="6"/>
      <c r="X144" s="128" t="n">
        <f aca="false">SUM(S144:W144)</f>
        <v>0</v>
      </c>
      <c r="Y144" s="6"/>
      <c r="Z144" s="6"/>
      <c r="AA144" s="6"/>
      <c r="AB144" s="6"/>
      <c r="AC144" s="128" t="n">
        <f aca="false">SUM(Y144:AB144)</f>
        <v>0</v>
      </c>
      <c r="AD144" s="6"/>
      <c r="AE144" s="6"/>
      <c r="AF144" s="6"/>
      <c r="AG144" s="6"/>
      <c r="AH144" s="6"/>
      <c r="AI144" s="128" t="n">
        <f aca="false">SUM(AD144:AH144)</f>
        <v>0</v>
      </c>
      <c r="AJ144" s="6"/>
      <c r="AK144" s="129"/>
      <c r="AL144" s="6"/>
      <c r="AM144" s="6"/>
      <c r="AN144" s="6" t="n">
        <v>472232</v>
      </c>
      <c r="AO144" s="6"/>
      <c r="AP144" s="128" t="n">
        <f aca="false">SUM(AJ144:AO144)</f>
        <v>472232</v>
      </c>
      <c r="AQ144" s="6"/>
      <c r="AR144" s="6"/>
      <c r="AS144" s="6"/>
      <c r="AT144" s="6"/>
      <c r="AU144" s="6"/>
      <c r="AV144" s="6"/>
      <c r="AW144" s="6" t="n">
        <v>0</v>
      </c>
      <c r="AX144" s="128" t="n">
        <f aca="false">SUM(AQ144:AW144)</f>
        <v>0</v>
      </c>
      <c r="AY144" s="6"/>
      <c r="AZ144" s="6"/>
      <c r="BA144" s="6"/>
      <c r="BB144" s="6"/>
      <c r="BC144" s="6"/>
      <c r="BD144" s="128" t="n">
        <f aca="false">SUM(AY144:BC144)</f>
        <v>0</v>
      </c>
      <c r="BE144" s="130"/>
      <c r="BF144" s="6" t="n">
        <f aca="false">AC144+X144+AI144+AP144+AX144+BD144</f>
        <v>472232</v>
      </c>
      <c r="BG144" s="131" t="n">
        <f aca="false">+N144-BF144</f>
        <v>0</v>
      </c>
    </row>
    <row r="145" s="144" customFormat="true" ht="12.75" hidden="false" customHeight="false" outlineLevel="0" collapsed="false">
      <c r="A145" s="188" t="s">
        <v>992</v>
      </c>
      <c r="B145" s="188"/>
      <c r="C145" s="180" t="n">
        <v>45727</v>
      </c>
      <c r="D145" s="180"/>
      <c r="E145" s="144" t="s">
        <v>544</v>
      </c>
      <c r="F145" s="144" t="s">
        <v>540</v>
      </c>
      <c r="G145" s="144" t="s">
        <v>542</v>
      </c>
      <c r="H145" s="145"/>
      <c r="I145" s="180" t="s">
        <v>543</v>
      </c>
      <c r="J145" s="145" t="s">
        <v>994</v>
      </c>
      <c r="K145" s="145" t="s">
        <v>862</v>
      </c>
      <c r="L145" s="189" t="n">
        <v>-472232</v>
      </c>
      <c r="M145" s="184"/>
      <c r="N145" s="184" t="n">
        <v>-472232</v>
      </c>
      <c r="O145" s="184"/>
      <c r="P145" s="184" t="n">
        <v>-472232</v>
      </c>
      <c r="Q145" s="184"/>
      <c r="R145" s="150"/>
      <c r="S145" s="150"/>
      <c r="T145" s="150"/>
      <c r="U145" s="150"/>
      <c r="V145" s="150"/>
      <c r="W145" s="150"/>
      <c r="X145" s="151" t="n">
        <f aca="false">SUM(S145:W145)</f>
        <v>0</v>
      </c>
      <c r="Y145" s="150"/>
      <c r="Z145" s="150"/>
      <c r="AA145" s="150"/>
      <c r="AB145" s="150"/>
      <c r="AC145" s="151" t="n">
        <f aca="false">SUM(Y145:AB145)</f>
        <v>0</v>
      </c>
      <c r="AD145" s="150"/>
      <c r="AE145" s="150"/>
      <c r="AF145" s="150"/>
      <c r="AG145" s="150"/>
      <c r="AH145" s="150"/>
      <c r="AI145" s="151" t="n">
        <f aca="false">SUM(AD145:AH145)</f>
        <v>0</v>
      </c>
      <c r="AJ145" s="150"/>
      <c r="AK145" s="150"/>
      <c r="AL145" s="150"/>
      <c r="AM145" s="150"/>
      <c r="AN145" s="150"/>
      <c r="AO145" s="150"/>
      <c r="AP145" s="151" t="n">
        <f aca="false">SUM(AJ145:AO145)</f>
        <v>0</v>
      </c>
      <c r="AQ145" s="150"/>
      <c r="AR145" s="150"/>
      <c r="AS145" s="150"/>
      <c r="AT145" s="150"/>
      <c r="AU145" s="150"/>
      <c r="AV145" s="150"/>
      <c r="AW145" s="150" t="n">
        <v>0</v>
      </c>
      <c r="AX145" s="151" t="n">
        <f aca="false">SUM(AQ145:AW145)</f>
        <v>0</v>
      </c>
      <c r="AY145" s="150"/>
      <c r="AZ145" s="150"/>
      <c r="BA145" s="150"/>
      <c r="BB145" s="150"/>
      <c r="BC145" s="150"/>
      <c r="BD145" s="128" t="n">
        <f aca="false">SUM(AY145:BC145)</f>
        <v>0</v>
      </c>
      <c r="BE145" s="185"/>
      <c r="BF145" s="6" t="n">
        <f aca="false">AC145+X145+AI145+AP145+AX145+BD145</f>
        <v>0</v>
      </c>
      <c r="BG145" s="131" t="n">
        <v>0</v>
      </c>
      <c r="BH145" s="6"/>
    </row>
    <row r="146" s="28" customFormat="true" ht="12.75" hidden="false" customHeight="false" outlineLevel="0" collapsed="false">
      <c r="A146" s="190" t="s">
        <v>993</v>
      </c>
      <c r="B146" s="190"/>
      <c r="C146" s="27" t="n">
        <v>45741</v>
      </c>
      <c r="D146" s="27"/>
      <c r="E146" s="28" t="s">
        <v>546</v>
      </c>
      <c r="F146" s="28" t="s">
        <v>540</v>
      </c>
      <c r="G146" s="28" t="s">
        <v>542</v>
      </c>
      <c r="H146" s="156"/>
      <c r="I146" s="27" t="s">
        <v>543</v>
      </c>
      <c r="J146" s="156" t="s">
        <v>994</v>
      </c>
      <c r="K146" s="156" t="s">
        <v>862</v>
      </c>
      <c r="L146" s="191" t="n">
        <v>472232</v>
      </c>
      <c r="M146" s="30"/>
      <c r="N146" s="30" t="n">
        <v>472232</v>
      </c>
      <c r="O146" s="30"/>
      <c r="P146" s="30" t="n">
        <v>472232</v>
      </c>
      <c r="Q146" s="30"/>
      <c r="R146" s="158"/>
      <c r="S146" s="158"/>
      <c r="T146" s="158"/>
      <c r="U146" s="158"/>
      <c r="V146" s="158"/>
      <c r="W146" s="158"/>
      <c r="X146" s="159"/>
      <c r="Y146" s="158"/>
      <c r="Z146" s="158"/>
      <c r="AA146" s="158"/>
      <c r="AB146" s="158"/>
      <c r="AC146" s="159"/>
      <c r="AD146" s="158"/>
      <c r="AE146" s="158"/>
      <c r="AF146" s="158"/>
      <c r="AG146" s="158"/>
      <c r="AH146" s="158"/>
      <c r="AI146" s="159"/>
      <c r="AJ146" s="158"/>
      <c r="AK146" s="158"/>
      <c r="AL146" s="158"/>
      <c r="AM146" s="158"/>
      <c r="AN146" s="158"/>
      <c r="AO146" s="158"/>
      <c r="AP146" s="159"/>
      <c r="AQ146" s="158"/>
      <c r="AR146" s="158"/>
      <c r="AS146" s="158"/>
      <c r="AT146" s="158"/>
      <c r="AU146" s="158"/>
      <c r="AV146" s="158"/>
      <c r="AW146" s="158" t="n">
        <v>0</v>
      </c>
      <c r="AX146" s="159"/>
      <c r="AY146" s="158"/>
      <c r="AZ146" s="158"/>
      <c r="BA146" s="158"/>
      <c r="BB146" s="158"/>
      <c r="BC146" s="158"/>
      <c r="BD146" s="128" t="n">
        <f aca="false">SUM(AY146:BC146)</f>
        <v>0</v>
      </c>
      <c r="BE146" s="160"/>
      <c r="BF146" s="6" t="n">
        <f aca="false">AC146+X146+AI146+AP146+AX146+BD146</f>
        <v>0</v>
      </c>
      <c r="BG146" s="131" t="n">
        <v>0</v>
      </c>
      <c r="BH146" s="6"/>
    </row>
    <row r="147" customFormat="false" ht="12.75" hidden="false" customHeight="false" outlineLevel="0" collapsed="false">
      <c r="A147" s="58" t="n">
        <v>90</v>
      </c>
      <c r="C147" s="1" t="n">
        <v>45470</v>
      </c>
      <c r="E147" s="2" t="s">
        <v>547</v>
      </c>
      <c r="F147" s="2" t="s">
        <v>548</v>
      </c>
      <c r="G147" s="2" t="s">
        <v>550</v>
      </c>
      <c r="I147" s="1" t="s">
        <v>551</v>
      </c>
      <c r="J147" s="59" t="s">
        <v>995</v>
      </c>
      <c r="K147" s="59" t="s">
        <v>871</v>
      </c>
      <c r="L147" s="42" t="n">
        <v>2025256.87</v>
      </c>
      <c r="N147" s="5" t="n">
        <v>2025256.87</v>
      </c>
      <c r="P147" s="5" t="n">
        <v>2025256.87</v>
      </c>
      <c r="R147" s="6"/>
      <c r="S147" s="6"/>
      <c r="T147" s="6"/>
      <c r="U147" s="6"/>
      <c r="V147" s="6"/>
      <c r="W147" s="6"/>
      <c r="X147" s="128" t="n">
        <f aca="false">SUM(S147:W147)</f>
        <v>0</v>
      </c>
      <c r="Y147" s="6"/>
      <c r="Z147" s="6"/>
      <c r="AA147" s="6"/>
      <c r="AB147" s="6"/>
      <c r="AC147" s="128" t="n">
        <f aca="false">SUM(Y147:AB147)</f>
        <v>0</v>
      </c>
      <c r="AD147" s="6"/>
      <c r="AE147" s="6"/>
      <c r="AF147" s="6"/>
      <c r="AG147" s="6"/>
      <c r="AH147" s="6"/>
      <c r="AI147" s="128" t="n">
        <f aca="false">SUM(AD147:AH147)</f>
        <v>0</v>
      </c>
      <c r="AJ147" s="6"/>
      <c r="AK147" s="129"/>
      <c r="AL147" s="6"/>
      <c r="AM147" s="6"/>
      <c r="AN147" s="6"/>
      <c r="AO147" s="6"/>
      <c r="AP147" s="128" t="n">
        <f aca="false">SUM(AJ147:AO147)</f>
        <v>0</v>
      </c>
      <c r="AQ147" s="6"/>
      <c r="AR147" s="6" t="n">
        <v>1000000</v>
      </c>
      <c r="AS147" s="6"/>
      <c r="AT147" s="6" t="n">
        <v>1025256.87</v>
      </c>
      <c r="AU147" s="6"/>
      <c r="AV147" s="6"/>
      <c r="AW147" s="6" t="n">
        <v>0</v>
      </c>
      <c r="AX147" s="128" t="n">
        <f aca="false">SUM(AQ147:AW147)</f>
        <v>2025256.87</v>
      </c>
      <c r="AY147" s="6"/>
      <c r="AZ147" s="6"/>
      <c r="BA147" s="6"/>
      <c r="BB147" s="6"/>
      <c r="BC147" s="6"/>
      <c r="BD147" s="128" t="n">
        <f aca="false">SUM(AY147:BC147)</f>
        <v>0</v>
      </c>
      <c r="BE147" s="130"/>
      <c r="BF147" s="6" t="n">
        <f aca="false">AC147+X147+AI147+AP147+AX147+BD147</f>
        <v>2025256.87</v>
      </c>
      <c r="BG147" s="131" t="n">
        <f aca="false">+N147-BF147</f>
        <v>0</v>
      </c>
    </row>
    <row r="148" customFormat="false" ht="12.75" hidden="false" customHeight="false" outlineLevel="0" collapsed="false">
      <c r="A148" s="58" t="n">
        <v>90</v>
      </c>
      <c r="C148" s="1" t="n">
        <v>45470</v>
      </c>
      <c r="E148" s="2" t="s">
        <v>547</v>
      </c>
      <c r="F148" s="2" t="s">
        <v>548</v>
      </c>
      <c r="G148" s="2" t="s">
        <v>550</v>
      </c>
      <c r="I148" s="1" t="s">
        <v>551</v>
      </c>
      <c r="J148" s="59" t="s">
        <v>996</v>
      </c>
      <c r="K148" s="59" t="s">
        <v>871</v>
      </c>
      <c r="L148" s="42" t="n">
        <v>188138.62</v>
      </c>
      <c r="N148" s="5" t="n">
        <v>188138.62</v>
      </c>
      <c r="P148" s="5" t="n">
        <v>188138.62</v>
      </c>
      <c r="R148" s="6"/>
      <c r="S148" s="6"/>
      <c r="T148" s="6"/>
      <c r="U148" s="6"/>
      <c r="V148" s="6"/>
      <c r="W148" s="6"/>
      <c r="X148" s="128" t="n">
        <f aca="false">SUM(S148:W148)</f>
        <v>0</v>
      </c>
      <c r="Y148" s="6"/>
      <c r="Z148" s="6"/>
      <c r="AA148" s="6"/>
      <c r="AB148" s="6"/>
      <c r="AC148" s="128" t="n">
        <f aca="false">SUM(Y148:AB148)</f>
        <v>0</v>
      </c>
      <c r="AD148" s="6"/>
      <c r="AE148" s="6"/>
      <c r="AF148" s="6"/>
      <c r="AG148" s="6"/>
      <c r="AH148" s="6"/>
      <c r="AI148" s="128" t="n">
        <f aca="false">SUM(AD148:AH148)</f>
        <v>0</v>
      </c>
      <c r="AJ148" s="6"/>
      <c r="AK148" s="129"/>
      <c r="AL148" s="6"/>
      <c r="AM148" s="6"/>
      <c r="AN148" s="6"/>
      <c r="AO148" s="6"/>
      <c r="AP148" s="128" t="n">
        <f aca="false">SUM(AJ148:AO148)</f>
        <v>0</v>
      </c>
      <c r="AQ148" s="6"/>
      <c r="AR148" s="6" t="n">
        <v>188138.62</v>
      </c>
      <c r="AS148" s="6"/>
      <c r="AT148" s="6"/>
      <c r="AU148" s="6"/>
      <c r="AV148" s="6"/>
      <c r="AW148" s="6" t="n">
        <v>0</v>
      </c>
      <c r="AX148" s="128" t="n">
        <f aca="false">SUM(AQ148:AW148)</f>
        <v>188138.62</v>
      </c>
      <c r="AY148" s="6"/>
      <c r="AZ148" s="6"/>
      <c r="BA148" s="6"/>
      <c r="BB148" s="6"/>
      <c r="BC148" s="6"/>
      <c r="BD148" s="128" t="n">
        <f aca="false">SUM(AY148:BC148)</f>
        <v>0</v>
      </c>
      <c r="BE148" s="130"/>
      <c r="BF148" s="6" t="n">
        <f aca="false">AC148+X148+AI148+AP148+AX148+BD148</f>
        <v>188138.62</v>
      </c>
      <c r="BG148" s="131" t="n">
        <f aca="false">+N148-BF148</f>
        <v>0</v>
      </c>
    </row>
    <row r="149" customFormat="false" ht="12.75" hidden="false" customHeight="false" outlineLevel="0" collapsed="false">
      <c r="A149" s="58" t="n">
        <v>90</v>
      </c>
      <c r="C149" s="1" t="n">
        <v>45470</v>
      </c>
      <c r="E149" s="2" t="s">
        <v>547</v>
      </c>
      <c r="F149" s="2" t="s">
        <v>548</v>
      </c>
      <c r="G149" s="2" t="s">
        <v>550</v>
      </c>
      <c r="I149" s="1" t="s">
        <v>551</v>
      </c>
      <c r="J149" s="59" t="s">
        <v>997</v>
      </c>
      <c r="K149" s="59" t="s">
        <v>871</v>
      </c>
      <c r="L149" s="42" t="n">
        <v>622945.71</v>
      </c>
      <c r="N149" s="5" t="n">
        <v>622945.71</v>
      </c>
      <c r="P149" s="5" t="n">
        <v>622945.71</v>
      </c>
      <c r="R149" s="6"/>
      <c r="S149" s="6"/>
      <c r="T149" s="6"/>
      <c r="U149" s="6"/>
      <c r="V149" s="6"/>
      <c r="W149" s="6"/>
      <c r="X149" s="128" t="n">
        <f aca="false">SUM(S149:W149)</f>
        <v>0</v>
      </c>
      <c r="Y149" s="6"/>
      <c r="Z149" s="6"/>
      <c r="AA149" s="6"/>
      <c r="AB149" s="6"/>
      <c r="AC149" s="128" t="n">
        <f aca="false">SUM(Y149:AB149)</f>
        <v>0</v>
      </c>
      <c r="AD149" s="6"/>
      <c r="AE149" s="6"/>
      <c r="AF149" s="6"/>
      <c r="AG149" s="6"/>
      <c r="AH149" s="6"/>
      <c r="AI149" s="128" t="n">
        <f aca="false">SUM(AD149:AH149)</f>
        <v>0</v>
      </c>
      <c r="AJ149" s="6"/>
      <c r="AK149" s="129"/>
      <c r="AL149" s="6"/>
      <c r="AM149" s="6"/>
      <c r="AN149" s="6"/>
      <c r="AO149" s="6"/>
      <c r="AP149" s="128" t="n">
        <f aca="false">SUM(AJ149:AO149)</f>
        <v>0</v>
      </c>
      <c r="AQ149" s="6" t="n">
        <v>300000</v>
      </c>
      <c r="AR149" s="6" t="n">
        <v>322945.71</v>
      </c>
      <c r="AS149" s="6"/>
      <c r="AT149" s="6"/>
      <c r="AU149" s="6"/>
      <c r="AV149" s="6"/>
      <c r="AW149" s="6" t="n">
        <v>0</v>
      </c>
      <c r="AX149" s="128" t="n">
        <f aca="false">SUM(AQ149:AW149)</f>
        <v>622945.71</v>
      </c>
      <c r="AY149" s="6"/>
      <c r="AZ149" s="6"/>
      <c r="BA149" s="6"/>
      <c r="BB149" s="6"/>
      <c r="BC149" s="6"/>
      <c r="BD149" s="128" t="n">
        <f aca="false">SUM(AY149:BC149)</f>
        <v>0</v>
      </c>
      <c r="BE149" s="130"/>
      <c r="BF149" s="6" t="n">
        <f aca="false">AC149+X149+AI149+AP149+AX149+BD149</f>
        <v>622945.71</v>
      </c>
      <c r="BG149" s="131" t="n">
        <f aca="false">+N149-BF149</f>
        <v>0</v>
      </c>
    </row>
    <row r="150" customFormat="false" ht="12.75" hidden="false" customHeight="false" outlineLevel="0" collapsed="false">
      <c r="A150" s="58" t="n">
        <v>90</v>
      </c>
      <c r="C150" s="1" t="n">
        <v>45470</v>
      </c>
      <c r="E150" s="2" t="s">
        <v>547</v>
      </c>
      <c r="F150" s="2" t="s">
        <v>548</v>
      </c>
      <c r="G150" s="2" t="s">
        <v>550</v>
      </c>
      <c r="I150" s="1" t="s">
        <v>551</v>
      </c>
      <c r="J150" s="59" t="s">
        <v>998</v>
      </c>
      <c r="K150" s="59" t="s">
        <v>871</v>
      </c>
      <c r="L150" s="42" t="n">
        <v>57869.27</v>
      </c>
      <c r="N150" s="5" t="n">
        <v>57869.27</v>
      </c>
      <c r="P150" s="5" t="n">
        <v>57869.27</v>
      </c>
      <c r="R150" s="6"/>
      <c r="S150" s="6"/>
      <c r="T150" s="6"/>
      <c r="U150" s="6"/>
      <c r="V150" s="6"/>
      <c r="W150" s="6"/>
      <c r="X150" s="128" t="n">
        <f aca="false">SUM(S150:W150)</f>
        <v>0</v>
      </c>
      <c r="Y150" s="6"/>
      <c r="Z150" s="6"/>
      <c r="AA150" s="6"/>
      <c r="AB150" s="6"/>
      <c r="AC150" s="128" t="n">
        <f aca="false">SUM(Y150:AB150)</f>
        <v>0</v>
      </c>
      <c r="AD150" s="6"/>
      <c r="AE150" s="6"/>
      <c r="AF150" s="6"/>
      <c r="AG150" s="6"/>
      <c r="AH150" s="6"/>
      <c r="AI150" s="128" t="n">
        <f aca="false">SUM(AD150:AH150)</f>
        <v>0</v>
      </c>
      <c r="AJ150" s="6"/>
      <c r="AK150" s="129"/>
      <c r="AL150" s="6"/>
      <c r="AM150" s="6"/>
      <c r="AN150" s="6"/>
      <c r="AO150" s="6"/>
      <c r="AP150" s="128" t="n">
        <f aca="false">SUM(AJ150:AO150)</f>
        <v>0</v>
      </c>
      <c r="AQ150" s="6" t="n">
        <v>57869.27</v>
      </c>
      <c r="AR150" s="6"/>
      <c r="AS150" s="6"/>
      <c r="AT150" s="6"/>
      <c r="AU150" s="6"/>
      <c r="AV150" s="6"/>
      <c r="AW150" s="6" t="n">
        <v>0</v>
      </c>
      <c r="AX150" s="128" t="n">
        <f aca="false">SUM(AQ150:AW150)</f>
        <v>57869.27</v>
      </c>
      <c r="AY150" s="6"/>
      <c r="AZ150" s="6"/>
      <c r="BA150" s="6"/>
      <c r="BB150" s="6"/>
      <c r="BC150" s="6"/>
      <c r="BD150" s="128" t="n">
        <f aca="false">SUM(AY150:BC150)</f>
        <v>0</v>
      </c>
      <c r="BE150" s="130"/>
      <c r="BF150" s="6" t="n">
        <f aca="false">AC150+X150+AI150+AP150+AX150+BD150</f>
        <v>57869.27</v>
      </c>
      <c r="BG150" s="131" t="n">
        <f aca="false">+N150-BF150</f>
        <v>0</v>
      </c>
    </row>
    <row r="151" customFormat="false" ht="12.75" hidden="false" customHeight="false" outlineLevel="0" collapsed="false">
      <c r="A151" s="58" t="n">
        <v>91</v>
      </c>
      <c r="C151" s="1" t="n">
        <v>45454</v>
      </c>
      <c r="E151" s="2" t="s">
        <v>999</v>
      </c>
      <c r="F151" s="2" t="s">
        <v>553</v>
      </c>
      <c r="G151" s="2" t="s">
        <v>555</v>
      </c>
      <c r="I151" s="1" t="s">
        <v>556</v>
      </c>
      <c r="J151" s="59" t="s">
        <v>1000</v>
      </c>
      <c r="K151" s="59" t="s">
        <v>862</v>
      </c>
      <c r="L151" s="42" t="n">
        <v>1357305.89</v>
      </c>
      <c r="N151" s="5" t="n">
        <v>1357305.89</v>
      </c>
      <c r="P151" s="5" t="n">
        <v>1357305.89</v>
      </c>
      <c r="R151" s="6"/>
      <c r="S151" s="6"/>
      <c r="T151" s="6"/>
      <c r="U151" s="6"/>
      <c r="V151" s="6"/>
      <c r="W151" s="6"/>
      <c r="X151" s="128" t="n">
        <f aca="false">SUM(S151:W151)</f>
        <v>0</v>
      </c>
      <c r="Y151" s="6"/>
      <c r="Z151" s="6"/>
      <c r="AA151" s="6"/>
      <c r="AB151" s="6"/>
      <c r="AC151" s="128" t="n">
        <f aca="false">SUM(Y151:AB151)</f>
        <v>0</v>
      </c>
      <c r="AD151" s="6"/>
      <c r="AE151" s="6"/>
      <c r="AF151" s="6"/>
      <c r="AG151" s="6"/>
      <c r="AH151" s="6"/>
      <c r="AI151" s="128" t="n">
        <f aca="false">SUM(AD151:AH151)</f>
        <v>0</v>
      </c>
      <c r="AJ151" s="6"/>
      <c r="AK151" s="129"/>
      <c r="AL151" s="6"/>
      <c r="AM151" s="6"/>
      <c r="AN151" s="6"/>
      <c r="AO151" s="6" t="n">
        <v>1357305.89</v>
      </c>
      <c r="AP151" s="128" t="n">
        <f aca="false">SUM(AJ151:AO151)</f>
        <v>1357305.89</v>
      </c>
      <c r="AQ151" s="6"/>
      <c r="AR151" s="6"/>
      <c r="AS151" s="6"/>
      <c r="AT151" s="6"/>
      <c r="AU151" s="6"/>
      <c r="AV151" s="6"/>
      <c r="AW151" s="6" t="n">
        <v>0</v>
      </c>
      <c r="AX151" s="128" t="n">
        <f aca="false">SUM(AQ151:AW151)</f>
        <v>0</v>
      </c>
      <c r="AY151" s="6"/>
      <c r="AZ151" s="6"/>
      <c r="BA151" s="6"/>
      <c r="BB151" s="6"/>
      <c r="BC151" s="6"/>
      <c r="BD151" s="128" t="n">
        <f aca="false">SUM(AY151:BC151)</f>
        <v>0</v>
      </c>
      <c r="BE151" s="130"/>
      <c r="BF151" s="6" t="n">
        <f aca="false">AC151+X151+AI151+AP151+AX151+BD151</f>
        <v>1357305.89</v>
      </c>
      <c r="BG151" s="131" t="n">
        <f aca="false">+N151-BF151</f>
        <v>0</v>
      </c>
    </row>
    <row r="152" customFormat="false" ht="12.75" hidden="false" customHeight="false" outlineLevel="0" collapsed="false">
      <c r="A152" s="58" t="n">
        <v>91</v>
      </c>
      <c r="C152" s="1" t="n">
        <v>45454</v>
      </c>
      <c r="E152" s="2" t="s">
        <v>999</v>
      </c>
      <c r="F152" s="2" t="s">
        <v>553</v>
      </c>
      <c r="G152" s="2" t="s">
        <v>555</v>
      </c>
      <c r="I152" s="1" t="s">
        <v>556</v>
      </c>
      <c r="J152" s="59" t="s">
        <v>1001</v>
      </c>
      <c r="K152" s="59" t="s">
        <v>862</v>
      </c>
      <c r="L152" s="42" t="n">
        <v>263495.86</v>
      </c>
      <c r="N152" s="5" t="n">
        <v>263495.86</v>
      </c>
      <c r="P152" s="5" t="n">
        <v>263495.86</v>
      </c>
      <c r="R152" s="6"/>
      <c r="S152" s="6"/>
      <c r="T152" s="6"/>
      <c r="U152" s="6"/>
      <c r="V152" s="6"/>
      <c r="W152" s="6"/>
      <c r="X152" s="128" t="n">
        <f aca="false">SUM(S152:W152)</f>
        <v>0</v>
      </c>
      <c r="Y152" s="6"/>
      <c r="Z152" s="6"/>
      <c r="AA152" s="6"/>
      <c r="AB152" s="6"/>
      <c r="AC152" s="128" t="n">
        <f aca="false">SUM(Y152:AB152)</f>
        <v>0</v>
      </c>
      <c r="AD152" s="6"/>
      <c r="AE152" s="6"/>
      <c r="AF152" s="6"/>
      <c r="AG152" s="6"/>
      <c r="AH152" s="6"/>
      <c r="AI152" s="128" t="n">
        <f aca="false">SUM(AD152:AH152)</f>
        <v>0</v>
      </c>
      <c r="AJ152" s="6"/>
      <c r="AK152" s="129"/>
      <c r="AL152" s="6"/>
      <c r="AM152" s="6"/>
      <c r="AN152" s="6"/>
      <c r="AO152" s="6" t="n">
        <v>263495.86</v>
      </c>
      <c r="AP152" s="128" t="n">
        <f aca="false">SUM(AJ152:AO152)</f>
        <v>263495.86</v>
      </c>
      <c r="AQ152" s="6"/>
      <c r="AR152" s="6"/>
      <c r="AS152" s="6"/>
      <c r="AT152" s="6"/>
      <c r="AU152" s="6"/>
      <c r="AV152" s="6"/>
      <c r="AW152" s="6" t="n">
        <v>0</v>
      </c>
      <c r="AX152" s="128" t="n">
        <f aca="false">SUM(AQ152:AW152)</f>
        <v>0</v>
      </c>
      <c r="AY152" s="6"/>
      <c r="AZ152" s="6"/>
      <c r="BA152" s="6"/>
      <c r="BB152" s="6"/>
      <c r="BC152" s="6"/>
      <c r="BD152" s="128" t="n">
        <f aca="false">SUM(AY152:BC152)</f>
        <v>0</v>
      </c>
      <c r="BE152" s="130"/>
      <c r="BF152" s="6" t="n">
        <f aca="false">AC152+X152+AI152+AP152+AX152+BD152</f>
        <v>263495.86</v>
      </c>
      <c r="BG152" s="131" t="n">
        <f aca="false">+N152-BF152</f>
        <v>0</v>
      </c>
    </row>
    <row r="153" customFormat="false" ht="12.75" hidden="false" customHeight="false" outlineLevel="0" collapsed="false">
      <c r="A153" s="58" t="n">
        <v>92</v>
      </c>
      <c r="C153" s="1" t="n">
        <v>45509</v>
      </c>
      <c r="E153" s="2" t="s">
        <v>557</v>
      </c>
      <c r="F153" s="2" t="s">
        <v>558</v>
      </c>
      <c r="G153" s="2" t="s">
        <v>560</v>
      </c>
      <c r="I153" s="1" t="s">
        <v>561</v>
      </c>
      <c r="J153" s="59" t="s">
        <v>1002</v>
      </c>
      <c r="K153" s="59" t="s">
        <v>862</v>
      </c>
      <c r="L153" s="42" t="n">
        <v>500000</v>
      </c>
      <c r="N153" s="5" t="n">
        <v>500000</v>
      </c>
      <c r="P153" s="5" t="n">
        <v>500000</v>
      </c>
      <c r="R153" s="6"/>
      <c r="S153" s="6"/>
      <c r="T153" s="6"/>
      <c r="U153" s="6"/>
      <c r="V153" s="6"/>
      <c r="W153" s="6"/>
      <c r="X153" s="128" t="n">
        <f aca="false">SUM(S153:W153)</f>
        <v>0</v>
      </c>
      <c r="Y153" s="6"/>
      <c r="Z153" s="6"/>
      <c r="AA153" s="6"/>
      <c r="AB153" s="6"/>
      <c r="AC153" s="128" t="n">
        <f aca="false">SUM(Y153:AB153)</f>
        <v>0</v>
      </c>
      <c r="AD153" s="6"/>
      <c r="AE153" s="6"/>
      <c r="AF153" s="6"/>
      <c r="AG153" s="6"/>
      <c r="AH153" s="6"/>
      <c r="AI153" s="128" t="n">
        <f aca="false">SUM(AD153:AH153)</f>
        <v>0</v>
      </c>
      <c r="AJ153" s="6"/>
      <c r="AK153" s="129"/>
      <c r="AL153" s="6"/>
      <c r="AM153" s="6"/>
      <c r="AN153" s="6"/>
      <c r="AO153" s="6"/>
      <c r="AP153" s="128" t="n">
        <f aca="false">SUM(AJ153:AO153)</f>
        <v>0</v>
      </c>
      <c r="AQ153" s="6" t="n">
        <v>500000</v>
      </c>
      <c r="AR153" s="6"/>
      <c r="AS153" s="6"/>
      <c r="AT153" s="6"/>
      <c r="AU153" s="6"/>
      <c r="AV153" s="6"/>
      <c r="AW153" s="6" t="n">
        <v>0</v>
      </c>
      <c r="AX153" s="128" t="n">
        <f aca="false">SUM(AQ153:AW153)</f>
        <v>500000</v>
      </c>
      <c r="AY153" s="6"/>
      <c r="AZ153" s="6"/>
      <c r="BA153" s="6"/>
      <c r="BB153" s="6"/>
      <c r="BC153" s="6"/>
      <c r="BD153" s="128" t="n">
        <f aca="false">SUM(AY153:BC153)</f>
        <v>0</v>
      </c>
      <c r="BE153" s="130"/>
      <c r="BF153" s="6" t="n">
        <f aca="false">AC153+X153+AI153+AP153+AX153+BD153</f>
        <v>500000</v>
      </c>
      <c r="BG153" s="131" t="n">
        <f aca="false">+N153-BF153</f>
        <v>0</v>
      </c>
    </row>
    <row r="154" customFormat="false" ht="12.75" hidden="false" customHeight="false" outlineLevel="0" collapsed="false">
      <c r="A154" s="58" t="n">
        <v>93</v>
      </c>
      <c r="C154" s="1" t="n">
        <v>45541</v>
      </c>
      <c r="E154" s="2" t="s">
        <v>562</v>
      </c>
      <c r="F154" s="2" t="s">
        <v>563</v>
      </c>
      <c r="G154" s="2" t="s">
        <v>565</v>
      </c>
      <c r="I154" s="1" t="s">
        <v>566</v>
      </c>
      <c r="J154" s="59" t="s">
        <v>1003</v>
      </c>
      <c r="K154" s="59" t="s">
        <v>865</v>
      </c>
      <c r="L154" s="42" t="n">
        <v>250000</v>
      </c>
      <c r="N154" s="5" t="n">
        <v>250000</v>
      </c>
      <c r="P154" s="5" t="n">
        <v>250000</v>
      </c>
      <c r="R154" s="6"/>
      <c r="S154" s="6"/>
      <c r="T154" s="6"/>
      <c r="U154" s="6"/>
      <c r="V154" s="6"/>
      <c r="W154" s="6"/>
      <c r="X154" s="128" t="n">
        <f aca="false">SUM(S154:W154)</f>
        <v>0</v>
      </c>
      <c r="Y154" s="6"/>
      <c r="Z154" s="6"/>
      <c r="AA154" s="6"/>
      <c r="AB154" s="6"/>
      <c r="AC154" s="128" t="n">
        <f aca="false">SUM(Y154:AB154)</f>
        <v>0</v>
      </c>
      <c r="AD154" s="6"/>
      <c r="AE154" s="6"/>
      <c r="AF154" s="6"/>
      <c r="AG154" s="6"/>
      <c r="AH154" s="6"/>
      <c r="AI154" s="128" t="n">
        <f aca="false">SUM(AD154:AH154)</f>
        <v>0</v>
      </c>
      <c r="AJ154" s="6"/>
      <c r="AK154" s="129"/>
      <c r="AL154" s="6"/>
      <c r="AM154" s="6"/>
      <c r="AN154" s="6"/>
      <c r="AO154" s="6"/>
      <c r="AP154" s="128" t="n">
        <f aca="false">SUM(AJ154:AO154)</f>
        <v>0</v>
      </c>
      <c r="AQ154" s="6" t="n">
        <v>250000</v>
      </c>
      <c r="AR154" s="6"/>
      <c r="AS154" s="6"/>
      <c r="AT154" s="6"/>
      <c r="AU154" s="6"/>
      <c r="AV154" s="6"/>
      <c r="AW154" s="6" t="n">
        <v>0</v>
      </c>
      <c r="AX154" s="128" t="n">
        <f aca="false">SUM(AQ154:AW154)</f>
        <v>250000</v>
      </c>
      <c r="AY154" s="6"/>
      <c r="AZ154" s="6"/>
      <c r="BA154" s="6"/>
      <c r="BB154" s="6"/>
      <c r="BC154" s="6"/>
      <c r="BD154" s="128" t="n">
        <f aca="false">SUM(AY154:BC154)</f>
        <v>0</v>
      </c>
      <c r="BE154" s="130"/>
      <c r="BF154" s="6" t="n">
        <f aca="false">AC154+X154+AI154+AP154+AX154+BD154</f>
        <v>250000</v>
      </c>
      <c r="BG154" s="131" t="n">
        <f aca="false">+N154-BF154</f>
        <v>0</v>
      </c>
    </row>
    <row r="155" customFormat="false" ht="12.75" hidden="false" customHeight="false" outlineLevel="0" collapsed="false">
      <c r="A155" s="58" t="n">
        <v>93</v>
      </c>
      <c r="C155" s="1" t="n">
        <v>45541</v>
      </c>
      <c r="E155" s="2" t="s">
        <v>562</v>
      </c>
      <c r="F155" s="2" t="s">
        <v>563</v>
      </c>
      <c r="G155" s="2" t="s">
        <v>565</v>
      </c>
      <c r="I155" s="1" t="s">
        <v>566</v>
      </c>
      <c r="J155" s="59" t="s">
        <v>1004</v>
      </c>
      <c r="K155" s="59" t="s">
        <v>865</v>
      </c>
      <c r="L155" s="42" t="n">
        <v>350000</v>
      </c>
      <c r="N155" s="5" t="n">
        <v>350000</v>
      </c>
      <c r="P155" s="5" t="n">
        <v>350000</v>
      </c>
      <c r="R155" s="6"/>
      <c r="S155" s="6"/>
      <c r="T155" s="6"/>
      <c r="U155" s="6"/>
      <c r="V155" s="6"/>
      <c r="W155" s="6"/>
      <c r="X155" s="128" t="n">
        <f aca="false">SUM(S155:W155)</f>
        <v>0</v>
      </c>
      <c r="Y155" s="6"/>
      <c r="Z155" s="6"/>
      <c r="AA155" s="6"/>
      <c r="AB155" s="6"/>
      <c r="AC155" s="128" t="n">
        <f aca="false">SUM(Y155:AB155)</f>
        <v>0</v>
      </c>
      <c r="AD155" s="6"/>
      <c r="AE155" s="6"/>
      <c r="AF155" s="6"/>
      <c r="AG155" s="6"/>
      <c r="AH155" s="6"/>
      <c r="AI155" s="128" t="n">
        <f aca="false">SUM(AD155:AH155)</f>
        <v>0</v>
      </c>
      <c r="AJ155" s="6"/>
      <c r="AK155" s="129"/>
      <c r="AL155" s="6"/>
      <c r="AM155" s="6"/>
      <c r="AN155" s="6"/>
      <c r="AO155" s="6"/>
      <c r="AP155" s="128" t="n">
        <f aca="false">SUM(AJ155:AO155)</f>
        <v>0</v>
      </c>
      <c r="AQ155" s="6"/>
      <c r="AR155" s="6"/>
      <c r="AS155" s="6"/>
      <c r="AT155" s="6" t="n">
        <v>100000</v>
      </c>
      <c r="AU155" s="6" t="n">
        <v>100000</v>
      </c>
      <c r="AV155" s="6"/>
      <c r="AW155" s="6" t="n">
        <v>0</v>
      </c>
      <c r="AX155" s="128" t="n">
        <f aca="false">SUM(AQ155:AW155)</f>
        <v>200000</v>
      </c>
      <c r="AY155" s="6"/>
      <c r="AZ155" s="6"/>
      <c r="BA155" s="6"/>
      <c r="BB155" s="6"/>
      <c r="BC155" s="6"/>
      <c r="BD155" s="128" t="n">
        <f aca="false">SUM(AY155:BC155)</f>
        <v>0</v>
      </c>
      <c r="BE155" s="130"/>
      <c r="BF155" s="6" t="n">
        <f aca="false">AC155+X155+AI155+AP155+AX155+BD155</f>
        <v>200000</v>
      </c>
      <c r="BG155" s="131" t="n">
        <f aca="false">+N155-BF155</f>
        <v>150000</v>
      </c>
    </row>
    <row r="156" customFormat="false" ht="12.75" hidden="false" customHeight="false" outlineLevel="0" collapsed="false">
      <c r="A156" s="58" t="n">
        <v>94</v>
      </c>
      <c r="C156" s="1" t="n">
        <v>45790</v>
      </c>
      <c r="E156" s="2" t="s">
        <v>567</v>
      </c>
      <c r="F156" s="2" t="s">
        <v>568</v>
      </c>
      <c r="G156" s="2" t="s">
        <v>570</v>
      </c>
      <c r="I156" s="1" t="s">
        <v>571</v>
      </c>
      <c r="J156" s="59" t="s">
        <v>1005</v>
      </c>
      <c r="K156" s="59" t="s">
        <v>923</v>
      </c>
      <c r="L156" s="42" t="n">
        <v>250000</v>
      </c>
      <c r="N156" s="5" t="n">
        <v>250000</v>
      </c>
      <c r="P156" s="5" t="n">
        <v>250000</v>
      </c>
      <c r="R156" s="6"/>
      <c r="S156" s="6"/>
      <c r="T156" s="6"/>
      <c r="U156" s="6"/>
      <c r="V156" s="6"/>
      <c r="W156" s="6"/>
      <c r="X156" s="128" t="n">
        <f aca="false">SUM(S156:W156)</f>
        <v>0</v>
      </c>
      <c r="Y156" s="6"/>
      <c r="Z156" s="6"/>
      <c r="AA156" s="6"/>
      <c r="AB156" s="6"/>
      <c r="AC156" s="128" t="n">
        <f aca="false">SUM(Y156:AB156)</f>
        <v>0</v>
      </c>
      <c r="AD156" s="6"/>
      <c r="AE156" s="6"/>
      <c r="AF156" s="6"/>
      <c r="AG156" s="6"/>
      <c r="AH156" s="6"/>
      <c r="AI156" s="128" t="n">
        <f aca="false">SUM(AD156:AH156)</f>
        <v>0</v>
      </c>
      <c r="AJ156" s="6"/>
      <c r="AK156" s="129"/>
      <c r="AL156" s="6"/>
      <c r="AM156" s="6"/>
      <c r="AN156" s="6"/>
      <c r="AO156" s="6"/>
      <c r="AP156" s="128" t="n">
        <f aca="false">SUM(AJ156:AO156)</f>
        <v>0</v>
      </c>
      <c r="AQ156" s="6"/>
      <c r="AR156" s="6"/>
      <c r="AS156" s="6"/>
      <c r="AT156" s="6"/>
      <c r="AU156" s="6"/>
      <c r="AV156" s="6" t="n">
        <v>100000</v>
      </c>
      <c r="AW156" s="6" t="n">
        <v>100000</v>
      </c>
      <c r="AX156" s="128" t="n">
        <f aca="false">SUM(AQ156:AW156)</f>
        <v>200000</v>
      </c>
      <c r="AY156" s="6" t="n">
        <v>50000</v>
      </c>
      <c r="AZ156" s="6"/>
      <c r="BA156" s="6"/>
      <c r="BB156" s="6"/>
      <c r="BC156" s="6"/>
      <c r="BD156" s="128" t="n">
        <f aca="false">SUM(AY156:BC156)</f>
        <v>50000</v>
      </c>
      <c r="BE156" s="130"/>
      <c r="BF156" s="6" t="n">
        <f aca="false">AC156+X156+AI156+AP156+AX156+BD156</f>
        <v>250000</v>
      </c>
      <c r="BG156" s="131" t="n">
        <f aca="false">+N156-BF156</f>
        <v>0</v>
      </c>
    </row>
    <row r="157" customFormat="false" ht="12.75" hidden="false" customHeight="false" outlineLevel="0" collapsed="false">
      <c r="A157" s="58" t="n">
        <v>95</v>
      </c>
      <c r="C157" s="1" t="n">
        <v>45540</v>
      </c>
      <c r="E157" s="2" t="s">
        <v>572</v>
      </c>
      <c r="F157" s="2" t="s">
        <v>573</v>
      </c>
      <c r="G157" s="2" t="s">
        <v>575</v>
      </c>
      <c r="I157" s="1" t="s">
        <v>576</v>
      </c>
      <c r="J157" s="59" t="s">
        <v>1006</v>
      </c>
      <c r="K157" s="59" t="s">
        <v>871</v>
      </c>
      <c r="L157" s="42" t="n">
        <v>3500000</v>
      </c>
      <c r="N157" s="5" t="n">
        <v>3500000</v>
      </c>
      <c r="P157" s="5" t="n">
        <v>3500000</v>
      </c>
      <c r="R157" s="6"/>
      <c r="S157" s="6"/>
      <c r="T157" s="6"/>
      <c r="U157" s="6"/>
      <c r="V157" s="6"/>
      <c r="W157" s="6"/>
      <c r="X157" s="128" t="n">
        <f aca="false">SUM(S157:W157)</f>
        <v>0</v>
      </c>
      <c r="Y157" s="6"/>
      <c r="Z157" s="6"/>
      <c r="AA157" s="6"/>
      <c r="AB157" s="6"/>
      <c r="AC157" s="128" t="n">
        <f aca="false">SUM(Y157:AB157)</f>
        <v>0</v>
      </c>
      <c r="AD157" s="6"/>
      <c r="AE157" s="6"/>
      <c r="AF157" s="6"/>
      <c r="AG157" s="6"/>
      <c r="AH157" s="6"/>
      <c r="AI157" s="128" t="n">
        <f aca="false">SUM(AD157:AH157)</f>
        <v>0</v>
      </c>
      <c r="AJ157" s="6"/>
      <c r="AK157" s="129"/>
      <c r="AL157" s="6"/>
      <c r="AM157" s="6"/>
      <c r="AN157" s="6"/>
      <c r="AO157" s="6"/>
      <c r="AP157" s="128" t="n">
        <f aca="false">SUM(AJ157:AO157)</f>
        <v>0</v>
      </c>
      <c r="AQ157" s="6" t="n">
        <v>1500000</v>
      </c>
      <c r="AR157" s="6" t="n">
        <v>1000000</v>
      </c>
      <c r="AS157" s="6"/>
      <c r="AT157" s="6" t="n">
        <v>1000000</v>
      </c>
      <c r="AU157" s="6"/>
      <c r="AV157" s="6"/>
      <c r="AW157" s="6" t="n">
        <v>0</v>
      </c>
      <c r="AX157" s="128" t="n">
        <f aca="false">SUM(AQ157:AW157)</f>
        <v>3500000</v>
      </c>
      <c r="AY157" s="6"/>
      <c r="AZ157" s="6"/>
      <c r="BA157" s="6"/>
      <c r="BB157" s="6"/>
      <c r="BC157" s="6"/>
      <c r="BD157" s="128" t="n">
        <f aca="false">SUM(AY157:BC157)</f>
        <v>0</v>
      </c>
      <c r="BE157" s="130"/>
      <c r="BF157" s="6" t="n">
        <f aca="false">AC157+X157+AI157+AP157+AX157+BD157</f>
        <v>3500000</v>
      </c>
      <c r="BG157" s="131" t="n">
        <f aca="false">+N157-BF157</f>
        <v>0</v>
      </c>
    </row>
    <row r="158" customFormat="false" ht="12.75" hidden="false" customHeight="false" outlineLevel="0" collapsed="false">
      <c r="A158" s="58" t="n">
        <v>96</v>
      </c>
      <c r="C158" s="1" t="n">
        <v>45553</v>
      </c>
      <c r="D158" s="40"/>
      <c r="E158" s="2" t="s">
        <v>577</v>
      </c>
      <c r="F158" s="2" t="s">
        <v>578</v>
      </c>
      <c r="G158" s="2" t="s">
        <v>580</v>
      </c>
      <c r="I158" s="1" t="s">
        <v>581</v>
      </c>
      <c r="J158" s="59" t="s">
        <v>1007</v>
      </c>
      <c r="K158" s="59" t="s">
        <v>923</v>
      </c>
      <c r="L158" s="42" t="n">
        <v>480000</v>
      </c>
      <c r="N158" s="5" t="n">
        <v>480000</v>
      </c>
      <c r="P158" s="5" t="n">
        <v>480000</v>
      </c>
      <c r="R158" s="6"/>
      <c r="S158" s="6"/>
      <c r="T158" s="6"/>
      <c r="U158" s="6"/>
      <c r="V158" s="6"/>
      <c r="W158" s="6"/>
      <c r="X158" s="128" t="n">
        <f aca="false">SUM(S158:W158)</f>
        <v>0</v>
      </c>
      <c r="Y158" s="6"/>
      <c r="Z158" s="6"/>
      <c r="AA158" s="6"/>
      <c r="AB158" s="6"/>
      <c r="AC158" s="128" t="n">
        <f aca="false">SUM(Y158:AB158)</f>
        <v>0</v>
      </c>
      <c r="AD158" s="6"/>
      <c r="AE158" s="6"/>
      <c r="AF158" s="6"/>
      <c r="AG158" s="6"/>
      <c r="AH158" s="6"/>
      <c r="AI158" s="128" t="n">
        <f aca="false">SUM(AD158:AH158)</f>
        <v>0</v>
      </c>
      <c r="AJ158" s="6"/>
      <c r="AK158" s="129"/>
      <c r="AL158" s="6"/>
      <c r="AM158" s="6"/>
      <c r="AN158" s="6"/>
      <c r="AO158" s="6"/>
      <c r="AP158" s="128" t="n">
        <f aca="false">SUM(AJ158:AO158)</f>
        <v>0</v>
      </c>
      <c r="AQ158" s="6" t="n">
        <v>200000</v>
      </c>
      <c r="AR158" s="6" t="n">
        <v>100000</v>
      </c>
      <c r="AS158" s="6"/>
      <c r="AT158" s="6" t="n">
        <v>180000</v>
      </c>
      <c r="AU158" s="6"/>
      <c r="AV158" s="6"/>
      <c r="AW158" s="6" t="n">
        <v>0</v>
      </c>
      <c r="AX158" s="128" t="n">
        <f aca="false">SUM(AQ158:AW158)</f>
        <v>480000</v>
      </c>
      <c r="AY158" s="6"/>
      <c r="AZ158" s="6"/>
      <c r="BA158" s="6"/>
      <c r="BB158" s="6"/>
      <c r="BC158" s="6"/>
      <c r="BD158" s="128" t="n">
        <f aca="false">SUM(AY158:BC158)</f>
        <v>0</v>
      </c>
      <c r="BE158" s="130"/>
      <c r="BF158" s="6" t="n">
        <f aca="false">AC158+X158+AI158+AP158+AX158+BD158</f>
        <v>480000</v>
      </c>
      <c r="BG158" s="131" t="n">
        <f aca="false">+N158-BF158</f>
        <v>0</v>
      </c>
    </row>
    <row r="159" customFormat="false" ht="12.75" hidden="false" customHeight="false" outlineLevel="0" collapsed="false">
      <c r="A159" s="58" t="n">
        <v>97</v>
      </c>
      <c r="C159" s="1" t="n">
        <v>45532</v>
      </c>
      <c r="E159" s="2" t="s">
        <v>582</v>
      </c>
      <c r="F159" s="2" t="s">
        <v>583</v>
      </c>
      <c r="G159" s="2" t="s">
        <v>585</v>
      </c>
      <c r="I159" s="1" t="s">
        <v>586</v>
      </c>
      <c r="J159" s="59" t="s">
        <v>1008</v>
      </c>
      <c r="K159" s="59" t="s">
        <v>862</v>
      </c>
      <c r="L159" s="42" t="n">
        <v>180000</v>
      </c>
      <c r="N159" s="5" t="n">
        <v>180000</v>
      </c>
      <c r="P159" s="5" t="n">
        <v>180000</v>
      </c>
      <c r="R159" s="6"/>
      <c r="S159" s="6"/>
      <c r="T159" s="6"/>
      <c r="U159" s="6"/>
      <c r="V159" s="6"/>
      <c r="W159" s="6"/>
      <c r="X159" s="128" t="n">
        <f aca="false">SUM(S159:W159)</f>
        <v>0</v>
      </c>
      <c r="Y159" s="6"/>
      <c r="Z159" s="6"/>
      <c r="AA159" s="6"/>
      <c r="AB159" s="6"/>
      <c r="AC159" s="128" t="n">
        <f aca="false">SUM(Y159:AB159)</f>
        <v>0</v>
      </c>
      <c r="AD159" s="6"/>
      <c r="AE159" s="6"/>
      <c r="AF159" s="6"/>
      <c r="AG159" s="6"/>
      <c r="AH159" s="6"/>
      <c r="AI159" s="128" t="n">
        <f aca="false">SUM(AD159:AH159)</f>
        <v>0</v>
      </c>
      <c r="AJ159" s="6"/>
      <c r="AK159" s="129"/>
      <c r="AL159" s="6"/>
      <c r="AM159" s="6"/>
      <c r="AN159" s="6"/>
      <c r="AO159" s="6"/>
      <c r="AP159" s="128" t="n">
        <f aca="false">SUM(AJ159:AO159)</f>
        <v>0</v>
      </c>
      <c r="AQ159" s="6" t="n">
        <v>180000</v>
      </c>
      <c r="AR159" s="6"/>
      <c r="AS159" s="6"/>
      <c r="AT159" s="6"/>
      <c r="AU159" s="6"/>
      <c r="AV159" s="6"/>
      <c r="AW159" s="6" t="n">
        <v>0</v>
      </c>
      <c r="AX159" s="128" t="n">
        <f aca="false">SUM(AQ159:AW159)</f>
        <v>180000</v>
      </c>
      <c r="AY159" s="6"/>
      <c r="AZ159" s="6"/>
      <c r="BA159" s="6"/>
      <c r="BB159" s="6"/>
      <c r="BC159" s="6"/>
      <c r="BD159" s="128" t="n">
        <f aca="false">SUM(AY159:BC159)</f>
        <v>0</v>
      </c>
      <c r="BE159" s="130"/>
      <c r="BF159" s="6" t="n">
        <f aca="false">AC159+X159+AI159+AP159+AX159+BD159</f>
        <v>180000</v>
      </c>
      <c r="BG159" s="131" t="n">
        <f aca="false">+N159-BF159</f>
        <v>0</v>
      </c>
    </row>
    <row r="160" customFormat="false" ht="12.75" hidden="false" customHeight="false" outlineLevel="0" collapsed="false">
      <c r="A160" s="58" t="n">
        <v>98</v>
      </c>
      <c r="C160" s="1" t="n">
        <v>45532</v>
      </c>
      <c r="E160" s="2" t="s">
        <v>587</v>
      </c>
      <c r="F160" s="2" t="s">
        <v>588</v>
      </c>
      <c r="G160" s="2" t="s">
        <v>590</v>
      </c>
      <c r="I160" s="1" t="s">
        <v>591</v>
      </c>
      <c r="J160" s="59" t="s">
        <v>1009</v>
      </c>
      <c r="K160" s="59" t="s">
        <v>862</v>
      </c>
      <c r="L160" s="42" t="n">
        <v>9068273</v>
      </c>
      <c r="N160" s="5" t="n">
        <v>9068273</v>
      </c>
      <c r="P160" s="5" t="n">
        <v>9068273</v>
      </c>
      <c r="R160" s="6"/>
      <c r="S160" s="6"/>
      <c r="T160" s="6"/>
      <c r="U160" s="6"/>
      <c r="V160" s="6"/>
      <c r="W160" s="6"/>
      <c r="X160" s="128" t="n">
        <f aca="false">SUM(S160:W160)</f>
        <v>0</v>
      </c>
      <c r="Y160" s="6"/>
      <c r="Z160" s="6"/>
      <c r="AA160" s="6"/>
      <c r="AB160" s="6"/>
      <c r="AC160" s="128" t="n">
        <f aca="false">SUM(Y160:AB160)</f>
        <v>0</v>
      </c>
      <c r="AD160" s="6"/>
      <c r="AE160" s="6"/>
      <c r="AF160" s="6"/>
      <c r="AG160" s="6"/>
      <c r="AH160" s="6"/>
      <c r="AI160" s="128" t="n">
        <f aca="false">SUM(AD160:AH160)</f>
        <v>0</v>
      </c>
      <c r="AJ160" s="6"/>
      <c r="AK160" s="129"/>
      <c r="AL160" s="6"/>
      <c r="AM160" s="6"/>
      <c r="AN160" s="6"/>
      <c r="AO160" s="6"/>
      <c r="AP160" s="128" t="n">
        <f aca="false">SUM(AJ160:AO160)</f>
        <v>0</v>
      </c>
      <c r="AQ160" s="6" t="n">
        <v>1200000</v>
      </c>
      <c r="AR160" s="6" t="n">
        <v>1000000</v>
      </c>
      <c r="AS160" s="6"/>
      <c r="AT160" s="6" t="n">
        <v>500000</v>
      </c>
      <c r="AU160" s="6" t="n">
        <v>700000</v>
      </c>
      <c r="AV160" s="6"/>
      <c r="AW160" s="6" t="n">
        <v>0</v>
      </c>
      <c r="AX160" s="128" t="n">
        <f aca="false">SUM(AQ160:AW160)</f>
        <v>3400000</v>
      </c>
      <c r="AY160" s="6" t="n">
        <v>800000</v>
      </c>
      <c r="AZ160" s="6"/>
      <c r="BA160" s="6"/>
      <c r="BB160" s="6"/>
      <c r="BC160" s="6"/>
      <c r="BD160" s="128" t="n">
        <f aca="false">SUM(AY160:BC160)</f>
        <v>800000</v>
      </c>
      <c r="BE160" s="130"/>
      <c r="BF160" s="6" t="n">
        <f aca="false">AC160+X160+AI160+AP160+AX160+BD160</f>
        <v>4200000</v>
      </c>
      <c r="BG160" s="131" t="n">
        <f aca="false">+N160-BF160</f>
        <v>4868273</v>
      </c>
    </row>
    <row r="161" customFormat="false" ht="12.75" hidden="false" customHeight="false" outlineLevel="0" collapsed="false">
      <c r="A161" s="58" t="n">
        <v>100</v>
      </c>
      <c r="C161" s="1" t="n">
        <v>45615</v>
      </c>
      <c r="E161" s="2" t="s">
        <v>592</v>
      </c>
      <c r="F161" s="2" t="s">
        <v>593</v>
      </c>
      <c r="G161" s="2" t="s">
        <v>595</v>
      </c>
      <c r="I161" s="1" t="s">
        <v>596</v>
      </c>
      <c r="J161" s="59" t="s">
        <v>1010</v>
      </c>
      <c r="K161" s="59" t="s">
        <v>862</v>
      </c>
      <c r="L161" s="42" t="n">
        <v>98000</v>
      </c>
      <c r="N161" s="5" t="n">
        <v>98000</v>
      </c>
      <c r="P161" s="5" t="n">
        <v>98000</v>
      </c>
      <c r="R161" s="6"/>
      <c r="S161" s="6"/>
      <c r="T161" s="6"/>
      <c r="U161" s="6"/>
      <c r="V161" s="6"/>
      <c r="W161" s="6"/>
      <c r="X161" s="128" t="n">
        <f aca="false">SUM(S161:W161)</f>
        <v>0</v>
      </c>
      <c r="Y161" s="6"/>
      <c r="Z161" s="6"/>
      <c r="AA161" s="6"/>
      <c r="AB161" s="6"/>
      <c r="AC161" s="128" t="n">
        <f aca="false">SUM(Y161:AB161)</f>
        <v>0</v>
      </c>
      <c r="AD161" s="6"/>
      <c r="AE161" s="6"/>
      <c r="AF161" s="6"/>
      <c r="AG161" s="6"/>
      <c r="AH161" s="6"/>
      <c r="AI161" s="128" t="n">
        <f aca="false">SUM(AD161:AH161)</f>
        <v>0</v>
      </c>
      <c r="AJ161" s="6"/>
      <c r="AK161" s="129"/>
      <c r="AL161" s="6"/>
      <c r="AM161" s="6"/>
      <c r="AN161" s="6"/>
      <c r="AO161" s="6"/>
      <c r="AP161" s="128" t="n">
        <f aca="false">SUM(AJ161:AO161)</f>
        <v>0</v>
      </c>
      <c r="AQ161" s="6"/>
      <c r="AR161" s="6" t="n">
        <v>98000</v>
      </c>
      <c r="AS161" s="6"/>
      <c r="AT161" s="6"/>
      <c r="AU161" s="6"/>
      <c r="AV161" s="6"/>
      <c r="AW161" s="6" t="n">
        <v>0</v>
      </c>
      <c r="AX161" s="128" t="n">
        <f aca="false">SUM(AQ161:AW161)</f>
        <v>98000</v>
      </c>
      <c r="AY161" s="6"/>
      <c r="AZ161" s="6"/>
      <c r="BA161" s="6"/>
      <c r="BB161" s="6"/>
      <c r="BC161" s="6"/>
      <c r="BD161" s="128" t="n">
        <f aca="false">SUM(AY161:BC161)</f>
        <v>0</v>
      </c>
      <c r="BE161" s="130"/>
      <c r="BF161" s="6" t="n">
        <f aca="false">AC161+X161+AI161+AP161+AX161+BD161</f>
        <v>98000</v>
      </c>
      <c r="BG161" s="131" t="n">
        <f aca="false">+N161-BF161</f>
        <v>0</v>
      </c>
    </row>
    <row r="162" customFormat="false" ht="12.75" hidden="false" customHeight="false" outlineLevel="0" collapsed="false">
      <c r="A162" s="58" t="n">
        <v>100</v>
      </c>
      <c r="C162" s="1" t="n">
        <v>45615</v>
      </c>
      <c r="E162" s="2" t="s">
        <v>592</v>
      </c>
      <c r="F162" s="2" t="s">
        <v>593</v>
      </c>
      <c r="G162" s="2" t="s">
        <v>595</v>
      </c>
      <c r="I162" s="1" t="s">
        <v>596</v>
      </c>
      <c r="J162" s="59" t="s">
        <v>1011</v>
      </c>
      <c r="K162" s="59" t="s">
        <v>862</v>
      </c>
      <c r="L162" s="42" t="n">
        <v>90000</v>
      </c>
      <c r="N162" s="5" t="n">
        <v>90000</v>
      </c>
      <c r="P162" s="5" t="n">
        <v>90000</v>
      </c>
      <c r="R162" s="6"/>
      <c r="S162" s="6"/>
      <c r="T162" s="6"/>
      <c r="U162" s="6"/>
      <c r="V162" s="6"/>
      <c r="W162" s="6"/>
      <c r="X162" s="128" t="n">
        <f aca="false">SUM(S162:W162)</f>
        <v>0</v>
      </c>
      <c r="Y162" s="6"/>
      <c r="Z162" s="6"/>
      <c r="AA162" s="6"/>
      <c r="AB162" s="6"/>
      <c r="AC162" s="128" t="n">
        <f aca="false">SUM(Y162:AB162)</f>
        <v>0</v>
      </c>
      <c r="AD162" s="6"/>
      <c r="AE162" s="6"/>
      <c r="AF162" s="6"/>
      <c r="AG162" s="6"/>
      <c r="AH162" s="6"/>
      <c r="AI162" s="128" t="n">
        <f aca="false">SUM(AD162:AH162)</f>
        <v>0</v>
      </c>
      <c r="AJ162" s="6"/>
      <c r="AK162" s="129"/>
      <c r="AL162" s="6"/>
      <c r="AM162" s="6"/>
      <c r="AN162" s="6"/>
      <c r="AO162" s="6"/>
      <c r="AP162" s="128" t="n">
        <f aca="false">SUM(AJ162:AO162)</f>
        <v>0</v>
      </c>
      <c r="AQ162" s="6"/>
      <c r="AR162" s="6" t="n">
        <v>90000</v>
      </c>
      <c r="AS162" s="6"/>
      <c r="AT162" s="6"/>
      <c r="AU162" s="6"/>
      <c r="AV162" s="6"/>
      <c r="AW162" s="6" t="n">
        <v>0</v>
      </c>
      <c r="AX162" s="128" t="n">
        <f aca="false">SUM(AQ162:AW162)</f>
        <v>90000</v>
      </c>
      <c r="AY162" s="6"/>
      <c r="AZ162" s="6"/>
      <c r="BA162" s="6"/>
      <c r="BB162" s="6"/>
      <c r="BC162" s="6"/>
      <c r="BD162" s="128" t="n">
        <f aca="false">SUM(AY162:BC162)</f>
        <v>0</v>
      </c>
      <c r="BE162" s="130"/>
      <c r="BF162" s="6" t="n">
        <f aca="false">AC162+X162+AI162+AP162+AX162+BD162</f>
        <v>90000</v>
      </c>
      <c r="BG162" s="131" t="n">
        <f aca="false">+N162-BF162</f>
        <v>0</v>
      </c>
    </row>
    <row r="163" customFormat="false" ht="12.75" hidden="false" customHeight="false" outlineLevel="0" collapsed="false">
      <c r="A163" s="58" t="n">
        <v>102</v>
      </c>
      <c r="C163" s="1" t="n">
        <v>45722</v>
      </c>
      <c r="E163" s="2" t="s">
        <v>597</v>
      </c>
      <c r="F163" s="2" t="s">
        <v>598</v>
      </c>
      <c r="G163" s="2" t="s">
        <v>600</v>
      </c>
      <c r="I163" s="1" t="s">
        <v>601</v>
      </c>
      <c r="J163" s="59" t="s">
        <v>1012</v>
      </c>
      <c r="K163" s="59" t="s">
        <v>871</v>
      </c>
      <c r="L163" s="42" t="n">
        <v>2250000</v>
      </c>
      <c r="N163" s="5" t="n">
        <v>2250000</v>
      </c>
      <c r="P163" s="5" t="n">
        <v>2250000</v>
      </c>
      <c r="R163" s="6"/>
      <c r="S163" s="6"/>
      <c r="T163" s="6"/>
      <c r="U163" s="6"/>
      <c r="V163" s="6"/>
      <c r="W163" s="6"/>
      <c r="X163" s="128" t="n">
        <f aca="false">SUM(S163:W163)</f>
        <v>0</v>
      </c>
      <c r="Y163" s="6"/>
      <c r="Z163" s="6"/>
      <c r="AA163" s="6"/>
      <c r="AB163" s="6"/>
      <c r="AC163" s="128" t="n">
        <f aca="false">SUM(Y163:AB163)</f>
        <v>0</v>
      </c>
      <c r="AD163" s="6"/>
      <c r="AE163" s="6"/>
      <c r="AF163" s="6"/>
      <c r="AG163" s="6"/>
      <c r="AH163" s="6"/>
      <c r="AI163" s="128" t="n">
        <f aca="false">SUM(AD163:AH163)</f>
        <v>0</v>
      </c>
      <c r="AJ163" s="6"/>
      <c r="AK163" s="129"/>
      <c r="AL163" s="6"/>
      <c r="AM163" s="6"/>
      <c r="AN163" s="6"/>
      <c r="AO163" s="6"/>
      <c r="AP163" s="128" t="n">
        <f aca="false">SUM(AJ163:AO163)</f>
        <v>0</v>
      </c>
      <c r="AQ163" s="6"/>
      <c r="AR163" s="6"/>
      <c r="AS163" s="6"/>
      <c r="AT163" s="6"/>
      <c r="AU163" s="6" t="n">
        <v>600000</v>
      </c>
      <c r="AV163" s="6"/>
      <c r="AW163" s="6" t="n">
        <v>500000</v>
      </c>
      <c r="AX163" s="128" t="n">
        <f aca="false">SUM(AQ163:AW163)</f>
        <v>1100000</v>
      </c>
      <c r="AY163" s="6"/>
      <c r="AZ163" s="6"/>
      <c r="BA163" s="6"/>
      <c r="BB163" s="6"/>
      <c r="BC163" s="6"/>
      <c r="BD163" s="128" t="n">
        <f aca="false">SUM(AY163:BC163)</f>
        <v>0</v>
      </c>
      <c r="BE163" s="130"/>
      <c r="BF163" s="6" t="n">
        <f aca="false">AC163+X163+AI163+AP163+AX163+BD163</f>
        <v>1100000</v>
      </c>
      <c r="BG163" s="131" t="n">
        <f aca="false">+N163-BF163</f>
        <v>1150000</v>
      </c>
    </row>
    <row r="164" customFormat="false" ht="12.75" hidden="false" customHeight="false" outlineLevel="0" collapsed="false">
      <c r="A164" s="58" t="n">
        <v>103</v>
      </c>
      <c r="C164" s="1" t="n">
        <v>45667</v>
      </c>
      <c r="E164" s="2" t="s">
        <v>602</v>
      </c>
      <c r="F164" s="2" t="s">
        <v>603</v>
      </c>
      <c r="G164" s="2" t="s">
        <v>605</v>
      </c>
      <c r="I164" s="1" t="s">
        <v>606</v>
      </c>
      <c r="J164" s="59" t="s">
        <v>1013</v>
      </c>
      <c r="K164" s="59" t="s">
        <v>1014</v>
      </c>
      <c r="L164" s="42" t="n">
        <v>1450000</v>
      </c>
      <c r="N164" s="5" t="n">
        <v>1450000</v>
      </c>
      <c r="P164" s="5" t="n">
        <v>1450000</v>
      </c>
      <c r="R164" s="6"/>
      <c r="S164" s="6"/>
      <c r="T164" s="6"/>
      <c r="U164" s="6"/>
      <c r="V164" s="6"/>
      <c r="W164" s="6"/>
      <c r="X164" s="128" t="n">
        <f aca="false">SUM(S164:W164)</f>
        <v>0</v>
      </c>
      <c r="Y164" s="6"/>
      <c r="Z164" s="6"/>
      <c r="AA164" s="6"/>
      <c r="AB164" s="6"/>
      <c r="AC164" s="128" t="n">
        <f aca="false">SUM(Y164:AB164)</f>
        <v>0</v>
      </c>
      <c r="AD164" s="6"/>
      <c r="AE164" s="6"/>
      <c r="AF164" s="6"/>
      <c r="AG164" s="6"/>
      <c r="AH164" s="6"/>
      <c r="AI164" s="128" t="n">
        <f aca="false">SUM(AD164:AH164)</f>
        <v>0</v>
      </c>
      <c r="AJ164" s="6"/>
      <c r="AK164" s="129"/>
      <c r="AL164" s="6"/>
      <c r="AM164" s="6"/>
      <c r="AN164" s="6"/>
      <c r="AO164" s="6"/>
      <c r="AP164" s="128" t="n">
        <f aca="false">SUM(AJ164:AO164)</f>
        <v>0</v>
      </c>
      <c r="AQ164" s="6"/>
      <c r="AR164" s="6"/>
      <c r="AS164" s="6"/>
      <c r="AT164" s="6" t="n">
        <v>20000</v>
      </c>
      <c r="AU164" s="6" t="n">
        <v>500000</v>
      </c>
      <c r="AV164" s="6" t="n">
        <v>930000</v>
      </c>
      <c r="AW164" s="6" t="n">
        <v>0</v>
      </c>
      <c r="AX164" s="128" t="n">
        <f aca="false">SUM(AQ164:AW164)</f>
        <v>1450000</v>
      </c>
      <c r="AY164" s="6"/>
      <c r="AZ164" s="6"/>
      <c r="BA164" s="6"/>
      <c r="BB164" s="6"/>
      <c r="BC164" s="6"/>
      <c r="BD164" s="128" t="n">
        <f aca="false">SUM(AY164:BC164)</f>
        <v>0</v>
      </c>
      <c r="BE164" s="130"/>
      <c r="BF164" s="6" t="n">
        <f aca="false">AC164+X164+AI164+AP164+AX164+BD164</f>
        <v>1450000</v>
      </c>
      <c r="BG164" s="131" t="n">
        <f aca="false">+N164-BF164</f>
        <v>0</v>
      </c>
    </row>
    <row r="165" customFormat="false" ht="12.75" hidden="false" customHeight="false" outlineLevel="0" collapsed="false">
      <c r="A165" s="58" t="n">
        <v>104</v>
      </c>
      <c r="C165" s="1" t="n">
        <v>45691</v>
      </c>
      <c r="E165" s="2" t="s">
        <v>607</v>
      </c>
      <c r="F165" s="2" t="s">
        <v>608</v>
      </c>
      <c r="G165" s="2" t="s">
        <v>610</v>
      </c>
      <c r="I165" s="1" t="s">
        <v>611</v>
      </c>
      <c r="J165" s="59" t="s">
        <v>1015</v>
      </c>
      <c r="K165" s="59" t="s">
        <v>871</v>
      </c>
      <c r="L165" s="42" t="n">
        <v>150000</v>
      </c>
      <c r="N165" s="5" t="n">
        <v>150000</v>
      </c>
      <c r="P165" s="5" t="n">
        <v>150000</v>
      </c>
      <c r="R165" s="6"/>
      <c r="S165" s="6"/>
      <c r="T165" s="6"/>
      <c r="U165" s="6"/>
      <c r="V165" s="6"/>
      <c r="W165" s="6"/>
      <c r="X165" s="128" t="n">
        <f aca="false">SUM(S165:W165)</f>
        <v>0</v>
      </c>
      <c r="Y165" s="6"/>
      <c r="Z165" s="6"/>
      <c r="AA165" s="6"/>
      <c r="AB165" s="6"/>
      <c r="AC165" s="128" t="n">
        <f aca="false">SUM(Y165:AB165)</f>
        <v>0</v>
      </c>
      <c r="AD165" s="6"/>
      <c r="AE165" s="6"/>
      <c r="AF165" s="6"/>
      <c r="AG165" s="6"/>
      <c r="AH165" s="6"/>
      <c r="AI165" s="128" t="n">
        <f aca="false">SUM(AD165:AH165)</f>
        <v>0</v>
      </c>
      <c r="AJ165" s="6"/>
      <c r="AK165" s="129"/>
      <c r="AL165" s="6"/>
      <c r="AM165" s="6"/>
      <c r="AN165" s="6"/>
      <c r="AO165" s="6"/>
      <c r="AP165" s="128" t="n">
        <f aca="false">SUM(AJ165:AO165)</f>
        <v>0</v>
      </c>
      <c r="AQ165" s="6"/>
      <c r="AR165" s="6"/>
      <c r="AS165" s="6"/>
      <c r="AT165" s="6" t="n">
        <v>150000</v>
      </c>
      <c r="AU165" s="6"/>
      <c r="AV165" s="6"/>
      <c r="AW165" s="6" t="n">
        <v>0</v>
      </c>
      <c r="AX165" s="128" t="n">
        <f aca="false">SUM(AQ165:AW165)</f>
        <v>150000</v>
      </c>
      <c r="AY165" s="6"/>
      <c r="AZ165" s="6"/>
      <c r="BA165" s="6"/>
      <c r="BB165" s="6"/>
      <c r="BC165" s="6"/>
      <c r="BD165" s="128" t="n">
        <f aca="false">SUM(AY165:BC165)</f>
        <v>0</v>
      </c>
      <c r="BE165" s="130"/>
      <c r="BF165" s="6" t="n">
        <f aca="false">AC165+X165+AI165+AP165+AX165+BD165</f>
        <v>150000</v>
      </c>
      <c r="BG165" s="131" t="n">
        <f aca="false">+N165-BF165</f>
        <v>0</v>
      </c>
    </row>
    <row r="166" customFormat="false" ht="12.75" hidden="false" customHeight="false" outlineLevel="0" collapsed="false">
      <c r="A166" s="58" t="n">
        <v>106</v>
      </c>
      <c r="C166" s="1" t="n">
        <v>45684</v>
      </c>
      <c r="E166" s="2" t="s">
        <v>612</v>
      </c>
      <c r="F166" s="2" t="s">
        <v>613</v>
      </c>
      <c r="G166" s="2" t="s">
        <v>615</v>
      </c>
      <c r="I166" s="1" t="s">
        <v>616</v>
      </c>
      <c r="J166" s="59" t="s">
        <v>1016</v>
      </c>
      <c r="K166" s="59" t="s">
        <v>871</v>
      </c>
      <c r="L166" s="42" t="n">
        <v>4800000</v>
      </c>
      <c r="N166" s="5" t="n">
        <v>4800000</v>
      </c>
      <c r="P166" s="5" t="n">
        <v>4800000</v>
      </c>
      <c r="R166" s="6"/>
      <c r="S166" s="6"/>
      <c r="T166" s="6"/>
      <c r="U166" s="6"/>
      <c r="V166" s="6"/>
      <c r="W166" s="6"/>
      <c r="X166" s="128" t="n">
        <f aca="false">SUM(S166:W166)</f>
        <v>0</v>
      </c>
      <c r="Y166" s="6"/>
      <c r="Z166" s="6"/>
      <c r="AA166" s="6"/>
      <c r="AB166" s="6"/>
      <c r="AC166" s="128" t="n">
        <f aca="false">SUM(Y166:AB166)</f>
        <v>0</v>
      </c>
      <c r="AD166" s="6"/>
      <c r="AE166" s="6"/>
      <c r="AF166" s="6"/>
      <c r="AG166" s="6"/>
      <c r="AH166" s="6"/>
      <c r="AI166" s="128" t="n">
        <f aca="false">SUM(AD166:AH166)</f>
        <v>0</v>
      </c>
      <c r="AJ166" s="6"/>
      <c r="AK166" s="129"/>
      <c r="AL166" s="6"/>
      <c r="AM166" s="6"/>
      <c r="AN166" s="6"/>
      <c r="AO166" s="6"/>
      <c r="AP166" s="128" t="n">
        <f aca="false">SUM(AJ166:AO166)</f>
        <v>0</v>
      </c>
      <c r="AQ166" s="6"/>
      <c r="AR166" s="6"/>
      <c r="AS166" s="6"/>
      <c r="AT166" s="6" t="n">
        <v>3800000</v>
      </c>
      <c r="AU166" s="6"/>
      <c r="AV166" s="6"/>
      <c r="AW166" s="6" t="n">
        <v>250000</v>
      </c>
      <c r="AX166" s="128" t="n">
        <f aca="false">SUM(AQ166:AW166)</f>
        <v>4050000</v>
      </c>
      <c r="AY166" s="6"/>
      <c r="AZ166" s="6"/>
      <c r="BA166" s="6"/>
      <c r="BB166" s="6"/>
      <c r="BC166" s="6"/>
      <c r="BD166" s="128" t="n">
        <f aca="false">SUM(AY166:BC166)</f>
        <v>0</v>
      </c>
      <c r="BE166" s="130"/>
      <c r="BF166" s="6" t="n">
        <f aca="false">AC166+X166+AI166+AP166+AX166+BD166</f>
        <v>4050000</v>
      </c>
      <c r="BG166" s="131" t="n">
        <f aca="false">+N166-BF166</f>
        <v>750000</v>
      </c>
    </row>
    <row r="167" customFormat="false" ht="12.75" hidden="false" customHeight="false" outlineLevel="0" collapsed="false">
      <c r="A167" s="58" t="n">
        <v>107</v>
      </c>
      <c r="C167" s="1" t="n">
        <v>45686</v>
      </c>
      <c r="E167" s="2" t="s">
        <v>617</v>
      </c>
      <c r="F167" s="2" t="s">
        <v>618</v>
      </c>
      <c r="G167" s="2" t="s">
        <v>620</v>
      </c>
      <c r="I167" s="1" t="s">
        <v>621</v>
      </c>
      <c r="J167" s="59" t="s">
        <v>1017</v>
      </c>
      <c r="K167" s="59" t="s">
        <v>923</v>
      </c>
      <c r="L167" s="42" t="n">
        <v>162000</v>
      </c>
      <c r="N167" s="5" t="n">
        <v>162000</v>
      </c>
      <c r="P167" s="5" t="n">
        <v>162000</v>
      </c>
      <c r="R167" s="6"/>
      <c r="S167" s="6"/>
      <c r="T167" s="6"/>
      <c r="U167" s="6"/>
      <c r="V167" s="6"/>
      <c r="W167" s="6"/>
      <c r="X167" s="128" t="n">
        <f aca="false">SUM(S167:W167)</f>
        <v>0</v>
      </c>
      <c r="Y167" s="6"/>
      <c r="Z167" s="6"/>
      <c r="AA167" s="6"/>
      <c r="AB167" s="6"/>
      <c r="AC167" s="128" t="n">
        <f aca="false">SUM(Y167:AB167)</f>
        <v>0</v>
      </c>
      <c r="AD167" s="6"/>
      <c r="AE167" s="6"/>
      <c r="AF167" s="6"/>
      <c r="AG167" s="6"/>
      <c r="AH167" s="6"/>
      <c r="AI167" s="128" t="n">
        <f aca="false">SUM(AD167:AH167)</f>
        <v>0</v>
      </c>
      <c r="AJ167" s="6"/>
      <c r="AK167" s="129"/>
      <c r="AL167" s="6"/>
      <c r="AM167" s="6"/>
      <c r="AN167" s="6"/>
      <c r="AO167" s="6"/>
      <c r="AP167" s="128" t="n">
        <f aca="false">SUM(AJ167:AO167)</f>
        <v>0</v>
      </c>
      <c r="AQ167" s="6"/>
      <c r="AR167" s="6"/>
      <c r="AS167" s="6"/>
      <c r="AT167" s="6" t="n">
        <v>162000</v>
      </c>
      <c r="AU167" s="6"/>
      <c r="AV167" s="6"/>
      <c r="AW167" s="6"/>
      <c r="AX167" s="128" t="n">
        <f aca="false">SUM(AQ167:AW167)</f>
        <v>162000</v>
      </c>
      <c r="AY167" s="6"/>
      <c r="AZ167" s="6"/>
      <c r="BA167" s="6"/>
      <c r="BB167" s="6"/>
      <c r="BC167" s="6"/>
      <c r="BD167" s="128" t="n">
        <f aca="false">SUM(AY167:BC167)</f>
        <v>0</v>
      </c>
      <c r="BE167" s="130"/>
      <c r="BF167" s="6" t="n">
        <f aca="false">AC167+X167+AI167+AP167+AX167+BD167</f>
        <v>162000</v>
      </c>
      <c r="BG167" s="131" t="n">
        <f aca="false">+N167-BF167</f>
        <v>0</v>
      </c>
    </row>
    <row r="168" customFormat="false" ht="12.75" hidden="false" customHeight="false" outlineLevel="0" collapsed="false">
      <c r="A168" s="58" t="n">
        <v>109</v>
      </c>
      <c r="C168" s="1" t="n">
        <v>45687</v>
      </c>
      <c r="E168" s="2" t="s">
        <v>622</v>
      </c>
      <c r="F168" s="2" t="s">
        <v>623</v>
      </c>
      <c r="G168" s="2" t="s">
        <v>625</v>
      </c>
      <c r="I168" s="1" t="s">
        <v>626</v>
      </c>
      <c r="J168" s="59" t="s">
        <v>1018</v>
      </c>
      <c r="K168" s="59" t="s">
        <v>871</v>
      </c>
      <c r="L168" s="42" t="n">
        <v>350000</v>
      </c>
      <c r="N168" s="5" t="n">
        <v>350000</v>
      </c>
      <c r="P168" s="5" t="n">
        <v>350000</v>
      </c>
      <c r="R168" s="6"/>
      <c r="S168" s="6"/>
      <c r="T168" s="6"/>
      <c r="U168" s="6"/>
      <c r="V168" s="6"/>
      <c r="W168" s="6"/>
      <c r="X168" s="128" t="n">
        <f aca="false">SUM(S168:W168)</f>
        <v>0</v>
      </c>
      <c r="Y168" s="6"/>
      <c r="Z168" s="6"/>
      <c r="AA168" s="6"/>
      <c r="AB168" s="6"/>
      <c r="AC168" s="128" t="n">
        <f aca="false">SUM(Y168:AB168)</f>
        <v>0</v>
      </c>
      <c r="AD168" s="6"/>
      <c r="AE168" s="6"/>
      <c r="AF168" s="6"/>
      <c r="AG168" s="6"/>
      <c r="AH168" s="6"/>
      <c r="AI168" s="128" t="n">
        <f aca="false">SUM(AD168:AH168)</f>
        <v>0</v>
      </c>
      <c r="AJ168" s="6"/>
      <c r="AK168" s="129"/>
      <c r="AL168" s="6"/>
      <c r="AM168" s="6"/>
      <c r="AN168" s="6"/>
      <c r="AO168" s="6"/>
      <c r="AP168" s="128" t="n">
        <f aca="false">SUM(AJ168:AO168)</f>
        <v>0</v>
      </c>
      <c r="AQ168" s="6"/>
      <c r="AR168" s="6"/>
      <c r="AS168" s="6"/>
      <c r="AT168" s="6" t="n">
        <v>175000</v>
      </c>
      <c r="AU168" s="6"/>
      <c r="AV168" s="6" t="n">
        <v>175000</v>
      </c>
      <c r="AW168" s="6"/>
      <c r="AX168" s="128" t="n">
        <f aca="false">SUM(AQ168:AW168)</f>
        <v>350000</v>
      </c>
      <c r="AY168" s="6"/>
      <c r="AZ168" s="6"/>
      <c r="BA168" s="6"/>
      <c r="BB168" s="6"/>
      <c r="BC168" s="6"/>
      <c r="BD168" s="128" t="n">
        <f aca="false">SUM(AY168:BC168)</f>
        <v>0</v>
      </c>
      <c r="BE168" s="130"/>
      <c r="BF168" s="6" t="n">
        <f aca="false">AC168+X168+AI168+AP168+AX168+BD168</f>
        <v>350000</v>
      </c>
      <c r="BG168" s="131" t="n">
        <f aca="false">+N168-BF168</f>
        <v>0</v>
      </c>
    </row>
    <row r="169" customFormat="false" ht="12.75" hidden="false" customHeight="false" outlineLevel="0" collapsed="false">
      <c r="A169" s="58" t="n">
        <v>110</v>
      </c>
      <c r="C169" s="1" t="n">
        <v>45671</v>
      </c>
      <c r="E169" s="2" t="s">
        <v>627</v>
      </c>
      <c r="F169" s="2" t="s">
        <v>628</v>
      </c>
      <c r="G169" s="2" t="s">
        <v>630</v>
      </c>
      <c r="I169" s="1" t="s">
        <v>626</v>
      </c>
      <c r="J169" s="59" t="s">
        <v>1019</v>
      </c>
      <c r="K169" s="59" t="s">
        <v>871</v>
      </c>
      <c r="L169" s="42" t="n">
        <v>62500</v>
      </c>
      <c r="N169" s="5" t="n">
        <v>62500</v>
      </c>
      <c r="P169" s="5" t="n">
        <v>62500</v>
      </c>
      <c r="R169" s="6"/>
      <c r="S169" s="6"/>
      <c r="T169" s="6"/>
      <c r="U169" s="6"/>
      <c r="V169" s="6"/>
      <c r="W169" s="6"/>
      <c r="X169" s="128" t="n">
        <f aca="false">SUM(S169:W169)</f>
        <v>0</v>
      </c>
      <c r="Y169" s="6"/>
      <c r="Z169" s="6"/>
      <c r="AA169" s="6"/>
      <c r="AB169" s="6"/>
      <c r="AC169" s="128" t="n">
        <f aca="false">SUM(Y169:AB169)</f>
        <v>0</v>
      </c>
      <c r="AD169" s="6"/>
      <c r="AE169" s="6"/>
      <c r="AF169" s="6"/>
      <c r="AG169" s="6"/>
      <c r="AH169" s="6"/>
      <c r="AI169" s="128" t="n">
        <f aca="false">SUM(AD169:AH169)</f>
        <v>0</v>
      </c>
      <c r="AJ169" s="6"/>
      <c r="AK169" s="129"/>
      <c r="AL169" s="6"/>
      <c r="AM169" s="6"/>
      <c r="AN169" s="6"/>
      <c r="AO169" s="6"/>
      <c r="AP169" s="128" t="n">
        <f aca="false">SUM(AJ169:AO169)</f>
        <v>0</v>
      </c>
      <c r="AQ169" s="6"/>
      <c r="AR169" s="6"/>
      <c r="AS169" s="6"/>
      <c r="AT169" s="6" t="n">
        <v>62500</v>
      </c>
      <c r="AU169" s="6"/>
      <c r="AV169" s="6"/>
      <c r="AW169" s="6"/>
      <c r="AX169" s="128" t="n">
        <f aca="false">SUM(AQ169:AW169)</f>
        <v>62500</v>
      </c>
      <c r="AY169" s="6"/>
      <c r="AZ169" s="6"/>
      <c r="BA169" s="6"/>
      <c r="BB169" s="6"/>
      <c r="BC169" s="6"/>
      <c r="BD169" s="128" t="n">
        <f aca="false">SUM(AY169:BC169)</f>
        <v>0</v>
      </c>
      <c r="BE169" s="130"/>
      <c r="BF169" s="6" t="n">
        <f aca="false">AC169+X169+AI169+AP169+AX169+BD169</f>
        <v>62500</v>
      </c>
      <c r="BG169" s="131" t="n">
        <f aca="false">+N169-BF169</f>
        <v>0</v>
      </c>
    </row>
    <row r="170" customFormat="false" ht="12.75" hidden="false" customHeight="false" outlineLevel="0" collapsed="false">
      <c r="A170" s="58" t="n">
        <v>110</v>
      </c>
      <c r="C170" s="1" t="n">
        <v>45671</v>
      </c>
      <c r="E170" s="2" t="s">
        <v>627</v>
      </c>
      <c r="F170" s="2" t="s">
        <v>628</v>
      </c>
      <c r="G170" s="2" t="s">
        <v>630</v>
      </c>
      <c r="I170" s="1" t="s">
        <v>626</v>
      </c>
      <c r="J170" s="59" t="s">
        <v>1020</v>
      </c>
      <c r="K170" s="59" t="s">
        <v>871</v>
      </c>
      <c r="L170" s="42" t="n">
        <v>187500</v>
      </c>
      <c r="N170" s="5" t="n">
        <v>187500</v>
      </c>
      <c r="P170" s="5" t="n">
        <v>187500</v>
      </c>
      <c r="R170" s="6"/>
      <c r="S170" s="6"/>
      <c r="T170" s="6"/>
      <c r="U170" s="6"/>
      <c r="V170" s="6"/>
      <c r="W170" s="6"/>
      <c r="X170" s="128" t="n">
        <f aca="false">SUM(S170:W170)</f>
        <v>0</v>
      </c>
      <c r="Y170" s="6"/>
      <c r="Z170" s="6"/>
      <c r="AA170" s="6"/>
      <c r="AB170" s="6"/>
      <c r="AC170" s="128" t="n">
        <f aca="false">SUM(Y170:AB170)</f>
        <v>0</v>
      </c>
      <c r="AD170" s="6"/>
      <c r="AE170" s="6"/>
      <c r="AF170" s="6"/>
      <c r="AG170" s="6"/>
      <c r="AH170" s="6"/>
      <c r="AI170" s="128" t="n">
        <f aca="false">SUM(AD170:AH170)</f>
        <v>0</v>
      </c>
      <c r="AJ170" s="6"/>
      <c r="AK170" s="129"/>
      <c r="AL170" s="6"/>
      <c r="AM170" s="6"/>
      <c r="AN170" s="6"/>
      <c r="AO170" s="6"/>
      <c r="AP170" s="128" t="n">
        <f aca="false">SUM(AJ170:AO170)</f>
        <v>0</v>
      </c>
      <c r="AQ170" s="6"/>
      <c r="AR170" s="6"/>
      <c r="AS170" s="6"/>
      <c r="AT170" s="6" t="n">
        <v>93750</v>
      </c>
      <c r="AU170" s="6"/>
      <c r="AV170" s="6" t="n">
        <v>93750</v>
      </c>
      <c r="AW170" s="6"/>
      <c r="AX170" s="128" t="n">
        <f aca="false">SUM(AQ170:AW170)</f>
        <v>187500</v>
      </c>
      <c r="AY170" s="6"/>
      <c r="AZ170" s="6"/>
      <c r="BA170" s="6"/>
      <c r="BB170" s="6"/>
      <c r="BC170" s="6"/>
      <c r="BD170" s="128" t="n">
        <f aca="false">SUM(AY170:BC170)</f>
        <v>0</v>
      </c>
      <c r="BE170" s="130"/>
      <c r="BF170" s="6" t="n">
        <f aca="false">AC170+X170+AI170+AP170+AX170+BD170</f>
        <v>187500</v>
      </c>
      <c r="BG170" s="131" t="n">
        <f aca="false">+N170-BF170</f>
        <v>0</v>
      </c>
    </row>
    <row r="171" customFormat="false" ht="12.75" hidden="false" customHeight="false" outlineLevel="0" collapsed="false">
      <c r="A171" s="58" t="n">
        <v>112</v>
      </c>
      <c r="C171" s="1" t="n">
        <v>45748</v>
      </c>
      <c r="E171" s="2" t="s">
        <v>631</v>
      </c>
      <c r="F171" s="2" t="s">
        <v>632</v>
      </c>
      <c r="G171" s="2" t="s">
        <v>634</v>
      </c>
      <c r="I171" s="1" t="s">
        <v>635</v>
      </c>
      <c r="J171" s="59" t="s">
        <v>1021</v>
      </c>
      <c r="K171" s="59" t="s">
        <v>871</v>
      </c>
      <c r="L171" s="42" t="n">
        <v>800000</v>
      </c>
      <c r="N171" s="5" t="n">
        <v>800000</v>
      </c>
      <c r="P171" s="5" t="n">
        <v>800000</v>
      </c>
      <c r="R171" s="6"/>
      <c r="S171" s="6"/>
      <c r="T171" s="6"/>
      <c r="U171" s="6"/>
      <c r="V171" s="6"/>
      <c r="W171" s="6"/>
      <c r="X171" s="128" t="n">
        <f aca="false">SUM(S171:W171)</f>
        <v>0</v>
      </c>
      <c r="Y171" s="6"/>
      <c r="Z171" s="6"/>
      <c r="AA171" s="6"/>
      <c r="AB171" s="6"/>
      <c r="AC171" s="128" t="n">
        <f aca="false">SUM(Y171:AB171)</f>
        <v>0</v>
      </c>
      <c r="AD171" s="6"/>
      <c r="AE171" s="6"/>
      <c r="AF171" s="6"/>
      <c r="AG171" s="6"/>
      <c r="AH171" s="6"/>
      <c r="AI171" s="128" t="n">
        <f aca="false">SUM(AD171:AH171)</f>
        <v>0</v>
      </c>
      <c r="AJ171" s="6"/>
      <c r="AK171" s="129"/>
      <c r="AL171" s="6"/>
      <c r="AM171" s="6"/>
      <c r="AN171" s="6"/>
      <c r="AO171" s="6"/>
      <c r="AP171" s="128" t="n">
        <f aca="false">SUM(AJ171:AO171)</f>
        <v>0</v>
      </c>
      <c r="AQ171" s="6"/>
      <c r="AR171" s="6"/>
      <c r="AS171" s="6"/>
      <c r="AT171" s="6"/>
      <c r="AU171" s="6"/>
      <c r="AV171" s="6" t="n">
        <v>400000</v>
      </c>
      <c r="AW171" s="6" t="n">
        <v>150000</v>
      </c>
      <c r="AX171" s="128" t="n">
        <f aca="false">SUM(AQ171:AW171)</f>
        <v>550000</v>
      </c>
      <c r="AY171" s="6" t="n">
        <v>250000</v>
      </c>
      <c r="AZ171" s="6"/>
      <c r="BA171" s="6"/>
      <c r="BB171" s="6"/>
      <c r="BC171" s="6"/>
      <c r="BD171" s="128" t="n">
        <f aca="false">SUM(AY171:BC171)</f>
        <v>250000</v>
      </c>
      <c r="BE171" s="130"/>
      <c r="BF171" s="6" t="n">
        <f aca="false">AC171+X171+AI171+AP171+AX171+BD171</f>
        <v>800000</v>
      </c>
      <c r="BG171" s="131" t="n">
        <f aca="false">+N171-BF171</f>
        <v>0</v>
      </c>
    </row>
    <row r="172" customFormat="false" ht="12.75" hidden="false" customHeight="false" outlineLevel="0" collapsed="false">
      <c r="A172" s="58" t="n">
        <v>112</v>
      </c>
      <c r="C172" s="1" t="n">
        <v>45748</v>
      </c>
      <c r="E172" s="2" t="s">
        <v>631</v>
      </c>
      <c r="F172" s="2" t="s">
        <v>632</v>
      </c>
      <c r="G172" s="2" t="s">
        <v>634</v>
      </c>
      <c r="I172" s="1" t="s">
        <v>635</v>
      </c>
      <c r="J172" s="59" t="s">
        <v>1022</v>
      </c>
      <c r="K172" s="59" t="s">
        <v>871</v>
      </c>
      <c r="L172" s="42" t="n">
        <v>470000</v>
      </c>
      <c r="N172" s="5" t="n">
        <v>470000</v>
      </c>
      <c r="P172" s="5" t="n">
        <v>470000</v>
      </c>
      <c r="R172" s="6"/>
      <c r="S172" s="6"/>
      <c r="T172" s="6"/>
      <c r="U172" s="6"/>
      <c r="V172" s="6"/>
      <c r="W172" s="6"/>
      <c r="X172" s="128" t="n">
        <f aca="false">SUM(S172:W172)</f>
        <v>0</v>
      </c>
      <c r="Y172" s="6"/>
      <c r="Z172" s="6"/>
      <c r="AA172" s="6"/>
      <c r="AB172" s="6"/>
      <c r="AC172" s="128" t="n">
        <f aca="false">SUM(Y172:AB172)</f>
        <v>0</v>
      </c>
      <c r="AD172" s="6"/>
      <c r="AE172" s="6"/>
      <c r="AF172" s="6"/>
      <c r="AG172" s="6"/>
      <c r="AH172" s="6"/>
      <c r="AI172" s="128" t="n">
        <f aca="false">SUM(AD172:AH172)</f>
        <v>0</v>
      </c>
      <c r="AJ172" s="6"/>
      <c r="AK172" s="129"/>
      <c r="AL172" s="6"/>
      <c r="AM172" s="6"/>
      <c r="AN172" s="6"/>
      <c r="AO172" s="6"/>
      <c r="AP172" s="128" t="n">
        <f aca="false">SUM(AJ172:AO172)</f>
        <v>0</v>
      </c>
      <c r="AQ172" s="6"/>
      <c r="AR172" s="6"/>
      <c r="AS172" s="6"/>
      <c r="AT172" s="6"/>
      <c r="AU172" s="6" t="n">
        <v>470000</v>
      </c>
      <c r="AV172" s="6"/>
      <c r="AW172" s="6"/>
      <c r="AX172" s="128" t="n">
        <f aca="false">SUM(AQ172:AW172)</f>
        <v>470000</v>
      </c>
      <c r="AY172" s="6"/>
      <c r="AZ172" s="6"/>
      <c r="BA172" s="6"/>
      <c r="BB172" s="6"/>
      <c r="BC172" s="6"/>
      <c r="BD172" s="128" t="n">
        <f aca="false">SUM(AY172:BC172)</f>
        <v>0</v>
      </c>
      <c r="BE172" s="130"/>
      <c r="BF172" s="6" t="n">
        <f aca="false">AC172+X172+AI172+AP172+AX172+BD172</f>
        <v>470000</v>
      </c>
      <c r="BG172" s="131" t="n">
        <f aca="false">+N172-BF172</f>
        <v>0</v>
      </c>
    </row>
    <row r="173" customFormat="false" ht="12.75" hidden="false" customHeight="false" outlineLevel="0" collapsed="false">
      <c r="A173" s="58" t="n">
        <v>113</v>
      </c>
      <c r="C173" s="1" t="n">
        <v>45770</v>
      </c>
      <c r="E173" s="2" t="s">
        <v>636</v>
      </c>
      <c r="F173" s="2" t="s">
        <v>637</v>
      </c>
      <c r="G173" s="2" t="s">
        <v>639</v>
      </c>
      <c r="I173" s="1" t="s">
        <v>635</v>
      </c>
      <c r="J173" s="59" t="s">
        <v>1023</v>
      </c>
      <c r="K173" s="59" t="s">
        <v>871</v>
      </c>
      <c r="L173" s="42" t="n">
        <v>500000</v>
      </c>
      <c r="N173" s="5" t="n">
        <v>500000</v>
      </c>
      <c r="P173" s="5" t="n">
        <v>500000</v>
      </c>
      <c r="R173" s="6"/>
      <c r="S173" s="6"/>
      <c r="T173" s="6"/>
      <c r="U173" s="6"/>
      <c r="V173" s="6"/>
      <c r="W173" s="6"/>
      <c r="X173" s="128" t="n">
        <f aca="false">SUM(S173:W173)</f>
        <v>0</v>
      </c>
      <c r="Y173" s="6"/>
      <c r="Z173" s="6"/>
      <c r="AA173" s="6"/>
      <c r="AB173" s="6"/>
      <c r="AC173" s="128" t="n">
        <f aca="false">SUM(Y173:AB173)</f>
        <v>0</v>
      </c>
      <c r="AD173" s="6"/>
      <c r="AE173" s="6"/>
      <c r="AF173" s="6"/>
      <c r="AG173" s="6"/>
      <c r="AH173" s="6"/>
      <c r="AI173" s="128" t="n">
        <f aca="false">SUM(AD173:AH173)</f>
        <v>0</v>
      </c>
      <c r="AJ173" s="6"/>
      <c r="AK173" s="129"/>
      <c r="AL173" s="6"/>
      <c r="AM173" s="6"/>
      <c r="AN173" s="6"/>
      <c r="AO173" s="6"/>
      <c r="AP173" s="128" t="n">
        <f aca="false">SUM(AJ173:AO173)</f>
        <v>0</v>
      </c>
      <c r="AQ173" s="6"/>
      <c r="AR173" s="6"/>
      <c r="AS173" s="6"/>
      <c r="AT173" s="6"/>
      <c r="AU173" s="6"/>
      <c r="AV173" s="6" t="n">
        <v>250000</v>
      </c>
      <c r="AW173" s="6" t="n">
        <v>150000</v>
      </c>
      <c r="AX173" s="128" t="n">
        <f aca="false">SUM(AQ173:AW173)</f>
        <v>400000</v>
      </c>
      <c r="AY173" s="6" t="n">
        <v>100000</v>
      </c>
      <c r="AZ173" s="6"/>
      <c r="BA173" s="6"/>
      <c r="BB173" s="6"/>
      <c r="BC173" s="6"/>
      <c r="BD173" s="128" t="n">
        <f aca="false">SUM(AY173:BC173)</f>
        <v>100000</v>
      </c>
      <c r="BE173" s="130"/>
      <c r="BF173" s="6" t="n">
        <f aca="false">AC173+X173+AI173+AP173+AX173+BD173</f>
        <v>500000</v>
      </c>
      <c r="BG173" s="131" t="n">
        <f aca="false">+N173-BF173</f>
        <v>0</v>
      </c>
    </row>
    <row r="174" customFormat="false" ht="12.75" hidden="false" customHeight="false" outlineLevel="0" collapsed="false">
      <c r="A174" s="58" t="n">
        <v>114</v>
      </c>
      <c r="C174" s="1" t="n">
        <v>45785</v>
      </c>
      <c r="E174" s="2" t="s">
        <v>640</v>
      </c>
      <c r="F174" s="2" t="s">
        <v>641</v>
      </c>
      <c r="G174" s="2" t="s">
        <v>643</v>
      </c>
      <c r="I174" s="1" t="s">
        <v>635</v>
      </c>
      <c r="J174" s="59" t="s">
        <v>1024</v>
      </c>
      <c r="K174" s="59" t="s">
        <v>923</v>
      </c>
      <c r="L174" s="42" t="n">
        <v>2255000</v>
      </c>
      <c r="N174" s="5" t="n">
        <v>2255000</v>
      </c>
      <c r="P174" s="5" t="n">
        <v>2255000</v>
      </c>
      <c r="R174" s="6"/>
      <c r="S174" s="6"/>
      <c r="T174" s="6"/>
      <c r="U174" s="6"/>
      <c r="V174" s="6"/>
      <c r="W174" s="6"/>
      <c r="X174" s="128" t="n">
        <f aca="false">SUM(S174:W174)</f>
        <v>0</v>
      </c>
      <c r="Y174" s="6"/>
      <c r="Z174" s="6"/>
      <c r="AA174" s="6"/>
      <c r="AB174" s="6"/>
      <c r="AC174" s="128" t="n">
        <f aca="false">SUM(Y174:AB174)</f>
        <v>0</v>
      </c>
      <c r="AD174" s="6"/>
      <c r="AE174" s="6"/>
      <c r="AF174" s="6"/>
      <c r="AG174" s="6"/>
      <c r="AH174" s="6"/>
      <c r="AI174" s="128" t="n">
        <f aca="false">SUM(AD174:AH174)</f>
        <v>0</v>
      </c>
      <c r="AJ174" s="6"/>
      <c r="AK174" s="129"/>
      <c r="AL174" s="6"/>
      <c r="AM174" s="6"/>
      <c r="AN174" s="6"/>
      <c r="AO174" s="6"/>
      <c r="AP174" s="128" t="n">
        <f aca="false">SUM(AJ174:AO174)</f>
        <v>0</v>
      </c>
      <c r="AQ174" s="6"/>
      <c r="AR174" s="6"/>
      <c r="AS174" s="6"/>
      <c r="AT174" s="6"/>
      <c r="AU174" s="6"/>
      <c r="AV174" s="6" t="n">
        <v>1200000</v>
      </c>
      <c r="AW174" s="6" t="n">
        <v>500000</v>
      </c>
      <c r="AX174" s="128" t="n">
        <f aca="false">SUM(AQ174:AW174)</f>
        <v>1700000</v>
      </c>
      <c r="AY174" s="6" t="n">
        <v>555000</v>
      </c>
      <c r="AZ174" s="6"/>
      <c r="BA174" s="6"/>
      <c r="BB174" s="6"/>
      <c r="BC174" s="6"/>
      <c r="BD174" s="128" t="n">
        <f aca="false">SUM(AY174:BC174)</f>
        <v>555000</v>
      </c>
      <c r="BE174" s="130"/>
      <c r="BF174" s="6" t="n">
        <f aca="false">AC174+X174+AI174+AP174+AX174+BD174</f>
        <v>2255000</v>
      </c>
      <c r="BG174" s="131" t="n">
        <f aca="false">+N174-BF174</f>
        <v>0</v>
      </c>
    </row>
    <row r="175" customFormat="false" ht="12.75" hidden="false" customHeight="false" outlineLevel="0" collapsed="false">
      <c r="A175" s="58" t="n">
        <v>115</v>
      </c>
      <c r="C175" s="1" t="n">
        <v>45747</v>
      </c>
      <c r="E175" s="2" t="s">
        <v>644</v>
      </c>
      <c r="F175" s="2" t="s">
        <v>645</v>
      </c>
      <c r="G175" s="2" t="s">
        <v>647</v>
      </c>
      <c r="I175" s="1" t="s">
        <v>648</v>
      </c>
      <c r="J175" s="59" t="s">
        <v>1025</v>
      </c>
      <c r="K175" s="59" t="s">
        <v>871</v>
      </c>
      <c r="L175" s="42" t="n">
        <v>175000</v>
      </c>
      <c r="N175" s="5" t="n">
        <v>175000</v>
      </c>
      <c r="P175" s="5" t="n">
        <v>175000</v>
      </c>
      <c r="R175" s="6"/>
      <c r="S175" s="6"/>
      <c r="T175" s="6"/>
      <c r="U175" s="6"/>
      <c r="V175" s="6"/>
      <c r="W175" s="6"/>
      <c r="X175" s="128" t="n">
        <f aca="false">SUM(S175:W175)</f>
        <v>0</v>
      </c>
      <c r="Y175" s="6"/>
      <c r="Z175" s="6"/>
      <c r="AA175" s="6"/>
      <c r="AB175" s="6"/>
      <c r="AC175" s="128" t="n">
        <f aca="false">SUM(Y175:AB175)</f>
        <v>0</v>
      </c>
      <c r="AD175" s="6"/>
      <c r="AE175" s="6"/>
      <c r="AF175" s="6"/>
      <c r="AG175" s="6"/>
      <c r="AH175" s="6"/>
      <c r="AI175" s="128" t="n">
        <f aca="false">SUM(AD175:AH175)</f>
        <v>0</v>
      </c>
      <c r="AJ175" s="6"/>
      <c r="AK175" s="129"/>
      <c r="AL175" s="6"/>
      <c r="AM175" s="6"/>
      <c r="AN175" s="6"/>
      <c r="AO175" s="6"/>
      <c r="AP175" s="128" t="n">
        <f aca="false">SUM(AJ175:AO175)</f>
        <v>0</v>
      </c>
      <c r="AQ175" s="6"/>
      <c r="AR175" s="6"/>
      <c r="AS175" s="6"/>
      <c r="AT175" s="6"/>
      <c r="AU175" s="6" t="n">
        <v>100000</v>
      </c>
      <c r="AV175" s="6" t="n">
        <v>75000</v>
      </c>
      <c r="AW175" s="6"/>
      <c r="AX175" s="128" t="n">
        <f aca="false">SUM(AQ175:AW175)</f>
        <v>175000</v>
      </c>
      <c r="AY175" s="6"/>
      <c r="AZ175" s="6"/>
      <c r="BA175" s="6"/>
      <c r="BB175" s="6"/>
      <c r="BC175" s="6"/>
      <c r="BD175" s="128" t="n">
        <f aca="false">SUM(AY175:BC175)</f>
        <v>0</v>
      </c>
      <c r="BE175" s="130"/>
      <c r="BF175" s="6" t="n">
        <f aca="false">AC175+X175+AI175+AP175+AX175+BD175</f>
        <v>175000</v>
      </c>
      <c r="BG175" s="131" t="n">
        <f aca="false">+N175-BF175</f>
        <v>0</v>
      </c>
    </row>
    <row r="176" customFormat="false" ht="12.75" hidden="false" customHeight="false" outlineLevel="0" collapsed="false">
      <c r="A176" s="58" t="n">
        <v>116</v>
      </c>
      <c r="C176" s="1" t="n">
        <v>45792</v>
      </c>
      <c r="E176" s="2" t="s">
        <v>649</v>
      </c>
      <c r="F176" s="2" t="s">
        <v>650</v>
      </c>
      <c r="G176" s="2" t="s">
        <v>652</v>
      </c>
      <c r="I176" s="1" t="s">
        <v>653</v>
      </c>
      <c r="J176" s="59" t="s">
        <v>1026</v>
      </c>
      <c r="K176" s="59" t="s">
        <v>871</v>
      </c>
      <c r="L176" s="5" t="n">
        <v>250000</v>
      </c>
      <c r="N176" s="5" t="n">
        <v>250000</v>
      </c>
      <c r="P176" s="5" t="n">
        <v>250000</v>
      </c>
      <c r="R176" s="6"/>
      <c r="S176" s="6"/>
      <c r="T176" s="6"/>
      <c r="U176" s="6"/>
      <c r="V176" s="6"/>
      <c r="W176" s="6"/>
      <c r="X176" s="128" t="n">
        <f aca="false">SUM(S176:W176)</f>
        <v>0</v>
      </c>
      <c r="Y176" s="6"/>
      <c r="Z176" s="6"/>
      <c r="AA176" s="6"/>
      <c r="AB176" s="6"/>
      <c r="AC176" s="128" t="n">
        <f aca="false">SUM(Y176:AB176)</f>
        <v>0</v>
      </c>
      <c r="AD176" s="6"/>
      <c r="AE176" s="6"/>
      <c r="AF176" s="6"/>
      <c r="AG176" s="6"/>
      <c r="AH176" s="6"/>
      <c r="AI176" s="128" t="n">
        <f aca="false">SUM(AD176:AH176)</f>
        <v>0</v>
      </c>
      <c r="AJ176" s="6"/>
      <c r="AK176" s="129"/>
      <c r="AL176" s="6"/>
      <c r="AM176" s="6"/>
      <c r="AN176" s="6"/>
      <c r="AO176" s="6"/>
      <c r="AP176" s="128" t="n">
        <f aca="false">SUM(AJ176:AO176)</f>
        <v>0</v>
      </c>
      <c r="AQ176" s="6"/>
      <c r="AR176" s="6"/>
      <c r="AS176" s="6"/>
      <c r="AT176" s="6"/>
      <c r="AU176" s="6"/>
      <c r="AV176" s="6" t="n">
        <v>250000</v>
      </c>
      <c r="AW176" s="6"/>
      <c r="AX176" s="128" t="n">
        <f aca="false">SUM(AQ176:AW176)</f>
        <v>250000</v>
      </c>
      <c r="AY176" s="6"/>
      <c r="AZ176" s="6"/>
      <c r="BA176" s="6"/>
      <c r="BB176" s="6"/>
      <c r="BC176" s="6"/>
      <c r="BD176" s="128" t="n">
        <f aca="false">SUM(AY176:BC176)</f>
        <v>0</v>
      </c>
      <c r="BE176" s="130"/>
      <c r="BF176" s="6" t="n">
        <f aca="false">AC176+X176+AI176+AP176+AX176+BD176</f>
        <v>250000</v>
      </c>
      <c r="BG176" s="131" t="n">
        <f aca="false">+N176-BF176</f>
        <v>0</v>
      </c>
    </row>
    <row r="177" customFormat="false" ht="12.75" hidden="false" customHeight="false" outlineLevel="0" collapsed="false">
      <c r="A177" s="58" t="n">
        <v>117</v>
      </c>
      <c r="C177" s="1" t="n">
        <v>45789</v>
      </c>
      <c r="E177" s="2" t="s">
        <v>654</v>
      </c>
      <c r="F177" s="2" t="s">
        <v>655</v>
      </c>
      <c r="G177" s="2" t="s">
        <v>657</v>
      </c>
      <c r="I177" s="1" t="s">
        <v>658</v>
      </c>
      <c r="J177" s="59" t="s">
        <v>1027</v>
      </c>
      <c r="K177" s="59" t="s">
        <v>923</v>
      </c>
      <c r="L177" s="5" t="n">
        <v>263736</v>
      </c>
      <c r="N177" s="5" t="n">
        <v>263736</v>
      </c>
      <c r="P177" s="5" t="n">
        <v>263736</v>
      </c>
      <c r="R177" s="6"/>
      <c r="S177" s="6"/>
      <c r="T177" s="6"/>
      <c r="U177" s="6"/>
      <c r="V177" s="6"/>
      <c r="W177" s="6"/>
      <c r="X177" s="128" t="n">
        <f aca="false">SUM(S177:W177)</f>
        <v>0</v>
      </c>
      <c r="Y177" s="6"/>
      <c r="Z177" s="6"/>
      <c r="AA177" s="6"/>
      <c r="AB177" s="6"/>
      <c r="AC177" s="128" t="n">
        <f aca="false">SUM(Y177:AB177)</f>
        <v>0</v>
      </c>
      <c r="AD177" s="6"/>
      <c r="AE177" s="6"/>
      <c r="AF177" s="6"/>
      <c r="AG177" s="6"/>
      <c r="AH177" s="6"/>
      <c r="AI177" s="128" t="n">
        <f aca="false">SUM(AD177:AH177)</f>
        <v>0</v>
      </c>
      <c r="AJ177" s="6"/>
      <c r="AK177" s="129"/>
      <c r="AL177" s="6"/>
      <c r="AM177" s="6"/>
      <c r="AN177" s="6"/>
      <c r="AO177" s="6"/>
      <c r="AP177" s="128" t="n">
        <f aca="false">SUM(AJ177:AO177)</f>
        <v>0</v>
      </c>
      <c r="AQ177" s="6"/>
      <c r="AR177" s="6"/>
      <c r="AS177" s="6"/>
      <c r="AT177" s="6"/>
      <c r="AU177" s="6"/>
      <c r="AV177" s="6" t="n">
        <v>263736</v>
      </c>
      <c r="AW177" s="6"/>
      <c r="AX177" s="128" t="n">
        <f aca="false">SUM(AQ177:AW177)</f>
        <v>263736</v>
      </c>
      <c r="AY177" s="6"/>
      <c r="AZ177" s="6"/>
      <c r="BA177" s="6"/>
      <c r="BB177" s="6"/>
      <c r="BC177" s="6"/>
      <c r="BD177" s="128" t="n">
        <f aca="false">SUM(AY177:BC177)</f>
        <v>0</v>
      </c>
      <c r="BE177" s="130"/>
      <c r="BF177" s="6" t="n">
        <f aca="false">AC177+X177+AI177+AP177+AX177+BD177</f>
        <v>263736</v>
      </c>
      <c r="BG177" s="131" t="n">
        <f aca="false">+N177-BF177</f>
        <v>0</v>
      </c>
    </row>
    <row r="178" customFormat="false" ht="12.75" hidden="false" customHeight="false" outlineLevel="0" collapsed="false">
      <c r="A178" s="58" t="n">
        <v>118</v>
      </c>
      <c r="C178" s="1" t="n">
        <v>45824</v>
      </c>
      <c r="E178" s="2" t="s">
        <v>659</v>
      </c>
      <c r="F178" s="2" t="s">
        <v>660</v>
      </c>
      <c r="G178" s="2" t="s">
        <v>662</v>
      </c>
      <c r="I178" s="1" t="s">
        <v>571</v>
      </c>
      <c r="J178" s="59" t="s">
        <v>1028</v>
      </c>
      <c r="K178" s="59" t="s">
        <v>871</v>
      </c>
      <c r="L178" s="5" t="n">
        <v>1658828.79</v>
      </c>
      <c r="N178" s="5" t="n">
        <v>1658828.79</v>
      </c>
      <c r="P178" s="5" t="n">
        <v>1658828.79</v>
      </c>
      <c r="R178" s="6"/>
      <c r="S178" s="6"/>
      <c r="T178" s="6"/>
      <c r="U178" s="6"/>
      <c r="V178" s="6"/>
      <c r="W178" s="6"/>
      <c r="X178" s="128" t="n">
        <f aca="false">SUM(S178:W178)</f>
        <v>0</v>
      </c>
      <c r="Y178" s="6"/>
      <c r="Z178" s="6"/>
      <c r="AA178" s="6"/>
      <c r="AB178" s="6"/>
      <c r="AC178" s="128" t="n">
        <f aca="false">SUM(Y178:AB178)</f>
        <v>0</v>
      </c>
      <c r="AD178" s="6"/>
      <c r="AE178" s="6"/>
      <c r="AF178" s="6"/>
      <c r="AG178" s="6"/>
      <c r="AH178" s="6"/>
      <c r="AI178" s="128" t="n">
        <f aca="false">SUM(AD178:AH178)</f>
        <v>0</v>
      </c>
      <c r="AJ178" s="6"/>
      <c r="AK178" s="129"/>
      <c r="AL178" s="6"/>
      <c r="AM178" s="6"/>
      <c r="AN178" s="6"/>
      <c r="AO178" s="6"/>
      <c r="AP178" s="128" t="n">
        <f aca="false">SUM(AJ178:AO178)</f>
        <v>0</v>
      </c>
      <c r="AQ178" s="6"/>
      <c r="AR178" s="6"/>
      <c r="AS178" s="6"/>
      <c r="AT178" s="6"/>
      <c r="AU178" s="6"/>
      <c r="AV178" s="6" t="n">
        <v>60000</v>
      </c>
      <c r="AW178" s="6" t="n">
        <v>600000</v>
      </c>
      <c r="AX178" s="128" t="n">
        <f aca="false">SUM(AQ178:AW178)</f>
        <v>660000</v>
      </c>
      <c r="AY178" s="6" t="n">
        <v>250000</v>
      </c>
      <c r="AZ178" s="6"/>
      <c r="BA178" s="6"/>
      <c r="BB178" s="6"/>
      <c r="BC178" s="6"/>
      <c r="BD178" s="128" t="n">
        <f aca="false">SUM(AY178:BC178)</f>
        <v>250000</v>
      </c>
      <c r="BE178" s="130"/>
      <c r="BF178" s="6" t="n">
        <f aca="false">AC178+X178+AI178+AP178+AX178+BD178</f>
        <v>910000</v>
      </c>
      <c r="BG178" s="131" t="n">
        <f aca="false">+N178-BF178</f>
        <v>748828.79</v>
      </c>
    </row>
    <row r="179" customFormat="false" ht="12.75" hidden="false" customHeight="false" outlineLevel="0" collapsed="false">
      <c r="A179" s="58" t="n">
        <v>118</v>
      </c>
      <c r="C179" s="1" t="n">
        <v>45791</v>
      </c>
      <c r="E179" s="2" t="s">
        <v>663</v>
      </c>
      <c r="F179" s="2" t="s">
        <v>660</v>
      </c>
      <c r="G179" s="2" t="s">
        <v>662</v>
      </c>
      <c r="I179" s="1" t="s">
        <v>571</v>
      </c>
      <c r="J179" s="59" t="s">
        <v>1029</v>
      </c>
      <c r="K179" s="59" t="s">
        <v>871</v>
      </c>
      <c r="L179" s="5" t="n">
        <v>141000.45</v>
      </c>
      <c r="N179" s="5" t="n">
        <v>141000.45</v>
      </c>
      <c r="P179" s="5" t="n">
        <v>141000.45</v>
      </c>
      <c r="R179" s="6"/>
      <c r="S179" s="6"/>
      <c r="T179" s="6"/>
      <c r="U179" s="6"/>
      <c r="V179" s="6"/>
      <c r="W179" s="6"/>
      <c r="X179" s="128" t="n">
        <f aca="false">SUM(S179:W179)</f>
        <v>0</v>
      </c>
      <c r="Y179" s="6"/>
      <c r="Z179" s="6"/>
      <c r="AA179" s="6"/>
      <c r="AB179" s="6"/>
      <c r="AC179" s="128" t="n">
        <f aca="false">SUM(Y179:AB179)</f>
        <v>0</v>
      </c>
      <c r="AD179" s="6"/>
      <c r="AE179" s="6"/>
      <c r="AF179" s="6"/>
      <c r="AG179" s="6"/>
      <c r="AH179" s="6"/>
      <c r="AI179" s="128" t="n">
        <f aca="false">SUM(AD179:AH179)</f>
        <v>0</v>
      </c>
      <c r="AJ179" s="6"/>
      <c r="AK179" s="129"/>
      <c r="AL179" s="6"/>
      <c r="AM179" s="6"/>
      <c r="AN179" s="6"/>
      <c r="AO179" s="6"/>
      <c r="AP179" s="128" t="n">
        <f aca="false">SUM(AJ179:AO179)</f>
        <v>0</v>
      </c>
      <c r="AQ179" s="6"/>
      <c r="AR179" s="6"/>
      <c r="AS179" s="6"/>
      <c r="AT179" s="6"/>
      <c r="AU179" s="6"/>
      <c r="AV179" s="6" t="n">
        <v>141000.45</v>
      </c>
      <c r="AW179" s="6"/>
      <c r="AX179" s="128" t="n">
        <f aca="false">SUM(AQ179:AW179)</f>
        <v>141000.45</v>
      </c>
      <c r="AY179" s="6"/>
      <c r="AZ179" s="6"/>
      <c r="BA179" s="6"/>
      <c r="BB179" s="6"/>
      <c r="BC179" s="6"/>
      <c r="BD179" s="128" t="n">
        <f aca="false">SUM(AY179:BC179)</f>
        <v>0</v>
      </c>
      <c r="BE179" s="130"/>
      <c r="BF179" s="6" t="n">
        <f aca="false">AC179+X179+AI179+AP179+AX179+BD179</f>
        <v>141000.45</v>
      </c>
      <c r="BG179" s="131" t="n">
        <f aca="false">+N179-BF179</f>
        <v>0</v>
      </c>
    </row>
    <row r="180" customFormat="false" ht="12.75" hidden="false" customHeight="false" outlineLevel="0" collapsed="false">
      <c r="A180" s="58" t="n">
        <v>119</v>
      </c>
      <c r="C180" s="1" t="n">
        <v>45916</v>
      </c>
      <c r="E180" s="2" t="s">
        <v>664</v>
      </c>
      <c r="F180" s="2" t="s">
        <v>665</v>
      </c>
      <c r="G180" s="2" t="s">
        <v>667</v>
      </c>
      <c r="I180" s="1" t="s">
        <v>668</v>
      </c>
      <c r="J180" s="59" t="s">
        <v>1030</v>
      </c>
      <c r="K180" s="59" t="s">
        <v>865</v>
      </c>
      <c r="L180" s="5" t="n">
        <v>8200000</v>
      </c>
      <c r="N180" s="5" t="n">
        <v>8200000</v>
      </c>
      <c r="P180" s="5" t="n">
        <v>8200000</v>
      </c>
      <c r="R180" s="6"/>
      <c r="S180" s="6"/>
      <c r="T180" s="6"/>
      <c r="U180" s="6"/>
      <c r="V180" s="6"/>
      <c r="W180" s="6"/>
      <c r="X180" s="128" t="n">
        <f aca="false">SUM(S180:W180)</f>
        <v>0</v>
      </c>
      <c r="Y180" s="6"/>
      <c r="Z180" s="6"/>
      <c r="AA180" s="6"/>
      <c r="AB180" s="6"/>
      <c r="AC180" s="128" t="n">
        <f aca="false">SUM(Y180:AB180)</f>
        <v>0</v>
      </c>
      <c r="AD180" s="6"/>
      <c r="AE180" s="6"/>
      <c r="AF180" s="6"/>
      <c r="AG180" s="6"/>
      <c r="AH180" s="6"/>
      <c r="AI180" s="128" t="n">
        <f aca="false">SUM(AD180:AH180)</f>
        <v>0</v>
      </c>
      <c r="AJ180" s="6"/>
      <c r="AK180" s="129"/>
      <c r="AL180" s="6"/>
      <c r="AM180" s="6"/>
      <c r="AN180" s="6"/>
      <c r="AO180" s="6"/>
      <c r="AP180" s="128" t="n">
        <f aca="false">SUM(AJ180:AO180)</f>
        <v>0</v>
      </c>
      <c r="AQ180" s="6"/>
      <c r="AR180" s="6"/>
      <c r="AS180" s="6"/>
      <c r="AT180" s="6"/>
      <c r="AU180" s="6"/>
      <c r="AV180" s="6"/>
      <c r="AW180" s="6" t="n">
        <v>200000</v>
      </c>
      <c r="AX180" s="128" t="n">
        <f aca="false">SUM(AQ180:AW180)</f>
        <v>200000</v>
      </c>
      <c r="AY180" s="6" t="n">
        <v>500000</v>
      </c>
      <c r="AZ180" s="6"/>
      <c r="BA180" s="6"/>
      <c r="BB180" s="6"/>
      <c r="BC180" s="6"/>
      <c r="BD180" s="128" t="n">
        <f aca="false">SUM(AY180:BC180)</f>
        <v>500000</v>
      </c>
      <c r="BE180" s="130"/>
      <c r="BF180" s="6" t="n">
        <f aca="false">AC180+X180+AI180+AP180+AX180+BD180</f>
        <v>700000</v>
      </c>
      <c r="BG180" s="131" t="n">
        <f aca="false">+N180-BF180</f>
        <v>7500000</v>
      </c>
    </row>
    <row r="181" customFormat="false" ht="12.75" hidden="false" customHeight="false" outlineLevel="0" collapsed="false">
      <c r="A181" s="58" t="n">
        <v>120</v>
      </c>
      <c r="C181" s="1" t="n">
        <v>45791</v>
      </c>
      <c r="E181" s="2" t="s">
        <v>669</v>
      </c>
      <c r="F181" s="2" t="s">
        <v>670</v>
      </c>
      <c r="G181" s="2" t="s">
        <v>672</v>
      </c>
      <c r="I181" s="1" t="s">
        <v>673</v>
      </c>
      <c r="J181" s="59" t="s">
        <v>1031</v>
      </c>
      <c r="K181" s="59" t="s">
        <v>871</v>
      </c>
      <c r="L181" s="5" t="n">
        <v>1540000</v>
      </c>
      <c r="N181" s="5" t="n">
        <v>1540000</v>
      </c>
      <c r="P181" s="5" t="n">
        <v>1540000</v>
      </c>
      <c r="R181" s="6"/>
      <c r="S181" s="6"/>
      <c r="T181" s="6"/>
      <c r="U181" s="6"/>
      <c r="V181" s="6"/>
      <c r="W181" s="6"/>
      <c r="X181" s="128" t="n">
        <f aca="false">SUM(S181:W181)</f>
        <v>0</v>
      </c>
      <c r="Y181" s="6"/>
      <c r="Z181" s="6"/>
      <c r="AA181" s="6"/>
      <c r="AB181" s="6"/>
      <c r="AC181" s="128" t="n">
        <f aca="false">SUM(Y181:AB181)</f>
        <v>0</v>
      </c>
      <c r="AD181" s="6"/>
      <c r="AE181" s="6"/>
      <c r="AF181" s="6"/>
      <c r="AG181" s="6"/>
      <c r="AH181" s="6"/>
      <c r="AI181" s="128" t="n">
        <f aca="false">SUM(AD181:AH181)</f>
        <v>0</v>
      </c>
      <c r="AJ181" s="6"/>
      <c r="AK181" s="129"/>
      <c r="AL181" s="6"/>
      <c r="AM181" s="6"/>
      <c r="AN181" s="6"/>
      <c r="AO181" s="6"/>
      <c r="AP181" s="128" t="n">
        <f aca="false">SUM(AJ181:AO181)</f>
        <v>0</v>
      </c>
      <c r="AQ181" s="6"/>
      <c r="AR181" s="6"/>
      <c r="AS181" s="6"/>
      <c r="AT181" s="6"/>
      <c r="AU181" s="6"/>
      <c r="AV181" s="6" t="n">
        <v>1540000</v>
      </c>
      <c r="AW181" s="6"/>
      <c r="AX181" s="128" t="n">
        <f aca="false">SUM(AQ181:AW181)</f>
        <v>1540000</v>
      </c>
      <c r="AY181" s="6"/>
      <c r="AZ181" s="6"/>
      <c r="BA181" s="6"/>
      <c r="BB181" s="6"/>
      <c r="BC181" s="6"/>
      <c r="BD181" s="128" t="n">
        <f aca="false">SUM(AY181:BC181)</f>
        <v>0</v>
      </c>
      <c r="BE181" s="130"/>
      <c r="BF181" s="6" t="n">
        <f aca="false">AC181+X181+AI181+AP181+AX181+BD181</f>
        <v>1540000</v>
      </c>
      <c r="BG181" s="131" t="n">
        <f aca="false">+N181-BF181</f>
        <v>0</v>
      </c>
    </row>
    <row r="182" customFormat="false" ht="12.75" hidden="false" customHeight="false" outlineLevel="0" collapsed="false">
      <c r="A182" s="58" t="n">
        <v>121</v>
      </c>
      <c r="C182" s="1" t="n">
        <v>45811</v>
      </c>
      <c r="E182" s="2" t="s">
        <v>674</v>
      </c>
      <c r="F182" s="2" t="s">
        <v>675</v>
      </c>
      <c r="G182" s="2" t="s">
        <v>677</v>
      </c>
      <c r="I182" s="1" t="s">
        <v>678</v>
      </c>
      <c r="J182" s="59" t="s">
        <v>1032</v>
      </c>
      <c r="K182" s="59" t="s">
        <v>871</v>
      </c>
      <c r="L182" s="5" t="n">
        <v>1000000</v>
      </c>
      <c r="N182" s="5" t="n">
        <v>1000000</v>
      </c>
      <c r="P182" s="5" t="n">
        <v>1000000</v>
      </c>
      <c r="R182" s="6"/>
      <c r="S182" s="6"/>
      <c r="T182" s="6"/>
      <c r="U182" s="6"/>
      <c r="V182" s="6"/>
      <c r="W182" s="6"/>
      <c r="X182" s="128" t="n">
        <f aca="false">SUM(S182:W182)</f>
        <v>0</v>
      </c>
      <c r="Y182" s="6"/>
      <c r="Z182" s="6"/>
      <c r="AA182" s="6"/>
      <c r="AB182" s="6"/>
      <c r="AC182" s="128" t="n">
        <f aca="false">SUM(Y182:AB182)</f>
        <v>0</v>
      </c>
      <c r="AD182" s="6"/>
      <c r="AE182" s="6"/>
      <c r="AF182" s="6"/>
      <c r="AG182" s="6"/>
      <c r="AH182" s="6"/>
      <c r="AI182" s="128" t="n">
        <f aca="false">SUM(AD182:AH182)</f>
        <v>0</v>
      </c>
      <c r="AJ182" s="6"/>
      <c r="AK182" s="129"/>
      <c r="AL182" s="6"/>
      <c r="AM182" s="6"/>
      <c r="AN182" s="6"/>
      <c r="AO182" s="6"/>
      <c r="AP182" s="128" t="n">
        <f aca="false">SUM(AJ182:AO182)</f>
        <v>0</v>
      </c>
      <c r="AQ182" s="6"/>
      <c r="AR182" s="6"/>
      <c r="AS182" s="6"/>
      <c r="AT182" s="6"/>
      <c r="AU182" s="6"/>
      <c r="AV182" s="6" t="n">
        <v>300000</v>
      </c>
      <c r="AW182" s="6" t="n">
        <v>50000</v>
      </c>
      <c r="AX182" s="128" t="n">
        <f aca="false">SUM(AQ182:AW182)</f>
        <v>350000</v>
      </c>
      <c r="AY182" s="6" t="n">
        <v>150000</v>
      </c>
      <c r="AZ182" s="6"/>
      <c r="BA182" s="6"/>
      <c r="BB182" s="6"/>
      <c r="BC182" s="6"/>
      <c r="BD182" s="128" t="n">
        <f aca="false">SUM(AY182:BC182)</f>
        <v>150000</v>
      </c>
      <c r="BE182" s="130"/>
      <c r="BF182" s="6" t="n">
        <f aca="false">AC182+X182+AI182+AP182+AX182+BD182</f>
        <v>500000</v>
      </c>
      <c r="BG182" s="131" t="n">
        <f aca="false">+N182-BF182</f>
        <v>500000</v>
      </c>
    </row>
    <row r="183" customFormat="false" ht="12.75" hidden="false" customHeight="false" outlineLevel="0" collapsed="false">
      <c r="A183" s="58" t="n">
        <v>122</v>
      </c>
      <c r="C183" s="1" t="n">
        <v>45833</v>
      </c>
      <c r="E183" s="2" t="s">
        <v>679</v>
      </c>
      <c r="F183" s="2" t="s">
        <v>680</v>
      </c>
      <c r="G183" s="2" t="s">
        <v>682</v>
      </c>
      <c r="I183" s="1" t="s">
        <v>683</v>
      </c>
      <c r="J183" s="59" t="s">
        <v>1033</v>
      </c>
      <c r="K183" s="59" t="s">
        <v>871</v>
      </c>
      <c r="L183" s="5" t="n">
        <v>1000000</v>
      </c>
      <c r="N183" s="5" t="n">
        <v>1000000</v>
      </c>
      <c r="P183" s="5" t="n">
        <v>1000000</v>
      </c>
      <c r="R183" s="6"/>
      <c r="S183" s="6"/>
      <c r="T183" s="6"/>
      <c r="U183" s="6"/>
      <c r="V183" s="6"/>
      <c r="W183" s="6"/>
      <c r="X183" s="128" t="n">
        <f aca="false">SUM(S183:W183)</f>
        <v>0</v>
      </c>
      <c r="Y183" s="6"/>
      <c r="Z183" s="6"/>
      <c r="AA183" s="6"/>
      <c r="AB183" s="6"/>
      <c r="AC183" s="128" t="n">
        <f aca="false">SUM(Y183:AB183)</f>
        <v>0</v>
      </c>
      <c r="AD183" s="6"/>
      <c r="AE183" s="6"/>
      <c r="AF183" s="6"/>
      <c r="AG183" s="6"/>
      <c r="AH183" s="6"/>
      <c r="AI183" s="128" t="n">
        <f aca="false">SUM(AD183:AH183)</f>
        <v>0</v>
      </c>
      <c r="AJ183" s="6"/>
      <c r="AK183" s="129"/>
      <c r="AL183" s="6"/>
      <c r="AM183" s="6"/>
      <c r="AN183" s="6"/>
      <c r="AO183" s="6"/>
      <c r="AP183" s="128" t="n">
        <f aca="false">SUM(AJ183:AO183)</f>
        <v>0</v>
      </c>
      <c r="AQ183" s="6"/>
      <c r="AR183" s="6"/>
      <c r="AS183" s="6"/>
      <c r="AT183" s="6"/>
      <c r="AU183" s="6"/>
      <c r="AV183" s="6" t="n">
        <v>300000</v>
      </c>
      <c r="AW183" s="6"/>
      <c r="AX183" s="128" t="n">
        <f aca="false">SUM(AQ183:AW183)</f>
        <v>300000</v>
      </c>
      <c r="AY183" s="6" t="n">
        <v>250000</v>
      </c>
      <c r="AZ183" s="6"/>
      <c r="BA183" s="6"/>
      <c r="BB183" s="6"/>
      <c r="BC183" s="6"/>
      <c r="BD183" s="128" t="n">
        <f aca="false">SUM(AY183:BC183)</f>
        <v>250000</v>
      </c>
      <c r="BE183" s="130"/>
      <c r="BF183" s="6" t="n">
        <f aca="false">AC183+X183+AI183+AP183+AX183+BD183</f>
        <v>550000</v>
      </c>
      <c r="BG183" s="131" t="n">
        <f aca="false">+N183-BF183</f>
        <v>450000</v>
      </c>
    </row>
    <row r="184" customFormat="false" ht="12.75" hidden="false" customHeight="false" outlineLevel="0" collapsed="false">
      <c r="A184" s="58" t="n">
        <v>123</v>
      </c>
      <c r="C184" s="1" t="n">
        <v>45852</v>
      </c>
      <c r="E184" s="2" t="s">
        <v>684</v>
      </c>
      <c r="F184" s="2" t="s">
        <v>685</v>
      </c>
      <c r="G184" s="2" t="s">
        <v>687</v>
      </c>
      <c r="I184" s="1" t="s">
        <v>688</v>
      </c>
      <c r="J184" s="59" t="s">
        <v>1034</v>
      </c>
      <c r="K184" s="59" t="s">
        <v>923</v>
      </c>
      <c r="L184" s="5" t="n">
        <v>233280</v>
      </c>
      <c r="N184" s="5" t="n">
        <v>233280</v>
      </c>
      <c r="P184" s="5" t="n">
        <v>233280</v>
      </c>
      <c r="R184" s="6"/>
      <c r="S184" s="6"/>
      <c r="T184" s="6"/>
      <c r="U184" s="6"/>
      <c r="V184" s="6"/>
      <c r="W184" s="6"/>
      <c r="X184" s="128" t="n">
        <f aca="false">SUM(S184:W184)</f>
        <v>0</v>
      </c>
      <c r="Y184" s="6"/>
      <c r="Z184" s="6"/>
      <c r="AA184" s="6"/>
      <c r="AB184" s="6"/>
      <c r="AC184" s="128" t="n">
        <f aca="false">SUM(Y184:AB184)</f>
        <v>0</v>
      </c>
      <c r="AD184" s="6"/>
      <c r="AE184" s="6"/>
      <c r="AF184" s="6"/>
      <c r="AG184" s="6"/>
      <c r="AH184" s="6"/>
      <c r="AI184" s="128" t="n">
        <f aca="false">SUM(AD184:AH184)</f>
        <v>0</v>
      </c>
      <c r="AJ184" s="6"/>
      <c r="AK184" s="129"/>
      <c r="AL184" s="6"/>
      <c r="AM184" s="6"/>
      <c r="AN184" s="6"/>
      <c r="AO184" s="6"/>
      <c r="AP184" s="128" t="n">
        <f aca="false">SUM(AJ184:AO184)</f>
        <v>0</v>
      </c>
      <c r="AQ184" s="6"/>
      <c r="AR184" s="6"/>
      <c r="AS184" s="6"/>
      <c r="AT184" s="6"/>
      <c r="AU184" s="6"/>
      <c r="AV184" s="6" t="n">
        <v>233280</v>
      </c>
      <c r="AW184" s="6"/>
      <c r="AX184" s="128" t="n">
        <f aca="false">SUM(AQ184:AW184)</f>
        <v>233280</v>
      </c>
      <c r="AY184" s="6"/>
      <c r="AZ184" s="6"/>
      <c r="BA184" s="6"/>
      <c r="BB184" s="6"/>
      <c r="BC184" s="6"/>
      <c r="BD184" s="128" t="n">
        <f aca="false">SUM(AY184:BC184)</f>
        <v>0</v>
      </c>
      <c r="BE184" s="130"/>
      <c r="BF184" s="6" t="n">
        <f aca="false">AC184+X184+AI184+AP184+AX184+BD184</f>
        <v>233280</v>
      </c>
      <c r="BG184" s="131" t="n">
        <f aca="false">+N184-BF184</f>
        <v>0</v>
      </c>
    </row>
    <row r="185" customFormat="false" ht="12.75" hidden="false" customHeight="false" outlineLevel="0" collapsed="false">
      <c r="A185" s="58" t="n">
        <v>124</v>
      </c>
      <c r="C185" s="1" t="n">
        <v>45882</v>
      </c>
      <c r="E185" s="2" t="s">
        <v>689</v>
      </c>
      <c r="F185" s="2" t="s">
        <v>690</v>
      </c>
      <c r="G185" s="2" t="s">
        <v>692</v>
      </c>
      <c r="I185" s="1" t="s">
        <v>693</v>
      </c>
      <c r="J185" s="59" t="s">
        <v>1035</v>
      </c>
      <c r="K185" s="59" t="s">
        <v>865</v>
      </c>
      <c r="L185" s="5" t="n">
        <v>13237.86</v>
      </c>
      <c r="N185" s="5" t="n">
        <v>13237.86</v>
      </c>
      <c r="P185" s="5" t="n">
        <v>13237.86</v>
      </c>
      <c r="R185" s="6"/>
      <c r="S185" s="6"/>
      <c r="T185" s="6"/>
      <c r="U185" s="6"/>
      <c r="V185" s="6"/>
      <c r="W185" s="6"/>
      <c r="X185" s="128" t="n">
        <f aca="false">SUM(S185:W185)</f>
        <v>0</v>
      </c>
      <c r="Y185" s="6"/>
      <c r="Z185" s="6"/>
      <c r="AA185" s="6"/>
      <c r="AB185" s="6"/>
      <c r="AC185" s="128" t="n">
        <f aca="false">SUM(Y185:AB185)</f>
        <v>0</v>
      </c>
      <c r="AD185" s="6"/>
      <c r="AE185" s="6"/>
      <c r="AF185" s="6"/>
      <c r="AG185" s="6"/>
      <c r="AH185" s="6"/>
      <c r="AI185" s="128" t="n">
        <f aca="false">SUM(AD185:AH185)</f>
        <v>0</v>
      </c>
      <c r="AJ185" s="6"/>
      <c r="AK185" s="129"/>
      <c r="AL185" s="6"/>
      <c r="AM185" s="6"/>
      <c r="AN185" s="6"/>
      <c r="AO185" s="6"/>
      <c r="AP185" s="128" t="n">
        <f aca="false">SUM(AJ185:AO185)</f>
        <v>0</v>
      </c>
      <c r="AQ185" s="6"/>
      <c r="AR185" s="6"/>
      <c r="AS185" s="6"/>
      <c r="AT185" s="6"/>
      <c r="AU185" s="6"/>
      <c r="AV185" s="6"/>
      <c r="AW185" s="6" t="n">
        <v>13237.86</v>
      </c>
      <c r="AX185" s="128" t="n">
        <f aca="false">SUM(AQ185:AW185)</f>
        <v>13237.86</v>
      </c>
      <c r="AY185" s="6"/>
      <c r="AZ185" s="6"/>
      <c r="BA185" s="6"/>
      <c r="BB185" s="6"/>
      <c r="BC185" s="6"/>
      <c r="BD185" s="128" t="n">
        <f aca="false">SUM(AY185:BC185)</f>
        <v>0</v>
      </c>
      <c r="BE185" s="130"/>
      <c r="BF185" s="6" t="n">
        <f aca="false">AC185+X185+AI185+AP185+AX185+BD185</f>
        <v>13237.86</v>
      </c>
      <c r="BG185" s="131" t="n">
        <f aca="false">+N185-BF185</f>
        <v>0</v>
      </c>
    </row>
    <row r="186" customFormat="false" ht="12.75" hidden="false" customHeight="false" outlineLevel="0" collapsed="false">
      <c r="A186" s="58" t="n">
        <v>124</v>
      </c>
      <c r="C186" s="1" t="n">
        <v>45882</v>
      </c>
      <c r="E186" s="2" t="s">
        <v>689</v>
      </c>
      <c r="F186" s="2" t="s">
        <v>690</v>
      </c>
      <c r="G186" s="2" t="s">
        <v>692</v>
      </c>
      <c r="I186" s="1" t="s">
        <v>693</v>
      </c>
      <c r="J186" s="59" t="s">
        <v>1036</v>
      </c>
      <c r="K186" s="59" t="s">
        <v>865</v>
      </c>
      <c r="L186" s="5" t="n">
        <v>36762.14</v>
      </c>
      <c r="N186" s="5" t="n">
        <v>36762.14</v>
      </c>
      <c r="P186" s="5" t="n">
        <v>36762.14</v>
      </c>
      <c r="R186" s="6"/>
      <c r="S186" s="6"/>
      <c r="T186" s="6"/>
      <c r="U186" s="6"/>
      <c r="V186" s="6"/>
      <c r="W186" s="6"/>
      <c r="X186" s="128" t="n">
        <f aca="false">SUM(S186:W186)</f>
        <v>0</v>
      </c>
      <c r="Y186" s="6"/>
      <c r="Z186" s="6"/>
      <c r="AA186" s="6"/>
      <c r="AB186" s="6"/>
      <c r="AC186" s="128" t="n">
        <f aca="false">SUM(Y186:AB186)</f>
        <v>0</v>
      </c>
      <c r="AD186" s="6"/>
      <c r="AE186" s="6"/>
      <c r="AF186" s="6"/>
      <c r="AG186" s="6"/>
      <c r="AH186" s="6"/>
      <c r="AI186" s="128" t="n">
        <f aca="false">SUM(AD186:AH186)</f>
        <v>0</v>
      </c>
      <c r="AJ186" s="6"/>
      <c r="AK186" s="129"/>
      <c r="AL186" s="6"/>
      <c r="AM186" s="6"/>
      <c r="AN186" s="6"/>
      <c r="AO186" s="6"/>
      <c r="AP186" s="128" t="n">
        <f aca="false">SUM(AJ186:AO186)</f>
        <v>0</v>
      </c>
      <c r="AQ186" s="6"/>
      <c r="AR186" s="6"/>
      <c r="AS186" s="6"/>
      <c r="AT186" s="6"/>
      <c r="AU186" s="6"/>
      <c r="AV186" s="6"/>
      <c r="AW186" s="6" t="n">
        <v>36762.14</v>
      </c>
      <c r="AX186" s="128" t="n">
        <f aca="false">SUM(AQ186:AW186)</f>
        <v>36762.14</v>
      </c>
      <c r="AY186" s="6"/>
      <c r="AZ186" s="6"/>
      <c r="BA186" s="6"/>
      <c r="BB186" s="6"/>
      <c r="BC186" s="6"/>
      <c r="BD186" s="128" t="n">
        <f aca="false">SUM(AY186:BC186)</f>
        <v>0</v>
      </c>
      <c r="BE186" s="130"/>
      <c r="BF186" s="6" t="n">
        <f aca="false">AC186+X186+AI186+AP186+AX186+BD186</f>
        <v>36762.14</v>
      </c>
      <c r="BG186" s="131" t="n">
        <f aca="false">+N186-BF186</f>
        <v>0</v>
      </c>
    </row>
    <row r="187" customFormat="false" ht="12.75" hidden="false" customHeight="false" outlineLevel="0" collapsed="false">
      <c r="A187" s="58" t="n">
        <v>125</v>
      </c>
      <c r="C187" s="1" t="n">
        <v>45883</v>
      </c>
      <c r="E187" s="2" t="s">
        <v>694</v>
      </c>
      <c r="F187" s="2" t="s">
        <v>695</v>
      </c>
      <c r="G187" s="2" t="s">
        <v>697</v>
      </c>
      <c r="I187" s="1" t="s">
        <v>698</v>
      </c>
      <c r="J187" s="59" t="s">
        <v>1037</v>
      </c>
      <c r="K187" s="59" t="s">
        <v>862</v>
      </c>
      <c r="L187" s="5" t="n">
        <v>1479870</v>
      </c>
      <c r="N187" s="5" t="n">
        <v>1479870</v>
      </c>
      <c r="P187" s="5" t="n">
        <v>1479870</v>
      </c>
      <c r="R187" s="6"/>
      <c r="S187" s="6"/>
      <c r="T187" s="6"/>
      <c r="U187" s="6"/>
      <c r="V187" s="6"/>
      <c r="W187" s="6"/>
      <c r="X187" s="128" t="n">
        <f aca="false">SUM(S187:W187)</f>
        <v>0</v>
      </c>
      <c r="Y187" s="6"/>
      <c r="Z187" s="6"/>
      <c r="AA187" s="6"/>
      <c r="AB187" s="6"/>
      <c r="AC187" s="128" t="n">
        <f aca="false">SUM(Y187:AB187)</f>
        <v>0</v>
      </c>
      <c r="AD187" s="6"/>
      <c r="AE187" s="6"/>
      <c r="AF187" s="6"/>
      <c r="AG187" s="6"/>
      <c r="AH187" s="6"/>
      <c r="AI187" s="128" t="n">
        <f aca="false">SUM(AD187:AH187)</f>
        <v>0</v>
      </c>
      <c r="AJ187" s="6"/>
      <c r="AK187" s="129"/>
      <c r="AL187" s="6"/>
      <c r="AM187" s="6"/>
      <c r="AN187" s="6"/>
      <c r="AO187" s="6"/>
      <c r="AP187" s="128" t="n">
        <f aca="false">SUM(AJ187:AO187)</f>
        <v>0</v>
      </c>
      <c r="AQ187" s="6"/>
      <c r="AR187" s="6"/>
      <c r="AS187" s="6"/>
      <c r="AT187" s="6"/>
      <c r="AU187" s="6"/>
      <c r="AV187" s="6"/>
      <c r="AW187" s="6" t="n">
        <v>325000</v>
      </c>
      <c r="AX187" s="128" t="n">
        <f aca="false">SUM(AQ187:AW187)</f>
        <v>325000</v>
      </c>
      <c r="AY187" s="6" t="n">
        <v>250000</v>
      </c>
      <c r="AZ187" s="6"/>
      <c r="BA187" s="6"/>
      <c r="BB187" s="6"/>
      <c r="BC187" s="6"/>
      <c r="BD187" s="128" t="n">
        <f aca="false">SUM(AY187:BC187)</f>
        <v>250000</v>
      </c>
      <c r="BE187" s="130"/>
      <c r="BF187" s="6" t="n">
        <f aca="false">AC187+X187+AI187+AP187+AX187+BD187</f>
        <v>575000</v>
      </c>
      <c r="BG187" s="131" t="n">
        <f aca="false">+N187-BF187</f>
        <v>904870</v>
      </c>
    </row>
    <row r="188" customFormat="false" ht="12.75" hidden="false" customHeight="false" outlineLevel="0" collapsed="false">
      <c r="A188" s="58" t="n">
        <v>126</v>
      </c>
      <c r="C188" s="1" t="n">
        <v>45894</v>
      </c>
      <c r="E188" s="2" t="s">
        <v>699</v>
      </c>
      <c r="F188" s="2" t="s">
        <v>700</v>
      </c>
      <c r="G188" s="2" t="s">
        <v>702</v>
      </c>
      <c r="I188" s="1" t="s">
        <v>703</v>
      </c>
      <c r="J188" s="59" t="s">
        <v>1038</v>
      </c>
      <c r="K188" s="59" t="s">
        <v>871</v>
      </c>
      <c r="L188" s="5" t="n">
        <v>1600000</v>
      </c>
      <c r="N188" s="192" t="n">
        <v>135253</v>
      </c>
      <c r="P188" s="5" t="n">
        <v>135253</v>
      </c>
      <c r="R188" s="6"/>
      <c r="S188" s="6"/>
      <c r="T188" s="6"/>
      <c r="U188" s="6"/>
      <c r="V188" s="6"/>
      <c r="W188" s="6"/>
      <c r="X188" s="128" t="n">
        <f aca="false">SUM(S188:W188)</f>
        <v>0</v>
      </c>
      <c r="Y188" s="6"/>
      <c r="Z188" s="6"/>
      <c r="AA188" s="6"/>
      <c r="AB188" s="6"/>
      <c r="AC188" s="128" t="n">
        <f aca="false">SUM(Y188:AB188)</f>
        <v>0</v>
      </c>
      <c r="AD188" s="6"/>
      <c r="AE188" s="6"/>
      <c r="AF188" s="6"/>
      <c r="AG188" s="6"/>
      <c r="AH188" s="6"/>
      <c r="AI188" s="128" t="n">
        <f aca="false">SUM(AD188:AH188)</f>
        <v>0</v>
      </c>
      <c r="AJ188" s="6"/>
      <c r="AK188" s="129"/>
      <c r="AL188" s="6"/>
      <c r="AM188" s="6"/>
      <c r="AN188" s="6"/>
      <c r="AO188" s="6"/>
      <c r="AP188" s="128" t="n">
        <f aca="false">SUM(AJ188:AO188)</f>
        <v>0</v>
      </c>
      <c r="AQ188" s="6"/>
      <c r="AR188" s="6"/>
      <c r="AS188" s="6"/>
      <c r="AT188" s="6"/>
      <c r="AU188" s="6"/>
      <c r="AV188" s="6"/>
      <c r="AW188" s="6" t="n">
        <v>135253</v>
      </c>
      <c r="AX188" s="128" t="n">
        <f aca="false">SUM(AQ188:AW188)</f>
        <v>135253</v>
      </c>
      <c r="AY188" s="6"/>
      <c r="AZ188" s="6"/>
      <c r="BA188" s="6"/>
      <c r="BB188" s="6"/>
      <c r="BC188" s="6"/>
      <c r="BD188" s="128" t="n">
        <f aca="false">SUM(AY188:BC188)</f>
        <v>0</v>
      </c>
      <c r="BE188" s="130"/>
      <c r="BF188" s="6" t="n">
        <f aca="false">AC188+X188+AI188+AP188+AX188+BD188</f>
        <v>135253</v>
      </c>
      <c r="BG188" s="131" t="n">
        <f aca="false">+N188-BF188</f>
        <v>0</v>
      </c>
    </row>
    <row r="189" customFormat="false" ht="12.75" hidden="false" customHeight="false" outlineLevel="0" collapsed="false">
      <c r="A189" s="58" t="n">
        <v>126</v>
      </c>
      <c r="C189" s="1" t="n">
        <v>45992</v>
      </c>
      <c r="E189" s="2" t="s">
        <v>704</v>
      </c>
      <c r="F189" s="2" t="s">
        <v>700</v>
      </c>
      <c r="G189" s="2" t="s">
        <v>702</v>
      </c>
      <c r="I189" s="1" t="s">
        <v>703</v>
      </c>
      <c r="J189" s="59" t="s">
        <v>1039</v>
      </c>
      <c r="K189" s="59" t="s">
        <v>871</v>
      </c>
      <c r="N189" s="192" t="n">
        <v>600000</v>
      </c>
      <c r="P189" s="5" t="n">
        <v>600000</v>
      </c>
      <c r="R189" s="6"/>
      <c r="S189" s="6"/>
      <c r="T189" s="6"/>
      <c r="U189" s="6"/>
      <c r="V189" s="6"/>
      <c r="W189" s="6"/>
      <c r="X189" s="128" t="n">
        <f aca="false">SUM(S189:W189)</f>
        <v>0</v>
      </c>
      <c r="Y189" s="6"/>
      <c r="Z189" s="6"/>
      <c r="AA189" s="6"/>
      <c r="AB189" s="6"/>
      <c r="AC189" s="128" t="n">
        <f aca="false">SUM(Y189:AB189)</f>
        <v>0</v>
      </c>
      <c r="AD189" s="6"/>
      <c r="AE189" s="6"/>
      <c r="AF189" s="6"/>
      <c r="AG189" s="6"/>
      <c r="AH189" s="6"/>
      <c r="AI189" s="128" t="n">
        <f aca="false">SUM(AD189:AH189)</f>
        <v>0</v>
      </c>
      <c r="AJ189" s="6"/>
      <c r="AK189" s="129"/>
      <c r="AL189" s="6"/>
      <c r="AM189" s="6"/>
      <c r="AN189" s="6"/>
      <c r="AO189" s="6"/>
      <c r="AP189" s="128" t="n">
        <f aca="false">SUM(AJ189:AO189)</f>
        <v>0</v>
      </c>
      <c r="AQ189" s="6"/>
      <c r="AR189" s="6"/>
      <c r="AS189" s="6"/>
      <c r="AT189" s="6"/>
      <c r="AU189" s="6"/>
      <c r="AV189" s="6"/>
      <c r="AW189" s="6"/>
      <c r="AX189" s="128" t="n">
        <f aca="false">SUM(AQ189:AW189)</f>
        <v>0</v>
      </c>
      <c r="AY189" s="6" t="n">
        <v>600000</v>
      </c>
      <c r="AZ189" s="6"/>
      <c r="BA189" s="6"/>
      <c r="BB189" s="6"/>
      <c r="BC189" s="6"/>
      <c r="BD189" s="128" t="n">
        <f aca="false">SUM(AY189:BC189)</f>
        <v>600000</v>
      </c>
      <c r="BE189" s="130"/>
      <c r="BF189" s="6" t="n">
        <f aca="false">AC189+X189+AI189+AP189+AX189+BD189</f>
        <v>600000</v>
      </c>
      <c r="BG189" s="131" t="n">
        <f aca="false">+N189-BF189</f>
        <v>0</v>
      </c>
    </row>
    <row r="190" customFormat="false" ht="12.75" hidden="false" customHeight="false" outlineLevel="0" collapsed="false">
      <c r="A190" s="58" t="n">
        <v>127</v>
      </c>
      <c r="C190" s="1" t="n">
        <v>45916</v>
      </c>
      <c r="E190" s="2" t="s">
        <v>705</v>
      </c>
      <c r="F190" s="2" t="s">
        <v>706</v>
      </c>
      <c r="G190" s="2" t="s">
        <v>708</v>
      </c>
      <c r="I190" s="1" t="s">
        <v>709</v>
      </c>
      <c r="J190" s="59" t="s">
        <v>1040</v>
      </c>
      <c r="K190" s="59" t="s">
        <v>862</v>
      </c>
      <c r="L190" s="5" t="n">
        <v>1780616.24</v>
      </c>
      <c r="N190" s="5" t="n">
        <v>1780616.24</v>
      </c>
      <c r="P190" s="5" t="n">
        <v>1780616.24</v>
      </c>
      <c r="R190" s="6"/>
      <c r="S190" s="6"/>
      <c r="T190" s="6"/>
      <c r="U190" s="6"/>
      <c r="V190" s="6"/>
      <c r="W190" s="6"/>
      <c r="X190" s="128" t="n">
        <f aca="false">SUM(S190:W190)</f>
        <v>0</v>
      </c>
      <c r="Y190" s="6"/>
      <c r="Z190" s="6"/>
      <c r="AA190" s="6"/>
      <c r="AB190" s="6"/>
      <c r="AC190" s="128" t="n">
        <f aca="false">SUM(Y190:AB190)</f>
        <v>0</v>
      </c>
      <c r="AD190" s="6"/>
      <c r="AE190" s="6"/>
      <c r="AF190" s="6"/>
      <c r="AG190" s="6"/>
      <c r="AH190" s="6"/>
      <c r="AI190" s="128" t="n">
        <f aca="false">SUM(AD190:AH190)</f>
        <v>0</v>
      </c>
      <c r="AJ190" s="6"/>
      <c r="AK190" s="129"/>
      <c r="AL190" s="6"/>
      <c r="AM190" s="6"/>
      <c r="AN190" s="6"/>
      <c r="AO190" s="6"/>
      <c r="AP190" s="128" t="n">
        <f aca="false">SUM(AJ190:AO190)</f>
        <v>0</v>
      </c>
      <c r="AQ190" s="6"/>
      <c r="AR190" s="6"/>
      <c r="AS190" s="6"/>
      <c r="AT190" s="6"/>
      <c r="AU190" s="6"/>
      <c r="AV190" s="6"/>
      <c r="AW190" s="6" t="n">
        <v>1500000</v>
      </c>
      <c r="AX190" s="128" t="n">
        <f aca="false">SUM(AQ190:AW190)</f>
        <v>1500000</v>
      </c>
      <c r="AY190" s="6" t="n">
        <v>280616.24</v>
      </c>
      <c r="AZ190" s="6"/>
      <c r="BA190" s="6"/>
      <c r="BB190" s="6"/>
      <c r="BC190" s="6"/>
      <c r="BD190" s="128" t="n">
        <f aca="false">SUM(AY190:BC190)</f>
        <v>280616.24</v>
      </c>
      <c r="BE190" s="130"/>
      <c r="BF190" s="6" t="n">
        <f aca="false">AC190+X190+AI190+AP190+AX190+BD190</f>
        <v>1780616.24</v>
      </c>
      <c r="BG190" s="131" t="n">
        <f aca="false">+N190-BF190</f>
        <v>0</v>
      </c>
    </row>
    <row r="191" customFormat="false" ht="12.75" hidden="false" customHeight="false" outlineLevel="0" collapsed="false">
      <c r="A191" s="58" t="n">
        <v>127</v>
      </c>
      <c r="C191" s="1" t="n">
        <v>45916</v>
      </c>
      <c r="E191" s="2" t="s">
        <v>705</v>
      </c>
      <c r="F191" s="2" t="s">
        <v>706</v>
      </c>
      <c r="G191" s="2" t="s">
        <v>708</v>
      </c>
      <c r="I191" s="1" t="s">
        <v>709</v>
      </c>
      <c r="J191" s="59" t="s">
        <v>1041</v>
      </c>
      <c r="K191" s="59" t="s">
        <v>862</v>
      </c>
      <c r="L191" s="5" t="n">
        <v>2194233.76</v>
      </c>
      <c r="N191" s="5" t="n">
        <v>2194233.76</v>
      </c>
      <c r="P191" s="5" t="n">
        <v>2194233.76</v>
      </c>
      <c r="R191" s="6"/>
      <c r="S191" s="6"/>
      <c r="T191" s="6"/>
      <c r="U191" s="6"/>
      <c r="V191" s="6"/>
      <c r="W191" s="6"/>
      <c r="X191" s="128" t="n">
        <f aca="false">SUM(S191:W191)</f>
        <v>0</v>
      </c>
      <c r="Y191" s="6"/>
      <c r="Z191" s="6"/>
      <c r="AA191" s="6"/>
      <c r="AB191" s="6"/>
      <c r="AC191" s="128" t="n">
        <f aca="false">SUM(Y191:AB191)</f>
        <v>0</v>
      </c>
      <c r="AD191" s="6"/>
      <c r="AE191" s="6"/>
      <c r="AF191" s="6"/>
      <c r="AG191" s="6"/>
      <c r="AH191" s="6"/>
      <c r="AI191" s="128" t="n">
        <f aca="false">SUM(AD191:AH191)</f>
        <v>0</v>
      </c>
      <c r="AJ191" s="6"/>
      <c r="AK191" s="129"/>
      <c r="AL191" s="6"/>
      <c r="AM191" s="6"/>
      <c r="AN191" s="6"/>
      <c r="AO191" s="6"/>
      <c r="AP191" s="128" t="n">
        <f aca="false">SUM(AJ191:AO191)</f>
        <v>0</v>
      </c>
      <c r="AQ191" s="6"/>
      <c r="AR191" s="6"/>
      <c r="AS191" s="6"/>
      <c r="AT191" s="6"/>
      <c r="AU191" s="6"/>
      <c r="AV191" s="6"/>
      <c r="AW191" s="6"/>
      <c r="AX191" s="128" t="n">
        <f aca="false">SUM(AQ191:AW191)</f>
        <v>0</v>
      </c>
      <c r="AY191" s="6" t="n">
        <v>600000</v>
      </c>
      <c r="AZ191" s="6"/>
      <c r="BA191" s="6"/>
      <c r="BB191" s="6"/>
      <c r="BC191" s="6"/>
      <c r="BD191" s="128" t="n">
        <f aca="false">SUM(AY191:BC191)</f>
        <v>600000</v>
      </c>
      <c r="BE191" s="130"/>
      <c r="BF191" s="6" t="n">
        <f aca="false">AC191+X191+AI191+AP191+AX191+BD191</f>
        <v>600000</v>
      </c>
      <c r="BG191" s="131" t="n">
        <f aca="false">+N191-BF191</f>
        <v>1594233.76</v>
      </c>
    </row>
    <row r="192" customFormat="false" ht="12.75" hidden="false" customHeight="false" outlineLevel="0" collapsed="false">
      <c r="A192" s="58" t="n">
        <v>128</v>
      </c>
      <c r="C192" s="1" t="n">
        <v>46003</v>
      </c>
      <c r="E192" s="2" t="s">
        <v>710</v>
      </c>
      <c r="F192" s="2" t="s">
        <v>711</v>
      </c>
      <c r="G192" s="2" t="s">
        <v>713</v>
      </c>
      <c r="I192" s="1" t="s">
        <v>714</v>
      </c>
      <c r="J192" s="59" t="s">
        <v>1042</v>
      </c>
      <c r="K192" s="59" t="s">
        <v>923</v>
      </c>
      <c r="L192" s="5" t="n">
        <v>2805000</v>
      </c>
      <c r="N192" s="5" t="n">
        <v>2805000</v>
      </c>
      <c r="P192" s="5" t="n">
        <v>2805000</v>
      </c>
      <c r="R192" s="6"/>
      <c r="S192" s="6"/>
      <c r="T192" s="6"/>
      <c r="U192" s="6"/>
      <c r="V192" s="6"/>
      <c r="W192" s="6"/>
      <c r="X192" s="128" t="n">
        <f aca="false">SUM(S192:W192)</f>
        <v>0</v>
      </c>
      <c r="Y192" s="6"/>
      <c r="Z192" s="6"/>
      <c r="AA192" s="6"/>
      <c r="AB192" s="6"/>
      <c r="AC192" s="128" t="n">
        <f aca="false">SUM(Y192:AB192)</f>
        <v>0</v>
      </c>
      <c r="AD192" s="6"/>
      <c r="AE192" s="6"/>
      <c r="AF192" s="6"/>
      <c r="AG192" s="6"/>
      <c r="AH192" s="6"/>
      <c r="AI192" s="128" t="n">
        <f aca="false">SUM(AD192:AH192)</f>
        <v>0</v>
      </c>
      <c r="AJ192" s="6"/>
      <c r="AK192" s="129"/>
      <c r="AL192" s="6"/>
      <c r="AM192" s="6"/>
      <c r="AN192" s="6"/>
      <c r="AO192" s="6"/>
      <c r="AP192" s="128" t="n">
        <f aca="false">SUM(AJ192:AO192)</f>
        <v>0</v>
      </c>
      <c r="AQ192" s="6"/>
      <c r="AR192" s="6"/>
      <c r="AS192" s="6"/>
      <c r="AT192" s="6"/>
      <c r="AU192" s="6"/>
      <c r="AV192" s="6"/>
      <c r="AW192" s="6"/>
      <c r="AX192" s="128" t="n">
        <f aca="false">SUM(AQ192:AW192)</f>
        <v>0</v>
      </c>
      <c r="AY192" s="6"/>
      <c r="AZ192" s="6"/>
      <c r="BA192" s="6"/>
      <c r="BB192" s="6"/>
      <c r="BC192" s="6"/>
      <c r="BD192" s="128" t="n">
        <f aca="false">SUM(AY192:BC192)</f>
        <v>0</v>
      </c>
      <c r="BE192" s="130"/>
      <c r="BF192" s="6" t="n">
        <f aca="false">AC192+X192+AI192+AP192+AX192+BD192</f>
        <v>0</v>
      </c>
      <c r="BG192" s="131" t="n">
        <f aca="false">+N192-BF192</f>
        <v>2805000</v>
      </c>
    </row>
    <row r="193" customFormat="false" ht="12.75" hidden="false" customHeight="false" outlineLevel="0" collapsed="false">
      <c r="A193" s="58" t="n">
        <v>129</v>
      </c>
      <c r="C193" s="1" t="n">
        <v>45924</v>
      </c>
      <c r="E193" s="2" t="s">
        <v>715</v>
      </c>
      <c r="F193" s="2" t="s">
        <v>716</v>
      </c>
      <c r="G193" s="2" t="s">
        <v>718</v>
      </c>
      <c r="I193" s="1" t="s">
        <v>719</v>
      </c>
      <c r="J193" s="59" t="s">
        <v>1043</v>
      </c>
      <c r="K193" s="59" t="s">
        <v>871</v>
      </c>
      <c r="L193" s="5" t="n">
        <v>1664288.27</v>
      </c>
      <c r="N193" s="5" t="n">
        <v>1664288.27</v>
      </c>
      <c r="P193" s="5" t="n">
        <v>1664288.27</v>
      </c>
      <c r="R193" s="6"/>
      <c r="S193" s="6"/>
      <c r="T193" s="6"/>
      <c r="U193" s="6"/>
      <c r="V193" s="6"/>
      <c r="W193" s="6"/>
      <c r="X193" s="128"/>
      <c r="Y193" s="6"/>
      <c r="Z193" s="6"/>
      <c r="AA193" s="6"/>
      <c r="AB193" s="6"/>
      <c r="AC193" s="128"/>
      <c r="AD193" s="6"/>
      <c r="AE193" s="6"/>
      <c r="AF193" s="6"/>
      <c r="AG193" s="6"/>
      <c r="AH193" s="6"/>
      <c r="AI193" s="128"/>
      <c r="AJ193" s="6"/>
      <c r="AK193" s="129"/>
      <c r="AL193" s="6"/>
      <c r="AM193" s="6"/>
      <c r="AN193" s="6"/>
      <c r="AO193" s="6"/>
      <c r="AP193" s="128"/>
      <c r="AQ193" s="6"/>
      <c r="AR193" s="6"/>
      <c r="AS193" s="6"/>
      <c r="AT193" s="6"/>
      <c r="AU193" s="6"/>
      <c r="AV193" s="6"/>
      <c r="AW193" s="6"/>
      <c r="AX193" s="128"/>
      <c r="AY193" s="6" t="n">
        <v>300000</v>
      </c>
      <c r="AZ193" s="6"/>
      <c r="BA193" s="6"/>
      <c r="BB193" s="6"/>
      <c r="BC193" s="6"/>
      <c r="BD193" s="128" t="n">
        <f aca="false">SUM(AY193:BC193)</f>
        <v>300000</v>
      </c>
      <c r="BE193" s="130"/>
      <c r="BF193" s="6" t="n">
        <f aca="false">AC193+X193+AI193+AP193+AX193+BD193</f>
        <v>300000</v>
      </c>
      <c r="BG193" s="131" t="n">
        <f aca="false">+N193-BF193</f>
        <v>1364288.27</v>
      </c>
    </row>
    <row r="194" customFormat="false" ht="12.75" hidden="false" customHeight="false" outlineLevel="0" collapsed="false">
      <c r="A194" s="58" t="n">
        <v>129</v>
      </c>
      <c r="C194" s="1" t="n">
        <v>45924</v>
      </c>
      <c r="E194" s="2" t="s">
        <v>715</v>
      </c>
      <c r="F194" s="2" t="s">
        <v>716</v>
      </c>
      <c r="G194" s="2" t="s">
        <v>718</v>
      </c>
      <c r="I194" s="1" t="s">
        <v>719</v>
      </c>
      <c r="J194" s="59" t="s">
        <v>1044</v>
      </c>
      <c r="K194" s="59" t="s">
        <v>871</v>
      </c>
      <c r="L194" s="5" t="n">
        <v>65046.88</v>
      </c>
      <c r="N194" s="5" t="n">
        <v>65046.88</v>
      </c>
      <c r="P194" s="5" t="n">
        <v>65046.88</v>
      </c>
      <c r="R194" s="6"/>
      <c r="S194" s="6"/>
      <c r="T194" s="6"/>
      <c r="U194" s="6"/>
      <c r="V194" s="6"/>
      <c r="W194" s="6"/>
      <c r="X194" s="128"/>
      <c r="Y194" s="6"/>
      <c r="Z194" s="6"/>
      <c r="AA194" s="6"/>
      <c r="AB194" s="6"/>
      <c r="AC194" s="128"/>
      <c r="AD194" s="6"/>
      <c r="AE194" s="6"/>
      <c r="AF194" s="6"/>
      <c r="AG194" s="6"/>
      <c r="AH194" s="6"/>
      <c r="AI194" s="128"/>
      <c r="AJ194" s="6"/>
      <c r="AK194" s="129"/>
      <c r="AL194" s="6"/>
      <c r="AM194" s="6"/>
      <c r="AN194" s="6"/>
      <c r="AO194" s="6"/>
      <c r="AP194" s="128"/>
      <c r="AQ194" s="6"/>
      <c r="AR194" s="6"/>
      <c r="AS194" s="6"/>
      <c r="AT194" s="6"/>
      <c r="AU194" s="6"/>
      <c r="AV194" s="6"/>
      <c r="AW194" s="6"/>
      <c r="AX194" s="128"/>
      <c r="AY194" s="6"/>
      <c r="AZ194" s="6"/>
      <c r="BA194" s="6"/>
      <c r="BB194" s="6"/>
      <c r="BC194" s="6"/>
      <c r="BD194" s="128" t="n">
        <f aca="false">SUM(AY194:BC194)</f>
        <v>0</v>
      </c>
      <c r="BE194" s="130"/>
      <c r="BF194" s="6" t="n">
        <f aca="false">AC194+X194+AI194+AP194+AX194+BD194</f>
        <v>0</v>
      </c>
      <c r="BG194" s="131" t="n">
        <f aca="false">+N194-BF194</f>
        <v>65046.88</v>
      </c>
    </row>
    <row r="195" customFormat="false" ht="12.75" hidden="false" customHeight="false" outlineLevel="0" collapsed="false">
      <c r="A195" s="58" t="n">
        <v>131</v>
      </c>
      <c r="C195" s="1" t="n">
        <v>46029</v>
      </c>
      <c r="E195" s="2" t="s">
        <v>720</v>
      </c>
      <c r="F195" s="2" t="s">
        <v>721</v>
      </c>
      <c r="G195" s="2" t="s">
        <v>723</v>
      </c>
      <c r="I195" s="1" t="s">
        <v>724</v>
      </c>
      <c r="J195" s="59" t="s">
        <v>1045</v>
      </c>
      <c r="K195" s="59" t="s">
        <v>862</v>
      </c>
      <c r="L195" s="5" t="n">
        <v>822150</v>
      </c>
      <c r="N195" s="5" t="n">
        <v>822150</v>
      </c>
      <c r="P195" s="5" t="n">
        <v>822150</v>
      </c>
      <c r="R195" s="6"/>
      <c r="S195" s="6"/>
      <c r="T195" s="6"/>
      <c r="U195" s="6"/>
      <c r="V195" s="6"/>
      <c r="W195" s="6"/>
      <c r="X195" s="128" t="n">
        <f aca="false">SUM(S195:W195)</f>
        <v>0</v>
      </c>
      <c r="Y195" s="6"/>
      <c r="Z195" s="6"/>
      <c r="AA195" s="6"/>
      <c r="AB195" s="6"/>
      <c r="AC195" s="128" t="n">
        <f aca="false">SUM(Y195:AB195)</f>
        <v>0</v>
      </c>
      <c r="AD195" s="6"/>
      <c r="AE195" s="6"/>
      <c r="AF195" s="6"/>
      <c r="AG195" s="6"/>
      <c r="AH195" s="6"/>
      <c r="AI195" s="128" t="n">
        <f aca="false">SUM(AD195:AH195)</f>
        <v>0</v>
      </c>
      <c r="AJ195" s="6"/>
      <c r="AK195" s="129"/>
      <c r="AL195" s="6"/>
      <c r="AM195" s="6"/>
      <c r="AN195" s="6"/>
      <c r="AO195" s="6"/>
      <c r="AP195" s="128" t="n">
        <f aca="false">SUM(AJ195:AO195)</f>
        <v>0</v>
      </c>
      <c r="AQ195" s="6"/>
      <c r="AR195" s="6"/>
      <c r="AS195" s="6"/>
      <c r="AT195" s="6"/>
      <c r="AU195" s="6"/>
      <c r="AV195" s="6"/>
      <c r="AW195" s="6"/>
      <c r="AX195" s="128" t="n">
        <f aca="false">SUM(AQ195:AW195)</f>
        <v>0</v>
      </c>
      <c r="AY195" s="6"/>
      <c r="AZ195" s="6"/>
      <c r="BA195" s="6"/>
      <c r="BB195" s="6"/>
      <c r="BC195" s="6"/>
      <c r="BD195" s="128" t="n">
        <f aca="false">SUM(AY195:BC195)</f>
        <v>0</v>
      </c>
      <c r="BE195" s="130"/>
      <c r="BF195" s="6" t="n">
        <f aca="false">AC195+X195+AI195+AP195+AX195+BD195</f>
        <v>0</v>
      </c>
      <c r="BG195" s="131" t="n">
        <f aca="false">+N195-BF195</f>
        <v>822150</v>
      </c>
    </row>
    <row r="196" customFormat="false" ht="12.75" hidden="false" customHeight="false" outlineLevel="0" collapsed="false">
      <c r="A196" s="58" t="n">
        <v>132</v>
      </c>
      <c r="C196" s="1" t="n">
        <v>46031</v>
      </c>
      <c r="E196" s="2" t="s">
        <v>725</v>
      </c>
      <c r="F196" s="2" t="s">
        <v>726</v>
      </c>
      <c r="G196" s="2" t="s">
        <v>728</v>
      </c>
      <c r="I196" s="1" t="s">
        <v>729</v>
      </c>
      <c r="J196" s="59" t="s">
        <v>1046</v>
      </c>
      <c r="K196" s="59" t="s">
        <v>862</v>
      </c>
      <c r="L196" s="5" t="n">
        <v>1479870</v>
      </c>
      <c r="N196" s="5" t="n">
        <v>1479870</v>
      </c>
      <c r="P196" s="5" t="n">
        <v>1479870</v>
      </c>
      <c r="R196" s="6"/>
      <c r="S196" s="6"/>
      <c r="T196" s="6"/>
      <c r="U196" s="6"/>
      <c r="V196" s="6"/>
      <c r="W196" s="6"/>
      <c r="X196" s="128" t="n">
        <f aca="false">SUM(S196:W196)</f>
        <v>0</v>
      </c>
      <c r="Y196" s="6"/>
      <c r="Z196" s="6"/>
      <c r="AA196" s="6"/>
      <c r="AB196" s="6"/>
      <c r="AC196" s="128" t="n">
        <f aca="false">SUM(Y196:AB196)</f>
        <v>0</v>
      </c>
      <c r="AD196" s="6"/>
      <c r="AE196" s="6"/>
      <c r="AF196" s="6"/>
      <c r="AG196" s="6"/>
      <c r="AH196" s="6"/>
      <c r="AI196" s="128" t="n">
        <f aca="false">SUM(AD196:AH196)</f>
        <v>0</v>
      </c>
      <c r="AJ196" s="6"/>
      <c r="AK196" s="129"/>
      <c r="AL196" s="6"/>
      <c r="AM196" s="6"/>
      <c r="AN196" s="6"/>
      <c r="AO196" s="6"/>
      <c r="AP196" s="128" t="n">
        <f aca="false">SUM(AJ196:AO196)</f>
        <v>0</v>
      </c>
      <c r="AQ196" s="6"/>
      <c r="AR196" s="6"/>
      <c r="AS196" s="6"/>
      <c r="AT196" s="6"/>
      <c r="AU196" s="6"/>
      <c r="AV196" s="6"/>
      <c r="AW196" s="6"/>
      <c r="AX196" s="128" t="n">
        <f aca="false">SUM(AQ196:AW196)</f>
        <v>0</v>
      </c>
      <c r="AY196" s="6"/>
      <c r="AZ196" s="6"/>
      <c r="BA196" s="6"/>
      <c r="BB196" s="6"/>
      <c r="BC196" s="6"/>
      <c r="BD196" s="128" t="n">
        <f aca="false">SUM(AY196:BC196)</f>
        <v>0</v>
      </c>
      <c r="BE196" s="130"/>
      <c r="BF196" s="6" t="n">
        <f aca="false">AC196+X196+AI196+AP196+AX196+BD196</f>
        <v>0</v>
      </c>
      <c r="BG196" s="131" t="n">
        <f aca="false">+N196-BF196</f>
        <v>1479870</v>
      </c>
    </row>
    <row r="197" customFormat="false" ht="12.75" hidden="false" customHeight="false" outlineLevel="0" collapsed="false">
      <c r="A197" s="58" t="n">
        <v>133</v>
      </c>
      <c r="C197" s="1" t="n">
        <v>46083</v>
      </c>
      <c r="E197" s="2" t="s">
        <v>730</v>
      </c>
      <c r="F197" s="2" t="s">
        <v>731</v>
      </c>
      <c r="G197" s="2" t="s">
        <v>733</v>
      </c>
      <c r="I197" s="1" t="s">
        <v>724</v>
      </c>
      <c r="J197" s="59" t="s">
        <v>1047</v>
      </c>
      <c r="K197" s="59"/>
      <c r="L197" s="5" t="n">
        <v>250000</v>
      </c>
      <c r="N197" s="5" t="n">
        <v>250000</v>
      </c>
      <c r="P197" s="5" t="n">
        <v>250000</v>
      </c>
      <c r="R197" s="6"/>
      <c r="S197" s="6"/>
      <c r="T197" s="6"/>
      <c r="U197" s="6"/>
      <c r="V197" s="6"/>
      <c r="W197" s="6"/>
      <c r="X197" s="128" t="n">
        <f aca="false">SUM(S197:W197)</f>
        <v>0</v>
      </c>
      <c r="Y197" s="6"/>
      <c r="Z197" s="6"/>
      <c r="AA197" s="6"/>
      <c r="AB197" s="6"/>
      <c r="AC197" s="128" t="n">
        <f aca="false">SUM(Y197:AB197)</f>
        <v>0</v>
      </c>
      <c r="AD197" s="6"/>
      <c r="AE197" s="6"/>
      <c r="AF197" s="6"/>
      <c r="AG197" s="6"/>
      <c r="AH197" s="6"/>
      <c r="AI197" s="128" t="n">
        <f aca="false">SUM(AD197:AH197)</f>
        <v>0</v>
      </c>
      <c r="AJ197" s="6"/>
      <c r="AK197" s="129"/>
      <c r="AL197" s="6"/>
      <c r="AM197" s="6"/>
      <c r="AN197" s="6"/>
      <c r="AO197" s="6"/>
      <c r="AP197" s="128" t="n">
        <f aca="false">SUM(AJ197:AO197)</f>
        <v>0</v>
      </c>
      <c r="AQ197" s="6"/>
      <c r="AR197" s="6"/>
      <c r="AS197" s="6"/>
      <c r="AT197" s="6"/>
      <c r="AU197" s="6"/>
      <c r="AV197" s="6"/>
      <c r="AW197" s="6"/>
      <c r="AX197" s="128" t="n">
        <f aca="false">SUM(AQ197:AW197)</f>
        <v>0</v>
      </c>
      <c r="AY197" s="6"/>
      <c r="AZ197" s="6"/>
      <c r="BA197" s="6"/>
      <c r="BB197" s="6"/>
      <c r="BC197" s="6"/>
      <c r="BD197" s="128" t="n">
        <f aca="false">SUM(AY197:BC197)</f>
        <v>0</v>
      </c>
      <c r="BE197" s="130"/>
      <c r="BF197" s="6" t="n">
        <f aca="false">AC197+X197+AI197+AP197+AX197+BD197</f>
        <v>0</v>
      </c>
      <c r="BG197" s="131" t="n">
        <f aca="false">+N197-BF197</f>
        <v>250000</v>
      </c>
    </row>
    <row r="198" customFormat="false" ht="12.75" hidden="false" customHeight="false" outlineLevel="0" collapsed="false">
      <c r="A198" s="58" t="n">
        <v>134</v>
      </c>
      <c r="C198" s="1" t="n">
        <v>46084</v>
      </c>
      <c r="E198" s="2" t="s">
        <v>734</v>
      </c>
      <c r="F198" s="2" t="s">
        <v>735</v>
      </c>
      <c r="G198" s="2" t="s">
        <v>737</v>
      </c>
      <c r="I198" s="1" t="s">
        <v>738</v>
      </c>
      <c r="J198" s="59" t="s">
        <v>1048</v>
      </c>
      <c r="K198" s="59"/>
      <c r="L198" s="5" t="n">
        <v>1000000</v>
      </c>
      <c r="N198" s="5" t="n">
        <v>1000000</v>
      </c>
      <c r="P198" s="5" t="n">
        <v>1000000</v>
      </c>
      <c r="R198" s="6"/>
      <c r="S198" s="6"/>
      <c r="T198" s="6"/>
      <c r="U198" s="6"/>
      <c r="V198" s="6"/>
      <c r="W198" s="6"/>
      <c r="X198" s="128" t="n">
        <f aca="false">SUM(S198:W198)</f>
        <v>0</v>
      </c>
      <c r="Y198" s="6"/>
      <c r="Z198" s="6"/>
      <c r="AA198" s="6"/>
      <c r="AB198" s="6"/>
      <c r="AC198" s="128" t="n">
        <f aca="false">SUM(Y198:AB198)</f>
        <v>0</v>
      </c>
      <c r="AD198" s="6"/>
      <c r="AE198" s="6"/>
      <c r="AF198" s="6"/>
      <c r="AG198" s="6"/>
      <c r="AH198" s="6"/>
      <c r="AI198" s="128" t="n">
        <f aca="false">SUM(AD198:AH198)</f>
        <v>0</v>
      </c>
      <c r="AJ198" s="6"/>
      <c r="AK198" s="129"/>
      <c r="AL198" s="6"/>
      <c r="AM198" s="6"/>
      <c r="AN198" s="6"/>
      <c r="AO198" s="6"/>
      <c r="AP198" s="128" t="n">
        <f aca="false">SUM(AJ198:AO198)</f>
        <v>0</v>
      </c>
      <c r="AQ198" s="6"/>
      <c r="AR198" s="6"/>
      <c r="AS198" s="6"/>
      <c r="AT198" s="6"/>
      <c r="AU198" s="6"/>
      <c r="AV198" s="6"/>
      <c r="AW198" s="6"/>
      <c r="AX198" s="128" t="n">
        <f aca="false">SUM(AQ198:AW198)</f>
        <v>0</v>
      </c>
      <c r="AY198" s="6"/>
      <c r="AZ198" s="6"/>
      <c r="BA198" s="6"/>
      <c r="BB198" s="6"/>
      <c r="BC198" s="6"/>
      <c r="BD198" s="128" t="n">
        <f aca="false">SUM(AY198:BC198)</f>
        <v>0</v>
      </c>
      <c r="BE198" s="130"/>
      <c r="BF198" s="6" t="n">
        <f aca="false">AC198+X198+AI198+AP198+AX198+BD198</f>
        <v>0</v>
      </c>
      <c r="BG198" s="131" t="n">
        <f aca="false">+N198-BF198</f>
        <v>1000000</v>
      </c>
    </row>
    <row r="199" customFormat="false" ht="12.75" hidden="false" customHeight="false" outlineLevel="0" collapsed="false">
      <c r="A199" s="58" t="n">
        <v>137</v>
      </c>
      <c r="C199" s="1" t="n">
        <v>46084</v>
      </c>
      <c r="E199" s="2" t="s">
        <v>739</v>
      </c>
      <c r="F199" s="2" t="s">
        <v>740</v>
      </c>
      <c r="G199" s="2" t="s">
        <v>742</v>
      </c>
      <c r="I199" s="1" t="s">
        <v>743</v>
      </c>
      <c r="J199" s="59" t="s">
        <v>1049</v>
      </c>
      <c r="K199" s="59"/>
      <c r="L199" s="5" t="n">
        <v>800000</v>
      </c>
      <c r="N199" s="5" t="n">
        <v>800000</v>
      </c>
      <c r="P199" s="5" t="n">
        <v>800000</v>
      </c>
      <c r="R199" s="6"/>
      <c r="S199" s="6"/>
      <c r="T199" s="6"/>
      <c r="U199" s="6"/>
      <c r="V199" s="6"/>
      <c r="W199" s="6"/>
      <c r="X199" s="128" t="n">
        <f aca="false">SUM(S199:W199)</f>
        <v>0</v>
      </c>
      <c r="Y199" s="6"/>
      <c r="Z199" s="6"/>
      <c r="AA199" s="6"/>
      <c r="AB199" s="6"/>
      <c r="AC199" s="128" t="n">
        <f aca="false">SUM(Y199:AB199)</f>
        <v>0</v>
      </c>
      <c r="AD199" s="6"/>
      <c r="AE199" s="6"/>
      <c r="AF199" s="6"/>
      <c r="AG199" s="6"/>
      <c r="AH199" s="6"/>
      <c r="AI199" s="128" t="n">
        <f aca="false">SUM(AD199:AH199)</f>
        <v>0</v>
      </c>
      <c r="AJ199" s="6"/>
      <c r="AK199" s="129"/>
      <c r="AL199" s="6"/>
      <c r="AM199" s="6"/>
      <c r="AN199" s="6"/>
      <c r="AO199" s="6"/>
      <c r="AP199" s="128" t="n">
        <f aca="false">SUM(AJ199:AO199)</f>
        <v>0</v>
      </c>
      <c r="AQ199" s="6"/>
      <c r="AR199" s="6"/>
      <c r="AS199" s="6"/>
      <c r="AT199" s="6"/>
      <c r="AU199" s="6"/>
      <c r="AV199" s="6"/>
      <c r="AW199" s="6"/>
      <c r="AX199" s="128" t="n">
        <f aca="false">SUM(AQ199:AW199)</f>
        <v>0</v>
      </c>
      <c r="AY199" s="6"/>
      <c r="AZ199" s="6"/>
      <c r="BA199" s="6"/>
      <c r="BB199" s="6"/>
      <c r="BC199" s="6"/>
      <c r="BD199" s="128" t="n">
        <f aca="false">SUM(AY199:BC199)</f>
        <v>0</v>
      </c>
      <c r="BE199" s="130"/>
      <c r="BF199" s="6" t="n">
        <f aca="false">AC199+X199+AI199+AP199+AX199+BD199</f>
        <v>0</v>
      </c>
      <c r="BG199" s="131" t="n">
        <f aca="false">+N199-BF199</f>
        <v>800000</v>
      </c>
    </row>
    <row r="200" customFormat="false" ht="12.75" hidden="false" customHeight="false" outlineLevel="0" collapsed="false">
      <c r="A200" s="58" t="n">
        <v>138</v>
      </c>
      <c r="C200" s="1" t="n">
        <v>46083</v>
      </c>
      <c r="E200" s="2" t="s">
        <v>744</v>
      </c>
      <c r="F200" s="2" t="s">
        <v>745</v>
      </c>
      <c r="G200" s="2" t="s">
        <v>747</v>
      </c>
      <c r="I200" s="1" t="s">
        <v>748</v>
      </c>
      <c r="J200" s="59" t="s">
        <v>1050</v>
      </c>
      <c r="K200" s="59"/>
      <c r="L200" s="5" t="n">
        <v>265000</v>
      </c>
      <c r="N200" s="5" t="n">
        <v>265000</v>
      </c>
      <c r="P200" s="5" t="n">
        <v>265000</v>
      </c>
      <c r="R200" s="6"/>
      <c r="S200" s="6"/>
      <c r="T200" s="6"/>
      <c r="U200" s="6"/>
      <c r="V200" s="6"/>
      <c r="W200" s="6"/>
      <c r="X200" s="128" t="n">
        <f aca="false">SUM(S200:W200)</f>
        <v>0</v>
      </c>
      <c r="Y200" s="6"/>
      <c r="Z200" s="6"/>
      <c r="AA200" s="6"/>
      <c r="AB200" s="6"/>
      <c r="AC200" s="128" t="n">
        <f aca="false">SUM(Y200:AB200)</f>
        <v>0</v>
      </c>
      <c r="AD200" s="6"/>
      <c r="AE200" s="6"/>
      <c r="AF200" s="6"/>
      <c r="AG200" s="6"/>
      <c r="AH200" s="6"/>
      <c r="AI200" s="128" t="n">
        <f aca="false">SUM(AD200:AH200)</f>
        <v>0</v>
      </c>
      <c r="AJ200" s="6"/>
      <c r="AK200" s="129"/>
      <c r="AL200" s="6"/>
      <c r="AM200" s="6"/>
      <c r="AN200" s="6"/>
      <c r="AO200" s="6"/>
      <c r="AP200" s="128" t="n">
        <f aca="false">SUM(AJ200:AO200)</f>
        <v>0</v>
      </c>
      <c r="AQ200" s="6"/>
      <c r="AR200" s="6"/>
      <c r="AS200" s="6"/>
      <c r="AT200" s="6"/>
      <c r="AU200" s="6"/>
      <c r="AV200" s="6"/>
      <c r="AW200" s="6"/>
      <c r="AX200" s="128" t="n">
        <f aca="false">SUM(AQ200:AW200)</f>
        <v>0</v>
      </c>
      <c r="AY200" s="6"/>
      <c r="AZ200" s="6"/>
      <c r="BA200" s="6"/>
      <c r="BB200" s="6"/>
      <c r="BC200" s="6"/>
      <c r="BD200" s="128" t="n">
        <f aca="false">SUM(AY200:BC200)</f>
        <v>0</v>
      </c>
      <c r="BE200" s="130"/>
      <c r="BF200" s="6" t="n">
        <f aca="false">AC200+X200+AI200+AP200+AX200+BD200</f>
        <v>0</v>
      </c>
      <c r="BG200" s="131" t="n">
        <f aca="false">+N200-BF200</f>
        <v>265000</v>
      </c>
    </row>
    <row r="201" customFormat="false" ht="12.75" hidden="false" customHeight="false" outlineLevel="0" collapsed="false">
      <c r="A201" s="58" t="n">
        <v>140</v>
      </c>
      <c r="C201" s="1" t="n">
        <v>46085</v>
      </c>
      <c r="E201" s="2" t="s">
        <v>749</v>
      </c>
      <c r="F201" s="2" t="s">
        <v>750</v>
      </c>
      <c r="G201" s="2" t="s">
        <v>752</v>
      </c>
      <c r="I201" s="1" t="s">
        <v>753</v>
      </c>
      <c r="J201" s="59" t="s">
        <v>1051</v>
      </c>
      <c r="K201" s="59"/>
      <c r="L201" s="5" t="n">
        <v>750000</v>
      </c>
      <c r="N201" s="5" t="n">
        <v>750000</v>
      </c>
      <c r="P201" s="5" t="n">
        <v>750000</v>
      </c>
      <c r="R201" s="6"/>
      <c r="S201" s="6"/>
      <c r="T201" s="6"/>
      <c r="U201" s="6"/>
      <c r="V201" s="6"/>
      <c r="W201" s="6"/>
      <c r="X201" s="128" t="n">
        <f aca="false">SUM(S201:W201)</f>
        <v>0</v>
      </c>
      <c r="Y201" s="6"/>
      <c r="Z201" s="6"/>
      <c r="AA201" s="6"/>
      <c r="AB201" s="6"/>
      <c r="AC201" s="128" t="n">
        <f aca="false">SUM(Y201:AB201)</f>
        <v>0</v>
      </c>
      <c r="AD201" s="6"/>
      <c r="AE201" s="6"/>
      <c r="AF201" s="6"/>
      <c r="AG201" s="6"/>
      <c r="AH201" s="6"/>
      <c r="AI201" s="128" t="n">
        <f aca="false">SUM(AD201:AH201)</f>
        <v>0</v>
      </c>
      <c r="AJ201" s="6"/>
      <c r="AK201" s="129"/>
      <c r="AL201" s="6"/>
      <c r="AM201" s="6"/>
      <c r="AN201" s="6"/>
      <c r="AO201" s="6"/>
      <c r="AP201" s="128" t="n">
        <f aca="false">SUM(AJ201:AO201)</f>
        <v>0</v>
      </c>
      <c r="AQ201" s="6"/>
      <c r="AR201" s="6"/>
      <c r="AS201" s="6"/>
      <c r="AT201" s="6"/>
      <c r="AU201" s="6"/>
      <c r="AV201" s="6"/>
      <c r="AW201" s="6"/>
      <c r="AX201" s="128" t="n">
        <f aca="false">SUM(AQ201:AW201)</f>
        <v>0</v>
      </c>
      <c r="AY201" s="6"/>
      <c r="AZ201" s="6"/>
      <c r="BA201" s="6"/>
      <c r="BB201" s="6"/>
      <c r="BC201" s="6"/>
      <c r="BD201" s="128" t="n">
        <f aca="false">SUM(AY201:BC201)</f>
        <v>0</v>
      </c>
      <c r="BE201" s="130"/>
      <c r="BF201" s="6" t="n">
        <f aca="false">AC201+X201+AI201+AP201+AX201+BD201</f>
        <v>0</v>
      </c>
      <c r="BG201" s="131" t="n">
        <f aca="false">+N201-BF201</f>
        <v>750000</v>
      </c>
    </row>
    <row r="202" customFormat="false" ht="12.75" hidden="false" customHeight="false" outlineLevel="0" collapsed="false">
      <c r="I202" s="1"/>
      <c r="J202" s="59"/>
      <c r="K202" s="59"/>
      <c r="R202" s="6"/>
      <c r="S202" s="6"/>
      <c r="T202" s="6"/>
      <c r="U202" s="6"/>
      <c r="V202" s="6"/>
      <c r="W202" s="6"/>
      <c r="X202" s="128" t="n">
        <f aca="false">SUM(S202:W202)</f>
        <v>0</v>
      </c>
      <c r="Y202" s="6"/>
      <c r="Z202" s="6"/>
      <c r="AA202" s="6"/>
      <c r="AB202" s="6"/>
      <c r="AC202" s="128" t="n">
        <f aca="false">SUM(Y202:AB202)</f>
        <v>0</v>
      </c>
      <c r="AD202" s="6"/>
      <c r="AE202" s="6"/>
      <c r="AF202" s="6"/>
      <c r="AG202" s="6"/>
      <c r="AH202" s="6"/>
      <c r="AI202" s="128" t="n">
        <f aca="false">SUM(AD202:AH202)</f>
        <v>0</v>
      </c>
      <c r="AJ202" s="6"/>
      <c r="AK202" s="129"/>
      <c r="AL202" s="6"/>
      <c r="AM202" s="6"/>
      <c r="AN202" s="6"/>
      <c r="AO202" s="6"/>
      <c r="AP202" s="128" t="n">
        <f aca="false">SUM(AJ202:AO202)</f>
        <v>0</v>
      </c>
      <c r="AQ202" s="6"/>
      <c r="AR202" s="6"/>
      <c r="AS202" s="6"/>
      <c r="AT202" s="6"/>
      <c r="AU202" s="6"/>
      <c r="AV202" s="6"/>
      <c r="AW202" s="6"/>
      <c r="AX202" s="128" t="n">
        <f aca="false">SUM(AQ202:AW202)</f>
        <v>0</v>
      </c>
      <c r="AY202" s="6"/>
      <c r="AZ202" s="6"/>
      <c r="BA202" s="6"/>
      <c r="BB202" s="6"/>
      <c r="BC202" s="6"/>
      <c r="BD202" s="128" t="n">
        <f aca="false">SUM(AY202:BC202)</f>
        <v>0</v>
      </c>
      <c r="BE202" s="130"/>
      <c r="BF202" s="6" t="n">
        <f aca="false">AC202+X202+AI202+AP202+AX202+BD202</f>
        <v>0</v>
      </c>
      <c r="BG202" s="131" t="n">
        <f aca="false">+N202-BF202</f>
        <v>0</v>
      </c>
    </row>
    <row r="203" customFormat="false" ht="12.75" hidden="false" customHeight="false" outlineLevel="0" collapsed="false">
      <c r="A203" s="162" t="s">
        <v>1052</v>
      </c>
      <c r="B203" s="162"/>
      <c r="C203" s="163" t="n">
        <v>45540</v>
      </c>
      <c r="D203" s="163"/>
      <c r="E203" s="164" t="s">
        <v>754</v>
      </c>
      <c r="F203" s="164" t="s">
        <v>755</v>
      </c>
      <c r="G203" s="164" t="s">
        <v>757</v>
      </c>
      <c r="H203" s="165"/>
      <c r="I203" s="163" t="s">
        <v>758</v>
      </c>
      <c r="J203" s="165" t="s">
        <v>1053</v>
      </c>
      <c r="K203" s="165" t="s">
        <v>799</v>
      </c>
      <c r="L203" s="168" t="n">
        <v>588627</v>
      </c>
      <c r="M203" s="168"/>
      <c r="N203" s="168" t="n">
        <v>588627</v>
      </c>
      <c r="P203" s="168" t="n">
        <v>588627</v>
      </c>
      <c r="R203" s="6"/>
      <c r="S203" s="79"/>
      <c r="T203" s="79"/>
      <c r="U203" s="79"/>
      <c r="V203" s="79"/>
      <c r="W203" s="79"/>
      <c r="X203" s="128" t="n">
        <f aca="false">SUM(S203:W203)</f>
        <v>0</v>
      </c>
      <c r="Y203" s="79"/>
      <c r="Z203" s="79"/>
      <c r="AA203" s="79"/>
      <c r="AB203" s="79"/>
      <c r="AC203" s="128" t="n">
        <f aca="false">SUM(Y203:AB203)</f>
        <v>0</v>
      </c>
      <c r="AD203" s="79"/>
      <c r="AE203" s="79"/>
      <c r="AF203" s="79"/>
      <c r="AG203" s="79"/>
      <c r="AH203" s="79"/>
      <c r="AI203" s="128" t="n">
        <f aca="false">SUM(AD203:AH203)</f>
        <v>0</v>
      </c>
      <c r="AJ203" s="79"/>
      <c r="AK203" s="193"/>
      <c r="AL203" s="79"/>
      <c r="AM203" s="79"/>
      <c r="AN203" s="79"/>
      <c r="AO203" s="79"/>
      <c r="AP203" s="128" t="n">
        <f aca="false">SUM(AJ203:AO203)</f>
        <v>0</v>
      </c>
      <c r="AQ203" s="79" t="n">
        <v>588627</v>
      </c>
      <c r="AR203" s="79"/>
      <c r="AS203" s="79"/>
      <c r="AT203" s="79"/>
      <c r="AU203" s="79"/>
      <c r="AV203" s="79"/>
      <c r="AW203" s="79"/>
      <c r="AX203" s="128" t="n">
        <f aca="false">SUM(AQ203:AW203)</f>
        <v>588627</v>
      </c>
      <c r="AY203" s="79"/>
      <c r="AZ203" s="79"/>
      <c r="BA203" s="79"/>
      <c r="BB203" s="79"/>
      <c r="BC203" s="79"/>
      <c r="BD203" s="128" t="n">
        <f aca="false">SUM(AY203:BC203)</f>
        <v>0</v>
      </c>
      <c r="BE203" s="130"/>
      <c r="BF203" s="169" t="n">
        <f aca="false">AC203+X203+AI203+AP203+AX203+BD203</f>
        <v>588627</v>
      </c>
      <c r="BG203" s="131" t="n">
        <f aca="false">+N203-BF203</f>
        <v>0</v>
      </c>
    </row>
    <row r="204" customFormat="false" ht="12.75" hidden="false" customHeight="false" outlineLevel="0" collapsed="false">
      <c r="A204" s="194" t="s">
        <v>1054</v>
      </c>
      <c r="B204" s="194"/>
      <c r="C204" s="195" t="n">
        <v>45637</v>
      </c>
      <c r="D204" s="195"/>
      <c r="E204" s="196" t="s">
        <v>759</v>
      </c>
      <c r="F204" s="196" t="s">
        <v>760</v>
      </c>
      <c r="G204" s="196" t="s">
        <v>762</v>
      </c>
      <c r="H204" s="197"/>
      <c r="I204" s="198" t="s">
        <v>763</v>
      </c>
      <c r="J204" s="197" t="s">
        <v>1055</v>
      </c>
      <c r="K204" s="197" t="s">
        <v>862</v>
      </c>
      <c r="L204" s="63" t="n">
        <v>50000</v>
      </c>
      <c r="M204" s="63"/>
      <c r="N204" s="63" t="n">
        <v>50000</v>
      </c>
      <c r="P204" s="63" t="n">
        <v>50000</v>
      </c>
      <c r="R204" s="6"/>
      <c r="S204" s="79"/>
      <c r="T204" s="79"/>
      <c r="U204" s="79"/>
      <c r="V204" s="79"/>
      <c r="W204" s="79"/>
      <c r="X204" s="128"/>
      <c r="Y204" s="79"/>
      <c r="Z204" s="79"/>
      <c r="AA204" s="79"/>
      <c r="AB204" s="79"/>
      <c r="AC204" s="128"/>
      <c r="AD204" s="79"/>
      <c r="AE204" s="79"/>
      <c r="AF204" s="79"/>
      <c r="AG204" s="79"/>
      <c r="AH204" s="79"/>
      <c r="AI204" s="128"/>
      <c r="AJ204" s="79"/>
      <c r="AK204" s="193"/>
      <c r="AL204" s="79"/>
      <c r="AM204" s="79"/>
      <c r="AN204" s="79"/>
      <c r="AO204" s="79"/>
      <c r="AP204" s="128"/>
      <c r="AQ204" s="199"/>
      <c r="AR204" s="199"/>
      <c r="AS204" s="199" t="n">
        <v>50000</v>
      </c>
      <c r="AT204" s="199"/>
      <c r="AU204" s="199"/>
      <c r="AV204" s="199"/>
      <c r="AW204" s="199"/>
      <c r="AX204" s="200" t="n">
        <f aca="false">SUM(AQ204:AW204)</f>
        <v>50000</v>
      </c>
      <c r="AY204" s="201"/>
      <c r="AZ204" s="199"/>
      <c r="BA204" s="199"/>
      <c r="BB204" s="199"/>
      <c r="BC204" s="202"/>
      <c r="BD204" s="128" t="n">
        <f aca="false">SUM(AY204:BC204)</f>
        <v>0</v>
      </c>
      <c r="BE204" s="130"/>
      <c r="BF204" s="199" t="n">
        <f aca="false">AC204+X204+AI204+AP204+AX204+BD204</f>
        <v>50000</v>
      </c>
      <c r="BG204" s="131" t="n">
        <f aca="false">+N204-BF204</f>
        <v>0</v>
      </c>
    </row>
    <row r="205" customFormat="false" ht="12.75" hidden="false" customHeight="false" outlineLevel="0" collapsed="false">
      <c r="A205" s="162" t="s">
        <v>1056</v>
      </c>
      <c r="B205" s="162"/>
      <c r="C205" s="163" t="n">
        <v>45637</v>
      </c>
      <c r="D205" s="163"/>
      <c r="E205" s="164" t="s">
        <v>759</v>
      </c>
      <c r="F205" s="164" t="s">
        <v>760</v>
      </c>
      <c r="G205" s="164" t="s">
        <v>762</v>
      </c>
      <c r="H205" s="165"/>
      <c r="I205" s="166" t="s">
        <v>763</v>
      </c>
      <c r="J205" s="165" t="s">
        <v>1057</v>
      </c>
      <c r="K205" s="165" t="s">
        <v>799</v>
      </c>
      <c r="L205" s="168" t="n">
        <v>6400000</v>
      </c>
      <c r="M205" s="168"/>
      <c r="N205" s="168" t="n">
        <v>4699428.78</v>
      </c>
      <c r="P205" s="168" t="n">
        <v>4699428.78</v>
      </c>
      <c r="R205" s="6"/>
      <c r="S205" s="79"/>
      <c r="T205" s="79"/>
      <c r="U205" s="79"/>
      <c r="V205" s="79"/>
      <c r="W205" s="79"/>
      <c r="X205" s="128"/>
      <c r="Y205" s="79"/>
      <c r="Z205" s="79"/>
      <c r="AA205" s="79"/>
      <c r="AB205" s="79"/>
      <c r="AC205" s="128"/>
      <c r="AD205" s="79"/>
      <c r="AE205" s="79"/>
      <c r="AF205" s="79"/>
      <c r="AG205" s="79"/>
      <c r="AH205" s="79"/>
      <c r="AI205" s="128"/>
      <c r="AJ205" s="79"/>
      <c r="AK205" s="193"/>
      <c r="AL205" s="79"/>
      <c r="AM205" s="79"/>
      <c r="AN205" s="79"/>
      <c r="AO205" s="79"/>
      <c r="AP205" s="128"/>
      <c r="AQ205" s="79"/>
      <c r="AR205" s="79"/>
      <c r="AS205" s="79" t="n">
        <v>4699428.78</v>
      </c>
      <c r="AT205" s="79"/>
      <c r="AU205" s="79"/>
      <c r="AV205" s="79"/>
      <c r="AW205" s="79"/>
      <c r="AX205" s="128" t="n">
        <f aca="false">SUM(AQ205:AW205)</f>
        <v>4699428.78</v>
      </c>
      <c r="AY205" s="79"/>
      <c r="AZ205" s="79"/>
      <c r="BA205" s="79"/>
      <c r="BB205" s="79"/>
      <c r="BC205" s="79"/>
      <c r="BD205" s="128" t="n">
        <f aca="false">SUM(AY205:BC205)</f>
        <v>0</v>
      </c>
      <c r="BE205" s="130"/>
      <c r="BF205" s="169" t="n">
        <f aca="false">AC205+X205+AI205+AP205+AX205+BD205</f>
        <v>4699428.78</v>
      </c>
      <c r="BG205" s="131" t="n">
        <f aca="false">+N205-BF205</f>
        <v>0</v>
      </c>
    </row>
    <row r="206" customFormat="false" ht="12.75" hidden="false" customHeight="false" outlineLevel="0" collapsed="false">
      <c r="A206" s="162" t="s">
        <v>1056</v>
      </c>
      <c r="B206" s="162"/>
      <c r="C206" s="163" t="n">
        <v>45994</v>
      </c>
      <c r="D206" s="163"/>
      <c r="E206" s="164" t="s">
        <v>764</v>
      </c>
      <c r="F206" s="164" t="s">
        <v>760</v>
      </c>
      <c r="G206" s="164" t="s">
        <v>762</v>
      </c>
      <c r="H206" s="165"/>
      <c r="I206" s="166" t="s">
        <v>763</v>
      </c>
      <c r="J206" s="165" t="s">
        <v>1058</v>
      </c>
      <c r="K206" s="165" t="s">
        <v>799</v>
      </c>
      <c r="L206" s="203"/>
      <c r="M206" s="168"/>
      <c r="N206" s="168" t="n">
        <v>1700571.21</v>
      </c>
      <c r="P206" s="168" t="n">
        <v>1700571.21</v>
      </c>
      <c r="R206" s="6"/>
      <c r="S206" s="79"/>
      <c r="T206" s="79"/>
      <c r="U206" s="79"/>
      <c r="V206" s="79"/>
      <c r="W206" s="79"/>
      <c r="X206" s="128"/>
      <c r="Y206" s="79"/>
      <c r="Z206" s="79"/>
      <c r="AA206" s="79"/>
      <c r="AB206" s="79"/>
      <c r="AC206" s="128"/>
      <c r="AD206" s="79"/>
      <c r="AE206" s="79"/>
      <c r="AF206" s="79"/>
      <c r="AG206" s="79"/>
      <c r="AH206" s="79"/>
      <c r="AI206" s="128"/>
      <c r="AJ206" s="79"/>
      <c r="AK206" s="193"/>
      <c r="AL206" s="79"/>
      <c r="AM206" s="79"/>
      <c r="AN206" s="79"/>
      <c r="AO206" s="79"/>
      <c r="AP206" s="128"/>
      <c r="AQ206" s="79"/>
      <c r="AR206" s="79"/>
      <c r="AS206" s="79"/>
      <c r="AT206" s="79"/>
      <c r="AU206" s="79"/>
      <c r="AV206" s="79"/>
      <c r="AW206" s="79"/>
      <c r="AX206" s="128" t="n">
        <f aca="false">SUM(AQ206:AW206)</f>
        <v>0</v>
      </c>
      <c r="AY206" s="79" t="n">
        <v>1700571.21</v>
      </c>
      <c r="AZ206" s="79"/>
      <c r="BA206" s="79"/>
      <c r="BB206" s="79"/>
      <c r="BC206" s="79"/>
      <c r="BD206" s="128" t="n">
        <f aca="false">SUM(AY206:BC206)</f>
        <v>1700571.21</v>
      </c>
      <c r="BE206" s="130"/>
      <c r="BF206" s="169" t="n">
        <f aca="false">AC206+X206+AI206+AP206+AX206+BD206</f>
        <v>1700571.21</v>
      </c>
      <c r="BG206" s="131" t="n">
        <f aca="false">+N206-BF206</f>
        <v>0</v>
      </c>
    </row>
    <row r="207" customFormat="false" ht="12.75" hidden="false" customHeight="false" outlineLevel="0" collapsed="false">
      <c r="A207" s="162" t="s">
        <v>1059</v>
      </c>
      <c r="B207" s="162"/>
      <c r="C207" s="163" t="n">
        <v>46027</v>
      </c>
      <c r="D207" s="163"/>
      <c r="E207" s="164" t="s">
        <v>765</v>
      </c>
      <c r="F207" s="164" t="s">
        <v>766</v>
      </c>
      <c r="G207" s="164" t="s">
        <v>768</v>
      </c>
      <c r="H207" s="165"/>
      <c r="I207" s="166" t="s">
        <v>769</v>
      </c>
      <c r="J207" s="165" t="s">
        <v>1060</v>
      </c>
      <c r="K207" s="165" t="s">
        <v>799</v>
      </c>
      <c r="L207" s="168" t="n">
        <v>3308467.83</v>
      </c>
      <c r="M207" s="168"/>
      <c r="N207" s="168" t="n">
        <v>3308467.83</v>
      </c>
      <c r="P207" s="168" t="n">
        <v>3308467.83</v>
      </c>
      <c r="R207" s="6"/>
      <c r="S207" s="79"/>
      <c r="T207" s="79"/>
      <c r="U207" s="79"/>
      <c r="V207" s="79"/>
      <c r="W207" s="79"/>
      <c r="X207" s="128"/>
      <c r="Y207" s="79"/>
      <c r="Z207" s="79"/>
      <c r="AA207" s="79"/>
      <c r="AB207" s="79"/>
      <c r="AC207" s="128"/>
      <c r="AD207" s="79"/>
      <c r="AE207" s="79"/>
      <c r="AF207" s="79"/>
      <c r="AG207" s="79"/>
      <c r="AH207" s="79"/>
      <c r="AI207" s="128"/>
      <c r="AJ207" s="79"/>
      <c r="AK207" s="193"/>
      <c r="AL207" s="79"/>
      <c r="AM207" s="79"/>
      <c r="AN207" s="79"/>
      <c r="AO207" s="79"/>
      <c r="AP207" s="128"/>
      <c r="AQ207" s="79"/>
      <c r="AR207" s="79"/>
      <c r="AS207" s="79"/>
      <c r="AT207" s="79"/>
      <c r="AU207" s="79"/>
      <c r="AV207" s="79"/>
      <c r="AW207" s="79"/>
      <c r="AX207" s="128"/>
      <c r="AY207" s="79"/>
      <c r="AZ207" s="79"/>
      <c r="BA207" s="79"/>
      <c r="BB207" s="79"/>
      <c r="BC207" s="79"/>
      <c r="BD207" s="128" t="n">
        <f aca="false">SUM(AY207:BC207)</f>
        <v>0</v>
      </c>
      <c r="BE207" s="130"/>
      <c r="BF207" s="6" t="n">
        <f aca="false">AC207+X207+AI207+AP207+AX207+BD207</f>
        <v>0</v>
      </c>
      <c r="BG207" s="131" t="n">
        <f aca="false">+N207-BF207</f>
        <v>3308467.83</v>
      </c>
    </row>
    <row r="208" customFormat="false" ht="12.75" hidden="false" customHeight="false" outlineLevel="0" collapsed="false">
      <c r="I208" s="132"/>
      <c r="J208" s="59"/>
      <c r="K208" s="59"/>
      <c r="R208" s="6"/>
      <c r="S208" s="6"/>
      <c r="T208" s="6"/>
      <c r="U208" s="6"/>
      <c r="V208" s="6"/>
      <c r="W208" s="6"/>
      <c r="X208" s="128"/>
      <c r="Y208" s="79"/>
      <c r="Z208" s="79"/>
      <c r="AA208" s="79"/>
      <c r="AB208" s="79"/>
      <c r="AC208" s="128"/>
      <c r="AD208" s="79"/>
      <c r="AE208" s="79"/>
      <c r="AF208" s="79"/>
      <c r="AG208" s="79"/>
      <c r="AH208" s="79"/>
      <c r="AI208" s="128"/>
      <c r="AJ208" s="79"/>
      <c r="AK208" s="193"/>
      <c r="AL208" s="79"/>
      <c r="AM208" s="79"/>
      <c r="AN208" s="79"/>
      <c r="AO208" s="79"/>
      <c r="AP208" s="128"/>
      <c r="AQ208" s="79"/>
      <c r="AR208" s="79"/>
      <c r="AS208" s="79"/>
      <c r="AT208" s="79"/>
      <c r="AU208" s="79"/>
      <c r="AV208" s="79"/>
      <c r="AW208" s="79"/>
      <c r="AX208" s="128"/>
      <c r="AY208" s="79"/>
      <c r="AZ208" s="79"/>
      <c r="BA208" s="79"/>
      <c r="BB208" s="79"/>
      <c r="BC208" s="79"/>
      <c r="BD208" s="128"/>
      <c r="BE208" s="130"/>
      <c r="BG208" s="131"/>
    </row>
    <row r="209" customFormat="false" ht="12.75" hidden="false" customHeight="false" outlineLevel="0" collapsed="false">
      <c r="I209" s="132"/>
      <c r="J209" s="59"/>
      <c r="K209" s="59"/>
      <c r="R209" s="6"/>
      <c r="S209" s="6"/>
      <c r="T209" s="6"/>
      <c r="U209" s="6"/>
      <c r="V209" s="6"/>
      <c r="W209" s="6"/>
      <c r="X209" s="128"/>
      <c r="Y209" s="79"/>
      <c r="Z209" s="79"/>
      <c r="AA209" s="79"/>
      <c r="AB209" s="79"/>
      <c r="AC209" s="128"/>
      <c r="AD209" s="79"/>
      <c r="AE209" s="79"/>
      <c r="AF209" s="79"/>
      <c r="AG209" s="79"/>
      <c r="AH209" s="79"/>
      <c r="AI209" s="128"/>
      <c r="AJ209" s="79"/>
      <c r="AK209" s="193"/>
      <c r="AL209" s="79"/>
      <c r="AM209" s="79"/>
      <c r="AN209" s="79"/>
      <c r="AO209" s="79"/>
      <c r="AP209" s="128"/>
      <c r="AQ209" s="79"/>
      <c r="AR209" s="79"/>
      <c r="AS209" s="79"/>
      <c r="AT209" s="79"/>
      <c r="AU209" s="79"/>
      <c r="AV209" s="79"/>
      <c r="AW209" s="79"/>
      <c r="AX209" s="128"/>
      <c r="AY209" s="79"/>
      <c r="AZ209" s="79"/>
      <c r="BA209" s="79"/>
      <c r="BB209" s="79"/>
      <c r="BC209" s="79"/>
      <c r="BD209" s="128"/>
      <c r="BE209" s="130"/>
      <c r="BG209" s="131"/>
    </row>
    <row r="210" customFormat="false" ht="12.75" hidden="false" customHeight="false" outlineLevel="0" collapsed="false">
      <c r="A210" s="204" t="s">
        <v>1061</v>
      </c>
      <c r="B210" s="204"/>
      <c r="C210" s="205" t="n">
        <v>44022</v>
      </c>
      <c r="D210" s="205"/>
      <c r="E210" s="206" t="s">
        <v>85</v>
      </c>
      <c r="F210" s="206" t="s">
        <v>1062</v>
      </c>
      <c r="G210" s="206" t="s">
        <v>1063</v>
      </c>
      <c r="H210" s="207"/>
      <c r="I210" s="205" t="s">
        <v>1064</v>
      </c>
      <c r="J210" s="207" t="s">
        <v>881</v>
      </c>
      <c r="K210" s="207" t="s">
        <v>798</v>
      </c>
      <c r="L210" s="208" t="n">
        <v>27000000</v>
      </c>
      <c r="M210" s="208" t="n">
        <v>27000000</v>
      </c>
      <c r="N210" s="208" t="n">
        <v>3000000</v>
      </c>
      <c r="P210" s="208"/>
      <c r="Q210" s="208" t="n">
        <v>3000000</v>
      </c>
      <c r="R210" s="79"/>
      <c r="S210" s="79" t="n">
        <v>450000</v>
      </c>
      <c r="T210" s="79" t="n">
        <f aca="false">1850000+229000</f>
        <v>2079000</v>
      </c>
      <c r="U210" s="79" t="n">
        <v>471000</v>
      </c>
      <c r="V210" s="79"/>
      <c r="W210" s="79"/>
      <c r="X210" s="128" t="n">
        <f aca="false">SUM(S210:W210)</f>
        <v>3000000</v>
      </c>
      <c r="Y210" s="79"/>
      <c r="Z210" s="79"/>
      <c r="AA210" s="79"/>
      <c r="AB210" s="79"/>
      <c r="AC210" s="128" t="n">
        <f aca="false">SUM(Y210:AB210)</f>
        <v>0</v>
      </c>
      <c r="AD210" s="79"/>
      <c r="AE210" s="79"/>
      <c r="AF210" s="79"/>
      <c r="AG210" s="79"/>
      <c r="AH210" s="79"/>
      <c r="AI210" s="128" t="n">
        <f aca="false">SUM(AD210:AH210)</f>
        <v>0</v>
      </c>
      <c r="AJ210" s="79"/>
      <c r="AK210" s="193"/>
      <c r="AL210" s="79"/>
      <c r="AM210" s="79"/>
      <c r="AN210" s="79"/>
      <c r="AO210" s="79"/>
      <c r="AP210" s="128" t="n">
        <f aca="false">SUM(AJ210:AO210)</f>
        <v>0</v>
      </c>
      <c r="AQ210" s="79"/>
      <c r="AR210" s="79"/>
      <c r="AS210" s="79"/>
      <c r="AT210" s="79"/>
      <c r="AU210" s="79"/>
      <c r="AV210" s="79"/>
      <c r="AW210" s="79"/>
      <c r="AX210" s="128" t="n">
        <f aca="false">SUM(AQ210:AW210)</f>
        <v>0</v>
      </c>
      <c r="AY210" s="79"/>
      <c r="AZ210" s="79"/>
      <c r="BA210" s="79"/>
      <c r="BB210" s="79"/>
      <c r="BC210" s="79"/>
      <c r="BD210" s="128" t="n">
        <f aca="false">SUM(AY210:BC210)</f>
        <v>0</v>
      </c>
      <c r="BE210" s="130"/>
      <c r="BF210" s="6" t="n">
        <f aca="false">AC210+X210+AI210+AP210+AX210+BD210</f>
        <v>3000000</v>
      </c>
      <c r="BG210" s="131" t="n">
        <f aca="false">+N210-BF210</f>
        <v>0</v>
      </c>
    </row>
    <row r="211" customFormat="false" ht="12.75" hidden="false" customHeight="false" outlineLevel="0" collapsed="false">
      <c r="A211" s="204" t="s">
        <v>1061</v>
      </c>
      <c r="B211" s="204"/>
      <c r="C211" s="205" t="n">
        <v>44022</v>
      </c>
      <c r="D211" s="205"/>
      <c r="E211" s="206" t="s">
        <v>85</v>
      </c>
      <c r="F211" s="206" t="s">
        <v>1062</v>
      </c>
      <c r="G211" s="206" t="s">
        <v>1065</v>
      </c>
      <c r="H211" s="207"/>
      <c r="I211" s="205"/>
      <c r="J211" s="207" t="s">
        <v>872</v>
      </c>
      <c r="K211" s="207" t="s">
        <v>798</v>
      </c>
      <c r="L211" s="208"/>
      <c r="M211" s="208" t="n">
        <v>0</v>
      </c>
      <c r="N211" s="208" t="n">
        <v>279000</v>
      </c>
      <c r="P211" s="208"/>
      <c r="Q211" s="208" t="n">
        <v>279000</v>
      </c>
      <c r="R211" s="79"/>
      <c r="S211" s="79" t="n">
        <v>50000</v>
      </c>
      <c r="T211" s="79"/>
      <c r="U211" s="79" t="n">
        <v>229000</v>
      </c>
      <c r="V211" s="79"/>
      <c r="W211" s="79"/>
      <c r="X211" s="128" t="n">
        <f aca="false">SUM(S211:W211)</f>
        <v>279000</v>
      </c>
      <c r="Y211" s="79"/>
      <c r="Z211" s="79"/>
      <c r="AA211" s="79"/>
      <c r="AB211" s="79"/>
      <c r="AC211" s="128" t="n">
        <f aca="false">SUM(Y211:AB211)</f>
        <v>0</v>
      </c>
      <c r="AD211" s="79"/>
      <c r="AE211" s="79"/>
      <c r="AF211" s="79"/>
      <c r="AG211" s="79"/>
      <c r="AH211" s="79"/>
      <c r="AI211" s="128" t="n">
        <f aca="false">SUM(AD211:AH211)</f>
        <v>0</v>
      </c>
      <c r="AJ211" s="79"/>
      <c r="AK211" s="193"/>
      <c r="AL211" s="79"/>
      <c r="AM211" s="79"/>
      <c r="AN211" s="79"/>
      <c r="AO211" s="79"/>
      <c r="AP211" s="128" t="n">
        <f aca="false">SUM(AJ211:AO211)</f>
        <v>0</v>
      </c>
      <c r="AQ211" s="79"/>
      <c r="AR211" s="79"/>
      <c r="AS211" s="79"/>
      <c r="AT211" s="79"/>
      <c r="AU211" s="79"/>
      <c r="AV211" s="79"/>
      <c r="AW211" s="79"/>
      <c r="AX211" s="128" t="n">
        <f aca="false">SUM(AQ211:AW211)</f>
        <v>0</v>
      </c>
      <c r="AY211" s="79"/>
      <c r="AZ211" s="79"/>
      <c r="BA211" s="79"/>
      <c r="BB211" s="79"/>
      <c r="BC211" s="79"/>
      <c r="BD211" s="128" t="n">
        <f aca="false">SUM(AY211:BC211)</f>
        <v>0</v>
      </c>
      <c r="BE211" s="130"/>
      <c r="BF211" s="6" t="n">
        <f aca="false">AC211+X211+AI211+AP211+AX211+BD211</f>
        <v>279000</v>
      </c>
      <c r="BG211" s="131" t="n">
        <f aca="false">+N211-BF211</f>
        <v>0</v>
      </c>
    </row>
    <row r="212" customFormat="false" ht="12.75" hidden="false" customHeight="false" outlineLevel="0" collapsed="false">
      <c r="A212" s="204" t="s">
        <v>1061</v>
      </c>
      <c r="B212" s="204"/>
      <c r="C212" s="205" t="n">
        <v>44294</v>
      </c>
      <c r="D212" s="205"/>
      <c r="E212" s="206" t="s">
        <v>194</v>
      </c>
      <c r="F212" s="206" t="s">
        <v>1062</v>
      </c>
      <c r="G212" s="206" t="s">
        <v>1065</v>
      </c>
      <c r="H212" s="207"/>
      <c r="I212" s="209"/>
      <c r="J212" s="207" t="s">
        <v>900</v>
      </c>
      <c r="K212" s="207" t="s">
        <v>798</v>
      </c>
      <c r="L212" s="208"/>
      <c r="M212" s="208" t="n">
        <v>0</v>
      </c>
      <c r="N212" s="208" t="n">
        <v>5190400</v>
      </c>
      <c r="P212" s="208"/>
      <c r="Q212" s="208" t="n">
        <v>5190400</v>
      </c>
      <c r="R212" s="79"/>
      <c r="S212" s="79" t="n">
        <v>0</v>
      </c>
      <c r="T212" s="79"/>
      <c r="U212" s="79"/>
      <c r="V212" s="79" t="n">
        <v>4171000</v>
      </c>
      <c r="W212" s="79" t="n">
        <v>550000</v>
      </c>
      <c r="X212" s="128" t="n">
        <f aca="false">SUM(S212:W212)</f>
        <v>4721000</v>
      </c>
      <c r="Y212" s="79" t="n">
        <v>469400</v>
      </c>
      <c r="Z212" s="79"/>
      <c r="AA212" s="79"/>
      <c r="AB212" s="79"/>
      <c r="AC212" s="128" t="n">
        <f aca="false">SUM(Y212:AB212)</f>
        <v>469400</v>
      </c>
      <c r="AD212" s="79"/>
      <c r="AE212" s="79"/>
      <c r="AF212" s="79"/>
      <c r="AG212" s="79"/>
      <c r="AH212" s="79"/>
      <c r="AI212" s="128" t="n">
        <f aca="false">SUM(AD212:AH212)</f>
        <v>0</v>
      </c>
      <c r="AJ212" s="79"/>
      <c r="AK212" s="193"/>
      <c r="AL212" s="79"/>
      <c r="AM212" s="79"/>
      <c r="AN212" s="79"/>
      <c r="AO212" s="79"/>
      <c r="AP212" s="128" t="n">
        <f aca="false">SUM(AJ212:AO212)</f>
        <v>0</v>
      </c>
      <c r="AQ212" s="79"/>
      <c r="AR212" s="79"/>
      <c r="AS212" s="79"/>
      <c r="AT212" s="79"/>
      <c r="AU212" s="79"/>
      <c r="AV212" s="79"/>
      <c r="AW212" s="79"/>
      <c r="AX212" s="128" t="n">
        <f aca="false">SUM(AQ212:AW212)</f>
        <v>0</v>
      </c>
      <c r="AY212" s="79"/>
      <c r="AZ212" s="79"/>
      <c r="BA212" s="79"/>
      <c r="BB212" s="79"/>
      <c r="BC212" s="79"/>
      <c r="BD212" s="128" t="n">
        <f aca="false">SUM(AY212:BC212)</f>
        <v>0</v>
      </c>
      <c r="BE212" s="130"/>
      <c r="BF212" s="6" t="n">
        <f aca="false">AC212+X212+AI212+AP212+AX212+BD212</f>
        <v>5190400</v>
      </c>
      <c r="BG212" s="131" t="n">
        <f aca="false">+N212-BF212</f>
        <v>0</v>
      </c>
    </row>
    <row r="213" customFormat="false" ht="12.75" hidden="false" customHeight="false" outlineLevel="0" collapsed="false">
      <c r="A213" s="204" t="s">
        <v>1061</v>
      </c>
      <c r="B213" s="204"/>
      <c r="C213" s="205" t="n">
        <v>44390</v>
      </c>
      <c r="D213" s="205"/>
      <c r="E213" s="206" t="s">
        <v>223</v>
      </c>
      <c r="F213" s="206" t="s">
        <v>1062</v>
      </c>
      <c r="G213" s="206" t="s">
        <v>1065</v>
      </c>
      <c r="H213" s="207"/>
      <c r="I213" s="209"/>
      <c r="J213" s="207" t="s">
        <v>900</v>
      </c>
      <c r="K213" s="207" t="s">
        <v>798</v>
      </c>
      <c r="L213" s="208"/>
      <c r="M213" s="208" t="n">
        <v>0</v>
      </c>
      <c r="N213" s="208" t="n">
        <v>1209600</v>
      </c>
      <c r="P213" s="208"/>
      <c r="Q213" s="208" t="n">
        <v>1209600</v>
      </c>
      <c r="R213" s="79"/>
      <c r="S213" s="79" t="n">
        <v>0</v>
      </c>
      <c r="T213" s="79"/>
      <c r="U213" s="79"/>
      <c r="V213" s="79"/>
      <c r="W213" s="79"/>
      <c r="X213" s="128" t="n">
        <f aca="false">SUM(S213:W213)</f>
        <v>0</v>
      </c>
      <c r="Y213" s="79" t="n">
        <v>1209600</v>
      </c>
      <c r="Z213" s="79"/>
      <c r="AA213" s="79"/>
      <c r="AB213" s="79"/>
      <c r="AC213" s="128" t="n">
        <f aca="false">SUM(Y213:AB213)</f>
        <v>1209600</v>
      </c>
      <c r="AD213" s="79"/>
      <c r="AE213" s="79"/>
      <c r="AF213" s="79"/>
      <c r="AG213" s="79"/>
      <c r="AH213" s="79"/>
      <c r="AI213" s="128" t="n">
        <f aca="false">SUM(AD213:AH213)</f>
        <v>0</v>
      </c>
      <c r="AJ213" s="79"/>
      <c r="AK213" s="193"/>
      <c r="AL213" s="79"/>
      <c r="AM213" s="79"/>
      <c r="AN213" s="79"/>
      <c r="AO213" s="79"/>
      <c r="AP213" s="128" t="n">
        <f aca="false">SUM(AJ213:AO213)</f>
        <v>0</v>
      </c>
      <c r="AQ213" s="79"/>
      <c r="AR213" s="79"/>
      <c r="AS213" s="79"/>
      <c r="AT213" s="79"/>
      <c r="AU213" s="79"/>
      <c r="AV213" s="79"/>
      <c r="AW213" s="79"/>
      <c r="AX213" s="128" t="n">
        <f aca="false">SUM(AQ213:AW213)</f>
        <v>0</v>
      </c>
      <c r="AY213" s="79"/>
      <c r="AZ213" s="79"/>
      <c r="BA213" s="79"/>
      <c r="BB213" s="79"/>
      <c r="BC213" s="79"/>
      <c r="BD213" s="128" t="n">
        <f aca="false">SUM(AY213:BC213)</f>
        <v>0</v>
      </c>
      <c r="BE213" s="130"/>
      <c r="BF213" s="6" t="n">
        <f aca="false">AC213+X213+AI213+AP213+AX213+BD213</f>
        <v>1209600</v>
      </c>
      <c r="BG213" s="131" t="n">
        <f aca="false">+N213-BF213</f>
        <v>0</v>
      </c>
    </row>
    <row r="214" customFormat="false" ht="12.75" hidden="false" customHeight="false" outlineLevel="0" collapsed="false">
      <c r="A214" s="204" t="s">
        <v>1061</v>
      </c>
      <c r="B214" s="204"/>
      <c r="C214" s="205" t="n">
        <v>44509</v>
      </c>
      <c r="D214" s="205"/>
      <c r="E214" s="206" t="s">
        <v>265</v>
      </c>
      <c r="F214" s="206" t="s">
        <v>1062</v>
      </c>
      <c r="G214" s="206" t="s">
        <v>1065</v>
      </c>
      <c r="H214" s="207"/>
      <c r="I214" s="209"/>
      <c r="J214" s="207" t="s">
        <v>1066</v>
      </c>
      <c r="K214" s="207" t="s">
        <v>798</v>
      </c>
      <c r="L214" s="208"/>
      <c r="M214" s="208" t="n">
        <v>0</v>
      </c>
      <c r="N214" s="208" t="n">
        <v>5682412.12</v>
      </c>
      <c r="P214" s="208"/>
      <c r="Q214" s="208" t="n">
        <v>5682412.12</v>
      </c>
      <c r="R214" s="79"/>
      <c r="S214" s="79" t="n">
        <v>0</v>
      </c>
      <c r="T214" s="79"/>
      <c r="U214" s="79"/>
      <c r="V214" s="79"/>
      <c r="W214" s="79"/>
      <c r="X214" s="128" t="n">
        <f aca="false">SUM(S214:W214)</f>
        <v>0</v>
      </c>
      <c r="Y214" s="79"/>
      <c r="Z214" s="79" t="n">
        <v>1420603.03</v>
      </c>
      <c r="AA214" s="79" t="n">
        <v>2130904.55</v>
      </c>
      <c r="AB214" s="79" t="n">
        <v>2130904.54</v>
      </c>
      <c r="AC214" s="128" t="n">
        <f aca="false">SUM(Y214:AB214)</f>
        <v>5682412.12</v>
      </c>
      <c r="AD214" s="79"/>
      <c r="AE214" s="79"/>
      <c r="AF214" s="79"/>
      <c r="AG214" s="79"/>
      <c r="AH214" s="79"/>
      <c r="AI214" s="128" t="n">
        <f aca="false">SUM(AD214:AH214)</f>
        <v>0</v>
      </c>
      <c r="AJ214" s="79"/>
      <c r="AK214" s="193"/>
      <c r="AL214" s="79"/>
      <c r="AM214" s="79"/>
      <c r="AN214" s="79"/>
      <c r="AO214" s="79"/>
      <c r="AP214" s="128" t="n">
        <f aca="false">SUM(AJ214:AO214)</f>
        <v>0</v>
      </c>
      <c r="AQ214" s="79"/>
      <c r="AR214" s="79"/>
      <c r="AS214" s="79"/>
      <c r="AT214" s="79"/>
      <c r="AU214" s="79"/>
      <c r="AV214" s="79"/>
      <c r="AW214" s="79"/>
      <c r="AX214" s="128" t="n">
        <f aca="false">SUM(AQ214:AW214)</f>
        <v>0</v>
      </c>
      <c r="AY214" s="79"/>
      <c r="AZ214" s="79"/>
      <c r="BA214" s="79"/>
      <c r="BB214" s="79"/>
      <c r="BC214" s="79"/>
      <c r="BD214" s="128" t="n">
        <f aca="false">SUM(AY214:BC214)</f>
        <v>0</v>
      </c>
      <c r="BE214" s="130"/>
      <c r="BF214" s="6" t="n">
        <f aca="false">AC214+X214+AI214+AP214+AX214+BD214</f>
        <v>5682412.12</v>
      </c>
      <c r="BG214" s="131" t="n">
        <f aca="false">+N214-BF214</f>
        <v>0</v>
      </c>
    </row>
    <row r="215" customFormat="false" ht="12.75" hidden="false" customHeight="false" outlineLevel="0" collapsed="false">
      <c r="A215" s="204" t="s">
        <v>1061</v>
      </c>
      <c r="B215" s="204"/>
      <c r="C215" s="205" t="n">
        <v>44596</v>
      </c>
      <c r="D215" s="205"/>
      <c r="E215" s="206" t="s">
        <v>1067</v>
      </c>
      <c r="F215" s="206" t="s">
        <v>1062</v>
      </c>
      <c r="G215" s="206" t="s">
        <v>1068</v>
      </c>
      <c r="H215" s="207"/>
      <c r="I215" s="209"/>
      <c r="J215" s="207" t="s">
        <v>987</v>
      </c>
      <c r="K215" s="207" t="s">
        <v>1069</v>
      </c>
      <c r="L215" s="208"/>
      <c r="M215" s="208" t="n">
        <v>5000000</v>
      </c>
      <c r="N215" s="208" t="n">
        <v>0</v>
      </c>
      <c r="P215" s="208"/>
      <c r="Q215" s="208" t="n">
        <v>0</v>
      </c>
      <c r="R215" s="79"/>
      <c r="S215" s="79" t="n">
        <v>0</v>
      </c>
      <c r="T215" s="79"/>
      <c r="U215" s="79"/>
      <c r="V215" s="79"/>
      <c r="W215" s="79"/>
      <c r="X215" s="128" t="n">
        <f aca="false">SUM(S215:W215)</f>
        <v>0</v>
      </c>
      <c r="Y215" s="79"/>
      <c r="Z215" s="79"/>
      <c r="AA215" s="79"/>
      <c r="AB215" s="79"/>
      <c r="AC215" s="128" t="n">
        <f aca="false">SUM(Y215:AB215)</f>
        <v>0</v>
      </c>
      <c r="AD215" s="79"/>
      <c r="AE215" s="79"/>
      <c r="AF215" s="79"/>
      <c r="AG215" s="79"/>
      <c r="AH215" s="79"/>
      <c r="AI215" s="128" t="n">
        <f aca="false">SUM(AD215:AH215)</f>
        <v>0</v>
      </c>
      <c r="AJ215" s="79"/>
      <c r="AK215" s="193"/>
      <c r="AL215" s="79"/>
      <c r="AM215" s="79"/>
      <c r="AN215" s="79"/>
      <c r="AO215" s="79"/>
      <c r="AP215" s="128" t="n">
        <f aca="false">SUM(AJ215:AO215)</f>
        <v>0</v>
      </c>
      <c r="AQ215" s="79"/>
      <c r="AR215" s="79"/>
      <c r="AS215" s="79"/>
      <c r="AT215" s="79"/>
      <c r="AU215" s="79"/>
      <c r="AV215" s="79"/>
      <c r="AW215" s="79"/>
      <c r="AX215" s="128" t="n">
        <f aca="false">SUM(AQ215:AW215)</f>
        <v>0</v>
      </c>
      <c r="AY215" s="79"/>
      <c r="AZ215" s="79"/>
      <c r="BA215" s="79"/>
      <c r="BB215" s="79"/>
      <c r="BC215" s="79"/>
      <c r="BD215" s="128" t="n">
        <f aca="false">SUM(AY215:BC215)</f>
        <v>0</v>
      </c>
      <c r="BE215" s="130"/>
      <c r="BF215" s="6" t="n">
        <f aca="false">AC215+X215+AI215+AP215+AX215+BD215</f>
        <v>0</v>
      </c>
      <c r="BG215" s="131" t="n">
        <f aca="false">+N215-BF215</f>
        <v>0</v>
      </c>
    </row>
    <row r="216" customFormat="false" ht="12.75" hidden="false" customHeight="false" outlineLevel="0" collapsed="false">
      <c r="A216" s="204" t="s">
        <v>1061</v>
      </c>
      <c r="B216" s="204"/>
      <c r="C216" s="205" t="n">
        <v>44769</v>
      </c>
      <c r="D216" s="205"/>
      <c r="E216" s="206" t="s">
        <v>1070</v>
      </c>
      <c r="F216" s="206" t="s">
        <v>1062</v>
      </c>
      <c r="G216" s="206" t="s">
        <v>1065</v>
      </c>
      <c r="H216" s="207"/>
      <c r="I216" s="209"/>
      <c r="J216" s="207" t="s">
        <v>1066</v>
      </c>
      <c r="K216" s="207" t="s">
        <v>798</v>
      </c>
      <c r="L216" s="208"/>
      <c r="M216" s="208" t="n">
        <v>0</v>
      </c>
      <c r="N216" s="208" t="n">
        <v>717578.88</v>
      </c>
      <c r="P216" s="208"/>
      <c r="Q216" s="208" t="n">
        <v>717578.88</v>
      </c>
      <c r="R216" s="79"/>
      <c r="S216" s="79" t="n">
        <v>0</v>
      </c>
      <c r="T216" s="79"/>
      <c r="U216" s="79"/>
      <c r="V216" s="79"/>
      <c r="W216" s="79"/>
      <c r="X216" s="128" t="n">
        <f aca="false">SUM(S216:W216)</f>
        <v>0</v>
      </c>
      <c r="Y216" s="79"/>
      <c r="Z216" s="79"/>
      <c r="AA216" s="79"/>
      <c r="AB216" s="79"/>
      <c r="AC216" s="128" t="n">
        <f aca="false">SUM(Y216:AB216)</f>
        <v>0</v>
      </c>
      <c r="AD216" s="79" t="n">
        <v>717578.88</v>
      </c>
      <c r="AE216" s="79"/>
      <c r="AF216" s="79"/>
      <c r="AG216" s="79"/>
      <c r="AH216" s="79"/>
      <c r="AI216" s="128" t="n">
        <f aca="false">SUM(AD216:AH216)</f>
        <v>717578.88</v>
      </c>
      <c r="AJ216" s="79"/>
      <c r="AK216" s="193"/>
      <c r="AL216" s="79"/>
      <c r="AM216" s="79"/>
      <c r="AN216" s="79"/>
      <c r="AO216" s="79"/>
      <c r="AP216" s="128" t="n">
        <f aca="false">SUM(AJ216:AO216)</f>
        <v>0</v>
      </c>
      <c r="AQ216" s="79"/>
      <c r="AR216" s="79"/>
      <c r="AS216" s="79"/>
      <c r="AT216" s="79"/>
      <c r="AU216" s="79"/>
      <c r="AV216" s="79"/>
      <c r="AW216" s="79"/>
      <c r="AX216" s="128" t="n">
        <f aca="false">SUM(AQ216:AW216)</f>
        <v>0</v>
      </c>
      <c r="AY216" s="79"/>
      <c r="AZ216" s="79"/>
      <c r="BA216" s="79"/>
      <c r="BB216" s="79"/>
      <c r="BC216" s="79"/>
      <c r="BD216" s="128" t="n">
        <f aca="false">SUM(AY216:BC216)</f>
        <v>0</v>
      </c>
      <c r="BE216" s="130"/>
      <c r="BF216" s="6" t="n">
        <f aca="false">AC216+X216+AI216+AP216+AX216+BD216</f>
        <v>717578.88</v>
      </c>
      <c r="BG216" s="131" t="n">
        <f aca="false">+N216-BF216</f>
        <v>0</v>
      </c>
    </row>
    <row r="217" customFormat="false" ht="12.75" hidden="false" customHeight="false" outlineLevel="0" collapsed="false">
      <c r="A217" s="204" t="s">
        <v>1061</v>
      </c>
      <c r="B217" s="204"/>
      <c r="C217" s="205" t="n">
        <v>44783</v>
      </c>
      <c r="D217" s="205"/>
      <c r="E217" s="206" t="s">
        <v>325</v>
      </c>
      <c r="F217" s="206" t="s">
        <v>1062</v>
      </c>
      <c r="G217" s="206" t="s">
        <v>1065</v>
      </c>
      <c r="H217" s="207"/>
      <c r="I217" s="209"/>
      <c r="J217" s="207" t="s">
        <v>1066</v>
      </c>
      <c r="K217" s="207" t="s">
        <v>798</v>
      </c>
      <c r="L217" s="208"/>
      <c r="M217" s="208" t="n">
        <v>0</v>
      </c>
      <c r="N217" s="208" t="n">
        <v>9</v>
      </c>
      <c r="P217" s="208"/>
      <c r="Q217" s="208" t="n">
        <v>9</v>
      </c>
      <c r="R217" s="79"/>
      <c r="S217" s="79" t="n">
        <v>0</v>
      </c>
      <c r="T217" s="79"/>
      <c r="U217" s="79"/>
      <c r="V217" s="79"/>
      <c r="W217" s="79"/>
      <c r="X217" s="128" t="n">
        <f aca="false">SUM(S217:W217)</f>
        <v>0</v>
      </c>
      <c r="Y217" s="79"/>
      <c r="Z217" s="79"/>
      <c r="AA217" s="79"/>
      <c r="AB217" s="79"/>
      <c r="AC217" s="128" t="n">
        <f aca="false">SUM(Y217:AB217)</f>
        <v>0</v>
      </c>
      <c r="AD217" s="79" t="n">
        <v>9</v>
      </c>
      <c r="AE217" s="79"/>
      <c r="AF217" s="79"/>
      <c r="AG217" s="79"/>
      <c r="AH217" s="79"/>
      <c r="AI217" s="128" t="n">
        <f aca="false">SUM(AD217:AH217)</f>
        <v>9</v>
      </c>
      <c r="AJ217" s="79"/>
      <c r="AK217" s="193"/>
      <c r="AL217" s="79"/>
      <c r="AM217" s="79"/>
      <c r="AN217" s="79"/>
      <c r="AO217" s="79"/>
      <c r="AP217" s="128" t="n">
        <f aca="false">SUM(AJ217:AO217)</f>
        <v>0</v>
      </c>
      <c r="AQ217" s="79"/>
      <c r="AR217" s="79"/>
      <c r="AS217" s="79"/>
      <c r="AT217" s="79"/>
      <c r="AU217" s="79"/>
      <c r="AV217" s="79"/>
      <c r="AW217" s="79"/>
      <c r="AX217" s="128" t="n">
        <f aca="false">SUM(AQ217:AW217)</f>
        <v>0</v>
      </c>
      <c r="AY217" s="79"/>
      <c r="AZ217" s="79"/>
      <c r="BA217" s="79"/>
      <c r="BB217" s="79"/>
      <c r="BC217" s="79"/>
      <c r="BD217" s="128" t="n">
        <f aca="false">SUM(AY217:BC217)</f>
        <v>0</v>
      </c>
      <c r="BE217" s="130"/>
      <c r="BF217" s="6" t="n">
        <f aca="false">AC217+X217+AI217+AP217+AX217+BD217</f>
        <v>9</v>
      </c>
      <c r="BG217" s="131" t="n">
        <f aca="false">+N217-BF217</f>
        <v>0</v>
      </c>
    </row>
    <row r="218" customFormat="false" ht="12.75" hidden="false" customHeight="false" outlineLevel="0" collapsed="false">
      <c r="A218" s="204" t="s">
        <v>1061</v>
      </c>
      <c r="B218" s="204"/>
      <c r="C218" s="205" t="n">
        <v>44973</v>
      </c>
      <c r="D218" s="205"/>
      <c r="E218" s="206" t="s">
        <v>1071</v>
      </c>
      <c r="F218" s="206" t="s">
        <v>1062</v>
      </c>
      <c r="G218" s="206" t="s">
        <v>1065</v>
      </c>
      <c r="H218" s="207"/>
      <c r="I218" s="209"/>
      <c r="J218" s="207" t="s">
        <v>1072</v>
      </c>
      <c r="K218" s="207" t="s">
        <v>798</v>
      </c>
      <c r="L218" s="208"/>
      <c r="M218" s="208"/>
      <c r="N218" s="208" t="n">
        <v>6400000</v>
      </c>
      <c r="P218" s="208"/>
      <c r="Q218" s="208" t="n">
        <v>6400000</v>
      </c>
      <c r="R218" s="79"/>
      <c r="S218" s="79" t="n">
        <v>0</v>
      </c>
      <c r="T218" s="79"/>
      <c r="U218" s="79"/>
      <c r="V218" s="79"/>
      <c r="W218" s="79"/>
      <c r="X218" s="128" t="n">
        <f aca="false">SUM(S218:W218)</f>
        <v>0</v>
      </c>
      <c r="Y218" s="79"/>
      <c r="Z218" s="79"/>
      <c r="AA218" s="79"/>
      <c r="AB218" s="79"/>
      <c r="AC218" s="128" t="n">
        <f aca="false">SUM(Y218:AB218)</f>
        <v>0</v>
      </c>
      <c r="AD218" s="79"/>
      <c r="AE218" s="79"/>
      <c r="AF218" s="79" t="n">
        <v>6400000</v>
      </c>
      <c r="AG218" s="79"/>
      <c r="AH218" s="79"/>
      <c r="AI218" s="128" t="n">
        <f aca="false">SUM(AD218:AH218)</f>
        <v>6400000</v>
      </c>
      <c r="AJ218" s="79"/>
      <c r="AK218" s="193"/>
      <c r="AL218" s="79"/>
      <c r="AM218" s="79"/>
      <c r="AN218" s="79"/>
      <c r="AO218" s="79"/>
      <c r="AP218" s="128" t="n">
        <f aca="false">SUM(AJ218:AO218)</f>
        <v>0</v>
      </c>
      <c r="AQ218" s="79"/>
      <c r="AR218" s="79"/>
      <c r="AS218" s="79"/>
      <c r="AT218" s="79"/>
      <c r="AU218" s="79"/>
      <c r="AV218" s="79"/>
      <c r="AW218" s="79"/>
      <c r="AX218" s="128" t="n">
        <f aca="false">SUM(AQ218:AW218)</f>
        <v>0</v>
      </c>
      <c r="AY218" s="79"/>
      <c r="AZ218" s="79"/>
      <c r="BA218" s="79"/>
      <c r="BB218" s="79"/>
      <c r="BC218" s="79"/>
      <c r="BD218" s="128" t="n">
        <f aca="false">SUM(AY218:BC218)</f>
        <v>0</v>
      </c>
      <c r="BE218" s="130"/>
      <c r="BF218" s="6" t="n">
        <f aca="false">AC218+X218+AI218+AP218+AX218+BD218</f>
        <v>6400000</v>
      </c>
      <c r="BG218" s="131" t="n">
        <f aca="false">+N218-BF218</f>
        <v>0</v>
      </c>
    </row>
    <row r="219" customFormat="false" ht="12.75" hidden="false" customHeight="false" outlineLevel="0" collapsed="false">
      <c r="A219" s="204" t="s">
        <v>1061</v>
      </c>
      <c r="B219" s="204"/>
      <c r="C219" s="205" t="n">
        <v>45307</v>
      </c>
      <c r="D219" s="205"/>
      <c r="E219" s="206" t="s">
        <v>1073</v>
      </c>
      <c r="F219" s="206" t="s">
        <v>1062</v>
      </c>
      <c r="G219" s="206" t="s">
        <v>1065</v>
      </c>
      <c r="H219" s="207"/>
      <c r="I219" s="209"/>
      <c r="J219" s="207" t="s">
        <v>982</v>
      </c>
      <c r="K219" s="207" t="s">
        <v>798</v>
      </c>
      <c r="L219" s="208"/>
      <c r="M219" s="208"/>
      <c r="N219" s="208" t="n">
        <v>4521000</v>
      </c>
      <c r="P219" s="208"/>
      <c r="Q219" s="208" t="n">
        <v>4521000</v>
      </c>
      <c r="R219" s="79"/>
      <c r="S219" s="79" t="n">
        <v>0</v>
      </c>
      <c r="T219" s="79"/>
      <c r="U219" s="79"/>
      <c r="V219" s="79"/>
      <c r="W219" s="79"/>
      <c r="X219" s="128" t="n">
        <f aca="false">SUM(S219:W219)</f>
        <v>0</v>
      </c>
      <c r="Y219" s="79"/>
      <c r="Z219" s="79"/>
      <c r="AA219" s="79"/>
      <c r="AB219" s="79"/>
      <c r="AC219" s="128" t="n">
        <f aca="false">SUM(Y219:AB219)</f>
        <v>0</v>
      </c>
      <c r="AD219" s="79"/>
      <c r="AE219" s="79"/>
      <c r="AF219" s="79"/>
      <c r="AG219" s="79"/>
      <c r="AH219" s="79"/>
      <c r="AI219" s="128" t="n">
        <f aca="false">SUM(AD219:AH219)</f>
        <v>0</v>
      </c>
      <c r="AJ219" s="79"/>
      <c r="AK219" s="193"/>
      <c r="AL219" s="79"/>
      <c r="AM219" s="178" t="n">
        <v>4521000</v>
      </c>
      <c r="AN219" s="79"/>
      <c r="AO219" s="79"/>
      <c r="AP219" s="128" t="n">
        <f aca="false">SUM(AJ219:AO219)</f>
        <v>4521000</v>
      </c>
      <c r="AQ219" s="79"/>
      <c r="AR219" s="79"/>
      <c r="AS219" s="178"/>
      <c r="AT219" s="79"/>
      <c r="AU219" s="79"/>
      <c r="AV219" s="79"/>
      <c r="AW219" s="79"/>
      <c r="AX219" s="128" t="n">
        <f aca="false">SUM(AQ219:AW219)</f>
        <v>0</v>
      </c>
      <c r="AY219" s="178"/>
      <c r="AZ219" s="79"/>
      <c r="BA219" s="79"/>
      <c r="BB219" s="79"/>
      <c r="BC219" s="79"/>
      <c r="BD219" s="128" t="n">
        <f aca="false">SUM(AY219:BC219)</f>
        <v>0</v>
      </c>
      <c r="BE219" s="130"/>
      <c r="BF219" s="6" t="n">
        <f aca="false">AC219+X219+AI219+AP219+AX219+BD219</f>
        <v>4521000</v>
      </c>
      <c r="BG219" s="131" t="n">
        <f aca="false">+N219-BF219</f>
        <v>0</v>
      </c>
    </row>
    <row r="220" customFormat="false" ht="12.75" hidden="false" customHeight="false" outlineLevel="0" collapsed="false">
      <c r="A220" s="204"/>
      <c r="B220" s="204"/>
      <c r="C220" s="205"/>
      <c r="D220" s="205"/>
      <c r="E220" s="206"/>
      <c r="F220" s="206"/>
      <c r="G220" s="206"/>
      <c r="H220" s="207"/>
      <c r="I220" s="209"/>
      <c r="J220" s="207"/>
      <c r="K220" s="207"/>
      <c r="L220" s="208"/>
      <c r="M220" s="208"/>
      <c r="N220" s="208"/>
      <c r="P220" s="208"/>
      <c r="Q220" s="208"/>
      <c r="R220" s="79"/>
      <c r="S220" s="79"/>
      <c r="T220" s="79"/>
      <c r="U220" s="79"/>
      <c r="V220" s="79"/>
      <c r="W220" s="79"/>
      <c r="X220" s="128"/>
      <c r="Y220" s="79"/>
      <c r="Z220" s="79"/>
      <c r="AA220" s="79"/>
      <c r="AB220" s="79"/>
      <c r="AC220" s="128"/>
      <c r="AD220" s="79"/>
      <c r="AE220" s="79"/>
      <c r="AF220" s="79"/>
      <c r="AG220" s="79"/>
      <c r="AH220" s="79"/>
      <c r="AI220" s="128"/>
      <c r="AJ220" s="79"/>
      <c r="AK220" s="193"/>
      <c r="AL220" s="79"/>
      <c r="AM220" s="79"/>
      <c r="AN220" s="79"/>
      <c r="AO220" s="79"/>
      <c r="AP220" s="128"/>
      <c r="AQ220" s="79"/>
      <c r="AR220" s="79"/>
      <c r="AS220" s="79"/>
      <c r="AT220" s="79"/>
      <c r="AU220" s="79"/>
      <c r="AV220" s="79"/>
      <c r="AW220" s="79"/>
      <c r="AX220" s="128"/>
      <c r="AY220" s="79"/>
      <c r="AZ220" s="79"/>
      <c r="BA220" s="79"/>
      <c r="BB220" s="79"/>
      <c r="BC220" s="79"/>
      <c r="BD220" s="128" t="n">
        <f aca="false">SUM(AY220:BC220)</f>
        <v>0</v>
      </c>
      <c r="BE220" s="130"/>
      <c r="BF220" s="6" t="n">
        <f aca="false">AC220+X220+AI220+AP220+AX220+BD220</f>
        <v>0</v>
      </c>
      <c r="BG220" s="131" t="n">
        <f aca="false">+N220-BF220</f>
        <v>0</v>
      </c>
    </row>
    <row r="221" customFormat="false" ht="12.75" hidden="false" customHeight="false" outlineLevel="0" collapsed="false">
      <c r="I221" s="1"/>
      <c r="J221" s="59"/>
      <c r="K221" s="59"/>
      <c r="R221" s="6"/>
      <c r="S221" s="6"/>
      <c r="T221" s="6"/>
      <c r="U221" s="6"/>
      <c r="V221" s="6"/>
      <c r="W221" s="6"/>
      <c r="X221" s="128" t="n">
        <f aca="false">SUM(S221:W221)</f>
        <v>0</v>
      </c>
      <c r="Y221" s="6"/>
      <c r="Z221" s="6"/>
      <c r="AA221" s="6"/>
      <c r="AB221" s="6"/>
      <c r="AC221" s="128" t="n">
        <f aca="false">SUM(Y221:AB221)</f>
        <v>0</v>
      </c>
      <c r="AD221" s="6"/>
      <c r="AE221" s="6"/>
      <c r="AF221" s="6"/>
      <c r="AG221" s="6"/>
      <c r="AH221" s="6"/>
      <c r="AI221" s="128" t="n">
        <f aca="false">SUM(AD221:AH221)</f>
        <v>0</v>
      </c>
      <c r="AJ221" s="6"/>
      <c r="AK221" s="129"/>
      <c r="AL221" s="6"/>
      <c r="AM221" s="6"/>
      <c r="AN221" s="6"/>
      <c r="AO221" s="6"/>
      <c r="AP221" s="128" t="n">
        <f aca="false">SUM(AJ221:AO221)</f>
        <v>0</v>
      </c>
      <c r="AQ221" s="6"/>
      <c r="AR221" s="6"/>
      <c r="AS221" s="6"/>
      <c r="AT221" s="6"/>
      <c r="AU221" s="6"/>
      <c r="AV221" s="6"/>
      <c r="AW221" s="6"/>
      <c r="AX221" s="128" t="n">
        <f aca="false">SUM(AQ221:AW221)</f>
        <v>0</v>
      </c>
      <c r="AY221" s="6"/>
      <c r="AZ221" s="6"/>
      <c r="BA221" s="6"/>
      <c r="BB221" s="6"/>
      <c r="BC221" s="6"/>
      <c r="BD221" s="128" t="n">
        <f aca="false">SUM(AY221:BC221)</f>
        <v>0</v>
      </c>
      <c r="BE221" s="130"/>
      <c r="BF221" s="6" t="n">
        <f aca="false">AC221+X221+AI221+AP221+AX221+BD221</f>
        <v>0</v>
      </c>
      <c r="BG221" s="131" t="n">
        <f aca="false">+N221-BF221</f>
        <v>0</v>
      </c>
    </row>
    <row r="222" customFormat="false" ht="12.75" hidden="false" customHeight="false" outlineLevel="0" collapsed="false">
      <c r="A222" s="7" t="s">
        <v>1074</v>
      </c>
      <c r="B222" s="7"/>
      <c r="I222" s="1"/>
      <c r="J222" s="59"/>
      <c r="K222" s="59"/>
      <c r="L222" s="210" t="n">
        <f aca="false">SUM(L15:L221)</f>
        <v>309025533.52</v>
      </c>
      <c r="M222" s="210" t="n">
        <f aca="false">SUM(M15:M221)</f>
        <v>32000000</v>
      </c>
      <c r="N222" s="210" t="n">
        <f aca="false">SUM(N15:N221)</f>
        <v>308025228.51</v>
      </c>
      <c r="P222" s="211" t="n">
        <f aca="false">SUM(P15:P221)</f>
        <v>281025228.51</v>
      </c>
      <c r="Q222" s="211" t="n">
        <f aca="false">SUM(Q15:Q221)</f>
        <v>27000000</v>
      </c>
      <c r="R222" s="42" t="s">
        <v>1075</v>
      </c>
      <c r="S222" s="212" t="n">
        <f aca="false">SUM(S15:S221)</f>
        <v>8320000</v>
      </c>
      <c r="T222" s="212" t="n">
        <f aca="false">SUM(T15:T221)</f>
        <v>13899249</v>
      </c>
      <c r="U222" s="212" t="n">
        <f aca="false">SUM(U15:U221)</f>
        <v>21060425</v>
      </c>
      <c r="V222" s="212" t="n">
        <f aca="false">SUM(V15:V221)</f>
        <v>4171000</v>
      </c>
      <c r="W222" s="212" t="n">
        <f aca="false">SUM(W15:W221)</f>
        <v>12987682</v>
      </c>
      <c r="X222" s="213" t="n">
        <f aca="false">SUM(X15:X221)</f>
        <v>60438356</v>
      </c>
      <c r="Y222" s="214" t="n">
        <f aca="false">SUM(Y15:Y221)</f>
        <v>11240000</v>
      </c>
      <c r="Z222" s="212" t="n">
        <f aca="false">SUM(Z15:Z221)</f>
        <v>8937978.2</v>
      </c>
      <c r="AA222" s="212" t="n">
        <f aca="false">SUM(AA15:AA221)</f>
        <v>7244571.22</v>
      </c>
      <c r="AB222" s="215" t="n">
        <f aca="false">SUM(AB15:AB221)</f>
        <v>13934062.29</v>
      </c>
      <c r="AC222" s="213" t="n">
        <f aca="false">SUM(AC15:AC221)</f>
        <v>41356611.71</v>
      </c>
      <c r="AD222" s="214" t="n">
        <f aca="false">SUM(AD15:AD221)</f>
        <v>12107763.05</v>
      </c>
      <c r="AE222" s="212" t="n">
        <f aca="false">SUM(AE15:AE221)</f>
        <v>14352496.15</v>
      </c>
      <c r="AF222" s="212" t="n">
        <f aca="false">SUM(AF15:AF221)</f>
        <v>6400000</v>
      </c>
      <c r="AG222" s="212" t="n">
        <f aca="false">SUM(AG15:AG221)</f>
        <v>6442483.21</v>
      </c>
      <c r="AH222" s="215" t="n">
        <f aca="false">SUM(AH15:AH221)</f>
        <v>9309384.7497067</v>
      </c>
      <c r="AI222" s="213" t="n">
        <f aca="false">SUM(AI15:AI221)</f>
        <v>48612127.1597067</v>
      </c>
      <c r="AJ222" s="212" t="n">
        <f aca="false">SUM(AJ15:AJ221)</f>
        <v>10103699.48</v>
      </c>
      <c r="AK222" s="216" t="n">
        <f aca="false">SUM(AK15:AK221)</f>
        <v>-85000</v>
      </c>
      <c r="AL222" s="215" t="n">
        <f aca="false">SUM(AL15:AL221)</f>
        <v>22557753.4</v>
      </c>
      <c r="AM222" s="215" t="n">
        <f aca="false">SUM(AM15:AM221)</f>
        <v>12056527.8</v>
      </c>
      <c r="AN222" s="215" t="n">
        <f aca="false">SUM(AN15:AN221)</f>
        <v>9112124.65</v>
      </c>
      <c r="AO222" s="215" t="n">
        <f aca="false">SUM(AO15:AO221)</f>
        <v>1620801.75</v>
      </c>
      <c r="AP222" s="213" t="n">
        <f aca="false">SUM(AP15:AP221)</f>
        <v>55365907.08</v>
      </c>
      <c r="AQ222" s="212" t="n">
        <f aca="false">SUM(AQ15:AQ221)</f>
        <v>12235685.97</v>
      </c>
      <c r="AR222" s="215" t="n">
        <f aca="false">SUM(AR15:AR221)</f>
        <v>9467933.33</v>
      </c>
      <c r="AS222" s="215" t="n">
        <f aca="false">SUM(AS15:AS221)</f>
        <v>4749428.78</v>
      </c>
      <c r="AT222" s="215" t="n">
        <f aca="false">SUM(AT15:AT221)</f>
        <v>11342673.15</v>
      </c>
      <c r="AU222" s="215" t="n">
        <f aca="false">SUM(AU15:AU221)</f>
        <v>4470000</v>
      </c>
      <c r="AV222" s="215" t="n">
        <f aca="false">SUM(AV15:AV221)</f>
        <v>6911766.45</v>
      </c>
      <c r="AW222" s="215" t="n">
        <f aca="false">SUM(AW15:AW221)</f>
        <v>6034338.9</v>
      </c>
      <c r="AX222" s="213" t="n">
        <f aca="false">SUM(AX15:AX221)</f>
        <v>55211826.58</v>
      </c>
      <c r="AY222" s="215" t="n">
        <f aca="false">SUM(AY15:AY221)</f>
        <v>8724031.45</v>
      </c>
      <c r="AZ222" s="215" t="n">
        <f aca="false">SUM(AZ15:AZ221)</f>
        <v>0</v>
      </c>
      <c r="BA222" s="215" t="n">
        <f aca="false">SUM(BA15:BA221)</f>
        <v>0</v>
      </c>
      <c r="BB222" s="215" t="n">
        <f aca="false">SUM(BB15:BB221)</f>
        <v>0</v>
      </c>
      <c r="BC222" s="215" t="n">
        <f aca="false">SUM(BC15:BC221)</f>
        <v>0</v>
      </c>
      <c r="BD222" s="213" t="n">
        <f aca="false">SUM(BD15:BD221)</f>
        <v>8724031.45</v>
      </c>
      <c r="BE222" s="130"/>
      <c r="BF222" s="212" t="n">
        <f aca="false">SUM(BF15:BF221)</f>
        <v>269708859.979707</v>
      </c>
      <c r="BG222" s="217" t="n">
        <f aca="false">SUM(BG15:BG221)</f>
        <v>38316368.5302933</v>
      </c>
    </row>
    <row r="223" customFormat="false" ht="12.75" hidden="false" customHeight="false" outlineLevel="0" collapsed="false">
      <c r="I223" s="1"/>
      <c r="J223" s="59"/>
      <c r="M223" s="47" t="s">
        <v>1076</v>
      </c>
      <c r="N223" s="47" t="n">
        <f aca="false">N222-SUM('[1]CA2 ADP'!E145+'[1]CA2 HQ '!C19)</f>
        <v>0</v>
      </c>
      <c r="P223" s="47" t="n">
        <f aca="false">P222-'[1]CA2 ADP'!E145</f>
        <v>0</v>
      </c>
      <c r="Q223" s="5" t="n">
        <f aca="false">Q222-'[1]CA2 HQ '!C19</f>
        <v>0</v>
      </c>
      <c r="R223" s="6"/>
      <c r="S223" s="6"/>
      <c r="T223" s="6"/>
      <c r="U223" s="218"/>
      <c r="V223" s="5"/>
      <c r="W223" s="218"/>
      <c r="X223" s="219"/>
      <c r="Y223" s="6"/>
      <c r="Z223" s="6"/>
      <c r="AA223" s="220" t="s">
        <v>1077</v>
      </c>
      <c r="AB223" s="48" t="n">
        <v>13849062.29</v>
      </c>
      <c r="AC223" s="219"/>
      <c r="AD223" s="6" t="n">
        <f aca="false">2297098.06+9810664.99</f>
        <v>12107763.05</v>
      </c>
      <c r="AE223" s="6"/>
      <c r="AF223" s="218"/>
      <c r="AG223" s="218"/>
      <c r="AH223" s="5"/>
      <c r="AI223" s="219"/>
      <c r="AJ223" s="5"/>
      <c r="AK223" s="221"/>
      <c r="AL223" s="5"/>
      <c r="AM223" s="5"/>
      <c r="AN223" s="5"/>
      <c r="AO223" s="5"/>
      <c r="AP223" s="219"/>
      <c r="AQ223" s="5"/>
      <c r="AR223" s="5"/>
      <c r="AS223" s="5"/>
      <c r="AT223" s="5"/>
      <c r="AU223" s="5"/>
      <c r="AV223" s="5"/>
      <c r="AW223" s="5"/>
      <c r="AX223" s="219"/>
      <c r="AY223" s="5"/>
      <c r="AZ223" s="5"/>
      <c r="BA223" s="5"/>
      <c r="BB223" s="5"/>
      <c r="BC223" s="5"/>
      <c r="BD223" s="219"/>
      <c r="BE223" s="6"/>
      <c r="BG223" s="61" t="n">
        <f aca="false">BF222+BG222</f>
        <v>308025228.51</v>
      </c>
    </row>
    <row r="224" customFormat="false" ht="12.75" hidden="false" customHeight="false" outlineLevel="0" collapsed="false">
      <c r="A224" s="7" t="s">
        <v>1078</v>
      </c>
      <c r="B224" s="7"/>
      <c r="F224" s="222"/>
      <c r="G224" s="144"/>
      <c r="H224" s="145"/>
      <c r="I224" s="1"/>
      <c r="J224" s="59"/>
      <c r="K224" s="223"/>
      <c r="L224" s="5" t="n">
        <v>-27000000</v>
      </c>
      <c r="S224" s="6"/>
      <c r="T224" s="6"/>
      <c r="U224" s="6"/>
      <c r="V224" s="6"/>
      <c r="W224" s="6"/>
      <c r="X224" s="128"/>
      <c r="Y224" s="5"/>
      <c r="Z224" s="6"/>
      <c r="AA224" s="224" t="s">
        <v>1079</v>
      </c>
      <c r="AB224" s="225" t="n">
        <f aca="false">AB222-AB223</f>
        <v>85000</v>
      </c>
      <c r="AC224" s="128"/>
      <c r="AD224" s="224" t="s">
        <v>1080</v>
      </c>
      <c r="AE224" s="9"/>
      <c r="AF224" s="6"/>
      <c r="AG224" s="6"/>
      <c r="AH224" s="6"/>
      <c r="AI224" s="128"/>
      <c r="AJ224" s="6"/>
      <c r="AK224" s="129"/>
      <c r="AL224" s="6"/>
      <c r="AM224" s="6"/>
      <c r="AN224" s="6"/>
      <c r="AO224" s="6"/>
      <c r="AP224" s="128"/>
      <c r="AQ224" s="6"/>
      <c r="AR224" s="6"/>
      <c r="AS224" s="6"/>
      <c r="AT224" s="6"/>
      <c r="AU224" s="6"/>
      <c r="AV224" s="6"/>
      <c r="AW224" s="6"/>
      <c r="AX224" s="128"/>
      <c r="AY224" s="6"/>
      <c r="AZ224" s="6"/>
      <c r="BA224" s="6"/>
      <c r="BB224" s="6"/>
      <c r="BC224" s="6"/>
      <c r="BD224" s="128"/>
      <c r="BE224" s="6"/>
      <c r="BF224" s="47" t="s">
        <v>1076</v>
      </c>
      <c r="BG224" s="154" t="n">
        <f aca="false">BG223-N222</f>
        <v>0</v>
      </c>
    </row>
    <row r="225" customFormat="false" ht="12.75" hidden="false" customHeight="false" outlineLevel="0" collapsed="false">
      <c r="I225" s="1"/>
      <c r="J225" s="226"/>
      <c r="K225" s="223"/>
      <c r="M225" s="227"/>
      <c r="N225" s="157" t="s">
        <v>1081</v>
      </c>
      <c r="P225" s="6"/>
      <c r="Q225" s="6"/>
      <c r="R225" s="228" t="s">
        <v>805</v>
      </c>
      <c r="S225" s="6"/>
      <c r="T225" s="6"/>
      <c r="U225" s="6"/>
      <c r="V225" s="6"/>
      <c r="W225" s="6"/>
      <c r="X225" s="128" t="n">
        <f aca="false">+'[1]CA2 ADP'!L147</f>
        <v>52438356</v>
      </c>
      <c r="Y225" s="5"/>
      <c r="Z225" s="6"/>
      <c r="AA225" s="88"/>
      <c r="AB225" s="229" t="s">
        <v>1082</v>
      </c>
      <c r="AC225" s="128" t="n">
        <f aca="false">+'[1]CA2 ADP'!Q147</f>
        <v>33995199.59</v>
      </c>
      <c r="AD225" s="230" t="s">
        <v>1083</v>
      </c>
      <c r="AE225" s="47"/>
      <c r="AF225" s="6"/>
      <c r="AG225" s="6"/>
      <c r="AH225" s="6"/>
      <c r="AI225" s="128" t="n">
        <f aca="false">+'[1]CA2 ADP'!V147</f>
        <v>41494539.2797067</v>
      </c>
      <c r="AJ225" s="6"/>
      <c r="AK225" s="129"/>
      <c r="AL225" s="6"/>
      <c r="AN225" s="6"/>
      <c r="AO225" s="228" t="s">
        <v>805</v>
      </c>
      <c r="AP225" s="128" t="n">
        <f aca="false">+'[1]CA2 ADP'!AC147-AP53-AP133</f>
        <v>49585133.8</v>
      </c>
      <c r="AQ225" s="6"/>
      <c r="AR225" s="6"/>
      <c r="AT225" s="6"/>
      <c r="AU225" s="228"/>
      <c r="AV225" s="228"/>
      <c r="AW225" s="228"/>
      <c r="AX225" s="128" t="n">
        <f aca="false">+'[1]CA2 ADP'!AK147-AX226</f>
        <v>49923770.8</v>
      </c>
      <c r="AZ225" s="6"/>
      <c r="BA225" s="228"/>
      <c r="BB225" s="228"/>
      <c r="BC225" s="228"/>
      <c r="BD225" s="128" t="n">
        <f aca="false">+'[1]CA2 ADP'!AQ147-BD226</f>
        <v>7023460.24</v>
      </c>
      <c r="BE225" s="6"/>
      <c r="BG225" s="6"/>
    </row>
    <row r="226" customFormat="false" ht="12.75" hidden="false" customHeight="false" outlineLevel="0" collapsed="false">
      <c r="A226" s="7" t="s">
        <v>1084</v>
      </c>
      <c r="B226" s="7"/>
      <c r="C226" s="231"/>
      <c r="D226" s="231"/>
      <c r="E226" s="44"/>
      <c r="I226" s="218"/>
      <c r="J226" s="232"/>
      <c r="K226" s="223"/>
      <c r="L226" s="5" t="n">
        <f aca="false">+L222+L224</f>
        <v>282025533.52</v>
      </c>
      <c r="N226" s="5" t="n">
        <f aca="false">L222-N222-0.01</f>
        <v>1000305.00000005</v>
      </c>
      <c r="P226" s="218"/>
      <c r="R226" s="228" t="s">
        <v>1085</v>
      </c>
      <c r="S226" s="6"/>
      <c r="T226" s="6"/>
      <c r="U226" s="6"/>
      <c r="V226" s="6"/>
      <c r="W226" s="6"/>
      <c r="X226" s="128" t="n">
        <f aca="false">+'[1]CA2 HQ '!J21</f>
        <v>8000000</v>
      </c>
      <c r="Y226" s="5"/>
      <c r="Z226" s="6"/>
      <c r="AA226" s="6"/>
      <c r="AB226" s="6"/>
      <c r="AC226" s="128" t="n">
        <f aca="false">+'[1]CA2 HQ '!O21</f>
        <v>7361412.12</v>
      </c>
      <c r="AD226" s="5"/>
      <c r="AE226" s="6"/>
      <c r="AF226" s="6"/>
      <c r="AG226" s="6"/>
      <c r="AH226" s="6"/>
      <c r="AI226" s="128" t="n">
        <f aca="false">+'[1]CA2 HQ '!R21</f>
        <v>7117587.88</v>
      </c>
      <c r="AJ226" s="6"/>
      <c r="AK226" s="129"/>
      <c r="AL226" s="6"/>
      <c r="AN226" s="6"/>
      <c r="AO226" s="228" t="s">
        <v>1086</v>
      </c>
      <c r="AP226" s="128" t="n">
        <f aca="false">+'[1]CA2 HQ '!T21+AP53+AP133</f>
        <v>5780773.28</v>
      </c>
      <c r="AQ226" s="6"/>
      <c r="AR226" s="6"/>
      <c r="AT226" s="6"/>
      <c r="AU226" s="228"/>
      <c r="AV226" s="228"/>
      <c r="AW226" s="228"/>
      <c r="AX226" s="128" t="n">
        <f aca="false">+AX6</f>
        <v>5288055.78</v>
      </c>
      <c r="AZ226" s="6"/>
      <c r="BA226" s="228"/>
      <c r="BB226" s="228"/>
      <c r="BC226" s="228"/>
      <c r="BD226" s="128" t="n">
        <f aca="false">+BD6+'[1]CA2 HQ '!Z21</f>
        <v>1700571.21</v>
      </c>
      <c r="BE226" s="6"/>
    </row>
    <row r="227" customFormat="false" ht="12.75" hidden="false" customHeight="false" outlineLevel="0" collapsed="false">
      <c r="H227" s="218"/>
      <c r="I227" s="1"/>
      <c r="J227" s="232"/>
      <c r="K227" s="223"/>
      <c r="N227" s="5" t="n">
        <f aca="false">+M2+M3</f>
        <v>1000305</v>
      </c>
      <c r="O227" s="68"/>
      <c r="S227" s="6"/>
      <c r="T227" s="6"/>
      <c r="U227" s="6"/>
      <c r="V227" s="6"/>
      <c r="W227" s="6"/>
      <c r="X227" s="233" t="n">
        <f aca="false">SUM(X225:X226)</f>
        <v>60438356</v>
      </c>
      <c r="Y227" s="5"/>
      <c r="Z227" s="6"/>
      <c r="AA227" s="6"/>
      <c r="AB227" s="6"/>
      <c r="AC227" s="233" t="n">
        <f aca="false">SUM(AC225:AC226)</f>
        <v>41356611.71</v>
      </c>
      <c r="AD227" s="5"/>
      <c r="AE227" s="6"/>
      <c r="AF227" s="6"/>
      <c r="AG227" s="6"/>
      <c r="AH227" s="6"/>
      <c r="AI227" s="233" t="n">
        <f aca="false">SUM(AI225:AI226)</f>
        <v>48612127.1597067</v>
      </c>
      <c r="AJ227" s="6"/>
      <c r="AK227" s="129"/>
      <c r="AL227" s="6"/>
      <c r="AM227" s="6"/>
      <c r="AN227" s="6"/>
      <c r="AO227" s="6"/>
      <c r="AP227" s="233" t="n">
        <f aca="false">SUM(AP225:AP226)</f>
        <v>55365907.08</v>
      </c>
      <c r="AQ227" s="6"/>
      <c r="AR227" s="6"/>
      <c r="AS227" s="6"/>
      <c r="AT227" s="6"/>
      <c r="AU227" s="6"/>
      <c r="AV227" s="6"/>
      <c r="AW227" s="6"/>
      <c r="AX227" s="233" t="n">
        <f aca="false">SUM(AX225:AX226)</f>
        <v>55211826.58</v>
      </c>
      <c r="AY227" s="6"/>
      <c r="AZ227" s="6"/>
      <c r="BA227" s="6"/>
      <c r="BB227" s="6"/>
      <c r="BC227" s="6"/>
      <c r="BD227" s="233" t="n">
        <f aca="false">SUM(BD225:BD226)</f>
        <v>8724031.45</v>
      </c>
      <c r="BE227" s="6"/>
    </row>
    <row r="228" customFormat="false" ht="12.75" hidden="false" customHeight="false" outlineLevel="0" collapsed="false">
      <c r="A228" s="58" t="s">
        <v>1087</v>
      </c>
      <c r="C228" s="4"/>
      <c r="D228" s="4"/>
      <c r="H228" s="218"/>
      <c r="I228" s="1"/>
      <c r="J228" s="223"/>
      <c r="K228" s="223"/>
      <c r="L228" s="234" t="n">
        <v>282025533.34</v>
      </c>
      <c r="M228" s="68"/>
      <c r="N228" s="42" t="n">
        <f aca="false">+N226-N227</f>
        <v>5.0058588385582E-008</v>
      </c>
      <c r="S228" s="235"/>
      <c r="T228" s="235"/>
      <c r="U228" s="235"/>
      <c r="V228" s="235"/>
      <c r="W228" s="47" t="s">
        <v>1076</v>
      </c>
      <c r="X228" s="48" t="n">
        <f aca="false">X222-X227</f>
        <v>0</v>
      </c>
      <c r="Y228" s="235"/>
      <c r="Z228" s="235"/>
      <c r="AA228" s="235"/>
      <c r="AB228" s="235"/>
      <c r="AC228" s="48" t="n">
        <f aca="false">AC222-AC227</f>
        <v>0</v>
      </c>
      <c r="AD228" s="235"/>
      <c r="AE228" s="235"/>
      <c r="AF228" s="235"/>
      <c r="AG228" s="235"/>
      <c r="AH228" s="235"/>
      <c r="AI228" s="48" t="n">
        <f aca="false">AI222-AI227</f>
        <v>0</v>
      </c>
      <c r="AJ228" s="235"/>
      <c r="AK228" s="236"/>
      <c r="AL228" s="235"/>
      <c r="AM228" s="235"/>
      <c r="AN228" s="235"/>
      <c r="AO228" s="235"/>
      <c r="AP228" s="48" t="n">
        <f aca="false">AP222-AP227</f>
        <v>0</v>
      </c>
      <c r="AQ228" s="235"/>
      <c r="AR228" s="235"/>
      <c r="AS228" s="235"/>
      <c r="AT228" s="235"/>
      <c r="AU228" s="235"/>
      <c r="AV228" s="235"/>
      <c r="AW228" s="235"/>
      <c r="AX228" s="48" t="n">
        <f aca="false">AX222-AX227</f>
        <v>0</v>
      </c>
      <c r="AY228" s="235"/>
      <c r="AZ228" s="235"/>
      <c r="BA228" s="235"/>
      <c r="BB228" s="235"/>
      <c r="BC228" s="235"/>
      <c r="BD228" s="48" t="n">
        <f aca="false">BD222-BD227</f>
        <v>0</v>
      </c>
      <c r="BE228" s="235"/>
    </row>
    <row r="229" customFormat="false" ht="12.75" hidden="false" customHeight="false" outlineLevel="0" collapsed="false">
      <c r="C229" s="4"/>
      <c r="D229" s="4"/>
      <c r="H229" s="218"/>
      <c r="I229" s="1"/>
      <c r="J229" s="223"/>
      <c r="K229" s="228"/>
      <c r="L229" s="42"/>
      <c r="N229" s="42"/>
      <c r="S229" s="235"/>
      <c r="T229" s="235"/>
      <c r="U229" s="235"/>
      <c r="V229" s="235"/>
      <c r="W229" s="47"/>
      <c r="X229" s="48"/>
      <c r="Y229" s="235"/>
      <c r="Z229" s="235"/>
      <c r="AA229" s="235"/>
      <c r="AB229" s="235"/>
      <c r="AC229" s="48"/>
      <c r="AD229" s="235"/>
      <c r="AE229" s="235"/>
      <c r="AF229" s="235"/>
      <c r="AG229" s="235"/>
      <c r="AH229" s="235"/>
      <c r="AI229" s="48"/>
      <c r="AJ229" s="235"/>
      <c r="AK229" s="236"/>
      <c r="AL229" s="235"/>
      <c r="AM229" s="235"/>
      <c r="AN229" s="235"/>
      <c r="AO229" s="235"/>
      <c r="AP229" s="48"/>
      <c r="AQ229" s="235"/>
      <c r="AR229" s="235"/>
      <c r="AS229" s="235"/>
      <c r="AT229" s="235"/>
      <c r="AU229" s="235"/>
      <c r="AV229" s="235"/>
      <c r="AW229" s="235"/>
      <c r="AX229" s="48"/>
      <c r="AY229" s="235"/>
      <c r="AZ229" s="235"/>
      <c r="BA229" s="235"/>
      <c r="BB229" s="235"/>
      <c r="BC229" s="235"/>
      <c r="BD229" s="48"/>
      <c r="BE229" s="235"/>
    </row>
    <row r="230" customFormat="false" ht="12.75" hidden="false" customHeight="false" outlineLevel="0" collapsed="false">
      <c r="A230" s="43" t="s">
        <v>1088</v>
      </c>
      <c r="B230" s="43"/>
      <c r="C230" s="231"/>
      <c r="D230" s="231"/>
      <c r="E230" s="44"/>
      <c r="F230" s="44"/>
      <c r="G230" s="44"/>
      <c r="H230" s="237"/>
      <c r="I230" s="46"/>
      <c r="J230" s="238"/>
      <c r="K230" s="237"/>
      <c r="L230" s="47" t="n">
        <f aca="false">+L226-L228</f>
        <v>0.180000007152557</v>
      </c>
      <c r="S230" s="235"/>
      <c r="T230" s="235"/>
      <c r="U230" s="235"/>
      <c r="V230" s="235"/>
      <c r="W230" s="47"/>
      <c r="X230" s="48"/>
      <c r="Y230" s="235"/>
      <c r="Z230" s="235"/>
      <c r="AA230" s="235"/>
      <c r="AB230" s="235"/>
      <c r="AC230" s="48"/>
      <c r="AD230" s="235"/>
      <c r="AE230" s="235"/>
      <c r="AF230" s="235"/>
      <c r="AG230" s="235"/>
      <c r="AH230" s="235"/>
      <c r="AI230" s="48"/>
      <c r="AJ230" s="235"/>
      <c r="AK230" s="236"/>
      <c r="AL230" s="235"/>
      <c r="AM230" s="235"/>
      <c r="AN230" s="235"/>
      <c r="AO230" s="235"/>
      <c r="AP230" s="48"/>
      <c r="AQ230" s="235"/>
      <c r="AR230" s="235"/>
      <c r="AS230" s="235"/>
      <c r="AT230" s="235"/>
      <c r="AU230" s="235"/>
      <c r="AV230" s="235"/>
      <c r="AW230" s="235"/>
      <c r="AX230" s="48"/>
      <c r="AY230" s="235"/>
      <c r="AZ230" s="235"/>
      <c r="BA230" s="235"/>
      <c r="BB230" s="235"/>
      <c r="BC230" s="235"/>
      <c r="BD230" s="48"/>
      <c r="BE230" s="235"/>
    </row>
    <row r="231" customFormat="false" ht="12.75" hidden="false" customHeight="false" outlineLevel="0" collapsed="false">
      <c r="A231" s="43"/>
      <c r="B231" s="43"/>
      <c r="C231" s="231"/>
      <c r="D231" s="231"/>
      <c r="E231" s="44"/>
      <c r="F231" s="44"/>
      <c r="G231" s="44"/>
      <c r="H231" s="237"/>
      <c r="I231" s="46"/>
      <c r="J231" s="238"/>
      <c r="K231" s="237"/>
      <c r="L231" s="47"/>
      <c r="S231" s="235"/>
      <c r="T231" s="235"/>
      <c r="U231" s="235"/>
      <c r="V231" s="235"/>
      <c r="W231" s="47"/>
      <c r="X231" s="48"/>
      <c r="Y231" s="235"/>
      <c r="Z231" s="235"/>
      <c r="AA231" s="235"/>
      <c r="AB231" s="235"/>
      <c r="AC231" s="48"/>
      <c r="AD231" s="235"/>
      <c r="AE231" s="235"/>
      <c r="AF231" s="235"/>
      <c r="AG231" s="235"/>
      <c r="AH231" s="235"/>
      <c r="AI231" s="48"/>
      <c r="AJ231" s="235"/>
      <c r="AK231" s="236"/>
      <c r="AL231" s="235"/>
      <c r="AM231" s="235"/>
      <c r="AN231" s="235"/>
      <c r="AO231" s="235"/>
      <c r="AP231" s="48"/>
      <c r="AQ231" s="235"/>
      <c r="AR231" s="235"/>
      <c r="AS231" s="235"/>
      <c r="AT231" s="235"/>
      <c r="AU231" s="235"/>
      <c r="AV231" s="235"/>
      <c r="AW231" s="235"/>
      <c r="AX231" s="48"/>
      <c r="AY231" s="235"/>
      <c r="AZ231" s="235"/>
      <c r="BA231" s="235"/>
      <c r="BB231" s="235"/>
      <c r="BC231" s="235"/>
      <c r="BD231" s="48"/>
      <c r="BE231" s="235"/>
    </row>
    <row r="232" customFormat="false" ht="12.75" hidden="false" customHeight="false" outlineLevel="0" collapsed="false">
      <c r="G232" s="44"/>
      <c r="H232" s="237"/>
      <c r="I232" s="46"/>
      <c r="J232" s="238"/>
      <c r="K232" s="237"/>
      <c r="L232" s="47"/>
      <c r="S232" s="235"/>
      <c r="T232" s="235"/>
      <c r="U232" s="235"/>
      <c r="V232" s="235"/>
      <c r="W232" s="47"/>
      <c r="X232" s="48"/>
      <c r="Y232" s="235"/>
      <c r="Z232" s="235"/>
      <c r="AA232" s="235"/>
      <c r="AB232" s="235"/>
      <c r="AC232" s="48"/>
      <c r="AD232" s="235"/>
      <c r="AE232" s="235"/>
      <c r="AF232" s="235"/>
      <c r="AG232" s="235"/>
      <c r="AH232" s="235"/>
      <c r="AI232" s="48"/>
      <c r="AJ232" s="235"/>
      <c r="AK232" s="236"/>
      <c r="AL232" s="235"/>
      <c r="AM232" s="235"/>
      <c r="AN232" s="235"/>
      <c r="AO232" s="235"/>
      <c r="AP232" s="48"/>
      <c r="AQ232" s="235"/>
      <c r="AR232" s="235"/>
      <c r="AS232" s="235"/>
      <c r="AT232" s="235"/>
      <c r="AU232" s="235"/>
      <c r="AV232" s="235"/>
      <c r="AW232" s="235"/>
      <c r="AX232" s="48"/>
      <c r="AY232" s="235"/>
      <c r="AZ232" s="235"/>
      <c r="BA232" s="235"/>
      <c r="BB232" s="235"/>
      <c r="BC232" s="235"/>
      <c r="BD232" s="48"/>
      <c r="BE232" s="235"/>
    </row>
    <row r="233" customFormat="false" ht="12.75" hidden="false" customHeight="false" outlineLevel="0" collapsed="false">
      <c r="C233" s="46" t="s">
        <v>1089</v>
      </c>
      <c r="D233" s="46"/>
      <c r="E233" s="239"/>
      <c r="F233" s="239" t="s">
        <v>936</v>
      </c>
      <c r="G233" s="44"/>
      <c r="H233" s="237"/>
      <c r="I233" s="46"/>
      <c r="J233" s="238"/>
      <c r="K233" s="237"/>
      <c r="L233" s="47"/>
      <c r="M233" s="221"/>
      <c r="N233" s="221"/>
      <c r="S233" s="235"/>
      <c r="T233" s="235"/>
      <c r="U233" s="235"/>
      <c r="V233" s="235"/>
      <c r="W233" s="47"/>
      <c r="X233" s="48"/>
      <c r="Y233" s="235"/>
      <c r="Z233" s="235"/>
      <c r="AA233" s="235"/>
      <c r="AB233" s="235"/>
      <c r="AC233" s="48"/>
      <c r="AD233" s="235"/>
      <c r="AE233" s="235"/>
      <c r="AF233" s="235"/>
      <c r="AG233" s="235"/>
      <c r="AH233" s="235"/>
      <c r="AI233" s="48"/>
      <c r="AJ233" s="235"/>
      <c r="AK233" s="236"/>
      <c r="AL233" s="235"/>
      <c r="AM233" s="235"/>
      <c r="AN233" s="235"/>
      <c r="AO233" s="235"/>
      <c r="AP233" s="48"/>
      <c r="AQ233" s="235"/>
      <c r="AR233" s="235"/>
      <c r="AS233" s="235"/>
      <c r="AT233" s="235"/>
      <c r="AU233" s="235"/>
      <c r="AV233" s="235"/>
      <c r="AW233" s="235"/>
      <c r="AX233" s="48"/>
      <c r="AY233" s="235"/>
      <c r="AZ233" s="235"/>
      <c r="BA233" s="235"/>
      <c r="BB233" s="235"/>
      <c r="BC233" s="235"/>
      <c r="BD233" s="48"/>
      <c r="BE233" s="235"/>
    </row>
    <row r="234" customFormat="false" ht="12.75" hidden="false" customHeight="false" outlineLevel="0" collapsed="false">
      <c r="A234" s="43" t="s">
        <v>1090</v>
      </c>
      <c r="B234" s="43"/>
      <c r="C234" s="48" t="n">
        <v>127000000</v>
      </c>
      <c r="D234" s="240"/>
      <c r="E234" s="241"/>
      <c r="F234" s="241" t="n">
        <v>27000000</v>
      </c>
      <c r="G234" s="44"/>
      <c r="H234" s="237"/>
      <c r="I234" s="46"/>
      <c r="J234" s="238" t="n">
        <v>2020</v>
      </c>
      <c r="K234" s="237"/>
      <c r="L234" s="47"/>
      <c r="M234" s="221"/>
      <c r="N234" s="221"/>
      <c r="S234" s="235"/>
      <c r="T234" s="235"/>
      <c r="U234" s="235"/>
      <c r="V234" s="235"/>
      <c r="W234" s="47"/>
      <c r="X234" s="48"/>
      <c r="Y234" s="235"/>
      <c r="Z234" s="235"/>
      <c r="AA234" s="235"/>
      <c r="AB234" s="235"/>
      <c r="AC234" s="48"/>
      <c r="AD234" s="235"/>
      <c r="AE234" s="235"/>
      <c r="AF234" s="235"/>
      <c r="AG234" s="235"/>
      <c r="AH234" s="235"/>
      <c r="AI234" s="48"/>
      <c r="AJ234" s="235"/>
      <c r="AK234" s="236"/>
      <c r="AL234" s="235"/>
      <c r="AM234" s="235"/>
      <c r="AN234" s="235"/>
      <c r="AO234" s="235"/>
      <c r="AP234" s="48"/>
      <c r="AQ234" s="235"/>
      <c r="AR234" s="235"/>
      <c r="AS234" s="235"/>
      <c r="AT234" s="235"/>
      <c r="AU234" s="235"/>
      <c r="AV234" s="235"/>
      <c r="AW234" s="235"/>
      <c r="AX234" s="48"/>
      <c r="AY234" s="235"/>
      <c r="AZ234" s="235"/>
      <c r="BA234" s="235"/>
      <c r="BB234" s="235"/>
      <c r="BC234" s="235"/>
      <c r="BD234" s="48"/>
      <c r="BE234" s="235"/>
    </row>
    <row r="235" customFormat="false" ht="12.75" hidden="false" customHeight="false" outlineLevel="0" collapsed="false">
      <c r="A235" s="43" t="s">
        <v>1091</v>
      </c>
      <c r="B235" s="43"/>
      <c r="C235" s="48" t="n">
        <v>145000000</v>
      </c>
      <c r="D235" s="240"/>
      <c r="E235" s="241"/>
      <c r="F235" s="241" t="n">
        <v>5000000</v>
      </c>
      <c r="G235" s="44"/>
      <c r="H235" s="237"/>
      <c r="I235" s="46"/>
      <c r="J235" s="238" t="n">
        <v>2022</v>
      </c>
      <c r="K235" s="237"/>
      <c r="L235" s="242" t="s">
        <v>1067</v>
      </c>
      <c r="M235" s="243"/>
      <c r="N235" s="244"/>
      <c r="S235" s="235"/>
      <c r="T235" s="235"/>
      <c r="U235" s="235"/>
      <c r="V235" s="235"/>
      <c r="W235" s="47"/>
      <c r="X235" s="48"/>
      <c r="Y235" s="235"/>
      <c r="Z235" s="235"/>
      <c r="AA235" s="235"/>
      <c r="AB235" s="235"/>
      <c r="AC235" s="48"/>
      <c r="AD235" s="235"/>
      <c r="AE235" s="235"/>
      <c r="AF235" s="235"/>
      <c r="AG235" s="235"/>
      <c r="AH235" s="235"/>
      <c r="AI235" s="48"/>
      <c r="AJ235" s="235"/>
      <c r="AK235" s="236"/>
      <c r="AL235" s="235"/>
      <c r="AM235" s="235"/>
      <c r="AN235" s="235"/>
      <c r="AO235" s="235"/>
      <c r="AP235" s="48"/>
      <c r="AQ235" s="235"/>
      <c r="AR235" s="235"/>
      <c r="AS235" s="235"/>
      <c r="AT235" s="235"/>
      <c r="AU235" s="235"/>
      <c r="AV235" s="235"/>
      <c r="AW235" s="235"/>
      <c r="AX235" s="48"/>
      <c r="AY235" s="235"/>
      <c r="AZ235" s="235"/>
      <c r="BA235" s="235"/>
      <c r="BB235" s="235"/>
      <c r="BC235" s="235"/>
      <c r="BD235" s="48"/>
      <c r="BE235" s="235"/>
    </row>
    <row r="236" customFormat="false" ht="12.75" hidden="false" customHeight="false" outlineLevel="0" collapsed="false">
      <c r="A236" s="43" t="s">
        <v>1091</v>
      </c>
      <c r="B236" s="43"/>
      <c r="C236" s="245" t="n">
        <v>100000000</v>
      </c>
      <c r="D236" s="246"/>
      <c r="E236" s="247"/>
      <c r="F236" s="247"/>
      <c r="G236" s="44"/>
      <c r="H236" s="237"/>
      <c r="I236" s="46"/>
      <c r="J236" s="238" t="n">
        <v>2024</v>
      </c>
      <c r="K236" s="237"/>
      <c r="L236" s="242" t="s">
        <v>1092</v>
      </c>
      <c r="S236" s="235"/>
      <c r="T236" s="235"/>
      <c r="U236" s="235"/>
      <c r="V236" s="235"/>
      <c r="W236" s="47"/>
      <c r="X236" s="48"/>
      <c r="Y236" s="235"/>
      <c r="Z236" s="235"/>
      <c r="AA236" s="235"/>
      <c r="AB236" s="235"/>
      <c r="AC236" s="48"/>
      <c r="AD236" s="235"/>
      <c r="AE236" s="235"/>
      <c r="AF236" s="235"/>
      <c r="AG236" s="235"/>
      <c r="AH236" s="235"/>
      <c r="AI236" s="48"/>
      <c r="AJ236" s="235"/>
      <c r="AK236" s="236"/>
      <c r="AL236" s="235"/>
      <c r="AM236" s="235"/>
      <c r="AN236" s="235"/>
      <c r="AO236" s="235"/>
      <c r="AP236" s="48"/>
      <c r="AQ236" s="235"/>
      <c r="AR236" s="235"/>
      <c r="AS236" s="235"/>
      <c r="AT236" s="235"/>
      <c r="AU236" s="235"/>
      <c r="AV236" s="235"/>
      <c r="AW236" s="235"/>
      <c r="AX236" s="48"/>
      <c r="AY236" s="235"/>
      <c r="AZ236" s="235"/>
      <c r="BA236" s="235"/>
      <c r="BB236" s="235"/>
      <c r="BC236" s="235"/>
      <c r="BD236" s="48"/>
      <c r="BE236" s="235"/>
    </row>
    <row r="237" s="250" customFormat="true" ht="12.75" hidden="false" customHeight="false" outlineLevel="0" collapsed="false">
      <c r="A237" s="82"/>
      <c r="B237" s="82"/>
      <c r="C237" s="154" t="n">
        <f aca="false">SUM(C234:C236)</f>
        <v>372000000</v>
      </c>
      <c r="D237" s="248"/>
      <c r="E237" s="249"/>
      <c r="F237" s="249" t="n">
        <f aca="false">SUM(F234:F235)</f>
        <v>32000000</v>
      </c>
      <c r="H237" s="251"/>
      <c r="I237" s="252"/>
      <c r="J237" s="253"/>
      <c r="K237" s="251"/>
      <c r="L237" s="9"/>
      <c r="M237" s="9"/>
      <c r="N237" s="9"/>
      <c r="O237" s="9"/>
      <c r="P237" s="9"/>
      <c r="Q237" s="9"/>
      <c r="S237" s="254"/>
      <c r="T237" s="254"/>
      <c r="U237" s="254"/>
      <c r="V237" s="254"/>
      <c r="W237" s="9"/>
      <c r="X237" s="154"/>
      <c r="Y237" s="254"/>
      <c r="Z237" s="254"/>
      <c r="AA237" s="254"/>
      <c r="AB237" s="254"/>
      <c r="AC237" s="154"/>
      <c r="AD237" s="254"/>
      <c r="AE237" s="254"/>
      <c r="AF237" s="254"/>
      <c r="AG237" s="254"/>
      <c r="AH237" s="254"/>
      <c r="AI237" s="154"/>
      <c r="AJ237" s="254"/>
      <c r="AK237" s="255"/>
      <c r="AL237" s="254"/>
      <c r="AM237" s="254"/>
      <c r="AN237" s="254"/>
      <c r="AO237" s="254"/>
      <c r="AP237" s="154"/>
      <c r="AQ237" s="254"/>
      <c r="AR237" s="254"/>
      <c r="AS237" s="254"/>
      <c r="AT237" s="254"/>
      <c r="AU237" s="254"/>
      <c r="AV237" s="254"/>
      <c r="AW237" s="254"/>
      <c r="AX237" s="154"/>
      <c r="AY237" s="254"/>
      <c r="AZ237" s="254"/>
      <c r="BA237" s="254"/>
      <c r="BB237" s="254"/>
      <c r="BC237" s="254"/>
      <c r="BD237" s="154"/>
      <c r="BE237" s="254"/>
      <c r="BF237" s="154"/>
      <c r="BG237" s="154"/>
      <c r="BH237" s="154"/>
    </row>
    <row r="238" customFormat="false" ht="12.75" hidden="false" customHeight="false" outlineLevel="0" collapsed="false">
      <c r="C238" s="6"/>
      <c r="D238" s="4"/>
      <c r="H238" s="218"/>
      <c r="I238" s="1"/>
      <c r="J238" s="223"/>
      <c r="K238" s="218"/>
      <c r="N238" s="68"/>
      <c r="R238" s="2" t="s">
        <v>1093</v>
      </c>
      <c r="S238" s="235"/>
      <c r="T238" s="235"/>
      <c r="U238" s="235"/>
      <c r="V238" s="235"/>
      <c r="W238" s="47"/>
      <c r="X238" s="48"/>
      <c r="Y238" s="235"/>
      <c r="Z238" s="235"/>
      <c r="AA238" s="235"/>
      <c r="AB238" s="235"/>
      <c r="AC238" s="48"/>
      <c r="AD238" s="235"/>
      <c r="AE238" s="235"/>
      <c r="AF238" s="235"/>
      <c r="AG238" s="235"/>
      <c r="AH238" s="235"/>
      <c r="AI238" s="48"/>
      <c r="AJ238" s="235"/>
      <c r="AK238" s="236"/>
      <c r="AL238" s="235"/>
      <c r="AM238" s="235"/>
      <c r="AN238" s="235"/>
      <c r="AO238" s="235"/>
      <c r="AP238" s="48"/>
      <c r="AQ238" s="235"/>
      <c r="AR238" s="235"/>
      <c r="AS238" s="235"/>
      <c r="AT238" s="235"/>
      <c r="AU238" s="235"/>
      <c r="AV238" s="235"/>
      <c r="AW238" s="235"/>
      <c r="AX238" s="48"/>
      <c r="AY238" s="235"/>
      <c r="AZ238" s="235"/>
      <c r="BA238" s="235"/>
      <c r="BB238" s="235"/>
      <c r="BC238" s="235"/>
      <c r="BD238" s="48"/>
      <c r="BE238" s="235"/>
    </row>
    <row r="239" s="250" customFormat="true" ht="12.75" hidden="false" customHeight="false" outlineLevel="0" collapsed="false">
      <c r="A239" s="82" t="s">
        <v>1094</v>
      </c>
      <c r="B239" s="82"/>
      <c r="C239" s="154" t="n">
        <f aca="false">+C237-L222</f>
        <v>62974466.48</v>
      </c>
      <c r="D239" s="154"/>
      <c r="H239" s="251"/>
      <c r="I239" s="252"/>
      <c r="J239" s="253"/>
      <c r="K239" s="5"/>
      <c r="L239" s="5"/>
      <c r="M239" s="9"/>
      <c r="N239" s="10"/>
      <c r="O239" s="9"/>
      <c r="P239" s="9"/>
      <c r="Q239" s="9"/>
      <c r="R239" s="2" t="s">
        <v>1095</v>
      </c>
      <c r="S239" s="254"/>
      <c r="T239" s="254"/>
      <c r="U239" s="254"/>
      <c r="V239" s="254"/>
      <c r="W239" s="9"/>
      <c r="X239" s="154"/>
      <c r="Y239" s="254"/>
      <c r="Z239" s="254"/>
      <c r="AA239" s="254"/>
      <c r="AB239" s="254"/>
      <c r="AC239" s="154"/>
      <c r="AD239" s="254"/>
      <c r="AE239" s="254"/>
      <c r="AF239" s="254"/>
      <c r="AG239" s="254"/>
      <c r="AH239" s="254"/>
      <c r="AI239" s="154"/>
      <c r="AJ239" s="254"/>
      <c r="AK239" s="255"/>
      <c r="AL239" s="254"/>
      <c r="AM239" s="254"/>
      <c r="AN239" s="254"/>
      <c r="AO239" s="254"/>
      <c r="AP239" s="154"/>
      <c r="AQ239" s="254"/>
      <c r="AR239" s="254"/>
      <c r="AS239" s="254"/>
      <c r="AT239" s="254"/>
      <c r="AU239" s="254"/>
      <c r="AV239" s="254"/>
      <c r="AW239" s="254"/>
      <c r="AX239" s="154"/>
      <c r="AY239" s="254"/>
      <c r="AZ239" s="254"/>
      <c r="BA239" s="254"/>
      <c r="BB239" s="254"/>
      <c r="BC239" s="254"/>
      <c r="BD239" s="154"/>
      <c r="BE239" s="254"/>
      <c r="BF239" s="154"/>
      <c r="BG239" s="154"/>
      <c r="BH239" s="154"/>
    </row>
    <row r="240" customFormat="false" ht="12.75" hidden="false" customHeight="false" outlineLevel="0" collapsed="false">
      <c r="C240" s="4"/>
      <c r="D240" s="6"/>
      <c r="H240" s="218"/>
      <c r="I240" s="1"/>
      <c r="J240" s="223"/>
      <c r="K240" s="5"/>
      <c r="L240" s="77"/>
      <c r="N240" s="68"/>
      <c r="R240" s="2" t="s">
        <v>1096</v>
      </c>
      <c r="S240" s="235"/>
      <c r="T240" s="235"/>
      <c r="U240" s="235"/>
      <c r="V240" s="235"/>
      <c r="W240" s="47"/>
      <c r="X240" s="48"/>
      <c r="Y240" s="235"/>
      <c r="Z240" s="235"/>
      <c r="AA240" s="235"/>
      <c r="AB240" s="235"/>
      <c r="AC240" s="48"/>
      <c r="AD240" s="235"/>
      <c r="AE240" s="235"/>
      <c r="AF240" s="235"/>
      <c r="AG240" s="235"/>
      <c r="AH240" s="235"/>
      <c r="AI240" s="48"/>
      <c r="AJ240" s="235"/>
      <c r="AK240" s="236"/>
      <c r="AL240" s="235"/>
      <c r="AM240" s="235"/>
      <c r="AN240" s="235"/>
      <c r="AO240" s="235"/>
      <c r="AP240" s="48"/>
      <c r="AQ240" s="235"/>
      <c r="AR240" s="235"/>
      <c r="AS240" s="235"/>
      <c r="AT240" s="235"/>
      <c r="AU240" s="235"/>
      <c r="AV240" s="235"/>
      <c r="AW240" s="235"/>
      <c r="AX240" s="48"/>
      <c r="AY240" s="235"/>
      <c r="AZ240" s="235"/>
      <c r="BA240" s="235"/>
      <c r="BB240" s="235"/>
      <c r="BC240" s="235"/>
      <c r="BD240" s="48"/>
      <c r="BE240" s="235"/>
    </row>
    <row r="241" customFormat="false" ht="12.75" hidden="false" customHeight="false" outlineLevel="0" collapsed="false">
      <c r="C241" s="4"/>
      <c r="D241" s="4"/>
      <c r="E241" s="6"/>
      <c r="H241" s="218"/>
      <c r="I241" s="256"/>
      <c r="J241" s="232"/>
      <c r="K241" s="42"/>
      <c r="L241" s="42"/>
      <c r="N241" s="68"/>
      <c r="R241" s="2" t="s">
        <v>1097</v>
      </c>
      <c r="S241" s="235"/>
      <c r="T241" s="235"/>
      <c r="U241" s="235"/>
      <c r="V241" s="235"/>
      <c r="W241" s="235"/>
      <c r="Y241" s="235"/>
      <c r="Z241" s="235"/>
      <c r="AA241" s="235"/>
      <c r="AB241" s="235"/>
      <c r="AD241" s="235"/>
      <c r="AE241" s="235"/>
      <c r="AF241" s="235"/>
      <c r="AG241" s="235"/>
      <c r="AH241" s="235"/>
      <c r="AJ241" s="235"/>
      <c r="AK241" s="236"/>
      <c r="AL241" s="235"/>
      <c r="AM241" s="235"/>
      <c r="AN241" s="235"/>
      <c r="AO241" s="235"/>
      <c r="AQ241" s="235"/>
      <c r="AR241" s="235"/>
      <c r="AS241" s="235"/>
      <c r="AT241" s="235"/>
      <c r="AU241" s="235"/>
      <c r="AV241" s="235"/>
      <c r="AW241" s="235"/>
      <c r="AY241" s="235"/>
      <c r="AZ241" s="235"/>
      <c r="BA241" s="235"/>
      <c r="BB241" s="235"/>
      <c r="BC241" s="235"/>
      <c r="BE241" s="235"/>
    </row>
    <row r="242" customFormat="false" ht="12.75" hidden="false" customHeight="false" outlineLevel="0" collapsed="false">
      <c r="C242" s="257" t="s">
        <v>1098</v>
      </c>
      <c r="D242" s="257"/>
      <c r="E242" s="5"/>
      <c r="I242" s="256"/>
      <c r="L242" s="257" t="s">
        <v>1098</v>
      </c>
      <c r="M242" s="6"/>
      <c r="N242" s="257" t="s">
        <v>1098</v>
      </c>
      <c r="S242" s="235"/>
      <c r="T242" s="235"/>
      <c r="U242" s="235"/>
      <c r="V242" s="235"/>
      <c r="W242" s="235"/>
      <c r="Y242" s="235"/>
      <c r="Z242" s="235"/>
      <c r="AA242" s="235"/>
      <c r="AB242" s="235"/>
      <c r="AD242" s="235"/>
      <c r="AE242" s="235"/>
      <c r="AF242" s="235"/>
      <c r="AG242" s="235"/>
      <c r="AH242" s="235"/>
      <c r="AJ242" s="235"/>
      <c r="AK242" s="236"/>
      <c r="AL242" s="235"/>
      <c r="AM242" s="235"/>
      <c r="AN242" s="235"/>
      <c r="AO242" s="235"/>
      <c r="AQ242" s="235"/>
      <c r="AR242" s="235"/>
      <c r="AS242" s="235"/>
      <c r="AT242" s="235"/>
      <c r="AU242" s="235"/>
      <c r="AV242" s="235"/>
      <c r="AW242" s="235"/>
      <c r="AY242" s="235"/>
      <c r="AZ242" s="235"/>
      <c r="BA242" s="235"/>
      <c r="BB242" s="235"/>
      <c r="BC242" s="235"/>
      <c r="BE242" s="235"/>
    </row>
    <row r="243" customFormat="false" ht="12.75" hidden="false" customHeight="false" outlineLevel="0" collapsed="false">
      <c r="C243" s="1" t="s">
        <v>1099</v>
      </c>
      <c r="I243" s="256"/>
      <c r="J243" s="218"/>
      <c r="K243" s="9"/>
      <c r="L243" s="6" t="n">
        <f aca="false">SUMIF($K15:$K221,"Other Gov",L15:L221)</f>
        <v>1750000</v>
      </c>
      <c r="N243" s="6" t="n">
        <f aca="false">SUMIF($K15:$K221,"Other Gov",N15:N221)</f>
        <v>1750000</v>
      </c>
      <c r="R243" s="2" t="s">
        <v>1100</v>
      </c>
      <c r="S243" s="235"/>
      <c r="T243" s="235"/>
      <c r="U243" s="235"/>
      <c r="V243" s="235"/>
      <c r="W243" s="235"/>
      <c r="Y243" s="235"/>
      <c r="Z243" s="235"/>
      <c r="AA243" s="235"/>
      <c r="AB243" s="235"/>
      <c r="AD243" s="235"/>
      <c r="AE243" s="235"/>
      <c r="AF243" s="235"/>
      <c r="AG243" s="235"/>
      <c r="AH243" s="235"/>
      <c r="AJ243" s="235"/>
      <c r="AK243" s="236"/>
      <c r="AL243" s="235"/>
      <c r="AM243" s="235"/>
      <c r="AN243" s="235"/>
      <c r="AO243" s="235"/>
      <c r="AQ243" s="235"/>
      <c r="AR243" s="235"/>
      <c r="AS243" s="235"/>
      <c r="AT243" s="235"/>
      <c r="AU243" s="235"/>
      <c r="AV243" s="235"/>
      <c r="AW243" s="235"/>
      <c r="AY243" s="235"/>
      <c r="AZ243" s="235"/>
      <c r="BA243" s="235"/>
      <c r="BB243" s="235"/>
      <c r="BC243" s="235"/>
      <c r="BE243" s="235"/>
    </row>
    <row r="244" customFormat="false" ht="12.75" hidden="false" customHeight="false" outlineLevel="0" collapsed="false">
      <c r="C244" s="1" t="s">
        <v>1101</v>
      </c>
      <c r="I244" s="1"/>
      <c r="J244" s="59"/>
      <c r="K244" s="59"/>
      <c r="L244" s="6" t="n">
        <f aca="false">SUMIF($K15:$K221,"Other DOD",L15:L221)</f>
        <v>130152236.95</v>
      </c>
      <c r="N244" s="6" t="n">
        <f aca="false">SUMIF($K15:$K221,"Other DOD",N15:N221)</f>
        <v>130152236.95</v>
      </c>
      <c r="R244" s="2" t="s">
        <v>1102</v>
      </c>
      <c r="S244" s="235"/>
      <c r="T244" s="235"/>
      <c r="U244" s="235"/>
      <c r="V244" s="235"/>
      <c r="W244" s="235"/>
      <c r="Y244" s="235"/>
      <c r="Z244" s="235"/>
      <c r="AA244" s="235"/>
      <c r="AB244" s="235"/>
      <c r="AD244" s="235"/>
      <c r="AE244" s="235"/>
      <c r="AF244" s="235"/>
      <c r="AG244" s="235"/>
      <c r="AH244" s="235"/>
      <c r="AJ244" s="235"/>
      <c r="AK244" s="236"/>
      <c r="AL244" s="235"/>
      <c r="AM244" s="235"/>
      <c r="AN244" s="235"/>
      <c r="AO244" s="235"/>
      <c r="AQ244" s="235"/>
      <c r="AR244" s="235"/>
      <c r="AS244" s="235"/>
      <c r="AT244" s="235"/>
      <c r="AU244" s="235"/>
      <c r="AV244" s="235"/>
      <c r="AW244" s="235"/>
      <c r="AY244" s="235"/>
      <c r="AZ244" s="235"/>
      <c r="BA244" s="235"/>
      <c r="BB244" s="235"/>
      <c r="BC244" s="235"/>
      <c r="BE244" s="235"/>
    </row>
    <row r="245" customFormat="false" ht="12.75" hidden="false" customHeight="false" outlineLevel="0" collapsed="false">
      <c r="C245" s="1" t="s">
        <v>923</v>
      </c>
      <c r="I245" s="1"/>
      <c r="J245" s="59"/>
      <c r="L245" s="6" t="n">
        <f aca="false">SUMIF($K15:$K221,"Navy",L15:L221)</f>
        <v>6579016</v>
      </c>
      <c r="N245" s="6" t="n">
        <f aca="false">SUMIF($K15:$K221,"Navy",N15:N221)</f>
        <v>6579016</v>
      </c>
      <c r="S245" s="235"/>
      <c r="T245" s="235"/>
      <c r="U245" s="235"/>
      <c r="V245" s="235"/>
      <c r="W245" s="235"/>
      <c r="Y245" s="235"/>
      <c r="Z245" s="235"/>
      <c r="AA245" s="235"/>
      <c r="AB245" s="235"/>
      <c r="AD245" s="235"/>
      <c r="AE245" s="235"/>
      <c r="AF245" s="235"/>
      <c r="AG245" s="235"/>
      <c r="AH245" s="235"/>
      <c r="AJ245" s="235"/>
      <c r="AK245" s="236"/>
      <c r="AL245" s="235"/>
      <c r="AM245" s="235"/>
      <c r="AN245" s="235"/>
      <c r="AO245" s="235"/>
      <c r="AQ245" s="235"/>
      <c r="AR245" s="235"/>
      <c r="AS245" s="235"/>
      <c r="AT245" s="235"/>
      <c r="AU245" s="235"/>
      <c r="AV245" s="235"/>
      <c r="AW245" s="235"/>
      <c r="AY245" s="235"/>
      <c r="AZ245" s="235"/>
      <c r="BA245" s="235"/>
      <c r="BB245" s="235"/>
      <c r="BC245" s="235"/>
      <c r="BE245" s="235"/>
    </row>
    <row r="246" customFormat="false" ht="12.75" hidden="false" customHeight="false" outlineLevel="0" collapsed="false">
      <c r="C246" s="1" t="s">
        <v>1014</v>
      </c>
      <c r="I246" s="1"/>
      <c r="J246" s="59"/>
      <c r="K246" s="59"/>
      <c r="L246" s="6" t="n">
        <f aca="false">SUMIF($K15:$K221,"Army",L15:L221)</f>
        <v>57223999.69</v>
      </c>
      <c r="N246" s="6" t="n">
        <f aca="false">SUMIF($K15:$K221,"Army",N15:N221)</f>
        <v>57223999.69</v>
      </c>
      <c r="R246" s="2" t="s">
        <v>1103</v>
      </c>
      <c r="S246" s="235"/>
      <c r="T246" s="235"/>
      <c r="U246" s="235"/>
      <c r="V246" s="235"/>
      <c r="W246" s="235"/>
      <c r="Y246" s="235"/>
      <c r="Z246" s="235"/>
      <c r="AA246" s="235"/>
      <c r="AB246" s="235"/>
      <c r="AD246" s="235"/>
      <c r="AE246" s="235"/>
      <c r="AF246" s="235"/>
      <c r="AG246" s="235"/>
      <c r="AH246" s="235"/>
      <c r="AJ246" s="235"/>
      <c r="AK246" s="236"/>
      <c r="AL246" s="235"/>
      <c r="AM246" s="235"/>
      <c r="AN246" s="235"/>
      <c r="AO246" s="235"/>
      <c r="AQ246" s="235"/>
      <c r="AR246" s="235"/>
      <c r="AS246" s="235"/>
      <c r="AT246" s="235"/>
      <c r="AU246" s="235"/>
      <c r="AV246" s="235"/>
      <c r="AW246" s="235"/>
      <c r="AY246" s="235"/>
      <c r="AZ246" s="235"/>
      <c r="BA246" s="235"/>
      <c r="BB246" s="235"/>
      <c r="BC246" s="235"/>
      <c r="BE246" s="235"/>
    </row>
    <row r="247" customFormat="false" ht="12.75" hidden="false" customHeight="false" outlineLevel="0" collapsed="false">
      <c r="C247" s="1" t="s">
        <v>871</v>
      </c>
      <c r="I247" s="1"/>
      <c r="J247" s="59"/>
      <c r="K247" s="59"/>
      <c r="L247" s="6" t="n">
        <f aca="false">SUMIF($K15:$K221,"Air Force",L15:L221)</f>
        <v>71698412.77</v>
      </c>
      <c r="N247" s="6" t="n">
        <f aca="false">SUMIF($K15:$K221,"Air Force",N15:N221)</f>
        <v>70043107.77</v>
      </c>
      <c r="R247" s="2" t="s">
        <v>1104</v>
      </c>
      <c r="S247" s="235"/>
      <c r="T247" s="235"/>
      <c r="U247" s="235"/>
      <c r="V247" s="235"/>
      <c r="W247" s="235"/>
      <c r="Y247" s="235"/>
      <c r="Z247" s="235"/>
      <c r="AA247" s="235"/>
      <c r="AB247" s="235"/>
      <c r="AD247" s="235"/>
      <c r="AE247" s="235"/>
      <c r="AF247" s="235"/>
      <c r="AG247" s="235"/>
      <c r="AH247" s="235"/>
      <c r="AJ247" s="235"/>
      <c r="AK247" s="236"/>
      <c r="AL247" s="235"/>
      <c r="AM247" s="235"/>
      <c r="AN247" s="235"/>
      <c r="AO247" s="235"/>
      <c r="AQ247" s="235"/>
      <c r="AR247" s="235"/>
      <c r="AS247" s="235"/>
      <c r="AT247" s="235"/>
      <c r="AU247" s="235"/>
      <c r="AV247" s="235"/>
      <c r="AW247" s="235"/>
      <c r="AY247" s="235"/>
      <c r="AZ247" s="235"/>
      <c r="BA247" s="235"/>
      <c r="BB247" s="235"/>
      <c r="BC247" s="235"/>
      <c r="BE247" s="235"/>
    </row>
    <row r="248" customFormat="false" ht="12.75" hidden="false" customHeight="false" outlineLevel="0" collapsed="false">
      <c r="C248" s="1" t="s">
        <v>799</v>
      </c>
      <c r="D248" s="4"/>
      <c r="H248" s="2"/>
      <c r="K248" s="59"/>
      <c r="L248" s="6" t="n">
        <f aca="false">SUMIF($K15:$K221,"ADP Core",L15:L221)</f>
        <v>11556868.11</v>
      </c>
      <c r="N248" s="6" t="n">
        <f aca="false">SUMIF($K15:$K221,"ADP Core",N15:N221)</f>
        <v>11556868.1</v>
      </c>
      <c r="R248" s="2" t="s">
        <v>1105</v>
      </c>
      <c r="S248" s="235"/>
      <c r="T248" s="235"/>
      <c r="U248" s="235"/>
      <c r="V248" s="235"/>
      <c r="W248" s="235"/>
      <c r="Y248" s="235"/>
      <c r="Z248" s="235"/>
      <c r="AA248" s="235"/>
      <c r="AB248" s="235"/>
      <c r="AD248" s="235"/>
      <c r="AE248" s="235"/>
      <c r="AF248" s="235"/>
      <c r="AG248" s="235"/>
      <c r="AH248" s="235"/>
      <c r="AJ248" s="235"/>
      <c r="AK248" s="236"/>
      <c r="AL248" s="235"/>
      <c r="AM248" s="235"/>
      <c r="AN248" s="235"/>
      <c r="AO248" s="235"/>
      <c r="AQ248" s="235"/>
      <c r="AR248" s="235"/>
      <c r="AS248" s="235"/>
      <c r="AT248" s="235"/>
      <c r="AU248" s="235"/>
      <c r="AV248" s="235"/>
      <c r="AW248" s="235"/>
      <c r="AY248" s="235"/>
      <c r="AZ248" s="235"/>
      <c r="BA248" s="235"/>
      <c r="BB248" s="235"/>
      <c r="BC248" s="235"/>
      <c r="BE248" s="235"/>
    </row>
    <row r="249" customFormat="false" ht="12.75" hidden="false" customHeight="false" outlineLevel="0" collapsed="false">
      <c r="C249" s="1" t="s">
        <v>798</v>
      </c>
      <c r="D249" s="231" t="s">
        <v>1106</v>
      </c>
      <c r="H249" s="2"/>
      <c r="K249" s="59"/>
      <c r="L249" s="258" t="n">
        <f aca="false">SUMIF($K15:$K221,"Core",L15:L221)</f>
        <v>27000000</v>
      </c>
      <c r="N249" s="258" t="n">
        <f aca="false">SUMIF($K15:$K221,"Core",N15:N221)</f>
        <v>27000000</v>
      </c>
      <c r="S249" s="235"/>
      <c r="T249" s="235"/>
      <c r="U249" s="235"/>
      <c r="V249" s="235"/>
      <c r="W249" s="235"/>
      <c r="Y249" s="235"/>
      <c r="Z249" s="235"/>
      <c r="AA249" s="235"/>
      <c r="AB249" s="235"/>
      <c r="AD249" s="235"/>
      <c r="AE249" s="235"/>
      <c r="AF249" s="235"/>
      <c r="AG249" s="235"/>
      <c r="AH249" s="235"/>
      <c r="AJ249" s="235"/>
      <c r="AK249" s="236"/>
      <c r="AL249" s="235"/>
      <c r="AM249" s="235"/>
      <c r="AN249" s="235"/>
      <c r="AO249" s="235"/>
      <c r="AQ249" s="235"/>
      <c r="AR249" s="235"/>
      <c r="AS249" s="235"/>
      <c r="AT249" s="235"/>
      <c r="AU249" s="235"/>
      <c r="AV249" s="235"/>
      <c r="AW249" s="235"/>
      <c r="AY249" s="235"/>
      <c r="AZ249" s="235"/>
      <c r="BA249" s="235"/>
      <c r="BB249" s="235"/>
      <c r="BC249" s="235"/>
      <c r="BE249" s="235"/>
    </row>
    <row r="250" customFormat="false" ht="12.75" hidden="false" customHeight="false" outlineLevel="0" collapsed="false">
      <c r="C250" s="40"/>
      <c r="D250" s="40"/>
      <c r="I250" s="1"/>
      <c r="J250" s="59"/>
      <c r="K250" s="59"/>
      <c r="L250" s="259"/>
      <c r="S250" s="235"/>
      <c r="T250" s="235"/>
      <c r="U250" s="235"/>
      <c r="V250" s="235"/>
      <c r="W250" s="235"/>
      <c r="Y250" s="235"/>
      <c r="Z250" s="235"/>
      <c r="AA250" s="235"/>
      <c r="AB250" s="235"/>
      <c r="AD250" s="235"/>
      <c r="AE250" s="235"/>
      <c r="AF250" s="235"/>
      <c r="AG250" s="235"/>
      <c r="AH250" s="235"/>
      <c r="AJ250" s="235"/>
      <c r="AK250" s="236"/>
      <c r="AL250" s="235"/>
      <c r="AM250" s="235"/>
      <c r="AN250" s="235"/>
      <c r="AO250" s="235"/>
      <c r="AQ250" s="235"/>
      <c r="AR250" s="235"/>
      <c r="AS250" s="235"/>
      <c r="AT250" s="235"/>
      <c r="AU250" s="235"/>
      <c r="AV250" s="235"/>
      <c r="AW250" s="235"/>
      <c r="AY250" s="235"/>
      <c r="AZ250" s="235"/>
      <c r="BA250" s="235"/>
      <c r="BB250" s="235"/>
      <c r="BC250" s="235"/>
      <c r="BE250" s="235"/>
    </row>
    <row r="251" customFormat="false" ht="12.75" hidden="false" customHeight="false" outlineLevel="0" collapsed="false">
      <c r="C251" s="1" t="s">
        <v>70</v>
      </c>
      <c r="I251" s="1"/>
      <c r="J251" s="59"/>
      <c r="K251" s="59"/>
      <c r="L251" s="6" t="n">
        <f aca="false">SUM(L243:L250)</f>
        <v>305960533.52</v>
      </c>
      <c r="N251" s="5" t="n">
        <f aca="false">SUM(N243:N250)</f>
        <v>304305228.51</v>
      </c>
      <c r="R251" s="2" t="s">
        <v>1107</v>
      </c>
      <c r="S251" s="235"/>
      <c r="T251" s="235"/>
      <c r="U251" s="235"/>
      <c r="V251" s="235"/>
      <c r="W251" s="235"/>
      <c r="Y251" s="235"/>
      <c r="Z251" s="235"/>
      <c r="AA251" s="235"/>
      <c r="AB251" s="235"/>
      <c r="AD251" s="235"/>
      <c r="AE251" s="235"/>
      <c r="AF251" s="235"/>
      <c r="AG251" s="235"/>
      <c r="AH251" s="235"/>
      <c r="AJ251" s="235"/>
      <c r="AK251" s="236"/>
      <c r="AL251" s="235"/>
      <c r="AM251" s="235"/>
      <c r="AN251" s="235"/>
      <c r="AO251" s="235"/>
      <c r="AQ251" s="235"/>
      <c r="AR251" s="235"/>
      <c r="AS251" s="235"/>
      <c r="AT251" s="235"/>
      <c r="AU251" s="235"/>
      <c r="AV251" s="235"/>
      <c r="AW251" s="235"/>
      <c r="AY251" s="235"/>
      <c r="AZ251" s="235"/>
      <c r="BA251" s="235"/>
      <c r="BB251" s="235"/>
      <c r="BC251" s="235"/>
      <c r="BE251" s="235"/>
    </row>
    <row r="252" customFormat="false" ht="12.75" hidden="false" customHeight="false" outlineLevel="0" collapsed="false">
      <c r="C252" s="260" t="s">
        <v>1076</v>
      </c>
      <c r="D252" s="260"/>
      <c r="I252" s="1"/>
      <c r="J252" s="59"/>
      <c r="K252" s="59"/>
      <c r="L252" s="48" t="n">
        <f aca="false">+L222</f>
        <v>309025533.52</v>
      </c>
      <c r="N252" s="47" t="n">
        <f aca="false">+N222</f>
        <v>308025228.51</v>
      </c>
      <c r="R252" s="2" t="s">
        <v>1108</v>
      </c>
      <c r="S252" s="235"/>
      <c r="T252" s="235"/>
      <c r="U252" s="235"/>
      <c r="V252" s="235"/>
      <c r="W252" s="235"/>
      <c r="Y252" s="235"/>
      <c r="Z252" s="235"/>
      <c r="AA252" s="235"/>
      <c r="AB252" s="235"/>
      <c r="AD252" s="235"/>
      <c r="AE252" s="235"/>
      <c r="AF252" s="235"/>
      <c r="AG252" s="235"/>
      <c r="AH252" s="235"/>
      <c r="AJ252" s="235"/>
      <c r="AK252" s="236"/>
      <c r="AL252" s="235"/>
      <c r="AM252" s="235"/>
      <c r="AN252" s="235"/>
      <c r="AO252" s="235"/>
      <c r="AQ252" s="235"/>
      <c r="AR252" s="235"/>
      <c r="AS252" s="235"/>
      <c r="AT252" s="235"/>
      <c r="AU252" s="235"/>
      <c r="AV252" s="235"/>
      <c r="AW252" s="235"/>
      <c r="AY252" s="235"/>
      <c r="AZ252" s="235"/>
      <c r="BA252" s="235"/>
      <c r="BB252" s="235"/>
      <c r="BC252" s="235"/>
      <c r="BE252" s="235"/>
    </row>
    <row r="253" customFormat="false" ht="12.75" hidden="false" customHeight="false" outlineLevel="0" collapsed="false">
      <c r="I253" s="1"/>
      <c r="J253" s="59"/>
      <c r="K253" s="59"/>
      <c r="L253" s="6" t="n">
        <f aca="false">+L251-L252</f>
        <v>-3065000</v>
      </c>
      <c r="N253" s="5" t="n">
        <f aca="false">+N251-N252</f>
        <v>-3719999.99999994</v>
      </c>
      <c r="S253" s="235"/>
      <c r="T253" s="235"/>
      <c r="U253" s="235"/>
      <c r="V253" s="235"/>
      <c r="W253" s="235"/>
      <c r="Y253" s="235"/>
      <c r="Z253" s="235"/>
      <c r="AA253" s="235"/>
      <c r="AB253" s="235"/>
      <c r="AD253" s="235"/>
      <c r="AE253" s="235"/>
      <c r="AF253" s="235"/>
      <c r="AG253" s="235"/>
      <c r="AH253" s="235"/>
      <c r="AJ253" s="235"/>
      <c r="AK253" s="236"/>
      <c r="AL253" s="235"/>
      <c r="AM253" s="235"/>
      <c r="AN253" s="235"/>
      <c r="AO253" s="235"/>
      <c r="AQ253" s="235"/>
      <c r="AR253" s="235"/>
      <c r="AS253" s="235"/>
      <c r="AT253" s="235"/>
      <c r="AU253" s="235"/>
      <c r="AV253" s="235"/>
      <c r="AW253" s="235"/>
      <c r="AY253" s="235"/>
      <c r="AZ253" s="235"/>
      <c r="BA253" s="235"/>
      <c r="BB253" s="235"/>
      <c r="BC253" s="235"/>
      <c r="BE253" s="235"/>
    </row>
    <row r="254" customFormat="false" ht="12.75" hidden="false" customHeight="false" outlineLevel="0" collapsed="false">
      <c r="I254" s="1"/>
      <c r="J254" s="59"/>
      <c r="K254" s="59"/>
      <c r="S254" s="235"/>
      <c r="T254" s="235"/>
      <c r="U254" s="235"/>
      <c r="V254" s="235"/>
      <c r="W254" s="235"/>
      <c r="Y254" s="235"/>
      <c r="Z254" s="235"/>
      <c r="AA254" s="235"/>
      <c r="AB254" s="235"/>
      <c r="AD254" s="235"/>
      <c r="AE254" s="235"/>
      <c r="AF254" s="235"/>
      <c r="AG254" s="235"/>
      <c r="AH254" s="235"/>
      <c r="AJ254" s="235"/>
      <c r="AK254" s="236"/>
      <c r="AL254" s="235"/>
      <c r="AM254" s="235"/>
      <c r="AN254" s="235"/>
      <c r="AO254" s="235"/>
      <c r="AQ254" s="235"/>
      <c r="AR254" s="235"/>
      <c r="AS254" s="235"/>
      <c r="AT254" s="235"/>
      <c r="AU254" s="235"/>
      <c r="AV254" s="235"/>
      <c r="AW254" s="235"/>
      <c r="AY254" s="235"/>
      <c r="AZ254" s="235"/>
      <c r="BA254" s="235"/>
      <c r="BB254" s="235"/>
      <c r="BC254" s="235"/>
      <c r="BE254" s="235"/>
    </row>
    <row r="255" customFormat="false" ht="12.75" hidden="false" customHeight="false" outlineLevel="0" collapsed="false">
      <c r="I255" s="1"/>
      <c r="J255" s="59"/>
      <c r="K255" s="59"/>
      <c r="S255" s="235"/>
      <c r="T255" s="235"/>
      <c r="U255" s="235"/>
      <c r="V255" s="235"/>
      <c r="W255" s="235"/>
      <c r="Y255" s="235"/>
      <c r="Z255" s="235"/>
      <c r="AA255" s="235"/>
      <c r="AB255" s="235"/>
      <c r="AD255" s="235"/>
      <c r="AE255" s="235"/>
      <c r="AF255" s="235"/>
      <c r="AG255" s="235"/>
      <c r="AH255" s="235"/>
      <c r="AJ255" s="235"/>
      <c r="AK255" s="236"/>
      <c r="AL255" s="235"/>
      <c r="AM255" s="235"/>
      <c r="AN255" s="235"/>
      <c r="AO255" s="235"/>
      <c r="AQ255" s="235"/>
      <c r="AR255" s="235"/>
      <c r="AS255" s="235"/>
      <c r="AT255" s="235"/>
      <c r="AU255" s="235"/>
      <c r="AV255" s="235"/>
      <c r="AW255" s="235"/>
      <c r="AY255" s="235"/>
      <c r="AZ255" s="235"/>
      <c r="BA255" s="235"/>
      <c r="BB255" s="235"/>
      <c r="BC255" s="235"/>
      <c r="BE255" s="235"/>
    </row>
    <row r="256" customFormat="false" ht="12.75" hidden="false" customHeight="false" outlineLevel="0" collapsed="false">
      <c r="I256" s="1"/>
      <c r="J256" s="59"/>
      <c r="K256" s="59"/>
      <c r="S256" s="235"/>
      <c r="T256" s="235"/>
      <c r="U256" s="235"/>
      <c r="V256" s="235"/>
      <c r="W256" s="235"/>
      <c r="Y256" s="235"/>
      <c r="Z256" s="235"/>
      <c r="AA256" s="235"/>
      <c r="AB256" s="235"/>
      <c r="AD256" s="235"/>
      <c r="AE256" s="235"/>
      <c r="AF256" s="235"/>
      <c r="AG256" s="235"/>
      <c r="AH256" s="235"/>
      <c r="AJ256" s="235"/>
      <c r="AK256" s="236"/>
      <c r="AL256" s="235"/>
      <c r="AM256" s="235"/>
      <c r="AN256" s="235"/>
      <c r="AO256" s="235"/>
      <c r="AQ256" s="235"/>
      <c r="AR256" s="235"/>
      <c r="AS256" s="235"/>
      <c r="AT256" s="235"/>
      <c r="AU256" s="235"/>
      <c r="AV256" s="235"/>
      <c r="AW256" s="235"/>
      <c r="AY256" s="235"/>
      <c r="AZ256" s="235"/>
      <c r="BA256" s="235"/>
      <c r="BB256" s="235"/>
      <c r="BC256" s="235"/>
      <c r="BE256" s="235"/>
    </row>
    <row r="257" customFormat="false" ht="12.75" hidden="false" customHeight="false" outlineLevel="0" collapsed="false">
      <c r="I257" s="1"/>
      <c r="J257" s="59"/>
      <c r="K257" s="59"/>
      <c r="S257" s="235"/>
      <c r="T257" s="235"/>
      <c r="U257" s="235"/>
      <c r="V257" s="235"/>
      <c r="W257" s="235"/>
      <c r="Y257" s="235"/>
      <c r="Z257" s="235"/>
      <c r="AA257" s="235"/>
      <c r="AB257" s="235"/>
      <c r="AD257" s="235"/>
      <c r="AE257" s="235"/>
      <c r="AF257" s="235"/>
      <c r="AG257" s="235"/>
      <c r="AH257" s="235"/>
      <c r="AJ257" s="235"/>
      <c r="AK257" s="236"/>
      <c r="AL257" s="235"/>
      <c r="AM257" s="235"/>
      <c r="AN257" s="235"/>
      <c r="AO257" s="235"/>
      <c r="AQ257" s="235"/>
      <c r="AR257" s="235"/>
      <c r="AS257" s="235"/>
      <c r="AT257" s="235"/>
      <c r="AU257" s="235"/>
      <c r="AV257" s="235"/>
      <c r="AW257" s="235"/>
      <c r="AY257" s="235"/>
      <c r="AZ257" s="235"/>
      <c r="BA257" s="235"/>
      <c r="BB257" s="235"/>
      <c r="BC257" s="235"/>
      <c r="BE257" s="235"/>
    </row>
    <row r="258" customFormat="false" ht="12.75" hidden="false" customHeight="false" outlineLevel="0" collapsed="false">
      <c r="I258" s="1"/>
      <c r="J258" s="59"/>
      <c r="K258" s="59"/>
      <c r="S258" s="235"/>
      <c r="T258" s="235"/>
      <c r="U258" s="235"/>
      <c r="V258" s="235"/>
      <c r="W258" s="235"/>
      <c r="Y258" s="235"/>
      <c r="Z258" s="235"/>
      <c r="AA258" s="235"/>
      <c r="AB258" s="235"/>
      <c r="AD258" s="235"/>
      <c r="AE258" s="235"/>
      <c r="AF258" s="235"/>
      <c r="AG258" s="235"/>
      <c r="AH258" s="235"/>
      <c r="AJ258" s="235"/>
      <c r="AK258" s="236"/>
      <c r="AL258" s="235"/>
      <c r="AM258" s="235"/>
      <c r="AN258" s="235"/>
      <c r="AO258" s="235"/>
      <c r="AQ258" s="235"/>
      <c r="AR258" s="235"/>
      <c r="AS258" s="235"/>
      <c r="AT258" s="235"/>
      <c r="AU258" s="235"/>
      <c r="AV258" s="235"/>
      <c r="AW258" s="235"/>
      <c r="AY258" s="235"/>
      <c r="AZ258" s="235"/>
      <c r="BA258" s="235"/>
      <c r="BB258" s="235"/>
      <c r="BC258" s="235"/>
      <c r="BE258" s="235"/>
    </row>
    <row r="259" customFormat="false" ht="12.75" hidden="false" customHeight="false" outlineLevel="0" collapsed="false">
      <c r="I259" s="1"/>
      <c r="J259" s="59"/>
      <c r="K259" s="59"/>
      <c r="S259" s="235"/>
      <c r="T259" s="235"/>
      <c r="U259" s="235"/>
      <c r="V259" s="235"/>
      <c r="W259" s="235"/>
      <c r="Y259" s="235"/>
      <c r="Z259" s="235"/>
      <c r="AA259" s="235"/>
      <c r="AB259" s="235"/>
      <c r="AD259" s="235"/>
      <c r="AE259" s="235"/>
      <c r="AF259" s="235"/>
      <c r="AG259" s="235"/>
      <c r="AH259" s="235"/>
      <c r="AJ259" s="235"/>
      <c r="AK259" s="236"/>
      <c r="AL259" s="235"/>
      <c r="AM259" s="235"/>
      <c r="AN259" s="235"/>
      <c r="AO259" s="235"/>
      <c r="AQ259" s="235"/>
      <c r="AR259" s="235"/>
      <c r="AS259" s="235"/>
      <c r="AT259" s="235"/>
      <c r="AU259" s="235"/>
      <c r="AV259" s="235"/>
      <c r="AW259" s="235"/>
      <c r="AY259" s="235"/>
      <c r="AZ259" s="235"/>
      <c r="BA259" s="235"/>
      <c r="BB259" s="235"/>
      <c r="BC259" s="235"/>
      <c r="BE259" s="235"/>
    </row>
    <row r="260" customFormat="false" ht="12.75" hidden="false" customHeight="false" outlineLevel="0" collapsed="false">
      <c r="I260" s="1"/>
      <c r="J260" s="59"/>
      <c r="K260" s="59"/>
      <c r="S260" s="235"/>
      <c r="T260" s="235"/>
      <c r="U260" s="235"/>
      <c r="V260" s="235"/>
      <c r="W260" s="235"/>
      <c r="Y260" s="235"/>
      <c r="Z260" s="235"/>
      <c r="AA260" s="235"/>
      <c r="AB260" s="235"/>
      <c r="AD260" s="235"/>
      <c r="AE260" s="235"/>
      <c r="AF260" s="235"/>
      <c r="AG260" s="235"/>
      <c r="AH260" s="235"/>
      <c r="AJ260" s="235"/>
      <c r="AK260" s="236"/>
      <c r="AL260" s="235"/>
      <c r="AM260" s="235"/>
      <c r="AN260" s="235"/>
      <c r="AO260" s="235"/>
      <c r="AQ260" s="235"/>
      <c r="AR260" s="235"/>
      <c r="AS260" s="235"/>
      <c r="AT260" s="235"/>
      <c r="AU260" s="235"/>
      <c r="AV260" s="235"/>
      <c r="AW260" s="235"/>
      <c r="AY260" s="235"/>
      <c r="AZ260" s="235"/>
      <c r="BA260" s="235"/>
      <c r="BB260" s="235"/>
      <c r="BC260" s="235"/>
      <c r="BE260" s="235"/>
    </row>
    <row r="261" customFormat="false" ht="12.75" hidden="false" customHeight="false" outlineLevel="0" collapsed="false">
      <c r="I261" s="1"/>
      <c r="J261" s="59"/>
      <c r="K261" s="59"/>
      <c r="S261" s="235"/>
      <c r="T261" s="235"/>
      <c r="U261" s="235"/>
      <c r="V261" s="235"/>
      <c r="W261" s="235"/>
      <c r="Y261" s="235"/>
      <c r="Z261" s="235"/>
      <c r="AA261" s="235"/>
      <c r="AB261" s="235"/>
      <c r="AD261" s="235"/>
      <c r="AE261" s="235"/>
      <c r="AF261" s="235"/>
      <c r="AG261" s="235"/>
      <c r="AH261" s="235"/>
      <c r="AJ261" s="235"/>
      <c r="AK261" s="236"/>
      <c r="AL261" s="235"/>
      <c r="AM261" s="235"/>
      <c r="AN261" s="235"/>
      <c r="AO261" s="235"/>
      <c r="AQ261" s="235"/>
      <c r="AR261" s="235"/>
      <c r="AS261" s="235"/>
      <c r="AT261" s="235"/>
      <c r="AU261" s="235"/>
      <c r="AV261" s="235"/>
      <c r="AW261" s="235"/>
      <c r="AY261" s="235"/>
      <c r="AZ261" s="235"/>
      <c r="BA261" s="235"/>
      <c r="BB261" s="235"/>
      <c r="BC261" s="235"/>
      <c r="BE261" s="235"/>
    </row>
    <row r="262" customFormat="false" ht="12.75" hidden="false" customHeight="false" outlineLevel="0" collapsed="false">
      <c r="I262" s="1"/>
      <c r="J262" s="59"/>
      <c r="K262" s="59"/>
      <c r="S262" s="235"/>
      <c r="T262" s="235"/>
      <c r="U262" s="235"/>
      <c r="V262" s="235"/>
      <c r="W262" s="235"/>
      <c r="Y262" s="235"/>
      <c r="Z262" s="235"/>
      <c r="AA262" s="235"/>
      <c r="AB262" s="235"/>
      <c r="AD262" s="235"/>
      <c r="AE262" s="235"/>
      <c r="AF262" s="235"/>
      <c r="AG262" s="235"/>
      <c r="AH262" s="235"/>
      <c r="AJ262" s="235"/>
      <c r="AK262" s="236"/>
      <c r="AL262" s="235"/>
      <c r="AM262" s="235"/>
      <c r="AN262" s="235"/>
      <c r="AO262" s="235"/>
      <c r="AQ262" s="235"/>
      <c r="AR262" s="235"/>
      <c r="AS262" s="235"/>
      <c r="AT262" s="235"/>
      <c r="AU262" s="235"/>
      <c r="AV262" s="235"/>
      <c r="AW262" s="235"/>
      <c r="AY262" s="235"/>
      <c r="AZ262" s="235"/>
      <c r="BA262" s="235"/>
      <c r="BB262" s="235"/>
      <c r="BC262" s="235"/>
      <c r="BE262" s="235"/>
    </row>
    <row r="263" customFormat="false" ht="12.75" hidden="false" customHeight="false" outlineLevel="0" collapsed="false">
      <c r="I263" s="1"/>
      <c r="J263" s="59"/>
      <c r="K263" s="59"/>
      <c r="S263" s="235"/>
      <c r="T263" s="235"/>
      <c r="U263" s="235"/>
      <c r="V263" s="235"/>
      <c r="W263" s="235"/>
      <c r="Y263" s="235"/>
      <c r="Z263" s="235"/>
      <c r="AA263" s="235"/>
      <c r="AB263" s="235"/>
      <c r="AD263" s="235"/>
      <c r="AE263" s="235"/>
      <c r="AF263" s="235"/>
      <c r="AG263" s="235"/>
      <c r="AH263" s="235"/>
      <c r="AJ263" s="235"/>
      <c r="AK263" s="236"/>
      <c r="AL263" s="235"/>
      <c r="AM263" s="235"/>
      <c r="AN263" s="235"/>
      <c r="AO263" s="235"/>
      <c r="AQ263" s="235"/>
      <c r="AR263" s="235"/>
      <c r="AS263" s="235"/>
      <c r="AT263" s="235"/>
      <c r="AU263" s="235"/>
      <c r="AV263" s="235"/>
      <c r="AW263" s="235"/>
      <c r="AY263" s="235"/>
      <c r="AZ263" s="235"/>
      <c r="BA263" s="235"/>
      <c r="BB263" s="235"/>
      <c r="BC263" s="235"/>
      <c r="BE263" s="235"/>
    </row>
    <row r="264" customFormat="false" ht="12.75" hidden="false" customHeight="false" outlineLevel="0" collapsed="false">
      <c r="I264" s="1"/>
      <c r="J264" s="59"/>
      <c r="K264" s="59"/>
      <c r="S264" s="235"/>
      <c r="T264" s="235"/>
      <c r="U264" s="235"/>
      <c r="V264" s="235"/>
      <c r="W264" s="235"/>
      <c r="Y264" s="235"/>
      <c r="Z264" s="235"/>
      <c r="AA264" s="235"/>
      <c r="AB264" s="235"/>
      <c r="AD264" s="235"/>
      <c r="AE264" s="235"/>
      <c r="AF264" s="235"/>
      <c r="AG264" s="235"/>
      <c r="AH264" s="235"/>
      <c r="AJ264" s="235"/>
      <c r="AK264" s="236"/>
      <c r="AL264" s="235"/>
      <c r="AM264" s="235"/>
      <c r="AN264" s="235"/>
      <c r="AO264" s="235"/>
      <c r="AQ264" s="235"/>
      <c r="AR264" s="235"/>
      <c r="AS264" s="235"/>
      <c r="AT264" s="235"/>
      <c r="AU264" s="235"/>
      <c r="AV264" s="235"/>
      <c r="AW264" s="235"/>
      <c r="AY264" s="235"/>
      <c r="AZ264" s="235"/>
      <c r="BA264" s="235"/>
      <c r="BB264" s="235"/>
      <c r="BC264" s="235"/>
      <c r="BE264" s="235"/>
    </row>
    <row r="265" customFormat="false" ht="12.75" hidden="false" customHeight="false" outlineLevel="0" collapsed="false">
      <c r="I265" s="1"/>
      <c r="J265" s="59"/>
      <c r="K265" s="59"/>
      <c r="S265" s="235"/>
      <c r="T265" s="235"/>
      <c r="U265" s="235"/>
      <c r="V265" s="235"/>
      <c r="W265" s="235"/>
      <c r="Y265" s="235"/>
      <c r="Z265" s="235"/>
      <c r="AA265" s="235"/>
      <c r="AB265" s="235"/>
      <c r="AD265" s="235"/>
      <c r="AE265" s="235"/>
      <c r="AF265" s="235"/>
      <c r="AG265" s="235"/>
      <c r="AH265" s="235"/>
      <c r="AJ265" s="235"/>
      <c r="AK265" s="236"/>
      <c r="AL265" s="235"/>
      <c r="AM265" s="235"/>
      <c r="AN265" s="235"/>
      <c r="AO265" s="235"/>
      <c r="AQ265" s="235"/>
      <c r="AR265" s="235"/>
      <c r="AS265" s="235"/>
      <c r="AT265" s="235"/>
      <c r="AU265" s="235"/>
      <c r="AV265" s="235"/>
      <c r="AW265" s="235"/>
      <c r="AY265" s="235"/>
      <c r="AZ265" s="235"/>
      <c r="BA265" s="235"/>
      <c r="BB265" s="235"/>
      <c r="BC265" s="235"/>
      <c r="BE265" s="235"/>
    </row>
    <row r="266" customFormat="false" ht="12.75" hidden="false" customHeight="false" outlineLevel="0" collapsed="false">
      <c r="I266" s="1"/>
      <c r="J266" s="59"/>
      <c r="K266" s="59"/>
      <c r="S266" s="235"/>
      <c r="T266" s="235"/>
      <c r="U266" s="235"/>
      <c r="V266" s="235"/>
      <c r="W266" s="235"/>
      <c r="Y266" s="235"/>
      <c r="Z266" s="235"/>
      <c r="AA266" s="235"/>
      <c r="AB266" s="235"/>
      <c r="AD266" s="235"/>
      <c r="AE266" s="235"/>
      <c r="AF266" s="235"/>
      <c r="AG266" s="235"/>
      <c r="AH266" s="235"/>
      <c r="AJ266" s="235"/>
      <c r="AK266" s="236"/>
      <c r="AL266" s="235"/>
      <c r="AM266" s="235"/>
      <c r="AN266" s="235"/>
      <c r="AO266" s="235"/>
      <c r="AQ266" s="235"/>
      <c r="AR266" s="235"/>
      <c r="AS266" s="235"/>
      <c r="AT266" s="235"/>
      <c r="AU266" s="235"/>
      <c r="AV266" s="235"/>
      <c r="AW266" s="235"/>
      <c r="AY266" s="235"/>
      <c r="AZ266" s="235"/>
      <c r="BA266" s="235"/>
      <c r="BB266" s="235"/>
      <c r="BC266" s="235"/>
      <c r="BE266" s="235"/>
    </row>
    <row r="267" customFormat="false" ht="12.75" hidden="false" customHeight="false" outlineLevel="0" collapsed="false">
      <c r="I267" s="1"/>
      <c r="J267" s="59"/>
      <c r="K267" s="59"/>
      <c r="S267" s="235"/>
      <c r="T267" s="235"/>
      <c r="U267" s="235"/>
      <c r="V267" s="235"/>
      <c r="W267" s="235"/>
      <c r="Y267" s="235"/>
      <c r="Z267" s="235"/>
      <c r="AA267" s="235"/>
      <c r="AB267" s="235"/>
      <c r="AD267" s="235"/>
      <c r="AE267" s="235"/>
      <c r="AF267" s="235"/>
      <c r="AG267" s="235"/>
      <c r="AH267" s="235"/>
      <c r="AJ267" s="235"/>
      <c r="AK267" s="236"/>
      <c r="AL267" s="235"/>
      <c r="AM267" s="235"/>
      <c r="AN267" s="235"/>
      <c r="AO267" s="235"/>
      <c r="AQ267" s="235"/>
      <c r="AR267" s="235"/>
      <c r="AS267" s="235"/>
      <c r="AT267" s="235"/>
      <c r="AU267" s="235"/>
      <c r="AV267" s="235"/>
      <c r="AW267" s="235"/>
      <c r="AY267" s="235"/>
      <c r="AZ267" s="235"/>
      <c r="BA267" s="235"/>
      <c r="BB267" s="235"/>
      <c r="BC267" s="235"/>
      <c r="BE267" s="235"/>
    </row>
    <row r="268" customFormat="false" ht="12.75" hidden="false" customHeight="false" outlineLevel="0" collapsed="false">
      <c r="I268" s="1"/>
      <c r="J268" s="59"/>
      <c r="K268" s="59"/>
      <c r="S268" s="235"/>
      <c r="T268" s="235"/>
      <c r="U268" s="235"/>
      <c r="V268" s="235"/>
      <c r="W268" s="235"/>
      <c r="Y268" s="235"/>
      <c r="Z268" s="235"/>
      <c r="AA268" s="235"/>
      <c r="AB268" s="235"/>
      <c r="AD268" s="235"/>
      <c r="AE268" s="235"/>
      <c r="AF268" s="235"/>
      <c r="AG268" s="235"/>
      <c r="AH268" s="235"/>
      <c r="AJ268" s="235"/>
      <c r="AK268" s="236"/>
      <c r="AL268" s="235"/>
      <c r="AM268" s="235"/>
      <c r="AN268" s="235"/>
      <c r="AO268" s="235"/>
      <c r="AQ268" s="235"/>
      <c r="AR268" s="235"/>
      <c r="AS268" s="235"/>
      <c r="AT268" s="235"/>
      <c r="AU268" s="235"/>
      <c r="AV268" s="235"/>
      <c r="AW268" s="235"/>
      <c r="AY268" s="235"/>
      <c r="AZ268" s="235"/>
      <c r="BA268" s="235"/>
      <c r="BB268" s="235"/>
      <c r="BC268" s="235"/>
      <c r="BE268" s="235"/>
    </row>
    <row r="269" customFormat="false" ht="12.75" hidden="false" customHeight="false" outlineLevel="0" collapsed="false">
      <c r="I269" s="1"/>
      <c r="J269" s="59"/>
      <c r="K269" s="59"/>
      <c r="S269" s="235"/>
      <c r="T269" s="235"/>
      <c r="U269" s="235"/>
      <c r="V269" s="235"/>
      <c r="W269" s="235"/>
      <c r="Y269" s="235"/>
      <c r="Z269" s="235"/>
      <c r="AA269" s="235"/>
      <c r="AB269" s="235"/>
      <c r="AD269" s="235"/>
      <c r="AE269" s="235"/>
      <c r="AF269" s="235"/>
      <c r="AG269" s="235"/>
      <c r="AH269" s="235"/>
      <c r="AJ269" s="235"/>
      <c r="AK269" s="236"/>
      <c r="AL269" s="235"/>
      <c r="AM269" s="235"/>
      <c r="AN269" s="235"/>
      <c r="AO269" s="235"/>
      <c r="AQ269" s="235"/>
      <c r="AR269" s="235"/>
      <c r="AS269" s="235"/>
      <c r="AT269" s="235"/>
      <c r="AU269" s="235"/>
      <c r="AV269" s="235"/>
      <c r="AW269" s="235"/>
      <c r="AY269" s="235"/>
      <c r="AZ269" s="235"/>
      <c r="BA269" s="235"/>
      <c r="BB269" s="235"/>
      <c r="BC269" s="235"/>
      <c r="BE269" s="235"/>
    </row>
    <row r="270" customFormat="false" ht="12.75" hidden="false" customHeight="false" outlineLevel="0" collapsed="false">
      <c r="I270" s="1"/>
      <c r="J270" s="59"/>
      <c r="K270" s="59"/>
      <c r="S270" s="235"/>
      <c r="T270" s="235"/>
      <c r="U270" s="235"/>
      <c r="V270" s="235"/>
      <c r="W270" s="235"/>
      <c r="Y270" s="235"/>
      <c r="Z270" s="235"/>
      <c r="AA270" s="235"/>
      <c r="AB270" s="235"/>
      <c r="AD270" s="235"/>
      <c r="AE270" s="235"/>
      <c r="AF270" s="235"/>
      <c r="AG270" s="235"/>
      <c r="AH270" s="235"/>
      <c r="AJ270" s="235"/>
      <c r="AK270" s="236"/>
      <c r="AL270" s="235"/>
      <c r="AM270" s="235"/>
      <c r="AN270" s="235"/>
      <c r="AO270" s="235"/>
      <c r="AQ270" s="235"/>
      <c r="AR270" s="235"/>
      <c r="AS270" s="235"/>
      <c r="AT270" s="235"/>
      <c r="AU270" s="235"/>
      <c r="AV270" s="235"/>
      <c r="AW270" s="235"/>
      <c r="AY270" s="235"/>
      <c r="AZ270" s="235"/>
      <c r="BA270" s="235"/>
      <c r="BB270" s="235"/>
      <c r="BC270" s="235"/>
      <c r="BE270" s="235"/>
    </row>
    <row r="271" customFormat="false" ht="12.75" hidden="false" customHeight="false" outlineLevel="0" collapsed="false">
      <c r="I271" s="1"/>
      <c r="J271" s="59"/>
      <c r="K271" s="59"/>
      <c r="S271" s="235"/>
      <c r="T271" s="235"/>
      <c r="U271" s="235"/>
      <c r="V271" s="235"/>
      <c r="W271" s="235"/>
      <c r="Y271" s="235"/>
      <c r="Z271" s="235"/>
      <c r="AA271" s="235"/>
      <c r="AB271" s="235"/>
      <c r="AD271" s="235"/>
      <c r="AE271" s="235"/>
      <c r="AF271" s="235"/>
      <c r="AG271" s="235"/>
      <c r="AH271" s="235"/>
      <c r="AJ271" s="235"/>
      <c r="AK271" s="236"/>
      <c r="AL271" s="235"/>
      <c r="AM271" s="235"/>
      <c r="AN271" s="235"/>
      <c r="AO271" s="235"/>
      <c r="AQ271" s="235"/>
      <c r="AR271" s="235"/>
      <c r="AS271" s="235"/>
      <c r="AT271" s="235"/>
      <c r="AU271" s="235"/>
      <c r="AV271" s="235"/>
      <c r="AW271" s="235"/>
      <c r="AY271" s="235"/>
      <c r="AZ271" s="235"/>
      <c r="BA271" s="235"/>
      <c r="BB271" s="235"/>
      <c r="BC271" s="235"/>
      <c r="BE271" s="235"/>
    </row>
    <row r="272" customFormat="false" ht="12.75" hidden="false" customHeight="false" outlineLevel="0" collapsed="false">
      <c r="I272" s="1"/>
      <c r="J272" s="59"/>
      <c r="K272" s="59"/>
      <c r="S272" s="235"/>
      <c r="T272" s="235"/>
      <c r="U272" s="235"/>
      <c r="V272" s="235"/>
      <c r="W272" s="235"/>
      <c r="Y272" s="235"/>
      <c r="Z272" s="235"/>
      <c r="AA272" s="235"/>
      <c r="AB272" s="235"/>
      <c r="AD272" s="235"/>
      <c r="AE272" s="235"/>
      <c r="AF272" s="235"/>
      <c r="AG272" s="235"/>
      <c r="AH272" s="235"/>
      <c r="AJ272" s="235"/>
      <c r="AK272" s="236"/>
      <c r="AL272" s="235"/>
      <c r="AM272" s="235"/>
      <c r="AN272" s="235"/>
      <c r="AO272" s="235"/>
      <c r="AQ272" s="235"/>
      <c r="AR272" s="235"/>
      <c r="AS272" s="235"/>
      <c r="AT272" s="235"/>
      <c r="AU272" s="235"/>
      <c r="AV272" s="235"/>
      <c r="AW272" s="235"/>
      <c r="AY272" s="235"/>
      <c r="AZ272" s="235"/>
      <c r="BA272" s="235"/>
      <c r="BB272" s="235"/>
      <c r="BC272" s="235"/>
      <c r="BE272" s="235"/>
    </row>
    <row r="273" customFormat="false" ht="12.75" hidden="false" customHeight="false" outlineLevel="0" collapsed="false">
      <c r="I273" s="1"/>
      <c r="J273" s="59"/>
      <c r="K273" s="59"/>
      <c r="S273" s="235"/>
      <c r="T273" s="235"/>
      <c r="U273" s="235"/>
      <c r="V273" s="235"/>
      <c r="W273" s="235"/>
      <c r="Y273" s="235"/>
      <c r="Z273" s="235"/>
      <c r="AA273" s="235"/>
      <c r="AB273" s="235"/>
      <c r="AD273" s="235"/>
      <c r="AE273" s="235"/>
      <c r="AF273" s="235"/>
      <c r="AG273" s="235"/>
      <c r="AH273" s="235"/>
      <c r="AJ273" s="235"/>
      <c r="AK273" s="236"/>
      <c r="AL273" s="235"/>
      <c r="AM273" s="235"/>
      <c r="AN273" s="235"/>
      <c r="AO273" s="235"/>
      <c r="AQ273" s="235"/>
      <c r="AR273" s="235"/>
      <c r="AS273" s="235"/>
      <c r="AT273" s="235"/>
      <c r="AU273" s="235"/>
      <c r="AV273" s="235"/>
      <c r="AW273" s="235"/>
      <c r="AY273" s="235"/>
      <c r="AZ273" s="235"/>
      <c r="BA273" s="235"/>
      <c r="BB273" s="235"/>
      <c r="BC273" s="235"/>
      <c r="BE273" s="235"/>
    </row>
    <row r="274" customFormat="false" ht="12.75" hidden="false" customHeight="false" outlineLevel="0" collapsed="false">
      <c r="I274" s="1"/>
      <c r="J274" s="59"/>
      <c r="K274" s="59"/>
      <c r="S274" s="235"/>
      <c r="T274" s="235"/>
      <c r="U274" s="235"/>
      <c r="V274" s="235"/>
      <c r="W274" s="235"/>
      <c r="Y274" s="235"/>
      <c r="Z274" s="235"/>
      <c r="AA274" s="235"/>
      <c r="AB274" s="235"/>
      <c r="AD274" s="235"/>
      <c r="AE274" s="235"/>
      <c r="AF274" s="235"/>
      <c r="AG274" s="235"/>
      <c r="AH274" s="235"/>
      <c r="AJ274" s="235"/>
      <c r="AK274" s="236"/>
      <c r="AL274" s="235"/>
      <c r="AM274" s="235"/>
      <c r="AN274" s="235"/>
      <c r="AO274" s="235"/>
      <c r="AQ274" s="235"/>
      <c r="AR274" s="235"/>
      <c r="AS274" s="235"/>
      <c r="AT274" s="235"/>
      <c r="AU274" s="235"/>
      <c r="AV274" s="235"/>
      <c r="AW274" s="235"/>
      <c r="AY274" s="235"/>
      <c r="AZ274" s="235"/>
      <c r="BA274" s="235"/>
      <c r="BB274" s="235"/>
      <c r="BC274" s="235"/>
      <c r="BE274" s="235"/>
    </row>
    <row r="275" customFormat="false" ht="12.75" hidden="false" customHeight="false" outlineLevel="0" collapsed="false">
      <c r="I275" s="1"/>
      <c r="J275" s="59"/>
      <c r="K275" s="59"/>
      <c r="S275" s="235"/>
      <c r="T275" s="235"/>
      <c r="U275" s="235"/>
      <c r="V275" s="235"/>
      <c r="W275" s="235"/>
      <c r="Y275" s="235"/>
      <c r="Z275" s="235"/>
      <c r="AA275" s="235"/>
      <c r="AB275" s="235"/>
      <c r="AD275" s="235"/>
      <c r="AE275" s="235"/>
      <c r="AF275" s="235"/>
      <c r="AG275" s="235"/>
      <c r="AH275" s="235"/>
      <c r="AJ275" s="235"/>
      <c r="AK275" s="236"/>
      <c r="AL275" s="235"/>
      <c r="AM275" s="235"/>
      <c r="AN275" s="235"/>
      <c r="AO275" s="235"/>
      <c r="AQ275" s="235"/>
      <c r="AR275" s="235"/>
      <c r="AS275" s="235"/>
      <c r="AT275" s="235"/>
      <c r="AU275" s="235"/>
      <c r="AV275" s="235"/>
      <c r="AW275" s="235"/>
      <c r="AY275" s="235"/>
      <c r="AZ275" s="235"/>
      <c r="BA275" s="235"/>
      <c r="BB275" s="235"/>
      <c r="BC275" s="235"/>
      <c r="BE275" s="235"/>
    </row>
    <row r="276" customFormat="false" ht="12.75" hidden="false" customHeight="false" outlineLevel="0" collapsed="false">
      <c r="I276" s="1"/>
      <c r="J276" s="59"/>
      <c r="K276" s="59"/>
      <c r="S276" s="235"/>
      <c r="T276" s="235"/>
      <c r="U276" s="235"/>
      <c r="V276" s="235"/>
      <c r="W276" s="235"/>
      <c r="Y276" s="235"/>
      <c r="Z276" s="235"/>
      <c r="AA276" s="235"/>
      <c r="AB276" s="235"/>
      <c r="AD276" s="235"/>
      <c r="AE276" s="235"/>
      <c r="AF276" s="235"/>
      <c r="AG276" s="235"/>
      <c r="AH276" s="235"/>
      <c r="AJ276" s="235"/>
      <c r="AK276" s="236"/>
      <c r="AL276" s="235"/>
      <c r="AM276" s="235"/>
      <c r="AN276" s="235"/>
      <c r="AO276" s="235"/>
      <c r="AQ276" s="235"/>
      <c r="AR276" s="235"/>
      <c r="AS276" s="235"/>
      <c r="AT276" s="235"/>
      <c r="AU276" s="235"/>
      <c r="AV276" s="235"/>
      <c r="AW276" s="235"/>
      <c r="AY276" s="235"/>
      <c r="AZ276" s="235"/>
      <c r="BA276" s="235"/>
      <c r="BB276" s="235"/>
      <c r="BC276" s="235"/>
      <c r="BE276" s="235"/>
    </row>
    <row r="277" customFormat="false" ht="12.75" hidden="false" customHeight="false" outlineLevel="0" collapsed="false">
      <c r="I277" s="1"/>
      <c r="J277" s="59"/>
      <c r="K277" s="59"/>
      <c r="S277" s="235"/>
      <c r="T277" s="235"/>
      <c r="U277" s="235"/>
      <c r="V277" s="235"/>
      <c r="W277" s="235"/>
      <c r="Y277" s="235"/>
      <c r="Z277" s="235"/>
      <c r="AA277" s="235"/>
      <c r="AB277" s="235"/>
      <c r="AD277" s="235"/>
      <c r="AE277" s="235"/>
      <c r="AF277" s="235"/>
      <c r="AG277" s="235"/>
      <c r="AH277" s="235"/>
      <c r="AJ277" s="235"/>
      <c r="AK277" s="236"/>
      <c r="AL277" s="235"/>
      <c r="AM277" s="235"/>
      <c r="AN277" s="235"/>
      <c r="AO277" s="235"/>
      <c r="AQ277" s="235"/>
      <c r="AR277" s="235"/>
      <c r="AS277" s="235"/>
      <c r="AT277" s="235"/>
      <c r="AU277" s="235"/>
      <c r="AV277" s="235"/>
      <c r="AW277" s="235"/>
      <c r="AY277" s="235"/>
      <c r="AZ277" s="235"/>
      <c r="BA277" s="235"/>
      <c r="BB277" s="235"/>
      <c r="BC277" s="235"/>
      <c r="BE277" s="235"/>
    </row>
    <row r="278" customFormat="false" ht="12.75" hidden="false" customHeight="false" outlineLevel="0" collapsed="false">
      <c r="I278" s="1"/>
      <c r="J278" s="59"/>
      <c r="K278" s="59"/>
      <c r="S278" s="235"/>
      <c r="T278" s="235"/>
      <c r="U278" s="235"/>
      <c r="V278" s="235"/>
      <c r="W278" s="235"/>
      <c r="Y278" s="235"/>
      <c r="Z278" s="235"/>
      <c r="AA278" s="235"/>
      <c r="AB278" s="235"/>
      <c r="AD278" s="235"/>
      <c r="AE278" s="235"/>
      <c r="AF278" s="235"/>
      <c r="AG278" s="235"/>
      <c r="AH278" s="235"/>
      <c r="AJ278" s="235"/>
      <c r="AK278" s="236"/>
      <c r="AL278" s="235"/>
      <c r="AM278" s="235"/>
      <c r="AN278" s="235"/>
      <c r="AO278" s="235"/>
      <c r="AQ278" s="235"/>
      <c r="AR278" s="235"/>
      <c r="AS278" s="235"/>
      <c r="AT278" s="235"/>
      <c r="AU278" s="235"/>
      <c r="AV278" s="235"/>
      <c r="AW278" s="235"/>
      <c r="AY278" s="235"/>
      <c r="AZ278" s="235"/>
      <c r="BA278" s="235"/>
      <c r="BB278" s="235"/>
      <c r="BC278" s="235"/>
      <c r="BE278" s="235"/>
    </row>
    <row r="279" customFormat="false" ht="12.75" hidden="false" customHeight="false" outlineLevel="0" collapsed="false">
      <c r="I279" s="1"/>
      <c r="J279" s="59"/>
      <c r="K279" s="59"/>
      <c r="S279" s="235"/>
      <c r="T279" s="235"/>
      <c r="U279" s="235"/>
      <c r="V279" s="235"/>
      <c r="W279" s="235"/>
      <c r="Y279" s="235"/>
      <c r="Z279" s="235"/>
      <c r="AA279" s="235"/>
      <c r="AB279" s="235"/>
      <c r="AD279" s="235"/>
      <c r="AE279" s="235"/>
      <c r="AF279" s="235"/>
      <c r="AG279" s="235"/>
      <c r="AH279" s="235"/>
      <c r="AJ279" s="235"/>
      <c r="AK279" s="236"/>
      <c r="AL279" s="235"/>
      <c r="AM279" s="235"/>
      <c r="AN279" s="235"/>
      <c r="AO279" s="235"/>
      <c r="AQ279" s="235"/>
      <c r="AR279" s="235"/>
      <c r="AS279" s="235"/>
      <c r="AT279" s="235"/>
      <c r="AU279" s="235"/>
      <c r="AV279" s="235"/>
      <c r="AW279" s="235"/>
      <c r="AY279" s="235"/>
      <c r="AZ279" s="235"/>
      <c r="BA279" s="235"/>
      <c r="BB279" s="235"/>
      <c r="BC279" s="235"/>
      <c r="BE279" s="235"/>
    </row>
    <row r="280" customFormat="false" ht="12.75" hidden="false" customHeight="false" outlineLevel="0" collapsed="false">
      <c r="I280" s="1"/>
      <c r="J280" s="59"/>
      <c r="K280" s="59"/>
    </row>
    <row r="281" customFormat="false" ht="12.75" hidden="false" customHeight="false" outlineLevel="0" collapsed="false">
      <c r="I281" s="1"/>
      <c r="J281" s="59"/>
      <c r="K281" s="59"/>
    </row>
    <row r="282" customFormat="false" ht="12.75" hidden="false" customHeight="false" outlineLevel="0" collapsed="false">
      <c r="I282" s="1"/>
      <c r="J282" s="59"/>
      <c r="K282" s="59"/>
    </row>
    <row r="283" customFormat="false" ht="12.75" hidden="false" customHeight="false" outlineLevel="0" collapsed="false">
      <c r="I283" s="1"/>
      <c r="J283" s="59"/>
      <c r="K283" s="59"/>
    </row>
    <row r="284" customFormat="false" ht="12.75" hidden="false" customHeight="false" outlineLevel="0" collapsed="false">
      <c r="I284" s="1"/>
      <c r="J284" s="59"/>
      <c r="K284" s="59"/>
    </row>
    <row r="285" customFormat="false" ht="12.75" hidden="false" customHeight="false" outlineLevel="0" collapsed="false">
      <c r="I285" s="1"/>
      <c r="J285" s="59"/>
      <c r="K285" s="59"/>
    </row>
    <row r="286" customFormat="false" ht="12.75" hidden="false" customHeight="false" outlineLevel="0" collapsed="false">
      <c r="I286" s="1"/>
      <c r="J286" s="59"/>
      <c r="K286" s="59"/>
    </row>
    <row r="287" customFormat="false" ht="12.75" hidden="false" customHeight="false" outlineLevel="0" collapsed="false">
      <c r="I287" s="1"/>
      <c r="J287" s="59"/>
      <c r="K287" s="59"/>
    </row>
    <row r="288" customFormat="false" ht="12.75" hidden="false" customHeight="false" outlineLevel="0" collapsed="false">
      <c r="I288" s="1"/>
      <c r="J288" s="59"/>
      <c r="K288" s="59"/>
    </row>
    <row r="289" customFormat="false" ht="12.75" hidden="false" customHeight="false" outlineLevel="0" collapsed="false">
      <c r="I289" s="1"/>
      <c r="J289" s="59"/>
      <c r="K289" s="59"/>
    </row>
    <row r="290" customFormat="false" ht="12.75" hidden="false" customHeight="false" outlineLevel="0" collapsed="false">
      <c r="I290" s="1"/>
      <c r="J290" s="59"/>
      <c r="K290" s="59"/>
    </row>
    <row r="291" customFormat="false" ht="12.75" hidden="false" customHeight="false" outlineLevel="0" collapsed="false">
      <c r="I291" s="1"/>
      <c r="J291" s="59"/>
      <c r="K291" s="59"/>
    </row>
    <row r="292" customFormat="false" ht="12.75" hidden="false" customHeight="false" outlineLevel="0" collapsed="false">
      <c r="I292" s="1"/>
      <c r="J292" s="59"/>
      <c r="K292" s="59"/>
    </row>
    <row r="293" customFormat="false" ht="12.75" hidden="false" customHeight="false" outlineLevel="0" collapsed="false">
      <c r="I293" s="1"/>
      <c r="J293" s="59"/>
      <c r="K293" s="59"/>
    </row>
    <row r="294" customFormat="false" ht="12.75" hidden="false" customHeight="false" outlineLevel="0" collapsed="false">
      <c r="I294" s="1"/>
      <c r="J294" s="59"/>
      <c r="K294" s="59"/>
    </row>
    <row r="295" customFormat="false" ht="12.75" hidden="false" customHeight="false" outlineLevel="0" collapsed="false">
      <c r="I295" s="1"/>
      <c r="J295" s="59"/>
      <c r="K295" s="59"/>
    </row>
    <row r="296" customFormat="false" ht="12.75" hidden="false" customHeight="false" outlineLevel="0" collapsed="false">
      <c r="I296" s="1"/>
      <c r="J296" s="59"/>
      <c r="K296" s="59"/>
    </row>
    <row r="297" customFormat="false" ht="12.75" hidden="false" customHeight="false" outlineLevel="0" collapsed="false">
      <c r="I297" s="1"/>
      <c r="J297" s="59"/>
      <c r="K297" s="59"/>
    </row>
    <row r="298" customFormat="false" ht="12.75" hidden="false" customHeight="false" outlineLevel="0" collapsed="false">
      <c r="I298" s="1"/>
      <c r="J298" s="59"/>
      <c r="K298" s="59"/>
    </row>
    <row r="299" customFormat="false" ht="12.75" hidden="false" customHeight="false" outlineLevel="0" collapsed="false">
      <c r="I299" s="1"/>
      <c r="J299" s="59"/>
      <c r="K299" s="59"/>
    </row>
    <row r="300" customFormat="false" ht="12.75" hidden="false" customHeight="false" outlineLevel="0" collapsed="false">
      <c r="I300" s="1"/>
      <c r="J300" s="59"/>
      <c r="K300" s="59"/>
    </row>
    <row r="301" customFormat="false" ht="12.75" hidden="false" customHeight="false" outlineLevel="0" collapsed="false">
      <c r="I301" s="1"/>
      <c r="J301" s="59"/>
      <c r="K301" s="59"/>
    </row>
    <row r="302" customFormat="false" ht="12.75" hidden="false" customHeight="false" outlineLevel="0" collapsed="false">
      <c r="I302" s="1"/>
      <c r="J302" s="59"/>
      <c r="K302" s="59"/>
    </row>
    <row r="303" customFormat="false" ht="12.75" hidden="false" customHeight="false" outlineLevel="0" collapsed="false">
      <c r="I303" s="1"/>
      <c r="J303" s="59"/>
      <c r="K303" s="59"/>
    </row>
    <row r="304" customFormat="false" ht="12.75" hidden="false" customHeight="false" outlineLevel="0" collapsed="false">
      <c r="I304" s="1"/>
      <c r="J304" s="59"/>
      <c r="K304" s="59"/>
    </row>
    <row r="305" customFormat="false" ht="12.75" hidden="false" customHeight="false" outlineLevel="0" collapsed="false">
      <c r="I305" s="1"/>
      <c r="J305" s="59"/>
      <c r="K305" s="59"/>
    </row>
    <row r="306" customFormat="false" ht="12.75" hidden="false" customHeight="false" outlineLevel="0" collapsed="false">
      <c r="I306" s="1"/>
      <c r="J306" s="59"/>
      <c r="K306" s="59"/>
    </row>
    <row r="307" customFormat="false" ht="12.75" hidden="false" customHeight="false" outlineLevel="0" collapsed="false">
      <c r="I307" s="1"/>
      <c r="J307" s="59"/>
      <c r="K307" s="59"/>
    </row>
    <row r="308" customFormat="false" ht="12.75" hidden="false" customHeight="false" outlineLevel="0" collapsed="false">
      <c r="I308" s="1"/>
      <c r="J308" s="59"/>
      <c r="K308" s="59"/>
    </row>
    <row r="309" customFormat="false" ht="12.75" hidden="false" customHeight="false" outlineLevel="0" collapsed="false">
      <c r="I309" s="1"/>
      <c r="J309" s="59"/>
      <c r="K309" s="59"/>
    </row>
    <row r="310" customFormat="false" ht="12.75" hidden="false" customHeight="false" outlineLevel="0" collapsed="false">
      <c r="I310" s="1"/>
      <c r="J310" s="59"/>
      <c r="K310" s="59"/>
    </row>
    <row r="311" customFormat="false" ht="12.75" hidden="false" customHeight="false" outlineLevel="0" collapsed="false">
      <c r="I311" s="1"/>
      <c r="J311" s="59"/>
      <c r="K311" s="59"/>
    </row>
    <row r="312" customFormat="false" ht="12.75" hidden="false" customHeight="false" outlineLevel="0" collapsed="false">
      <c r="I312" s="1"/>
      <c r="J312" s="59"/>
      <c r="K312" s="59"/>
    </row>
    <row r="313" customFormat="false" ht="12.75" hidden="false" customHeight="false" outlineLevel="0" collapsed="false">
      <c r="I313" s="1"/>
      <c r="J313" s="59"/>
      <c r="K313" s="59"/>
    </row>
    <row r="314" customFormat="false" ht="12.75" hidden="false" customHeight="false" outlineLevel="0" collapsed="false">
      <c r="I314" s="1"/>
      <c r="J314" s="59"/>
      <c r="K314" s="59"/>
    </row>
    <row r="315" customFormat="false" ht="12.75" hidden="false" customHeight="false" outlineLevel="0" collapsed="false">
      <c r="I315" s="1"/>
      <c r="J315" s="59"/>
      <c r="K315" s="59"/>
    </row>
    <row r="316" customFormat="false" ht="12.75" hidden="false" customHeight="false" outlineLevel="0" collapsed="false">
      <c r="I316" s="1"/>
      <c r="J316" s="59"/>
      <c r="K316" s="59"/>
    </row>
    <row r="317" customFormat="false" ht="12.75" hidden="false" customHeight="false" outlineLevel="0" collapsed="false">
      <c r="I317" s="1"/>
      <c r="J317" s="59"/>
      <c r="K317" s="59"/>
    </row>
    <row r="318" customFormat="false" ht="12.75" hidden="false" customHeight="false" outlineLevel="0" collapsed="false">
      <c r="I318" s="1"/>
      <c r="J318" s="59"/>
      <c r="K318" s="59"/>
    </row>
    <row r="319" customFormat="false" ht="12.75" hidden="false" customHeight="false" outlineLevel="0" collapsed="false">
      <c r="I319" s="1"/>
      <c r="J319" s="59"/>
      <c r="K319" s="59"/>
    </row>
    <row r="320" customFormat="false" ht="12.75" hidden="false" customHeight="false" outlineLevel="0" collapsed="false">
      <c r="I320" s="1"/>
      <c r="J320" s="59"/>
      <c r="K320" s="59"/>
    </row>
    <row r="321" customFormat="false" ht="12.75" hidden="false" customHeight="false" outlineLevel="0" collapsed="false">
      <c r="I321" s="1"/>
      <c r="J321" s="59"/>
      <c r="K321" s="59"/>
    </row>
    <row r="322" customFormat="false" ht="12.75" hidden="false" customHeight="false" outlineLevel="0" collapsed="false">
      <c r="I322" s="1"/>
      <c r="J322" s="59"/>
      <c r="K322" s="59"/>
    </row>
    <row r="323" customFormat="false" ht="12.75" hidden="false" customHeight="false" outlineLevel="0" collapsed="false">
      <c r="I323" s="1"/>
      <c r="J323" s="59"/>
      <c r="K323" s="59"/>
    </row>
    <row r="324" customFormat="false" ht="12.75" hidden="false" customHeight="false" outlineLevel="0" collapsed="false">
      <c r="I324" s="1"/>
      <c r="J324" s="59"/>
      <c r="K324" s="59"/>
    </row>
    <row r="325" customFormat="false" ht="12.75" hidden="false" customHeight="false" outlineLevel="0" collapsed="false">
      <c r="I325" s="1"/>
      <c r="J325" s="59"/>
      <c r="K325" s="59"/>
    </row>
    <row r="326" customFormat="false" ht="12.75" hidden="false" customHeight="false" outlineLevel="0" collapsed="false">
      <c r="I326" s="1"/>
      <c r="J326" s="59"/>
      <c r="K326" s="59"/>
    </row>
    <row r="327" customFormat="false" ht="12.75" hidden="false" customHeight="false" outlineLevel="0" collapsed="false">
      <c r="I327" s="1"/>
      <c r="J327" s="59"/>
      <c r="K327" s="59"/>
    </row>
    <row r="328" customFormat="false" ht="12.75" hidden="false" customHeight="false" outlineLevel="0" collapsed="false">
      <c r="I328" s="1"/>
      <c r="J328" s="59"/>
      <c r="K328" s="59"/>
    </row>
    <row r="329" customFormat="false" ht="12.75" hidden="false" customHeight="false" outlineLevel="0" collapsed="false">
      <c r="I329" s="1"/>
      <c r="J329" s="59"/>
      <c r="K329" s="59"/>
    </row>
    <row r="330" customFormat="false" ht="12.75" hidden="false" customHeight="false" outlineLevel="0" collapsed="false">
      <c r="I330" s="1"/>
      <c r="J330" s="59"/>
      <c r="K330" s="59"/>
    </row>
    <row r="331" customFormat="false" ht="12.75" hidden="false" customHeight="false" outlineLevel="0" collapsed="false">
      <c r="I331" s="1"/>
      <c r="J331" s="59"/>
      <c r="K331" s="59"/>
    </row>
    <row r="332" customFormat="false" ht="12.75" hidden="false" customHeight="false" outlineLevel="0" collapsed="false">
      <c r="I332" s="1"/>
      <c r="J332" s="59"/>
      <c r="K332" s="59"/>
    </row>
    <row r="333" customFormat="false" ht="12.75" hidden="false" customHeight="false" outlineLevel="0" collapsed="false">
      <c r="I333" s="1"/>
      <c r="J333" s="59"/>
      <c r="K333" s="59"/>
    </row>
    <row r="334" customFormat="false" ht="12.75" hidden="false" customHeight="false" outlineLevel="0" collapsed="false">
      <c r="I334" s="1"/>
      <c r="J334" s="59"/>
      <c r="K334" s="59"/>
    </row>
    <row r="335" customFormat="false" ht="12.75" hidden="false" customHeight="false" outlineLevel="0" collapsed="false">
      <c r="I335" s="1"/>
      <c r="J335" s="59"/>
      <c r="K335" s="59"/>
    </row>
    <row r="336" customFormat="false" ht="12.75" hidden="false" customHeight="false" outlineLevel="0" collapsed="false">
      <c r="I336" s="1"/>
      <c r="J336" s="59"/>
      <c r="K336" s="59"/>
    </row>
    <row r="337" customFormat="false" ht="12.75" hidden="false" customHeight="false" outlineLevel="0" collapsed="false">
      <c r="I337" s="1"/>
      <c r="J337" s="59"/>
      <c r="K337" s="59"/>
    </row>
    <row r="338" customFormat="false" ht="12.75" hidden="false" customHeight="false" outlineLevel="0" collapsed="false">
      <c r="I338" s="1"/>
      <c r="J338" s="59"/>
      <c r="K338" s="59"/>
    </row>
    <row r="339" customFormat="false" ht="12.75" hidden="false" customHeight="false" outlineLevel="0" collapsed="false">
      <c r="I339" s="1"/>
      <c r="J339" s="59"/>
      <c r="K339" s="59"/>
    </row>
    <row r="340" customFormat="false" ht="12.75" hidden="false" customHeight="false" outlineLevel="0" collapsed="false">
      <c r="I340" s="1"/>
      <c r="J340" s="59"/>
      <c r="K340" s="59"/>
    </row>
    <row r="341" customFormat="false" ht="12.75" hidden="false" customHeight="false" outlineLevel="0" collapsed="false">
      <c r="I341" s="1"/>
      <c r="J341" s="59"/>
      <c r="K341" s="59"/>
    </row>
    <row r="342" customFormat="false" ht="12.75" hidden="false" customHeight="false" outlineLevel="0" collapsed="false">
      <c r="I342" s="1"/>
      <c r="J342" s="59"/>
      <c r="K342" s="59"/>
    </row>
    <row r="343" customFormat="false" ht="12.75" hidden="false" customHeight="false" outlineLevel="0" collapsed="false">
      <c r="I343" s="1"/>
      <c r="J343" s="59"/>
      <c r="K343" s="59"/>
    </row>
    <row r="344" customFormat="false" ht="12.75" hidden="false" customHeight="false" outlineLevel="0" collapsed="false">
      <c r="I344" s="1"/>
      <c r="J344" s="59"/>
      <c r="K344" s="59"/>
    </row>
    <row r="345" customFormat="false" ht="12.75" hidden="false" customHeight="false" outlineLevel="0" collapsed="false">
      <c r="I345" s="1"/>
      <c r="J345" s="59"/>
      <c r="K345" s="59"/>
    </row>
    <row r="346" customFormat="false" ht="12.75" hidden="false" customHeight="false" outlineLevel="0" collapsed="false">
      <c r="I346" s="1"/>
      <c r="J346" s="59"/>
      <c r="K346" s="59"/>
    </row>
    <row r="347" customFormat="false" ht="12.75" hidden="false" customHeight="false" outlineLevel="0" collapsed="false">
      <c r="I347" s="1"/>
      <c r="J347" s="59"/>
      <c r="K347" s="59"/>
    </row>
    <row r="348" customFormat="false" ht="12.75" hidden="false" customHeight="false" outlineLevel="0" collapsed="false">
      <c r="I348" s="1"/>
      <c r="J348" s="59"/>
      <c r="K348" s="59"/>
    </row>
    <row r="349" customFormat="false" ht="12.75" hidden="false" customHeight="false" outlineLevel="0" collapsed="false">
      <c r="I349" s="1"/>
      <c r="J349" s="59"/>
      <c r="K349" s="59"/>
    </row>
    <row r="350" customFormat="false" ht="12.75" hidden="false" customHeight="false" outlineLevel="0" collapsed="false">
      <c r="I350" s="1"/>
      <c r="J350" s="59"/>
      <c r="K350" s="59"/>
    </row>
    <row r="351" customFormat="false" ht="12.75" hidden="false" customHeight="false" outlineLevel="0" collapsed="false">
      <c r="I351" s="1"/>
      <c r="J351" s="59"/>
      <c r="K351" s="59"/>
    </row>
    <row r="352" customFormat="false" ht="12.75" hidden="false" customHeight="false" outlineLevel="0" collapsed="false">
      <c r="I352" s="1"/>
      <c r="J352" s="59"/>
      <c r="K352" s="59"/>
    </row>
    <row r="353" customFormat="false" ht="12.75" hidden="false" customHeight="false" outlineLevel="0" collapsed="false">
      <c r="I353" s="1"/>
      <c r="J353" s="59"/>
      <c r="K353" s="59"/>
    </row>
    <row r="354" customFormat="false" ht="12.75" hidden="false" customHeight="false" outlineLevel="0" collapsed="false">
      <c r="I354" s="1"/>
      <c r="J354" s="59"/>
      <c r="K354" s="59"/>
    </row>
    <row r="355" customFormat="false" ht="12.75" hidden="false" customHeight="false" outlineLevel="0" collapsed="false">
      <c r="I355" s="1"/>
      <c r="J355" s="59"/>
      <c r="K355" s="59"/>
    </row>
    <row r="356" customFormat="false" ht="12.75" hidden="false" customHeight="false" outlineLevel="0" collapsed="false">
      <c r="I356" s="1"/>
      <c r="J356" s="59"/>
      <c r="K356" s="59"/>
    </row>
    <row r="357" customFormat="false" ht="12.75" hidden="false" customHeight="false" outlineLevel="0" collapsed="false">
      <c r="I357" s="1"/>
      <c r="J357" s="59"/>
      <c r="K357" s="59"/>
    </row>
    <row r="358" customFormat="false" ht="12.75" hidden="false" customHeight="false" outlineLevel="0" collapsed="false">
      <c r="I358" s="1"/>
      <c r="J358" s="59"/>
      <c r="K358" s="59"/>
    </row>
    <row r="359" customFormat="false" ht="12.75" hidden="false" customHeight="false" outlineLevel="0" collapsed="false">
      <c r="I359" s="1"/>
      <c r="J359" s="59"/>
      <c r="K359" s="59"/>
    </row>
    <row r="360" customFormat="false" ht="12.75" hidden="false" customHeight="false" outlineLevel="0" collapsed="false">
      <c r="I360" s="1"/>
      <c r="J360" s="59"/>
      <c r="K360" s="59"/>
    </row>
    <row r="361" customFormat="false" ht="12.75" hidden="false" customHeight="false" outlineLevel="0" collapsed="false">
      <c r="I361" s="1"/>
      <c r="J361" s="59"/>
      <c r="K361" s="59"/>
    </row>
    <row r="362" customFormat="false" ht="12.75" hidden="false" customHeight="false" outlineLevel="0" collapsed="false">
      <c r="I362" s="1"/>
      <c r="J362" s="59"/>
      <c r="K362" s="59"/>
    </row>
    <row r="363" customFormat="false" ht="12.75" hidden="false" customHeight="false" outlineLevel="0" collapsed="false">
      <c r="I363" s="1"/>
      <c r="J363" s="59"/>
      <c r="K363" s="59"/>
    </row>
    <row r="364" customFormat="false" ht="12.75" hidden="false" customHeight="false" outlineLevel="0" collapsed="false">
      <c r="I364" s="1"/>
      <c r="J364" s="59"/>
      <c r="K364" s="59"/>
    </row>
    <row r="365" customFormat="false" ht="12.75" hidden="false" customHeight="false" outlineLevel="0" collapsed="false">
      <c r="I365" s="1"/>
      <c r="J365" s="59"/>
      <c r="K365" s="59"/>
    </row>
  </sheetData>
  <mergeCells count="2">
    <mergeCell ref="BF3:BG3"/>
    <mergeCell ref="L12:N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2026-03-18T21:12:34Z</dcterms:created>
  <dc:creator>Randy Lu</dc:creator>
  <dc:description/>
  <dc:language>en-US</dc:language>
  <cp:lastModifiedBy/>
  <dcterms:modified xsi:type="dcterms:W3CDTF">2026-04-01T11:15:18Z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